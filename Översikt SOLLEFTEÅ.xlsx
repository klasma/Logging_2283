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45669</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45669</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45669</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45669</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45669</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45669</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45669</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45669</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45669</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45669</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45669</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45669</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45669</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45669</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45669</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45669</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45669</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45669</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45669</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45669</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45669</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45669</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45669</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45669</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45669</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45669</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45669</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45669</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45669</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45669</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45669</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45669</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45669</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45669</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45669</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45669</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45669</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45669</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45669</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45669</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45669</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45669</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45669</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45669</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45669</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45669</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45669</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45669</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45669</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45669</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45669</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45669</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45669</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45669</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45669</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45669</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45669</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45669</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45669</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45669</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45669</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45669</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45669</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45669</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45669</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45669</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45669</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45669</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45669</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45669</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45669</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45669</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45669</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45669</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45669</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45669</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45669</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45669</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45669</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45669</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45669</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45669</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45669</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45669</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45669</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45669</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45669</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45669</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45669</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45669</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45669</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45669</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45669</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45669</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45669</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45669</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45669</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45669</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45669</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45669</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45669</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45669</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45669</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45669</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45669</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45669</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45669</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45669</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45669</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45669</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45669</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45669</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45669</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45669</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45669</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45669</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45669</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45669</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45669</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45669</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45669</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45669</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45669</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45669</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45669</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45669</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45669</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45669</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45669</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45669</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45669</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45669</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45669</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45669</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45669</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45669</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45669</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45669</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45669</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45669</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45669</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45669</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45669</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45669</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45669</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45669</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45669</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45669</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45669</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45669</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45669</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45669</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45669</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45669</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45669</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45669</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45669</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45669</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45669</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45669</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45669</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45669</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45669</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45669</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45669</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45669</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45669</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45669</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45669</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45669</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45669</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45669</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45669</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45669</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45669</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45669</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45669</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45669</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45669</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45669</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45669</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45669</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45669</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45669</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45669</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45669</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45669</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45669</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45669</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45669</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45669</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45669</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45669</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45669</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45669</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45669</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45669</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45669</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45669</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45669</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45669</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45669</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45669</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45669</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45669</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45669</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45669</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45669</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45669</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45669</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45669</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45669</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45669</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45669</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45669</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45669</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45669</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45669</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45669</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45669</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45669</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45669</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45669</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45669</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45669</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45669</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45669</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45669</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45669</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45669</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45669</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45669</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45669</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45669</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45669</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45669</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45669</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45669</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45669</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45669</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45669</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45669</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45669</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45669</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45669</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45669</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45669</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45669</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45669</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45669</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45669</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45669</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45669</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45669</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45669</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45669</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45669</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45669</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45669</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45669</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45669</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45669</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45669</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45669</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45669</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45669</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45669</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45669</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45669</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45669</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45669</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45669</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45669</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45669</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45669</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45669</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45669</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45669</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45669</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45669</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45669</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45669</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45669</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45669</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45669</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45669</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45669</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45669</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45669</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45669</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45669</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45669</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45669</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45669</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45669</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45669</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45669</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45669</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45669</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45669</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45669</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45669</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45669</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45669</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45669</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45669</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45669</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45669</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45669</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45669</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45669</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45669</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45669</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45669</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45669</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45669</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45669</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45669</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45669</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45669</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45669</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45669</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45669</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45669</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45669</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45669</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45669</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45669</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45669</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45669</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45669</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45669</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45669</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45669</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45669</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45669</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45669</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45669</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45669</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45669</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45669</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45669</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45669</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45669</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45669</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45669</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45669</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45669</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45669</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45669</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45669</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45669</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45669</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45669</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45669</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45669</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45669</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45669</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45669</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45669</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45669</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45669</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45669</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45669</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45669</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45669</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45669</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45669</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45669</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45669</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45669</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45669</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45669</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45669</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45669</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45669</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45669</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1343-2025</t>
        </is>
      </c>
      <c r="B434" s="1" t="n">
        <v>45667</v>
      </c>
      <c r="C434" s="1" t="n">
        <v>45669</v>
      </c>
      <c r="D434" t="inlineStr">
        <is>
          <t>VÄSTERNORRLANDS LÄN</t>
        </is>
      </c>
      <c r="E434" t="inlineStr">
        <is>
          <t>SOLLEFTEÅ</t>
        </is>
      </c>
      <c r="G434" t="n">
        <v>5.2</v>
      </c>
      <c r="H434" t="n">
        <v>0</v>
      </c>
      <c r="I434" t="n">
        <v>0</v>
      </c>
      <c r="J434" t="n">
        <v>1</v>
      </c>
      <c r="K434" t="n">
        <v>0</v>
      </c>
      <c r="L434" t="n">
        <v>0</v>
      </c>
      <c r="M434" t="n">
        <v>0</v>
      </c>
      <c r="N434" t="n">
        <v>0</v>
      </c>
      <c r="O434" t="n">
        <v>1</v>
      </c>
      <c r="P434" t="n">
        <v>0</v>
      </c>
      <c r="Q434" t="n">
        <v>1</v>
      </c>
      <c r="R434" s="2" t="inlineStr">
        <is>
          <t>Granticka</t>
        </is>
      </c>
      <c r="S434">
        <f>HYPERLINK("https://klasma.github.io/Logging_2283/artfynd/A 1343-2025 artfynd.xlsx", "A 1343-2025")</f>
        <v/>
      </c>
      <c r="T434">
        <f>HYPERLINK("https://klasma.github.io/Logging_2283/kartor/A 1343-2025 karta.png", "A 1343-2025")</f>
        <v/>
      </c>
      <c r="V434">
        <f>HYPERLINK("https://klasma.github.io/Logging_2283/klagomål/A 1343-2025 FSC-klagomål.docx", "A 1343-2025")</f>
        <v/>
      </c>
      <c r="W434">
        <f>HYPERLINK("https://klasma.github.io/Logging_2283/klagomålsmail/A 1343-2025 FSC-klagomål mail.docx", "A 1343-2025")</f>
        <v/>
      </c>
      <c r="X434">
        <f>HYPERLINK("https://klasma.github.io/Logging_2283/tillsyn/A 1343-2025 tillsynsbegäran.docx", "A 1343-2025")</f>
        <v/>
      </c>
      <c r="Y434">
        <f>HYPERLINK("https://klasma.github.io/Logging_2283/tillsynsmail/A 1343-2025 tillsynsbegäran mail.docx", "A 1343-2025")</f>
        <v/>
      </c>
    </row>
    <row r="435" ht="15" customHeight="1">
      <c r="A435" t="inlineStr">
        <is>
          <t>A 18277-2019</t>
        </is>
      </c>
      <c r="B435" s="1" t="n">
        <v>43557</v>
      </c>
      <c r="C435" s="1" t="n">
        <v>45669</v>
      </c>
      <c r="D435" t="inlineStr">
        <is>
          <t>VÄSTERNORRLANDS LÄN</t>
        </is>
      </c>
      <c r="E435" t="inlineStr">
        <is>
          <t>SOLLEFTEÅ</t>
        </is>
      </c>
      <c r="G435" t="n">
        <v>6.2</v>
      </c>
      <c r="H435" t="n">
        <v>0</v>
      </c>
      <c r="I435" t="n">
        <v>0</v>
      </c>
      <c r="J435" t="n">
        <v>0</v>
      </c>
      <c r="K435" t="n">
        <v>0</v>
      </c>
      <c r="L435" t="n">
        <v>0</v>
      </c>
      <c r="M435" t="n">
        <v>0</v>
      </c>
      <c r="N435" t="n">
        <v>0</v>
      </c>
      <c r="O435" t="n">
        <v>0</v>
      </c>
      <c r="P435" t="n">
        <v>0</v>
      </c>
      <c r="Q435" t="n">
        <v>0</v>
      </c>
      <c r="R435" s="2" t="inlineStr"/>
    </row>
    <row r="436" ht="15" customHeight="1">
      <c r="A436" t="inlineStr">
        <is>
          <t>A 18578-2019</t>
        </is>
      </c>
      <c r="B436" s="1" t="n">
        <v>43558</v>
      </c>
      <c r="C436" s="1" t="n">
        <v>45669</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18925-2019</t>
        </is>
      </c>
      <c r="B437" s="1" t="n">
        <v>43563</v>
      </c>
      <c r="C437" s="1" t="n">
        <v>45669</v>
      </c>
      <c r="D437" t="inlineStr">
        <is>
          <t>VÄSTERNORRLANDS LÄN</t>
        </is>
      </c>
      <c r="E437" t="inlineStr">
        <is>
          <t>SOLLEFTEÅ</t>
        </is>
      </c>
      <c r="G437" t="n">
        <v>1.9</v>
      </c>
      <c r="H437" t="n">
        <v>0</v>
      </c>
      <c r="I437" t="n">
        <v>0</v>
      </c>
      <c r="J437" t="n">
        <v>0</v>
      </c>
      <c r="K437" t="n">
        <v>0</v>
      </c>
      <c r="L437" t="n">
        <v>0</v>
      </c>
      <c r="M437" t="n">
        <v>0</v>
      </c>
      <c r="N437" t="n">
        <v>0</v>
      </c>
      <c r="O437" t="n">
        <v>0</v>
      </c>
      <c r="P437" t="n">
        <v>0</v>
      </c>
      <c r="Q437" t="n">
        <v>0</v>
      </c>
      <c r="R437" s="2" t="inlineStr"/>
    </row>
    <row r="438" ht="15" customHeight="1">
      <c r="A438" t="inlineStr">
        <is>
          <t>A 19123-2019</t>
        </is>
      </c>
      <c r="B438" s="1" t="n">
        <v>43564</v>
      </c>
      <c r="C438" s="1" t="n">
        <v>45669</v>
      </c>
      <c r="D438" t="inlineStr">
        <is>
          <t>VÄSTERNORRLANDS LÄN</t>
        </is>
      </c>
      <c r="E438" t="inlineStr">
        <is>
          <t>SOLLEFTEÅ</t>
        </is>
      </c>
      <c r="G438" t="n">
        <v>9.4</v>
      </c>
      <c r="H438" t="n">
        <v>0</v>
      </c>
      <c r="I438" t="n">
        <v>0</v>
      </c>
      <c r="J438" t="n">
        <v>0</v>
      </c>
      <c r="K438" t="n">
        <v>0</v>
      </c>
      <c r="L438" t="n">
        <v>0</v>
      </c>
      <c r="M438" t="n">
        <v>0</v>
      </c>
      <c r="N438" t="n">
        <v>0</v>
      </c>
      <c r="O438" t="n">
        <v>0</v>
      </c>
      <c r="P438" t="n">
        <v>0</v>
      </c>
      <c r="Q438" t="n">
        <v>0</v>
      </c>
      <c r="R438" s="2" t="inlineStr"/>
    </row>
    <row r="439" ht="15" customHeight="1">
      <c r="A439" t="inlineStr">
        <is>
          <t>A 19219-2019</t>
        </is>
      </c>
      <c r="B439" s="1" t="n">
        <v>43564</v>
      </c>
      <c r="C439" s="1" t="n">
        <v>45669</v>
      </c>
      <c r="D439" t="inlineStr">
        <is>
          <t>VÄSTERNORRLANDS LÄN</t>
        </is>
      </c>
      <c r="E439" t="inlineStr">
        <is>
          <t>SOLLEFTEÅ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19553-2019</t>
        </is>
      </c>
      <c r="B440" s="1" t="n">
        <v>43565</v>
      </c>
      <c r="C440" s="1" t="n">
        <v>45669</v>
      </c>
      <c r="D440" t="inlineStr">
        <is>
          <t>VÄSTERNORRLANDS LÄN</t>
        </is>
      </c>
      <c r="E440" t="inlineStr">
        <is>
          <t>SOLLEFTEÅ</t>
        </is>
      </c>
      <c r="G440" t="n">
        <v>28.1</v>
      </c>
      <c r="H440" t="n">
        <v>0</v>
      </c>
      <c r="I440" t="n">
        <v>0</v>
      </c>
      <c r="J440" t="n">
        <v>0</v>
      </c>
      <c r="K440" t="n">
        <v>0</v>
      </c>
      <c r="L440" t="n">
        <v>0</v>
      </c>
      <c r="M440" t="n">
        <v>0</v>
      </c>
      <c r="N440" t="n">
        <v>0</v>
      </c>
      <c r="O440" t="n">
        <v>0</v>
      </c>
      <c r="P440" t="n">
        <v>0</v>
      </c>
      <c r="Q440" t="n">
        <v>0</v>
      </c>
      <c r="R440" s="2" t="inlineStr"/>
    </row>
    <row r="441" ht="15" customHeight="1">
      <c r="A441" t="inlineStr">
        <is>
          <t>A 19730-2019</t>
        </is>
      </c>
      <c r="B441" s="1" t="n">
        <v>43566</v>
      </c>
      <c r="C441" s="1" t="n">
        <v>45669</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19595-2019</t>
        </is>
      </c>
      <c r="B442" s="1" t="n">
        <v>43566</v>
      </c>
      <c r="C442" s="1" t="n">
        <v>45669</v>
      </c>
      <c r="D442" t="inlineStr">
        <is>
          <t>VÄSTERNORRLANDS LÄN</t>
        </is>
      </c>
      <c r="E442" t="inlineStr">
        <is>
          <t>SOLLEFTEÅ</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19732-2019</t>
        </is>
      </c>
      <c r="B443" s="1" t="n">
        <v>43566</v>
      </c>
      <c r="C443" s="1" t="n">
        <v>45669</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19731-2019</t>
        </is>
      </c>
      <c r="B444" s="1" t="n">
        <v>43566</v>
      </c>
      <c r="C444" s="1" t="n">
        <v>45669</v>
      </c>
      <c r="D444" t="inlineStr">
        <is>
          <t>VÄSTERNORRLANDS LÄN</t>
        </is>
      </c>
      <c r="E444" t="inlineStr">
        <is>
          <t>SOLLEFTEÅ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20201-2019</t>
        </is>
      </c>
      <c r="B445" s="1" t="n">
        <v>43570</v>
      </c>
      <c r="C445" s="1" t="n">
        <v>45669</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20198-2019</t>
        </is>
      </c>
      <c r="B446" s="1" t="n">
        <v>43570</v>
      </c>
      <c r="C446" s="1" t="n">
        <v>45669</v>
      </c>
      <c r="D446" t="inlineStr">
        <is>
          <t>VÄSTERNORRLANDS LÄN</t>
        </is>
      </c>
      <c r="E446" t="inlineStr">
        <is>
          <t>SOLLEFTEÅ</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20200-2019</t>
        </is>
      </c>
      <c r="B447" s="1" t="n">
        <v>43570</v>
      </c>
      <c r="C447" s="1" t="n">
        <v>45669</v>
      </c>
      <c r="D447" t="inlineStr">
        <is>
          <t>VÄSTERNORRLANDS LÄN</t>
        </is>
      </c>
      <c r="E447" t="inlineStr">
        <is>
          <t>SOLLEFTEÅ</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20444-2019</t>
        </is>
      </c>
      <c r="B448" s="1" t="n">
        <v>43571</v>
      </c>
      <c r="C448" s="1" t="n">
        <v>45669</v>
      </c>
      <c r="D448" t="inlineStr">
        <is>
          <t>VÄSTERNORRLANDS LÄN</t>
        </is>
      </c>
      <c r="E448" t="inlineStr">
        <is>
          <t>SOLLEFTEÅ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20649-2019</t>
        </is>
      </c>
      <c r="B449" s="1" t="n">
        <v>43572</v>
      </c>
      <c r="C449" s="1" t="n">
        <v>45669</v>
      </c>
      <c r="D449" t="inlineStr">
        <is>
          <t>VÄSTERNORRLANDS LÄN</t>
        </is>
      </c>
      <c r="E449" t="inlineStr">
        <is>
          <t>SOLLEFTEÅ</t>
        </is>
      </c>
      <c r="G449" t="n">
        <v>1.9</v>
      </c>
      <c r="H449" t="n">
        <v>0</v>
      </c>
      <c r="I449" t="n">
        <v>0</v>
      </c>
      <c r="J449" t="n">
        <v>0</v>
      </c>
      <c r="K449" t="n">
        <v>0</v>
      </c>
      <c r="L449" t="n">
        <v>0</v>
      </c>
      <c r="M449" t="n">
        <v>0</v>
      </c>
      <c r="N449" t="n">
        <v>0</v>
      </c>
      <c r="O449" t="n">
        <v>0</v>
      </c>
      <c r="P449" t="n">
        <v>0</v>
      </c>
      <c r="Q449" t="n">
        <v>0</v>
      </c>
      <c r="R449" s="2" t="inlineStr"/>
    </row>
    <row r="450" ht="15" customHeight="1">
      <c r="A450" t="inlineStr">
        <is>
          <t>A 20648-2019</t>
        </is>
      </c>
      <c r="B450" s="1" t="n">
        <v>43572</v>
      </c>
      <c r="C450" s="1" t="n">
        <v>45669</v>
      </c>
      <c r="D450" t="inlineStr">
        <is>
          <t>VÄSTERNORRLANDS LÄN</t>
        </is>
      </c>
      <c r="E450" t="inlineStr">
        <is>
          <t>SOLLEFTEÅ</t>
        </is>
      </c>
      <c r="G450" t="n">
        <v>3.9</v>
      </c>
      <c r="H450" t="n">
        <v>0</v>
      </c>
      <c r="I450" t="n">
        <v>0</v>
      </c>
      <c r="J450" t="n">
        <v>0</v>
      </c>
      <c r="K450" t="n">
        <v>0</v>
      </c>
      <c r="L450" t="n">
        <v>0</v>
      </c>
      <c r="M450" t="n">
        <v>0</v>
      </c>
      <c r="N450" t="n">
        <v>0</v>
      </c>
      <c r="O450" t="n">
        <v>0</v>
      </c>
      <c r="P450" t="n">
        <v>0</v>
      </c>
      <c r="Q450" t="n">
        <v>0</v>
      </c>
      <c r="R450" s="2" t="inlineStr"/>
    </row>
    <row r="451" ht="15" customHeight="1">
      <c r="A451" t="inlineStr">
        <is>
          <t>A 21119-2019</t>
        </is>
      </c>
      <c r="B451" s="1" t="n">
        <v>43578</v>
      </c>
      <c r="C451" s="1" t="n">
        <v>45669</v>
      </c>
      <c r="D451" t="inlineStr">
        <is>
          <t>VÄSTERNORRLANDS LÄN</t>
        </is>
      </c>
      <c r="E451" t="inlineStr">
        <is>
          <t>SOLLEFTEÅ</t>
        </is>
      </c>
      <c r="F451" t="inlineStr">
        <is>
          <t>SCA</t>
        </is>
      </c>
      <c r="G451" t="n">
        <v>57.7</v>
      </c>
      <c r="H451" t="n">
        <v>0</v>
      </c>
      <c r="I451" t="n">
        <v>0</v>
      </c>
      <c r="J451" t="n">
        <v>0</v>
      </c>
      <c r="K451" t="n">
        <v>0</v>
      </c>
      <c r="L451" t="n">
        <v>0</v>
      </c>
      <c r="M451" t="n">
        <v>0</v>
      </c>
      <c r="N451" t="n">
        <v>0</v>
      </c>
      <c r="O451" t="n">
        <v>0</v>
      </c>
      <c r="P451" t="n">
        <v>0</v>
      </c>
      <c r="Q451" t="n">
        <v>0</v>
      </c>
      <c r="R451" s="2" t="inlineStr"/>
    </row>
    <row r="452" ht="15" customHeight="1">
      <c r="A452" t="inlineStr">
        <is>
          <t>A 21526-2019</t>
        </is>
      </c>
      <c r="B452" s="1" t="n">
        <v>43580</v>
      </c>
      <c r="C452" s="1" t="n">
        <v>45669</v>
      </c>
      <c r="D452" t="inlineStr">
        <is>
          <t>VÄSTERNORRLANDS LÄN</t>
        </is>
      </c>
      <c r="E452" t="inlineStr">
        <is>
          <t>SOLLEFTEÅ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21799-2019</t>
        </is>
      </c>
      <c r="B453" s="1" t="n">
        <v>43581</v>
      </c>
      <c r="C453" s="1" t="n">
        <v>45669</v>
      </c>
      <c r="D453" t="inlineStr">
        <is>
          <t>VÄSTERNORRLANDS LÄN</t>
        </is>
      </c>
      <c r="E453" t="inlineStr">
        <is>
          <t>SOLLEFTEÅ</t>
        </is>
      </c>
      <c r="F453" t="inlineStr">
        <is>
          <t>SCA</t>
        </is>
      </c>
      <c r="G453" t="n">
        <v>14.1</v>
      </c>
      <c r="H453" t="n">
        <v>0</v>
      </c>
      <c r="I453" t="n">
        <v>0</v>
      </c>
      <c r="J453" t="n">
        <v>0</v>
      </c>
      <c r="K453" t="n">
        <v>0</v>
      </c>
      <c r="L453" t="n">
        <v>0</v>
      </c>
      <c r="M453" t="n">
        <v>0</v>
      </c>
      <c r="N453" t="n">
        <v>0</v>
      </c>
      <c r="O453" t="n">
        <v>0</v>
      </c>
      <c r="P453" t="n">
        <v>0</v>
      </c>
      <c r="Q453" t="n">
        <v>0</v>
      </c>
      <c r="R453" s="2" t="inlineStr"/>
    </row>
    <row r="454" ht="15" customHeight="1">
      <c r="A454" t="inlineStr">
        <is>
          <t>A 21788-2019</t>
        </is>
      </c>
      <c r="B454" s="1" t="n">
        <v>43581</v>
      </c>
      <c r="C454" s="1" t="n">
        <v>45669</v>
      </c>
      <c r="D454" t="inlineStr">
        <is>
          <t>VÄSTERNORRLANDS LÄN</t>
        </is>
      </c>
      <c r="E454" t="inlineStr">
        <is>
          <t>SOLLEFTEÅ</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22088-2019</t>
        </is>
      </c>
      <c r="B455" s="1" t="n">
        <v>43584</v>
      </c>
      <c r="C455" s="1" t="n">
        <v>45669</v>
      </c>
      <c r="D455" t="inlineStr">
        <is>
          <t>VÄSTERNORRLANDS LÄN</t>
        </is>
      </c>
      <c r="E455" t="inlineStr">
        <is>
          <t>SOLLEFTEÅ</t>
        </is>
      </c>
      <c r="F455" t="inlineStr">
        <is>
          <t>SCA</t>
        </is>
      </c>
      <c r="G455" t="n">
        <v>37.9</v>
      </c>
      <c r="H455" t="n">
        <v>0</v>
      </c>
      <c r="I455" t="n">
        <v>0</v>
      </c>
      <c r="J455" t="n">
        <v>0</v>
      </c>
      <c r="K455" t="n">
        <v>0</v>
      </c>
      <c r="L455" t="n">
        <v>0</v>
      </c>
      <c r="M455" t="n">
        <v>0</v>
      </c>
      <c r="N455" t="n">
        <v>0</v>
      </c>
      <c r="O455" t="n">
        <v>0</v>
      </c>
      <c r="P455" t="n">
        <v>0</v>
      </c>
      <c r="Q455" t="n">
        <v>0</v>
      </c>
      <c r="R455" s="2" t="inlineStr"/>
    </row>
    <row r="456" ht="15" customHeight="1">
      <c r="A456" t="inlineStr">
        <is>
          <t>A 22283-2019</t>
        </is>
      </c>
      <c r="B456" s="1" t="n">
        <v>43585</v>
      </c>
      <c r="C456" s="1" t="n">
        <v>45669</v>
      </c>
      <c r="D456" t="inlineStr">
        <is>
          <t>VÄSTERNORRLANDS LÄN</t>
        </is>
      </c>
      <c r="E456" t="inlineStr">
        <is>
          <t>SOLLEFTEÅ</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22587-2019</t>
        </is>
      </c>
      <c r="B457" s="1" t="n">
        <v>43587</v>
      </c>
      <c r="C457" s="1" t="n">
        <v>45669</v>
      </c>
      <c r="D457" t="inlineStr">
        <is>
          <t>VÄSTERNORRLANDS LÄN</t>
        </is>
      </c>
      <c r="E457" t="inlineStr">
        <is>
          <t>SOLLEFTEÅ</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23241-2019</t>
        </is>
      </c>
      <c r="B458" s="1" t="n">
        <v>43591</v>
      </c>
      <c r="C458" s="1" t="n">
        <v>45669</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23314-2019</t>
        </is>
      </c>
      <c r="B459" s="1" t="n">
        <v>43591</v>
      </c>
      <c r="C459" s="1" t="n">
        <v>45669</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23323-2019</t>
        </is>
      </c>
      <c r="B460" s="1" t="n">
        <v>43591</v>
      </c>
      <c r="C460" s="1" t="n">
        <v>45669</v>
      </c>
      <c r="D460" t="inlineStr">
        <is>
          <t>VÄSTERNORRLANDS LÄN</t>
        </is>
      </c>
      <c r="E460" t="inlineStr">
        <is>
          <t>SOLLEFTEÅ</t>
        </is>
      </c>
      <c r="G460" t="n">
        <v>2.4</v>
      </c>
      <c r="H460" t="n">
        <v>0</v>
      </c>
      <c r="I460" t="n">
        <v>0</v>
      </c>
      <c r="J460" t="n">
        <v>0</v>
      </c>
      <c r="K460" t="n">
        <v>0</v>
      </c>
      <c r="L460" t="n">
        <v>0</v>
      </c>
      <c r="M460" t="n">
        <v>0</v>
      </c>
      <c r="N460" t="n">
        <v>0</v>
      </c>
      <c r="O460" t="n">
        <v>0</v>
      </c>
      <c r="P460" t="n">
        <v>0</v>
      </c>
      <c r="Q460" t="n">
        <v>0</v>
      </c>
      <c r="R460" s="2" t="inlineStr"/>
    </row>
    <row r="461" ht="15" customHeight="1">
      <c r="A461" t="inlineStr">
        <is>
          <t>A 23246-2019</t>
        </is>
      </c>
      <c r="B461" s="1" t="n">
        <v>43591</v>
      </c>
      <c r="C461" s="1" t="n">
        <v>45669</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24157-2019</t>
        </is>
      </c>
      <c r="B462" s="1" t="n">
        <v>43598</v>
      </c>
      <c r="C462" s="1" t="n">
        <v>45669</v>
      </c>
      <c r="D462" t="inlineStr">
        <is>
          <t>VÄSTERNORRLANDS LÄN</t>
        </is>
      </c>
      <c r="E462" t="inlineStr">
        <is>
          <t>SOLLEFTEÅ</t>
        </is>
      </c>
      <c r="F462" t="inlineStr">
        <is>
          <t>SCA</t>
        </is>
      </c>
      <c r="G462" t="n">
        <v>0.1</v>
      </c>
      <c r="H462" t="n">
        <v>0</v>
      </c>
      <c r="I462" t="n">
        <v>0</v>
      </c>
      <c r="J462" t="n">
        <v>0</v>
      </c>
      <c r="K462" t="n">
        <v>0</v>
      </c>
      <c r="L462" t="n">
        <v>0</v>
      </c>
      <c r="M462" t="n">
        <v>0</v>
      </c>
      <c r="N462" t="n">
        <v>0</v>
      </c>
      <c r="O462" t="n">
        <v>0</v>
      </c>
      <c r="P462" t="n">
        <v>0</v>
      </c>
      <c r="Q462" t="n">
        <v>0</v>
      </c>
      <c r="R462" s="2" t="inlineStr"/>
    </row>
    <row r="463" ht="15" customHeight="1">
      <c r="A463" t="inlineStr">
        <is>
          <t>A 24168-2019</t>
        </is>
      </c>
      <c r="B463" s="1" t="n">
        <v>43598</v>
      </c>
      <c r="C463" s="1" t="n">
        <v>45669</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25334-2019</t>
        </is>
      </c>
      <c r="B464" s="1" t="n">
        <v>43601</v>
      </c>
      <c r="C464" s="1" t="n">
        <v>45669</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25331-2019</t>
        </is>
      </c>
      <c r="B465" s="1" t="n">
        <v>43601</v>
      </c>
      <c r="C465" s="1" t="n">
        <v>45669</v>
      </c>
      <c r="D465" t="inlineStr">
        <is>
          <t>VÄSTERNORRLANDS LÄN</t>
        </is>
      </c>
      <c r="E465" t="inlineStr">
        <is>
          <t>SOLLEFTEÅ</t>
        </is>
      </c>
      <c r="G465" t="n">
        <v>7.2</v>
      </c>
      <c r="H465" t="n">
        <v>0</v>
      </c>
      <c r="I465" t="n">
        <v>0</v>
      </c>
      <c r="J465" t="n">
        <v>0</v>
      </c>
      <c r="K465" t="n">
        <v>0</v>
      </c>
      <c r="L465" t="n">
        <v>0</v>
      </c>
      <c r="M465" t="n">
        <v>0</v>
      </c>
      <c r="N465" t="n">
        <v>0</v>
      </c>
      <c r="O465" t="n">
        <v>0</v>
      </c>
      <c r="P465" t="n">
        <v>0</v>
      </c>
      <c r="Q465" t="n">
        <v>0</v>
      </c>
      <c r="R465" s="2" t="inlineStr"/>
    </row>
    <row r="466" ht="15" customHeight="1">
      <c r="A466" t="inlineStr">
        <is>
          <t>A 25260-2019</t>
        </is>
      </c>
      <c r="B466" s="1" t="n">
        <v>43601</v>
      </c>
      <c r="C466" s="1" t="n">
        <v>45669</v>
      </c>
      <c r="D466" t="inlineStr">
        <is>
          <t>VÄSTERNORRLANDS LÄN</t>
        </is>
      </c>
      <c r="E466" t="inlineStr">
        <is>
          <t>SOLLEFTEÅ</t>
        </is>
      </c>
      <c r="G466" t="n">
        <v>3.4</v>
      </c>
      <c r="H466" t="n">
        <v>0</v>
      </c>
      <c r="I466" t="n">
        <v>0</v>
      </c>
      <c r="J466" t="n">
        <v>0</v>
      </c>
      <c r="K466" t="n">
        <v>0</v>
      </c>
      <c r="L466" t="n">
        <v>0</v>
      </c>
      <c r="M466" t="n">
        <v>0</v>
      </c>
      <c r="N466" t="n">
        <v>0</v>
      </c>
      <c r="O466" t="n">
        <v>0</v>
      </c>
      <c r="P466" t="n">
        <v>0</v>
      </c>
      <c r="Q466" t="n">
        <v>0</v>
      </c>
      <c r="R466" s="2" t="inlineStr"/>
    </row>
    <row r="467" ht="15" customHeight="1">
      <c r="A467" t="inlineStr">
        <is>
          <t>A 25328-2019</t>
        </is>
      </c>
      <c r="B467" s="1" t="n">
        <v>43601</v>
      </c>
      <c r="C467" s="1" t="n">
        <v>45669</v>
      </c>
      <c r="D467" t="inlineStr">
        <is>
          <t>VÄSTERNORRLANDS LÄN</t>
        </is>
      </c>
      <c r="E467" t="inlineStr">
        <is>
          <t>SOLLEFTEÅ</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25014-2019</t>
        </is>
      </c>
      <c r="B468" s="1" t="n">
        <v>43602</v>
      </c>
      <c r="C468" s="1" t="n">
        <v>45669</v>
      </c>
      <c r="D468" t="inlineStr">
        <is>
          <t>VÄSTERNORRLANDS LÄN</t>
        </is>
      </c>
      <c r="E468" t="inlineStr">
        <is>
          <t>SOLLEFTEÅ</t>
        </is>
      </c>
      <c r="F468" t="inlineStr">
        <is>
          <t>SCA</t>
        </is>
      </c>
      <c r="G468" t="n">
        <v>11.1</v>
      </c>
      <c r="H468" t="n">
        <v>0</v>
      </c>
      <c r="I468" t="n">
        <v>0</v>
      </c>
      <c r="J468" t="n">
        <v>0</v>
      </c>
      <c r="K468" t="n">
        <v>0</v>
      </c>
      <c r="L468" t="n">
        <v>0</v>
      </c>
      <c r="M468" t="n">
        <v>0</v>
      </c>
      <c r="N468" t="n">
        <v>0</v>
      </c>
      <c r="O468" t="n">
        <v>0</v>
      </c>
      <c r="P468" t="n">
        <v>0</v>
      </c>
      <c r="Q468" t="n">
        <v>0</v>
      </c>
      <c r="R468" s="2" t="inlineStr"/>
    </row>
    <row r="469" ht="15" customHeight="1">
      <c r="A469" t="inlineStr">
        <is>
          <t>A 26111-2019</t>
        </is>
      </c>
      <c r="B469" s="1" t="n">
        <v>43605</v>
      </c>
      <c r="C469" s="1" t="n">
        <v>45669</v>
      </c>
      <c r="D469" t="inlineStr">
        <is>
          <t>VÄSTERNORRLANDS LÄN</t>
        </is>
      </c>
      <c r="E469" t="inlineStr">
        <is>
          <t>SOLLEFTEÅ</t>
        </is>
      </c>
      <c r="G469" t="n">
        <v>3.5</v>
      </c>
      <c r="H469" t="n">
        <v>0</v>
      </c>
      <c r="I469" t="n">
        <v>0</v>
      </c>
      <c r="J469" t="n">
        <v>0</v>
      </c>
      <c r="K469" t="n">
        <v>0</v>
      </c>
      <c r="L469" t="n">
        <v>0</v>
      </c>
      <c r="M469" t="n">
        <v>0</v>
      </c>
      <c r="N469" t="n">
        <v>0</v>
      </c>
      <c r="O469" t="n">
        <v>0</v>
      </c>
      <c r="P469" t="n">
        <v>0</v>
      </c>
      <c r="Q469" t="n">
        <v>0</v>
      </c>
      <c r="R469" s="2" t="inlineStr"/>
    </row>
    <row r="470" ht="15" customHeight="1">
      <c r="A470" t="inlineStr">
        <is>
          <t>A 25714-2019</t>
        </is>
      </c>
      <c r="B470" s="1" t="n">
        <v>43607</v>
      </c>
      <c r="C470" s="1" t="n">
        <v>45669</v>
      </c>
      <c r="D470" t="inlineStr">
        <is>
          <t>VÄSTERNORRLANDS LÄN</t>
        </is>
      </c>
      <c r="E470" t="inlineStr">
        <is>
          <t>SOLLEFTEÅ</t>
        </is>
      </c>
      <c r="F470" t="inlineStr">
        <is>
          <t>SCA</t>
        </is>
      </c>
      <c r="G470" t="n">
        <v>28.3</v>
      </c>
      <c r="H470" t="n">
        <v>0</v>
      </c>
      <c r="I470" t="n">
        <v>0</v>
      </c>
      <c r="J470" t="n">
        <v>0</v>
      </c>
      <c r="K470" t="n">
        <v>0</v>
      </c>
      <c r="L470" t="n">
        <v>0</v>
      </c>
      <c r="M470" t="n">
        <v>0</v>
      </c>
      <c r="N470" t="n">
        <v>0</v>
      </c>
      <c r="O470" t="n">
        <v>0</v>
      </c>
      <c r="P470" t="n">
        <v>0</v>
      </c>
      <c r="Q470" t="n">
        <v>0</v>
      </c>
      <c r="R470" s="2" t="inlineStr"/>
    </row>
    <row r="471" ht="15" customHeight="1">
      <c r="A471" t="inlineStr">
        <is>
          <t>A 25979-2019</t>
        </is>
      </c>
      <c r="B471" s="1" t="n">
        <v>43608</v>
      </c>
      <c r="C471" s="1" t="n">
        <v>45669</v>
      </c>
      <c r="D471" t="inlineStr">
        <is>
          <t>VÄSTERNORRLANDS LÄN</t>
        </is>
      </c>
      <c r="E471" t="inlineStr">
        <is>
          <t>SOLLEFTEÅ</t>
        </is>
      </c>
      <c r="F471" t="inlineStr">
        <is>
          <t>SCA</t>
        </is>
      </c>
      <c r="G471" t="n">
        <v>26.1</v>
      </c>
      <c r="H471" t="n">
        <v>0</v>
      </c>
      <c r="I471" t="n">
        <v>0</v>
      </c>
      <c r="J471" t="n">
        <v>0</v>
      </c>
      <c r="K471" t="n">
        <v>0</v>
      </c>
      <c r="L471" t="n">
        <v>0</v>
      </c>
      <c r="M471" t="n">
        <v>0</v>
      </c>
      <c r="N471" t="n">
        <v>0</v>
      </c>
      <c r="O471" t="n">
        <v>0</v>
      </c>
      <c r="P471" t="n">
        <v>0</v>
      </c>
      <c r="Q471" t="n">
        <v>0</v>
      </c>
      <c r="R471" s="2" t="inlineStr"/>
    </row>
    <row r="472" ht="15" customHeight="1">
      <c r="A472" t="inlineStr">
        <is>
          <t>A 25982-2019</t>
        </is>
      </c>
      <c r="B472" s="1" t="n">
        <v>43608</v>
      </c>
      <c r="C472" s="1" t="n">
        <v>45669</v>
      </c>
      <c r="D472" t="inlineStr">
        <is>
          <t>VÄSTERNORRLANDS LÄN</t>
        </is>
      </c>
      <c r="E472" t="inlineStr">
        <is>
          <t>SOLLEFTEÅ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25997-2019</t>
        </is>
      </c>
      <c r="B473" s="1" t="n">
        <v>43608</v>
      </c>
      <c r="C473" s="1" t="n">
        <v>45669</v>
      </c>
      <c r="D473" t="inlineStr">
        <is>
          <t>VÄSTERNORRLANDS LÄN</t>
        </is>
      </c>
      <c r="E473" t="inlineStr">
        <is>
          <t>SOLLEFTEÅ</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25959-2019</t>
        </is>
      </c>
      <c r="B474" s="1" t="n">
        <v>43608</v>
      </c>
      <c r="C474" s="1" t="n">
        <v>45669</v>
      </c>
      <c r="D474" t="inlineStr">
        <is>
          <t>VÄSTERNORRLANDS LÄN</t>
        </is>
      </c>
      <c r="E474" t="inlineStr">
        <is>
          <t>SOLLEFTEÅ</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26254-2019</t>
        </is>
      </c>
      <c r="B475" s="1" t="n">
        <v>43609</v>
      </c>
      <c r="C475" s="1" t="n">
        <v>45669</v>
      </c>
      <c r="D475" t="inlineStr">
        <is>
          <t>VÄSTERNORRLANDS LÄN</t>
        </is>
      </c>
      <c r="E475" t="inlineStr">
        <is>
          <t>SOLLEFTEÅ</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26640-2019</t>
        </is>
      </c>
      <c r="B476" s="1" t="n">
        <v>43612</v>
      </c>
      <c r="C476" s="1" t="n">
        <v>45669</v>
      </c>
      <c r="D476" t="inlineStr">
        <is>
          <t>VÄSTERNORRLANDS LÄN</t>
        </is>
      </c>
      <c r="E476" t="inlineStr">
        <is>
          <t>SOLLEFTEÅ</t>
        </is>
      </c>
      <c r="F476" t="inlineStr">
        <is>
          <t>SCA</t>
        </is>
      </c>
      <c r="G476" t="n">
        <v>10.4</v>
      </c>
      <c r="H476" t="n">
        <v>0</v>
      </c>
      <c r="I476" t="n">
        <v>0</v>
      </c>
      <c r="J476" t="n">
        <v>0</v>
      </c>
      <c r="K476" t="n">
        <v>0</v>
      </c>
      <c r="L476" t="n">
        <v>0</v>
      </c>
      <c r="M476" t="n">
        <v>0</v>
      </c>
      <c r="N476" t="n">
        <v>0</v>
      </c>
      <c r="O476" t="n">
        <v>0</v>
      </c>
      <c r="P476" t="n">
        <v>0</v>
      </c>
      <c r="Q476" t="n">
        <v>0</v>
      </c>
      <c r="R476" s="2" t="inlineStr"/>
    </row>
    <row r="477" ht="15" customHeight="1">
      <c r="A477" t="inlineStr">
        <is>
          <t>A 27597-2019</t>
        </is>
      </c>
      <c r="B477" s="1" t="n">
        <v>43612</v>
      </c>
      <c r="C477" s="1" t="n">
        <v>45669</v>
      </c>
      <c r="D477" t="inlineStr">
        <is>
          <t>VÄSTERNORRLANDS LÄN</t>
        </is>
      </c>
      <c r="E477" t="inlineStr">
        <is>
          <t>SOLLEFTEÅ</t>
        </is>
      </c>
      <c r="G477" t="n">
        <v>5.6</v>
      </c>
      <c r="H477" t="n">
        <v>0</v>
      </c>
      <c r="I477" t="n">
        <v>0</v>
      </c>
      <c r="J477" t="n">
        <v>0</v>
      </c>
      <c r="K477" t="n">
        <v>0</v>
      </c>
      <c r="L477" t="n">
        <v>0</v>
      </c>
      <c r="M477" t="n">
        <v>0</v>
      </c>
      <c r="N477" t="n">
        <v>0</v>
      </c>
      <c r="O477" t="n">
        <v>0</v>
      </c>
      <c r="P477" t="n">
        <v>0</v>
      </c>
      <c r="Q477" t="n">
        <v>0</v>
      </c>
      <c r="R477" s="2" t="inlineStr"/>
    </row>
    <row r="478" ht="15" customHeight="1">
      <c r="A478" t="inlineStr">
        <is>
          <t>A 26945-2019</t>
        </is>
      </c>
      <c r="B478" s="1" t="n">
        <v>43613</v>
      </c>
      <c r="C478" s="1" t="n">
        <v>45669</v>
      </c>
      <c r="D478" t="inlineStr">
        <is>
          <t>VÄSTERNORRLANDS LÄN</t>
        </is>
      </c>
      <c r="E478" t="inlineStr">
        <is>
          <t>SOLLEFTEÅ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26957-2019</t>
        </is>
      </c>
      <c r="B479" s="1" t="n">
        <v>43613</v>
      </c>
      <c r="C479" s="1" t="n">
        <v>45669</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27226-2019</t>
        </is>
      </c>
      <c r="B480" s="1" t="n">
        <v>43614</v>
      </c>
      <c r="C480" s="1" t="n">
        <v>45669</v>
      </c>
      <c r="D480" t="inlineStr">
        <is>
          <t>VÄSTERNORRLANDS LÄN</t>
        </is>
      </c>
      <c r="E480" t="inlineStr">
        <is>
          <t>SOLLEFTEÅ</t>
        </is>
      </c>
      <c r="F480" t="inlineStr">
        <is>
          <t>SCA</t>
        </is>
      </c>
      <c r="G480" t="n">
        <v>6.8</v>
      </c>
      <c r="H480" t="n">
        <v>0</v>
      </c>
      <c r="I480" t="n">
        <v>0</v>
      </c>
      <c r="J480" t="n">
        <v>0</v>
      </c>
      <c r="K480" t="n">
        <v>0</v>
      </c>
      <c r="L480" t="n">
        <v>0</v>
      </c>
      <c r="M480" t="n">
        <v>0</v>
      </c>
      <c r="N480" t="n">
        <v>0</v>
      </c>
      <c r="O480" t="n">
        <v>0</v>
      </c>
      <c r="P480" t="n">
        <v>0</v>
      </c>
      <c r="Q480" t="n">
        <v>0</v>
      </c>
      <c r="R480" s="2" t="inlineStr"/>
    </row>
    <row r="481" ht="15" customHeight="1">
      <c r="A481" t="inlineStr">
        <is>
          <t>A 27979-2019</t>
        </is>
      </c>
      <c r="B481" s="1" t="n">
        <v>43620</v>
      </c>
      <c r="C481" s="1" t="n">
        <v>45669</v>
      </c>
      <c r="D481" t="inlineStr">
        <is>
          <t>VÄSTERNORRLANDS LÄN</t>
        </is>
      </c>
      <c r="E481" t="inlineStr">
        <is>
          <t>SOLLEFTEÅ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28212-2019</t>
        </is>
      </c>
      <c r="B482" s="1" t="n">
        <v>43621</v>
      </c>
      <c r="C482" s="1" t="n">
        <v>45669</v>
      </c>
      <c r="D482" t="inlineStr">
        <is>
          <t>VÄSTERNORRLANDS LÄN</t>
        </is>
      </c>
      <c r="E482" t="inlineStr">
        <is>
          <t>SOLLEFTEÅ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28236-2019</t>
        </is>
      </c>
      <c r="B483" s="1" t="n">
        <v>43621</v>
      </c>
      <c r="C483" s="1" t="n">
        <v>45669</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30383-2019</t>
        </is>
      </c>
      <c r="B484" s="1" t="n">
        <v>43634</v>
      </c>
      <c r="C484" s="1" t="n">
        <v>45669</v>
      </c>
      <c r="D484" t="inlineStr">
        <is>
          <t>VÄSTERNORRLANDS LÄN</t>
        </is>
      </c>
      <c r="E484" t="inlineStr">
        <is>
          <t>SOLLEFTEÅ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30628-2019</t>
        </is>
      </c>
      <c r="B485" s="1" t="n">
        <v>43635</v>
      </c>
      <c r="C485" s="1" t="n">
        <v>45669</v>
      </c>
      <c r="D485" t="inlineStr">
        <is>
          <t>VÄSTERNORRLANDS LÄN</t>
        </is>
      </c>
      <c r="E485" t="inlineStr">
        <is>
          <t>SOLLEFTEÅ</t>
        </is>
      </c>
      <c r="F485" t="inlineStr">
        <is>
          <t>SCA</t>
        </is>
      </c>
      <c r="G485" t="n">
        <v>7.2</v>
      </c>
      <c r="H485" t="n">
        <v>0</v>
      </c>
      <c r="I485" t="n">
        <v>0</v>
      </c>
      <c r="J485" t="n">
        <v>0</v>
      </c>
      <c r="K485" t="n">
        <v>0</v>
      </c>
      <c r="L485" t="n">
        <v>0</v>
      </c>
      <c r="M485" t="n">
        <v>0</v>
      </c>
      <c r="N485" t="n">
        <v>0</v>
      </c>
      <c r="O485" t="n">
        <v>0</v>
      </c>
      <c r="P485" t="n">
        <v>0</v>
      </c>
      <c r="Q485" t="n">
        <v>0</v>
      </c>
      <c r="R485" s="2" t="inlineStr"/>
    </row>
    <row r="486" ht="15" customHeight="1">
      <c r="A486" t="inlineStr">
        <is>
          <t>A 32202-2019</t>
        </is>
      </c>
      <c r="B486" s="1" t="n">
        <v>43643</v>
      </c>
      <c r="C486" s="1" t="n">
        <v>45669</v>
      </c>
      <c r="D486" t="inlineStr">
        <is>
          <t>VÄSTERNORRLANDS LÄN</t>
        </is>
      </c>
      <c r="E486" t="inlineStr">
        <is>
          <t>SOLLEFTEÅ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32203-2019</t>
        </is>
      </c>
      <c r="B487" s="1" t="n">
        <v>43643</v>
      </c>
      <c r="C487" s="1" t="n">
        <v>45669</v>
      </c>
      <c r="D487" t="inlineStr">
        <is>
          <t>VÄSTERNORRLANDS LÄN</t>
        </is>
      </c>
      <c r="E487" t="inlineStr">
        <is>
          <t>SOLLEFTEÅ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32744-2019</t>
        </is>
      </c>
      <c r="B488" s="1" t="n">
        <v>43647</v>
      </c>
      <c r="C488" s="1" t="n">
        <v>45669</v>
      </c>
      <c r="D488" t="inlineStr">
        <is>
          <t>VÄSTERNORRLANDS LÄN</t>
        </is>
      </c>
      <c r="E488" t="inlineStr">
        <is>
          <t>SOLLEFTEÅ</t>
        </is>
      </c>
      <c r="F488" t="inlineStr">
        <is>
          <t>SCA</t>
        </is>
      </c>
      <c r="G488" t="n">
        <v>33.3</v>
      </c>
      <c r="H488" t="n">
        <v>0</v>
      </c>
      <c r="I488" t="n">
        <v>0</v>
      </c>
      <c r="J488" t="n">
        <v>0</v>
      </c>
      <c r="K488" t="n">
        <v>0</v>
      </c>
      <c r="L488" t="n">
        <v>0</v>
      </c>
      <c r="M488" t="n">
        <v>0</v>
      </c>
      <c r="N488" t="n">
        <v>0</v>
      </c>
      <c r="O488" t="n">
        <v>0</v>
      </c>
      <c r="P488" t="n">
        <v>0</v>
      </c>
      <c r="Q488" t="n">
        <v>0</v>
      </c>
      <c r="R488" s="2" t="inlineStr"/>
    </row>
    <row r="489" ht="15" customHeight="1">
      <c r="A489" t="inlineStr">
        <is>
          <t>A 33217-2019</t>
        </is>
      </c>
      <c r="B489" s="1" t="n">
        <v>43649</v>
      </c>
      <c r="C489" s="1" t="n">
        <v>45669</v>
      </c>
      <c r="D489" t="inlineStr">
        <is>
          <t>VÄSTERNORRLANDS LÄN</t>
        </is>
      </c>
      <c r="E489" t="inlineStr">
        <is>
          <t>SOLLEFTEÅ</t>
        </is>
      </c>
      <c r="G489" t="n">
        <v>29.3</v>
      </c>
      <c r="H489" t="n">
        <v>0</v>
      </c>
      <c r="I489" t="n">
        <v>0</v>
      </c>
      <c r="J489" t="n">
        <v>0</v>
      </c>
      <c r="K489" t="n">
        <v>0</v>
      </c>
      <c r="L489" t="n">
        <v>0</v>
      </c>
      <c r="M489" t="n">
        <v>0</v>
      </c>
      <c r="N489" t="n">
        <v>0</v>
      </c>
      <c r="O489" t="n">
        <v>0</v>
      </c>
      <c r="P489" t="n">
        <v>0</v>
      </c>
      <c r="Q489" t="n">
        <v>0</v>
      </c>
      <c r="R489" s="2" t="inlineStr"/>
    </row>
    <row r="490" ht="15" customHeight="1">
      <c r="A490" t="inlineStr">
        <is>
          <t>A 34886-2019</t>
        </is>
      </c>
      <c r="B490" s="1" t="n">
        <v>43650</v>
      </c>
      <c r="C490" s="1" t="n">
        <v>45669</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33833-2019</t>
        </is>
      </c>
      <c r="B491" s="1" t="n">
        <v>43651</v>
      </c>
      <c r="C491" s="1" t="n">
        <v>45669</v>
      </c>
      <c r="D491" t="inlineStr">
        <is>
          <t>VÄSTERNORRLANDS LÄN</t>
        </is>
      </c>
      <c r="E491" t="inlineStr">
        <is>
          <t>SOLLEFTEÅ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33826-2019</t>
        </is>
      </c>
      <c r="B492" s="1" t="n">
        <v>43651</v>
      </c>
      <c r="C492" s="1" t="n">
        <v>45669</v>
      </c>
      <c r="D492" t="inlineStr">
        <is>
          <t>VÄSTERNORRLANDS LÄN</t>
        </is>
      </c>
      <c r="E492" t="inlineStr">
        <is>
          <t>SOLLEFTEÅ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33852-2019</t>
        </is>
      </c>
      <c r="B493" s="1" t="n">
        <v>43651</v>
      </c>
      <c r="C493" s="1" t="n">
        <v>45669</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33914-2019</t>
        </is>
      </c>
      <c r="B494" s="1" t="n">
        <v>43654</v>
      </c>
      <c r="C494" s="1" t="n">
        <v>45669</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34113-2019</t>
        </is>
      </c>
      <c r="B495" s="1" t="n">
        <v>43654</v>
      </c>
      <c r="C495" s="1" t="n">
        <v>45669</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34311-2019</t>
        </is>
      </c>
      <c r="B496" s="1" t="n">
        <v>43655</v>
      </c>
      <c r="C496" s="1" t="n">
        <v>45669</v>
      </c>
      <c r="D496" t="inlineStr">
        <is>
          <t>VÄSTERNORRLANDS LÄN</t>
        </is>
      </c>
      <c r="E496" t="inlineStr">
        <is>
          <t>SOLLEFTEÅ</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34229-2019</t>
        </is>
      </c>
      <c r="B497" s="1" t="n">
        <v>43655</v>
      </c>
      <c r="C497" s="1" t="n">
        <v>45669</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34302-2019</t>
        </is>
      </c>
      <c r="B498" s="1" t="n">
        <v>43655</v>
      </c>
      <c r="C498" s="1" t="n">
        <v>45669</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34738-2019</t>
        </is>
      </c>
      <c r="B499" s="1" t="n">
        <v>43657</v>
      </c>
      <c r="C499" s="1" t="n">
        <v>45669</v>
      </c>
      <c r="D499" t="inlineStr">
        <is>
          <t>VÄSTERNORRLANDS LÄN</t>
        </is>
      </c>
      <c r="E499" t="inlineStr">
        <is>
          <t>SOLLEFTEÅ</t>
        </is>
      </c>
      <c r="G499" t="n">
        <v>4.2</v>
      </c>
      <c r="H499" t="n">
        <v>0</v>
      </c>
      <c r="I499" t="n">
        <v>0</v>
      </c>
      <c r="J499" t="n">
        <v>0</v>
      </c>
      <c r="K499" t="n">
        <v>0</v>
      </c>
      <c r="L499" t="n">
        <v>0</v>
      </c>
      <c r="M499" t="n">
        <v>0</v>
      </c>
      <c r="N499" t="n">
        <v>0</v>
      </c>
      <c r="O499" t="n">
        <v>0</v>
      </c>
      <c r="P499" t="n">
        <v>0</v>
      </c>
      <c r="Q499" t="n">
        <v>0</v>
      </c>
      <c r="R499" s="2" t="inlineStr"/>
    </row>
    <row r="500" ht="15" customHeight="1">
      <c r="A500" t="inlineStr">
        <is>
          <t>A 34916-2019</t>
        </is>
      </c>
      <c r="B500" s="1" t="n">
        <v>43658</v>
      </c>
      <c r="C500" s="1" t="n">
        <v>45669</v>
      </c>
      <c r="D500" t="inlineStr">
        <is>
          <t>VÄSTERNORRLANDS LÄN</t>
        </is>
      </c>
      <c r="E500" t="inlineStr">
        <is>
          <t>SOLLEFTEÅ</t>
        </is>
      </c>
      <c r="G500" t="n">
        <v>2.6</v>
      </c>
      <c r="H500" t="n">
        <v>0</v>
      </c>
      <c r="I500" t="n">
        <v>0</v>
      </c>
      <c r="J500" t="n">
        <v>0</v>
      </c>
      <c r="K500" t="n">
        <v>0</v>
      </c>
      <c r="L500" t="n">
        <v>0</v>
      </c>
      <c r="M500" t="n">
        <v>0</v>
      </c>
      <c r="N500" t="n">
        <v>0</v>
      </c>
      <c r="O500" t="n">
        <v>0</v>
      </c>
      <c r="P500" t="n">
        <v>0</v>
      </c>
      <c r="Q500" t="n">
        <v>0</v>
      </c>
      <c r="R500" s="2" t="inlineStr"/>
    </row>
    <row r="501" ht="15" customHeight="1">
      <c r="A501" t="inlineStr">
        <is>
          <t>A 35320-2019</t>
        </is>
      </c>
      <c r="B501" s="1" t="n">
        <v>43662</v>
      </c>
      <c r="C501" s="1" t="n">
        <v>45669</v>
      </c>
      <c r="D501" t="inlineStr">
        <is>
          <t>VÄSTERNORRLANDS LÄN</t>
        </is>
      </c>
      <c r="E501" t="inlineStr">
        <is>
          <t>SOLLEFTEÅ</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35970-2019</t>
        </is>
      </c>
      <c r="B502" s="1" t="n">
        <v>43665</v>
      </c>
      <c r="C502" s="1" t="n">
        <v>45669</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35969-2019</t>
        </is>
      </c>
      <c r="B503" s="1" t="n">
        <v>43665</v>
      </c>
      <c r="C503" s="1" t="n">
        <v>45669</v>
      </c>
      <c r="D503" t="inlineStr">
        <is>
          <t>VÄSTERNORRLANDS LÄN</t>
        </is>
      </c>
      <c r="E503" t="inlineStr">
        <is>
          <t>SOLLEFTEÅ</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36137-2019</t>
        </is>
      </c>
      <c r="B504" s="1" t="n">
        <v>43668</v>
      </c>
      <c r="C504" s="1" t="n">
        <v>45669</v>
      </c>
      <c r="D504" t="inlineStr">
        <is>
          <t>VÄSTERNORRLANDS LÄN</t>
        </is>
      </c>
      <c r="E504" t="inlineStr">
        <is>
          <t>SOLLEFTEÅ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36486-2019</t>
        </is>
      </c>
      <c r="B505" s="1" t="n">
        <v>43668</v>
      </c>
      <c r="C505" s="1" t="n">
        <v>45669</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36293-2019</t>
        </is>
      </c>
      <c r="B506" s="1" t="n">
        <v>43669</v>
      </c>
      <c r="C506" s="1" t="n">
        <v>45669</v>
      </c>
      <c r="D506" t="inlineStr">
        <is>
          <t>VÄSTERNORRLANDS LÄN</t>
        </is>
      </c>
      <c r="E506" t="inlineStr">
        <is>
          <t>SOLLEFTEÅ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36711-2019</t>
        </is>
      </c>
      <c r="B507" s="1" t="n">
        <v>43671</v>
      </c>
      <c r="C507" s="1" t="n">
        <v>45669</v>
      </c>
      <c r="D507" t="inlineStr">
        <is>
          <t>VÄSTERNORRLANDS LÄN</t>
        </is>
      </c>
      <c r="E507" t="inlineStr">
        <is>
          <t>SOLLEFTEÅ</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37292-2019</t>
        </is>
      </c>
      <c r="B508" s="1" t="n">
        <v>43677</v>
      </c>
      <c r="C508" s="1" t="n">
        <v>45669</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37291-2019</t>
        </is>
      </c>
      <c r="B509" s="1" t="n">
        <v>43677</v>
      </c>
      <c r="C509" s="1" t="n">
        <v>45669</v>
      </c>
      <c r="D509" t="inlineStr">
        <is>
          <t>VÄSTERNORRLANDS LÄN</t>
        </is>
      </c>
      <c r="E509" t="inlineStr">
        <is>
          <t>SOLLEFTEÅ</t>
        </is>
      </c>
      <c r="G509" t="n">
        <v>7.4</v>
      </c>
      <c r="H509" t="n">
        <v>0</v>
      </c>
      <c r="I509" t="n">
        <v>0</v>
      </c>
      <c r="J509" t="n">
        <v>0</v>
      </c>
      <c r="K509" t="n">
        <v>0</v>
      </c>
      <c r="L509" t="n">
        <v>0</v>
      </c>
      <c r="M509" t="n">
        <v>0</v>
      </c>
      <c r="N509" t="n">
        <v>0</v>
      </c>
      <c r="O509" t="n">
        <v>0</v>
      </c>
      <c r="P509" t="n">
        <v>0</v>
      </c>
      <c r="Q509" t="n">
        <v>0</v>
      </c>
      <c r="R509" s="2" t="inlineStr"/>
    </row>
    <row r="510" ht="15" customHeight="1">
      <c r="A510" t="inlineStr">
        <is>
          <t>A 37434-2019</t>
        </is>
      </c>
      <c r="B510" s="1" t="n">
        <v>43678</v>
      </c>
      <c r="C510" s="1" t="n">
        <v>45669</v>
      </c>
      <c r="D510" t="inlineStr">
        <is>
          <t>VÄSTERNORRLANDS LÄN</t>
        </is>
      </c>
      <c r="E510" t="inlineStr">
        <is>
          <t>SOLLEFTEÅ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37652-2019</t>
        </is>
      </c>
      <c r="B511" s="1" t="n">
        <v>43679</v>
      </c>
      <c r="C511" s="1" t="n">
        <v>45669</v>
      </c>
      <c r="D511" t="inlineStr">
        <is>
          <t>VÄSTERNORRLANDS LÄN</t>
        </is>
      </c>
      <c r="E511" t="inlineStr">
        <is>
          <t>SOLLEFTEÅ</t>
        </is>
      </c>
      <c r="G511" t="n">
        <v>3.6</v>
      </c>
      <c r="H511" t="n">
        <v>0</v>
      </c>
      <c r="I511" t="n">
        <v>0</v>
      </c>
      <c r="J511" t="n">
        <v>0</v>
      </c>
      <c r="K511" t="n">
        <v>0</v>
      </c>
      <c r="L511" t="n">
        <v>0</v>
      </c>
      <c r="M511" t="n">
        <v>0</v>
      </c>
      <c r="N511" t="n">
        <v>0</v>
      </c>
      <c r="O511" t="n">
        <v>0</v>
      </c>
      <c r="P511" t="n">
        <v>0</v>
      </c>
      <c r="Q511" t="n">
        <v>0</v>
      </c>
      <c r="R511" s="2" t="inlineStr"/>
    </row>
    <row r="512" ht="15" customHeight="1">
      <c r="A512" t="inlineStr">
        <is>
          <t>A 37670-2019</t>
        </is>
      </c>
      <c r="B512" s="1" t="n">
        <v>43679</v>
      </c>
      <c r="C512" s="1" t="n">
        <v>45669</v>
      </c>
      <c r="D512" t="inlineStr">
        <is>
          <t>VÄSTERNORRLANDS LÄN</t>
        </is>
      </c>
      <c r="E512" t="inlineStr">
        <is>
          <t>SOLLEFTEÅ</t>
        </is>
      </c>
      <c r="G512" t="n">
        <v>3.2</v>
      </c>
      <c r="H512" t="n">
        <v>0</v>
      </c>
      <c r="I512" t="n">
        <v>0</v>
      </c>
      <c r="J512" t="n">
        <v>0</v>
      </c>
      <c r="K512" t="n">
        <v>0</v>
      </c>
      <c r="L512" t="n">
        <v>0</v>
      </c>
      <c r="M512" t="n">
        <v>0</v>
      </c>
      <c r="N512" t="n">
        <v>0</v>
      </c>
      <c r="O512" t="n">
        <v>0</v>
      </c>
      <c r="P512" t="n">
        <v>0</v>
      </c>
      <c r="Q512" t="n">
        <v>0</v>
      </c>
      <c r="R512" s="2" t="inlineStr"/>
    </row>
    <row r="513" ht="15" customHeight="1">
      <c r="A513" t="inlineStr">
        <is>
          <t>A 38081-2019</t>
        </is>
      </c>
      <c r="B513" s="1" t="n">
        <v>43682</v>
      </c>
      <c r="C513" s="1" t="n">
        <v>45669</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38074-2019</t>
        </is>
      </c>
      <c r="B514" s="1" t="n">
        <v>43682</v>
      </c>
      <c r="C514" s="1" t="n">
        <v>45669</v>
      </c>
      <c r="D514" t="inlineStr">
        <is>
          <t>VÄSTERNORRLANDS LÄN</t>
        </is>
      </c>
      <c r="E514" t="inlineStr">
        <is>
          <t>SOLLEFTEÅ</t>
        </is>
      </c>
      <c r="G514" t="n">
        <v>4.2</v>
      </c>
      <c r="H514" t="n">
        <v>0</v>
      </c>
      <c r="I514" t="n">
        <v>0</v>
      </c>
      <c r="J514" t="n">
        <v>0</v>
      </c>
      <c r="K514" t="n">
        <v>0</v>
      </c>
      <c r="L514" t="n">
        <v>0</v>
      </c>
      <c r="M514" t="n">
        <v>0</v>
      </c>
      <c r="N514" t="n">
        <v>0</v>
      </c>
      <c r="O514" t="n">
        <v>0</v>
      </c>
      <c r="P514" t="n">
        <v>0</v>
      </c>
      <c r="Q514" t="n">
        <v>0</v>
      </c>
      <c r="R514" s="2" t="inlineStr"/>
    </row>
    <row r="515" ht="15" customHeight="1">
      <c r="A515" t="inlineStr">
        <is>
          <t>A 38080-2019</t>
        </is>
      </c>
      <c r="B515" s="1" t="n">
        <v>43682</v>
      </c>
      <c r="C515" s="1" t="n">
        <v>45669</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38083-2019</t>
        </is>
      </c>
      <c r="B516" s="1" t="n">
        <v>43682</v>
      </c>
      <c r="C516" s="1" t="n">
        <v>45669</v>
      </c>
      <c r="D516" t="inlineStr">
        <is>
          <t>VÄSTERNORRLANDS LÄN</t>
        </is>
      </c>
      <c r="E516" t="inlineStr">
        <is>
          <t>SOLLEFTEÅ</t>
        </is>
      </c>
      <c r="G516" t="n">
        <v>9.6</v>
      </c>
      <c r="H516" t="n">
        <v>0</v>
      </c>
      <c r="I516" t="n">
        <v>0</v>
      </c>
      <c r="J516" t="n">
        <v>0</v>
      </c>
      <c r="K516" t="n">
        <v>0</v>
      </c>
      <c r="L516" t="n">
        <v>0</v>
      </c>
      <c r="M516" t="n">
        <v>0</v>
      </c>
      <c r="N516" t="n">
        <v>0</v>
      </c>
      <c r="O516" t="n">
        <v>0</v>
      </c>
      <c r="P516" t="n">
        <v>0</v>
      </c>
      <c r="Q516" t="n">
        <v>0</v>
      </c>
      <c r="R516" s="2" t="inlineStr"/>
    </row>
    <row r="517" ht="15" customHeight="1">
      <c r="A517" t="inlineStr">
        <is>
          <t>A 38544-2019</t>
        </is>
      </c>
      <c r="B517" s="1" t="n">
        <v>43684</v>
      </c>
      <c r="C517" s="1" t="n">
        <v>45669</v>
      </c>
      <c r="D517" t="inlineStr">
        <is>
          <t>VÄSTERNORRLANDS LÄN</t>
        </is>
      </c>
      <c r="E517" t="inlineStr">
        <is>
          <t>SOLLEFTEÅ</t>
        </is>
      </c>
      <c r="G517" t="n">
        <v>6.6</v>
      </c>
      <c r="H517" t="n">
        <v>0</v>
      </c>
      <c r="I517" t="n">
        <v>0</v>
      </c>
      <c r="J517" t="n">
        <v>0</v>
      </c>
      <c r="K517" t="n">
        <v>0</v>
      </c>
      <c r="L517" t="n">
        <v>0</v>
      </c>
      <c r="M517" t="n">
        <v>0</v>
      </c>
      <c r="N517" t="n">
        <v>0</v>
      </c>
      <c r="O517" t="n">
        <v>0</v>
      </c>
      <c r="P517" t="n">
        <v>0</v>
      </c>
      <c r="Q517" t="n">
        <v>0</v>
      </c>
      <c r="R517" s="2" t="inlineStr"/>
    </row>
    <row r="518" ht="15" customHeight="1">
      <c r="A518" t="inlineStr">
        <is>
          <t>A 38252-2019</t>
        </is>
      </c>
      <c r="B518" s="1" t="n">
        <v>43684</v>
      </c>
      <c r="C518" s="1" t="n">
        <v>45669</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38566-2019</t>
        </is>
      </c>
      <c r="B519" s="1" t="n">
        <v>43685</v>
      </c>
      <c r="C519" s="1" t="n">
        <v>45669</v>
      </c>
      <c r="D519" t="inlineStr">
        <is>
          <t>VÄSTERNORRLANDS LÄN</t>
        </is>
      </c>
      <c r="E519" t="inlineStr">
        <is>
          <t>SOLLEFTEÅ</t>
        </is>
      </c>
      <c r="F519" t="inlineStr">
        <is>
          <t>SCA</t>
        </is>
      </c>
      <c r="G519" t="n">
        <v>15.1</v>
      </c>
      <c r="H519" t="n">
        <v>0</v>
      </c>
      <c r="I519" t="n">
        <v>0</v>
      </c>
      <c r="J519" t="n">
        <v>0</v>
      </c>
      <c r="K519" t="n">
        <v>0</v>
      </c>
      <c r="L519" t="n">
        <v>0</v>
      </c>
      <c r="M519" t="n">
        <v>0</v>
      </c>
      <c r="N519" t="n">
        <v>0</v>
      </c>
      <c r="O519" t="n">
        <v>0</v>
      </c>
      <c r="P519" t="n">
        <v>0</v>
      </c>
      <c r="Q519" t="n">
        <v>0</v>
      </c>
      <c r="R519" s="2" t="inlineStr"/>
    </row>
    <row r="520" ht="15" customHeight="1">
      <c r="A520" t="inlineStr">
        <is>
          <t>A 38762-2019</t>
        </is>
      </c>
      <c r="B520" s="1" t="n">
        <v>43686</v>
      </c>
      <c r="C520" s="1" t="n">
        <v>45669</v>
      </c>
      <c r="D520" t="inlineStr">
        <is>
          <t>VÄSTERNORRLANDS LÄN</t>
        </is>
      </c>
      <c r="E520" t="inlineStr">
        <is>
          <t>SOLLEFTEÅ</t>
        </is>
      </c>
      <c r="G520" t="n">
        <v>7.7</v>
      </c>
      <c r="H520" t="n">
        <v>0</v>
      </c>
      <c r="I520" t="n">
        <v>0</v>
      </c>
      <c r="J520" t="n">
        <v>0</v>
      </c>
      <c r="K520" t="n">
        <v>0</v>
      </c>
      <c r="L520" t="n">
        <v>0</v>
      </c>
      <c r="M520" t="n">
        <v>0</v>
      </c>
      <c r="N520" t="n">
        <v>0</v>
      </c>
      <c r="O520" t="n">
        <v>0</v>
      </c>
      <c r="P520" t="n">
        <v>0</v>
      </c>
      <c r="Q520" t="n">
        <v>0</v>
      </c>
      <c r="R520" s="2" t="inlineStr"/>
    </row>
    <row r="521" ht="15" customHeight="1">
      <c r="A521" t="inlineStr">
        <is>
          <t>A 38763-2019</t>
        </is>
      </c>
      <c r="B521" s="1" t="n">
        <v>43686</v>
      </c>
      <c r="C521" s="1" t="n">
        <v>45669</v>
      </c>
      <c r="D521" t="inlineStr">
        <is>
          <t>VÄSTERNORRLANDS LÄN</t>
        </is>
      </c>
      <c r="E521" t="inlineStr">
        <is>
          <t>SOLLEFTEÅ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39123-2019</t>
        </is>
      </c>
      <c r="B522" s="1" t="n">
        <v>43689</v>
      </c>
      <c r="C522" s="1" t="n">
        <v>45669</v>
      </c>
      <c r="D522" t="inlineStr">
        <is>
          <t>VÄSTERNORRLANDS LÄN</t>
        </is>
      </c>
      <c r="E522" t="inlineStr">
        <is>
          <t>SOLLEFTEÅ</t>
        </is>
      </c>
      <c r="G522" t="n">
        <v>10.9</v>
      </c>
      <c r="H522" t="n">
        <v>0</v>
      </c>
      <c r="I522" t="n">
        <v>0</v>
      </c>
      <c r="J522" t="n">
        <v>0</v>
      </c>
      <c r="K522" t="n">
        <v>0</v>
      </c>
      <c r="L522" t="n">
        <v>0</v>
      </c>
      <c r="M522" t="n">
        <v>0</v>
      </c>
      <c r="N522" t="n">
        <v>0</v>
      </c>
      <c r="O522" t="n">
        <v>0</v>
      </c>
      <c r="P522" t="n">
        <v>0</v>
      </c>
      <c r="Q522" t="n">
        <v>0</v>
      </c>
      <c r="R522" s="2" t="inlineStr"/>
    </row>
    <row r="523" ht="15" customHeight="1">
      <c r="A523" t="inlineStr">
        <is>
          <t>A 39768-2019</t>
        </is>
      </c>
      <c r="B523" s="1" t="n">
        <v>43689</v>
      </c>
      <c r="C523" s="1" t="n">
        <v>45669</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40764-2019</t>
        </is>
      </c>
      <c r="B524" s="1" t="n">
        <v>43692</v>
      </c>
      <c r="C524" s="1" t="n">
        <v>45669</v>
      </c>
      <c r="D524" t="inlineStr">
        <is>
          <t>VÄSTERNORRLANDS LÄN</t>
        </is>
      </c>
      <c r="E524" t="inlineStr">
        <is>
          <t>SOLLEFTEÅ</t>
        </is>
      </c>
      <c r="G524" t="n">
        <v>2.9</v>
      </c>
      <c r="H524" t="n">
        <v>0</v>
      </c>
      <c r="I524" t="n">
        <v>0</v>
      </c>
      <c r="J524" t="n">
        <v>0</v>
      </c>
      <c r="K524" t="n">
        <v>0</v>
      </c>
      <c r="L524" t="n">
        <v>0</v>
      </c>
      <c r="M524" t="n">
        <v>0</v>
      </c>
      <c r="N524" t="n">
        <v>0</v>
      </c>
      <c r="O524" t="n">
        <v>0</v>
      </c>
      <c r="P524" t="n">
        <v>0</v>
      </c>
      <c r="Q524" t="n">
        <v>0</v>
      </c>
      <c r="R524" s="2" t="inlineStr"/>
    </row>
    <row r="525" ht="15" customHeight="1">
      <c r="A525" t="inlineStr">
        <is>
          <t>A 40769-2019</t>
        </is>
      </c>
      <c r="B525" s="1" t="n">
        <v>43692</v>
      </c>
      <c r="C525" s="1" t="n">
        <v>45669</v>
      </c>
      <c r="D525" t="inlineStr">
        <is>
          <t>VÄSTERNORRLANDS LÄN</t>
        </is>
      </c>
      <c r="E525" t="inlineStr">
        <is>
          <t>SOLLEFTEÅ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41069-2019</t>
        </is>
      </c>
      <c r="B526" s="1" t="n">
        <v>43693</v>
      </c>
      <c r="C526" s="1" t="n">
        <v>45669</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40685-2019</t>
        </is>
      </c>
      <c r="B527" s="1" t="n">
        <v>43696</v>
      </c>
      <c r="C527" s="1" t="n">
        <v>45669</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40682-2019</t>
        </is>
      </c>
      <c r="B528" s="1" t="n">
        <v>43696</v>
      </c>
      <c r="C528" s="1" t="n">
        <v>45669</v>
      </c>
      <c r="D528" t="inlineStr">
        <is>
          <t>VÄSTERNORRLANDS LÄN</t>
        </is>
      </c>
      <c r="E528" t="inlineStr">
        <is>
          <t>SOLLEFTEÅ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40514-2019</t>
        </is>
      </c>
      <c r="B529" s="1" t="n">
        <v>43696</v>
      </c>
      <c r="C529" s="1" t="n">
        <v>45669</v>
      </c>
      <c r="D529" t="inlineStr">
        <is>
          <t>VÄSTERNORRLANDS LÄN</t>
        </is>
      </c>
      <c r="E529" t="inlineStr">
        <is>
          <t>SOLLEFTEÅ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40679-2019</t>
        </is>
      </c>
      <c r="B530" s="1" t="n">
        <v>43696</v>
      </c>
      <c r="C530" s="1" t="n">
        <v>45669</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41786-2019</t>
        </is>
      </c>
      <c r="B531" s="1" t="n">
        <v>43699</v>
      </c>
      <c r="C531" s="1" t="n">
        <v>45669</v>
      </c>
      <c r="D531" t="inlineStr">
        <is>
          <t>VÄSTERNORRLANDS LÄN</t>
        </is>
      </c>
      <c r="E531" t="inlineStr">
        <is>
          <t>SOLLEFTEÅ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42417-2019</t>
        </is>
      </c>
      <c r="B532" s="1" t="n">
        <v>43703</v>
      </c>
      <c r="C532" s="1" t="n">
        <v>45669</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42791-2019</t>
        </is>
      </c>
      <c r="B533" s="1" t="n">
        <v>43704</v>
      </c>
      <c r="C533" s="1" t="n">
        <v>45669</v>
      </c>
      <c r="D533" t="inlineStr">
        <is>
          <t>VÄSTERNORRLANDS LÄN</t>
        </is>
      </c>
      <c r="E533" t="inlineStr">
        <is>
          <t>SOLLEFTEÅ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42792-2019</t>
        </is>
      </c>
      <c r="B534" s="1" t="n">
        <v>43704</v>
      </c>
      <c r="C534" s="1" t="n">
        <v>45669</v>
      </c>
      <c r="D534" t="inlineStr">
        <is>
          <t>VÄSTERNORRLANDS LÄN</t>
        </is>
      </c>
      <c r="E534" t="inlineStr">
        <is>
          <t>SOLLEFTEÅ</t>
        </is>
      </c>
      <c r="G534" t="n">
        <v>5.7</v>
      </c>
      <c r="H534" t="n">
        <v>0</v>
      </c>
      <c r="I534" t="n">
        <v>0</v>
      </c>
      <c r="J534" t="n">
        <v>0</v>
      </c>
      <c r="K534" t="n">
        <v>0</v>
      </c>
      <c r="L534" t="n">
        <v>0</v>
      </c>
      <c r="M534" t="n">
        <v>0</v>
      </c>
      <c r="N534" t="n">
        <v>0</v>
      </c>
      <c r="O534" t="n">
        <v>0</v>
      </c>
      <c r="P534" t="n">
        <v>0</v>
      </c>
      <c r="Q534" t="n">
        <v>0</v>
      </c>
      <c r="R534" s="2" t="inlineStr"/>
    </row>
    <row r="535" ht="15" customHeight="1">
      <c r="A535" t="inlineStr">
        <is>
          <t>A 43499-2019</t>
        </is>
      </c>
      <c r="B535" s="1" t="n">
        <v>43706</v>
      </c>
      <c r="C535" s="1" t="n">
        <v>45669</v>
      </c>
      <c r="D535" t="inlineStr">
        <is>
          <t>VÄSTERNORRLANDS LÄN</t>
        </is>
      </c>
      <c r="E535" t="inlineStr">
        <is>
          <t>SOLLEFTEÅ</t>
        </is>
      </c>
      <c r="G535" t="n">
        <v>19.3</v>
      </c>
      <c r="H535" t="n">
        <v>0</v>
      </c>
      <c r="I535" t="n">
        <v>0</v>
      </c>
      <c r="J535" t="n">
        <v>0</v>
      </c>
      <c r="K535" t="n">
        <v>0</v>
      </c>
      <c r="L535" t="n">
        <v>0</v>
      </c>
      <c r="M535" t="n">
        <v>0</v>
      </c>
      <c r="N535" t="n">
        <v>0</v>
      </c>
      <c r="O535" t="n">
        <v>0</v>
      </c>
      <c r="P535" t="n">
        <v>0</v>
      </c>
      <c r="Q535" t="n">
        <v>0</v>
      </c>
      <c r="R535" s="2" t="inlineStr"/>
    </row>
    <row r="536" ht="15" customHeight="1">
      <c r="A536" t="inlineStr">
        <is>
          <t>A 45032-2019</t>
        </is>
      </c>
      <c r="B536" s="1" t="n">
        <v>43707</v>
      </c>
      <c r="C536" s="1" t="n">
        <v>45669</v>
      </c>
      <c r="D536" t="inlineStr">
        <is>
          <t>VÄSTERNORRLANDS LÄN</t>
        </is>
      </c>
      <c r="E536" t="inlineStr">
        <is>
          <t>SOLLEFTEÅ</t>
        </is>
      </c>
      <c r="G536" t="n">
        <v>9.4</v>
      </c>
      <c r="H536" t="n">
        <v>0</v>
      </c>
      <c r="I536" t="n">
        <v>0</v>
      </c>
      <c r="J536" t="n">
        <v>0</v>
      </c>
      <c r="K536" t="n">
        <v>0</v>
      </c>
      <c r="L536" t="n">
        <v>0</v>
      </c>
      <c r="M536" t="n">
        <v>0</v>
      </c>
      <c r="N536" t="n">
        <v>0</v>
      </c>
      <c r="O536" t="n">
        <v>0</v>
      </c>
      <c r="P536" t="n">
        <v>0</v>
      </c>
      <c r="Q536" t="n">
        <v>0</v>
      </c>
      <c r="R536" s="2" t="inlineStr"/>
    </row>
    <row r="537" ht="15" customHeight="1">
      <c r="A537" t="inlineStr">
        <is>
          <t>A 44815-2019</t>
        </is>
      </c>
      <c r="B537" s="1" t="n">
        <v>43712</v>
      </c>
      <c r="C537" s="1" t="n">
        <v>45669</v>
      </c>
      <c r="D537" t="inlineStr">
        <is>
          <t>VÄSTERNORRLANDS LÄN</t>
        </is>
      </c>
      <c r="E537" t="inlineStr">
        <is>
          <t>SOLLEFTEÅ</t>
        </is>
      </c>
      <c r="G537" t="n">
        <v>3</v>
      </c>
      <c r="H537" t="n">
        <v>0</v>
      </c>
      <c r="I537" t="n">
        <v>0</v>
      </c>
      <c r="J537" t="n">
        <v>0</v>
      </c>
      <c r="K537" t="n">
        <v>0</v>
      </c>
      <c r="L537" t="n">
        <v>0</v>
      </c>
      <c r="M537" t="n">
        <v>0</v>
      </c>
      <c r="N537" t="n">
        <v>0</v>
      </c>
      <c r="O537" t="n">
        <v>0</v>
      </c>
      <c r="P537" t="n">
        <v>0</v>
      </c>
      <c r="Q537" t="n">
        <v>0</v>
      </c>
      <c r="R537" s="2" t="inlineStr"/>
    </row>
    <row r="538" ht="15" customHeight="1">
      <c r="A538" t="inlineStr">
        <is>
          <t>A 45941-2019</t>
        </is>
      </c>
      <c r="B538" s="1" t="n">
        <v>43712</v>
      </c>
      <c r="C538" s="1" t="n">
        <v>45669</v>
      </c>
      <c r="D538" t="inlineStr">
        <is>
          <t>VÄSTERNORRLANDS LÄN</t>
        </is>
      </c>
      <c r="E538" t="inlineStr">
        <is>
          <t>SOLLEFTEÅ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44888-2019</t>
        </is>
      </c>
      <c r="B539" s="1" t="n">
        <v>43712</v>
      </c>
      <c r="C539" s="1" t="n">
        <v>45669</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44960-2019</t>
        </is>
      </c>
      <c r="B540" s="1" t="n">
        <v>43713</v>
      </c>
      <c r="C540" s="1" t="n">
        <v>45669</v>
      </c>
      <c r="D540" t="inlineStr">
        <is>
          <t>VÄSTERNORRLANDS LÄN</t>
        </is>
      </c>
      <c r="E540" t="inlineStr">
        <is>
          <t>SOLLEFTEÅ</t>
        </is>
      </c>
      <c r="G540" t="n">
        <v>14.9</v>
      </c>
      <c r="H540" t="n">
        <v>0</v>
      </c>
      <c r="I540" t="n">
        <v>0</v>
      </c>
      <c r="J540" t="n">
        <v>0</v>
      </c>
      <c r="K540" t="n">
        <v>0</v>
      </c>
      <c r="L540" t="n">
        <v>0</v>
      </c>
      <c r="M540" t="n">
        <v>0</v>
      </c>
      <c r="N540" t="n">
        <v>0</v>
      </c>
      <c r="O540" t="n">
        <v>0</v>
      </c>
      <c r="P540" t="n">
        <v>0</v>
      </c>
      <c r="Q540" t="n">
        <v>0</v>
      </c>
      <c r="R540" s="2" t="inlineStr"/>
    </row>
    <row r="541" ht="15" customHeight="1">
      <c r="A541" t="inlineStr">
        <is>
          <t>A 45537-2019</t>
        </is>
      </c>
      <c r="B541" s="1" t="n">
        <v>43714</v>
      </c>
      <c r="C541" s="1" t="n">
        <v>45669</v>
      </c>
      <c r="D541" t="inlineStr">
        <is>
          <t>VÄSTERNORRLANDS LÄN</t>
        </is>
      </c>
      <c r="E541" t="inlineStr">
        <is>
          <t>SOLLEFTEÅ</t>
        </is>
      </c>
      <c r="F541" t="inlineStr">
        <is>
          <t>SCA</t>
        </is>
      </c>
      <c r="G541" t="n">
        <v>35.1</v>
      </c>
      <c r="H541" t="n">
        <v>0</v>
      </c>
      <c r="I541" t="n">
        <v>0</v>
      </c>
      <c r="J541" t="n">
        <v>0</v>
      </c>
      <c r="K541" t="n">
        <v>0</v>
      </c>
      <c r="L541" t="n">
        <v>0</v>
      </c>
      <c r="M541" t="n">
        <v>0</v>
      </c>
      <c r="N541" t="n">
        <v>0</v>
      </c>
      <c r="O541" t="n">
        <v>0</v>
      </c>
      <c r="P541" t="n">
        <v>0</v>
      </c>
      <c r="Q541" t="n">
        <v>0</v>
      </c>
      <c r="R541" s="2" t="inlineStr"/>
    </row>
    <row r="542" ht="15" customHeight="1">
      <c r="A542" t="inlineStr">
        <is>
          <t>A 46345-2019</t>
        </is>
      </c>
      <c r="B542" s="1" t="n">
        <v>43718</v>
      </c>
      <c r="C542" s="1" t="n">
        <v>45669</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46956-2019</t>
        </is>
      </c>
      <c r="B543" s="1" t="n">
        <v>43719</v>
      </c>
      <c r="C543" s="1" t="n">
        <v>45669</v>
      </c>
      <c r="D543" t="inlineStr">
        <is>
          <t>VÄSTERNORRLANDS LÄN</t>
        </is>
      </c>
      <c r="E543" t="inlineStr">
        <is>
          <t>SOLLEFTEÅ</t>
        </is>
      </c>
      <c r="G543" t="n">
        <v>18.1</v>
      </c>
      <c r="H543" t="n">
        <v>0</v>
      </c>
      <c r="I543" t="n">
        <v>0</v>
      </c>
      <c r="J543" t="n">
        <v>0</v>
      </c>
      <c r="K543" t="n">
        <v>0</v>
      </c>
      <c r="L543" t="n">
        <v>0</v>
      </c>
      <c r="M543" t="n">
        <v>0</v>
      </c>
      <c r="N543" t="n">
        <v>0</v>
      </c>
      <c r="O543" t="n">
        <v>0</v>
      </c>
      <c r="P543" t="n">
        <v>0</v>
      </c>
      <c r="Q543" t="n">
        <v>0</v>
      </c>
      <c r="R543" s="2" t="inlineStr"/>
    </row>
    <row r="544" ht="15" customHeight="1">
      <c r="A544" t="inlineStr">
        <is>
          <t>A 47366-2019</t>
        </is>
      </c>
      <c r="B544" s="1" t="n">
        <v>43721</v>
      </c>
      <c r="C544" s="1" t="n">
        <v>45669</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47764-2019</t>
        </is>
      </c>
      <c r="B545" s="1" t="n">
        <v>43724</v>
      </c>
      <c r="C545" s="1" t="n">
        <v>45669</v>
      </c>
      <c r="D545" t="inlineStr">
        <is>
          <t>VÄSTERNORRLANDS LÄN</t>
        </is>
      </c>
      <c r="E545" t="inlineStr">
        <is>
          <t>SOLLEFTEÅ</t>
        </is>
      </c>
      <c r="F545" t="inlineStr">
        <is>
          <t>Kyrkan</t>
        </is>
      </c>
      <c r="G545" t="n">
        <v>4.1</v>
      </c>
      <c r="H545" t="n">
        <v>0</v>
      </c>
      <c r="I545" t="n">
        <v>0</v>
      </c>
      <c r="J545" t="n">
        <v>0</v>
      </c>
      <c r="K545" t="n">
        <v>0</v>
      </c>
      <c r="L545" t="n">
        <v>0</v>
      </c>
      <c r="M545" t="n">
        <v>0</v>
      </c>
      <c r="N545" t="n">
        <v>0</v>
      </c>
      <c r="O545" t="n">
        <v>0</v>
      </c>
      <c r="P545" t="n">
        <v>0</v>
      </c>
      <c r="Q545" t="n">
        <v>0</v>
      </c>
      <c r="R545" s="2" t="inlineStr"/>
    </row>
    <row r="546" ht="15" customHeight="1">
      <c r="A546" t="inlineStr">
        <is>
          <t>A 47768-2019</t>
        </is>
      </c>
      <c r="B546" s="1" t="n">
        <v>43724</v>
      </c>
      <c r="C546" s="1" t="n">
        <v>45669</v>
      </c>
      <c r="D546" t="inlineStr">
        <is>
          <t>VÄSTERNORRLANDS LÄN</t>
        </is>
      </c>
      <c r="E546" t="inlineStr">
        <is>
          <t>SOLLEFTEÅ</t>
        </is>
      </c>
      <c r="F546" t="inlineStr">
        <is>
          <t>Kyrkan</t>
        </is>
      </c>
      <c r="G546" t="n">
        <v>12.1</v>
      </c>
      <c r="H546" t="n">
        <v>0</v>
      </c>
      <c r="I546" t="n">
        <v>0</v>
      </c>
      <c r="J546" t="n">
        <v>0</v>
      </c>
      <c r="K546" t="n">
        <v>0</v>
      </c>
      <c r="L546" t="n">
        <v>0</v>
      </c>
      <c r="M546" t="n">
        <v>0</v>
      </c>
      <c r="N546" t="n">
        <v>0</v>
      </c>
      <c r="O546" t="n">
        <v>0</v>
      </c>
      <c r="P546" t="n">
        <v>0</v>
      </c>
      <c r="Q546" t="n">
        <v>0</v>
      </c>
      <c r="R546" s="2" t="inlineStr"/>
    </row>
    <row r="547" ht="15" customHeight="1">
      <c r="A547" t="inlineStr">
        <is>
          <t>A 49381-2019</t>
        </is>
      </c>
      <c r="B547" s="1" t="n">
        <v>43731</v>
      </c>
      <c r="C547" s="1" t="n">
        <v>45669</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49380-2019</t>
        </is>
      </c>
      <c r="B548" s="1" t="n">
        <v>43731</v>
      </c>
      <c r="C548" s="1" t="n">
        <v>45669</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49674-2019</t>
        </is>
      </c>
      <c r="B549" s="1" t="n">
        <v>43732</v>
      </c>
      <c r="C549" s="1" t="n">
        <v>45669</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50283-2019</t>
        </is>
      </c>
      <c r="B550" s="1" t="n">
        <v>43734</v>
      </c>
      <c r="C550" s="1" t="n">
        <v>45669</v>
      </c>
      <c r="D550" t="inlineStr">
        <is>
          <t>VÄSTERNORRLANDS LÄN</t>
        </is>
      </c>
      <c r="E550" t="inlineStr">
        <is>
          <t>SOLLEFTEÅ</t>
        </is>
      </c>
      <c r="F550" t="inlineStr">
        <is>
          <t>SCA</t>
        </is>
      </c>
      <c r="G550" t="n">
        <v>10.6</v>
      </c>
      <c r="H550" t="n">
        <v>0</v>
      </c>
      <c r="I550" t="n">
        <v>0</v>
      </c>
      <c r="J550" t="n">
        <v>0</v>
      </c>
      <c r="K550" t="n">
        <v>0</v>
      </c>
      <c r="L550" t="n">
        <v>0</v>
      </c>
      <c r="M550" t="n">
        <v>0</v>
      </c>
      <c r="N550" t="n">
        <v>0</v>
      </c>
      <c r="O550" t="n">
        <v>0</v>
      </c>
      <c r="P550" t="n">
        <v>0</v>
      </c>
      <c r="Q550" t="n">
        <v>0</v>
      </c>
      <c r="R550" s="2" t="inlineStr"/>
    </row>
    <row r="551" ht="15" customHeight="1">
      <c r="A551" t="inlineStr">
        <is>
          <t>A 50513-2019</t>
        </is>
      </c>
      <c r="B551" s="1" t="n">
        <v>43735</v>
      </c>
      <c r="C551" s="1" t="n">
        <v>45669</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50668-2019</t>
        </is>
      </c>
      <c r="B552" s="1" t="n">
        <v>43737</v>
      </c>
      <c r="C552" s="1" t="n">
        <v>45669</v>
      </c>
      <c r="D552" t="inlineStr">
        <is>
          <t>VÄSTERNORRLANDS LÄN</t>
        </is>
      </c>
      <c r="E552" t="inlineStr">
        <is>
          <t>SOLLEFTEÅ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51002-2019</t>
        </is>
      </c>
      <c r="B553" s="1" t="n">
        <v>43738</v>
      </c>
      <c r="C553" s="1" t="n">
        <v>45669</v>
      </c>
      <c r="D553" t="inlineStr">
        <is>
          <t>VÄSTERNORRLANDS LÄN</t>
        </is>
      </c>
      <c r="E553" t="inlineStr">
        <is>
          <t>SOLLEFTEÅ</t>
        </is>
      </c>
      <c r="F553" t="inlineStr">
        <is>
          <t>SCA</t>
        </is>
      </c>
      <c r="G553" t="n">
        <v>7.3</v>
      </c>
      <c r="H553" t="n">
        <v>0</v>
      </c>
      <c r="I553" t="n">
        <v>0</v>
      </c>
      <c r="J553" t="n">
        <v>0</v>
      </c>
      <c r="K553" t="n">
        <v>0</v>
      </c>
      <c r="L553" t="n">
        <v>0</v>
      </c>
      <c r="M553" t="n">
        <v>0</v>
      </c>
      <c r="N553" t="n">
        <v>0</v>
      </c>
      <c r="O553" t="n">
        <v>0</v>
      </c>
      <c r="P553" t="n">
        <v>0</v>
      </c>
      <c r="Q553" t="n">
        <v>0</v>
      </c>
      <c r="R553" s="2" t="inlineStr"/>
    </row>
    <row r="554" ht="15" customHeight="1">
      <c r="A554" t="inlineStr">
        <is>
          <t>A 50999-2019</t>
        </is>
      </c>
      <c r="B554" s="1" t="n">
        <v>43738</v>
      </c>
      <c r="C554" s="1" t="n">
        <v>45669</v>
      </c>
      <c r="D554" t="inlineStr">
        <is>
          <t>VÄSTERNORRLANDS LÄN</t>
        </is>
      </c>
      <c r="E554" t="inlineStr">
        <is>
          <t>SOLLEFTEÅ</t>
        </is>
      </c>
      <c r="F554" t="inlineStr">
        <is>
          <t>SCA</t>
        </is>
      </c>
      <c r="G554" t="n">
        <v>5.6</v>
      </c>
      <c r="H554" t="n">
        <v>0</v>
      </c>
      <c r="I554" t="n">
        <v>0</v>
      </c>
      <c r="J554" t="n">
        <v>0</v>
      </c>
      <c r="K554" t="n">
        <v>0</v>
      </c>
      <c r="L554" t="n">
        <v>0</v>
      </c>
      <c r="M554" t="n">
        <v>0</v>
      </c>
      <c r="N554" t="n">
        <v>0</v>
      </c>
      <c r="O554" t="n">
        <v>0</v>
      </c>
      <c r="P554" t="n">
        <v>0</v>
      </c>
      <c r="Q554" t="n">
        <v>0</v>
      </c>
      <c r="R554" s="2" t="inlineStr"/>
    </row>
    <row r="555" ht="15" customHeight="1">
      <c r="A555" t="inlineStr">
        <is>
          <t>A 51675-2019</t>
        </is>
      </c>
      <c r="B555" s="1" t="n">
        <v>43740</v>
      </c>
      <c r="C555" s="1" t="n">
        <v>45669</v>
      </c>
      <c r="D555" t="inlineStr">
        <is>
          <t>VÄSTERNORRLANDS LÄN</t>
        </is>
      </c>
      <c r="E555" t="inlineStr">
        <is>
          <t>SOLLEFTEÅ</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51671-2019</t>
        </is>
      </c>
      <c r="B556" s="1" t="n">
        <v>43740</v>
      </c>
      <c r="C556" s="1" t="n">
        <v>45669</v>
      </c>
      <c r="D556" t="inlineStr">
        <is>
          <t>VÄSTERNORRLANDS LÄN</t>
        </is>
      </c>
      <c r="E556" t="inlineStr">
        <is>
          <t>SOLLEFTEÅ</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51682-2019</t>
        </is>
      </c>
      <c r="B557" s="1" t="n">
        <v>43740</v>
      </c>
      <c r="C557" s="1" t="n">
        <v>45669</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53079-2019</t>
        </is>
      </c>
      <c r="B558" s="1" t="n">
        <v>43740</v>
      </c>
      <c r="C558" s="1" t="n">
        <v>45669</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51673-2019</t>
        </is>
      </c>
      <c r="B559" s="1" t="n">
        <v>43740</v>
      </c>
      <c r="C559" s="1" t="n">
        <v>45669</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53076-2019</t>
        </is>
      </c>
      <c r="B560" s="1" t="n">
        <v>43740</v>
      </c>
      <c r="C560" s="1" t="n">
        <v>45669</v>
      </c>
      <c r="D560" t="inlineStr">
        <is>
          <t>VÄSTERNORRLANDS LÄN</t>
        </is>
      </c>
      <c r="E560" t="inlineStr">
        <is>
          <t>SOLLEFTEÅ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53088-2019</t>
        </is>
      </c>
      <c r="B561" s="1" t="n">
        <v>43740</v>
      </c>
      <c r="C561" s="1" t="n">
        <v>45669</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51665-2019</t>
        </is>
      </c>
      <c r="B562" s="1" t="n">
        <v>43740</v>
      </c>
      <c r="C562" s="1" t="n">
        <v>45669</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51953-2019</t>
        </is>
      </c>
      <c r="B563" s="1" t="n">
        <v>43741</v>
      </c>
      <c r="C563" s="1" t="n">
        <v>45669</v>
      </c>
      <c r="D563" t="inlineStr">
        <is>
          <t>VÄSTERNORRLANDS LÄN</t>
        </is>
      </c>
      <c r="E563" t="inlineStr">
        <is>
          <t>SOLLEFTEÅ</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53677-2019</t>
        </is>
      </c>
      <c r="B564" s="1" t="n">
        <v>43741</v>
      </c>
      <c r="C564" s="1" t="n">
        <v>45669</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51952-2019</t>
        </is>
      </c>
      <c r="B565" s="1" t="n">
        <v>43741</v>
      </c>
      <c r="C565" s="1" t="n">
        <v>45669</v>
      </c>
      <c r="D565" t="inlineStr">
        <is>
          <t>VÄSTERNORRLANDS LÄN</t>
        </is>
      </c>
      <c r="E565" t="inlineStr">
        <is>
          <t>SOLLEFTEÅ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52568-2019</t>
        </is>
      </c>
      <c r="B566" s="1" t="n">
        <v>43745</v>
      </c>
      <c r="C566" s="1" t="n">
        <v>45669</v>
      </c>
      <c r="D566" t="inlineStr">
        <is>
          <t>VÄSTERNORRLANDS LÄN</t>
        </is>
      </c>
      <c r="E566" t="inlineStr">
        <is>
          <t>SOLLEFTEÅ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52569-2019</t>
        </is>
      </c>
      <c r="B567" s="1" t="n">
        <v>43745</v>
      </c>
      <c r="C567" s="1" t="n">
        <v>45669</v>
      </c>
      <c r="D567" t="inlineStr">
        <is>
          <t>VÄSTERNORRLANDS LÄN</t>
        </is>
      </c>
      <c r="E567" t="inlineStr">
        <is>
          <t>SOLLEFTEÅ</t>
        </is>
      </c>
      <c r="G567" t="n">
        <v>7.1</v>
      </c>
      <c r="H567" t="n">
        <v>0</v>
      </c>
      <c r="I567" t="n">
        <v>0</v>
      </c>
      <c r="J567" t="n">
        <v>0</v>
      </c>
      <c r="K567" t="n">
        <v>0</v>
      </c>
      <c r="L567" t="n">
        <v>0</v>
      </c>
      <c r="M567" t="n">
        <v>0</v>
      </c>
      <c r="N567" t="n">
        <v>0</v>
      </c>
      <c r="O567" t="n">
        <v>0</v>
      </c>
      <c r="P567" t="n">
        <v>0</v>
      </c>
      <c r="Q567" t="n">
        <v>0</v>
      </c>
      <c r="R567" s="2" t="inlineStr"/>
    </row>
    <row r="568" ht="15" customHeight="1">
      <c r="A568" t="inlineStr">
        <is>
          <t>A 52922-2019</t>
        </is>
      </c>
      <c r="B568" s="1" t="n">
        <v>43746</v>
      </c>
      <c r="C568" s="1" t="n">
        <v>45669</v>
      </c>
      <c r="D568" t="inlineStr">
        <is>
          <t>VÄSTERNORRLANDS LÄN</t>
        </is>
      </c>
      <c r="E568" t="inlineStr">
        <is>
          <t>SOLLEFTEÅ</t>
        </is>
      </c>
      <c r="G568" t="n">
        <v>6.5</v>
      </c>
      <c r="H568" t="n">
        <v>0</v>
      </c>
      <c r="I568" t="n">
        <v>0</v>
      </c>
      <c r="J568" t="n">
        <v>0</v>
      </c>
      <c r="K568" t="n">
        <v>0</v>
      </c>
      <c r="L568" t="n">
        <v>0</v>
      </c>
      <c r="M568" t="n">
        <v>0</v>
      </c>
      <c r="N568" t="n">
        <v>0</v>
      </c>
      <c r="O568" t="n">
        <v>0</v>
      </c>
      <c r="P568" t="n">
        <v>0</v>
      </c>
      <c r="Q568" t="n">
        <v>0</v>
      </c>
      <c r="R568" s="2" t="inlineStr"/>
    </row>
    <row r="569" ht="15" customHeight="1">
      <c r="A569" t="inlineStr">
        <is>
          <t>A 53161-2019</t>
        </is>
      </c>
      <c r="B569" s="1" t="n">
        <v>43747</v>
      </c>
      <c r="C569" s="1" t="n">
        <v>45669</v>
      </c>
      <c r="D569" t="inlineStr">
        <is>
          <t>VÄSTERNORRLANDS LÄN</t>
        </is>
      </c>
      <c r="E569" t="inlineStr">
        <is>
          <t>SOLLEFTEÅ</t>
        </is>
      </c>
      <c r="F569" t="inlineStr">
        <is>
          <t>Kommuner</t>
        </is>
      </c>
      <c r="G569" t="n">
        <v>0.4</v>
      </c>
      <c r="H569" t="n">
        <v>0</v>
      </c>
      <c r="I569" t="n">
        <v>0</v>
      </c>
      <c r="J569" t="n">
        <v>0</v>
      </c>
      <c r="K569" t="n">
        <v>0</v>
      </c>
      <c r="L569" t="n">
        <v>0</v>
      </c>
      <c r="M569" t="n">
        <v>0</v>
      </c>
      <c r="N569" t="n">
        <v>0</v>
      </c>
      <c r="O569" t="n">
        <v>0</v>
      </c>
      <c r="P569" t="n">
        <v>0</v>
      </c>
      <c r="Q569" t="n">
        <v>0</v>
      </c>
      <c r="R569" s="2" t="inlineStr"/>
    </row>
    <row r="570" ht="15" customHeight="1">
      <c r="A570" t="inlineStr">
        <is>
          <t>A 55623-2019</t>
        </is>
      </c>
      <c r="B570" s="1" t="n">
        <v>43755</v>
      </c>
      <c r="C570" s="1" t="n">
        <v>45669</v>
      </c>
      <c r="D570" t="inlineStr">
        <is>
          <t>VÄSTERNORRLANDS LÄN</t>
        </is>
      </c>
      <c r="E570" t="inlineStr">
        <is>
          <t>SOLLEFTEÅ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55925-2019</t>
        </is>
      </c>
      <c r="B571" s="1" t="n">
        <v>43755</v>
      </c>
      <c r="C571" s="1" t="n">
        <v>45669</v>
      </c>
      <c r="D571" t="inlineStr">
        <is>
          <t>VÄSTERNORRLANDS LÄN</t>
        </is>
      </c>
      <c r="E571" t="inlineStr">
        <is>
          <t>SOLLEFTEÅ</t>
        </is>
      </c>
      <c r="G571" t="n">
        <v>6.4</v>
      </c>
      <c r="H571" t="n">
        <v>0</v>
      </c>
      <c r="I571" t="n">
        <v>0</v>
      </c>
      <c r="J571" t="n">
        <v>0</v>
      </c>
      <c r="K571" t="n">
        <v>0</v>
      </c>
      <c r="L571" t="n">
        <v>0</v>
      </c>
      <c r="M571" t="n">
        <v>0</v>
      </c>
      <c r="N571" t="n">
        <v>0</v>
      </c>
      <c r="O571" t="n">
        <v>0</v>
      </c>
      <c r="P571" t="n">
        <v>0</v>
      </c>
      <c r="Q571" t="n">
        <v>0</v>
      </c>
      <c r="R571" s="2" t="inlineStr"/>
    </row>
    <row r="572" ht="15" customHeight="1">
      <c r="A572" t="inlineStr">
        <is>
          <t>A 55628-2019</t>
        </is>
      </c>
      <c r="B572" s="1" t="n">
        <v>43755</v>
      </c>
      <c r="C572" s="1" t="n">
        <v>45669</v>
      </c>
      <c r="D572" t="inlineStr">
        <is>
          <t>VÄSTERNORRLANDS LÄN</t>
        </is>
      </c>
      <c r="E572" t="inlineStr">
        <is>
          <t>SOLLEFTEÅ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55625-2019</t>
        </is>
      </c>
      <c r="B573" s="1" t="n">
        <v>43755</v>
      </c>
      <c r="C573" s="1" t="n">
        <v>45669</v>
      </c>
      <c r="D573" t="inlineStr">
        <is>
          <t>VÄSTERNORRLANDS LÄN</t>
        </is>
      </c>
      <c r="E573" t="inlineStr">
        <is>
          <t>SOLLEFTEÅ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57365-2019</t>
        </is>
      </c>
      <c r="B574" s="1" t="n">
        <v>43760</v>
      </c>
      <c r="C574" s="1" t="n">
        <v>45669</v>
      </c>
      <c r="D574" t="inlineStr">
        <is>
          <t>VÄSTERNORRLANDS LÄN</t>
        </is>
      </c>
      <c r="E574" t="inlineStr">
        <is>
          <t>SOLLEFTEÅ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57575-2019</t>
        </is>
      </c>
      <c r="B575" s="1" t="n">
        <v>43761</v>
      </c>
      <c r="C575" s="1" t="n">
        <v>45669</v>
      </c>
      <c r="D575" t="inlineStr">
        <is>
          <t>VÄSTERNORRLANDS LÄN</t>
        </is>
      </c>
      <c r="E575" t="inlineStr">
        <is>
          <t>SOLLEFTEÅ</t>
        </is>
      </c>
      <c r="G575" t="n">
        <v>14.4</v>
      </c>
      <c r="H575" t="n">
        <v>0</v>
      </c>
      <c r="I575" t="n">
        <v>0</v>
      </c>
      <c r="J575" t="n">
        <v>0</v>
      </c>
      <c r="K575" t="n">
        <v>0</v>
      </c>
      <c r="L575" t="n">
        <v>0</v>
      </c>
      <c r="M575" t="n">
        <v>0</v>
      </c>
      <c r="N575" t="n">
        <v>0</v>
      </c>
      <c r="O575" t="n">
        <v>0</v>
      </c>
      <c r="P575" t="n">
        <v>0</v>
      </c>
      <c r="Q575" t="n">
        <v>0</v>
      </c>
      <c r="R575" s="2" t="inlineStr"/>
    </row>
    <row r="576" ht="15" customHeight="1">
      <c r="A576" t="inlineStr">
        <is>
          <t>A 56252-2019</t>
        </is>
      </c>
      <c r="B576" s="1" t="n">
        <v>43762</v>
      </c>
      <c r="C576" s="1" t="n">
        <v>45669</v>
      </c>
      <c r="D576" t="inlineStr">
        <is>
          <t>VÄSTERNORRLANDS LÄN</t>
        </is>
      </c>
      <c r="E576" t="inlineStr">
        <is>
          <t>SOLLEFTEÅ</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56493-2019</t>
        </is>
      </c>
      <c r="B577" s="1" t="n">
        <v>43762</v>
      </c>
      <c r="C577" s="1" t="n">
        <v>45669</v>
      </c>
      <c r="D577" t="inlineStr">
        <is>
          <t>VÄSTERNORRLANDS LÄN</t>
        </is>
      </c>
      <c r="E577" t="inlineStr">
        <is>
          <t>SOLLEFTEÅ</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56492-2019</t>
        </is>
      </c>
      <c r="B578" s="1" t="n">
        <v>43762</v>
      </c>
      <c r="C578" s="1" t="n">
        <v>45669</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56803-2019</t>
        </is>
      </c>
      <c r="B579" s="1" t="n">
        <v>43763</v>
      </c>
      <c r="C579" s="1" t="n">
        <v>45669</v>
      </c>
      <c r="D579" t="inlineStr">
        <is>
          <t>VÄSTERNORRLANDS LÄN</t>
        </is>
      </c>
      <c r="E579" t="inlineStr">
        <is>
          <t>SOLLEFTEÅ</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56874-2019</t>
        </is>
      </c>
      <c r="B580" s="1" t="n">
        <v>43766</v>
      </c>
      <c r="C580" s="1" t="n">
        <v>45669</v>
      </c>
      <c r="D580" t="inlineStr">
        <is>
          <t>VÄSTERNORRLANDS LÄN</t>
        </is>
      </c>
      <c r="E580" t="inlineStr">
        <is>
          <t>SOLLEFTEÅ</t>
        </is>
      </c>
      <c r="G580" t="n">
        <v>6.1</v>
      </c>
      <c r="H580" t="n">
        <v>0</v>
      </c>
      <c r="I580" t="n">
        <v>0</v>
      </c>
      <c r="J580" t="n">
        <v>0</v>
      </c>
      <c r="K580" t="n">
        <v>0</v>
      </c>
      <c r="L580" t="n">
        <v>0</v>
      </c>
      <c r="M580" t="n">
        <v>0</v>
      </c>
      <c r="N580" t="n">
        <v>0</v>
      </c>
      <c r="O580" t="n">
        <v>0</v>
      </c>
      <c r="P580" t="n">
        <v>0</v>
      </c>
      <c r="Q580" t="n">
        <v>0</v>
      </c>
      <c r="R580" s="2" t="inlineStr"/>
    </row>
    <row r="581" ht="15" customHeight="1">
      <c r="A581" t="inlineStr">
        <is>
          <t>A 56985-2019</t>
        </is>
      </c>
      <c r="B581" s="1" t="n">
        <v>43766</v>
      </c>
      <c r="C581" s="1" t="n">
        <v>45669</v>
      </c>
      <c r="D581" t="inlineStr">
        <is>
          <t>VÄSTERNORRLANDS LÄN</t>
        </is>
      </c>
      <c r="E581" t="inlineStr">
        <is>
          <t>SOLLEFTEÅ</t>
        </is>
      </c>
      <c r="G581" t="n">
        <v>4.9</v>
      </c>
      <c r="H581" t="n">
        <v>0</v>
      </c>
      <c r="I581" t="n">
        <v>0</v>
      </c>
      <c r="J581" t="n">
        <v>0</v>
      </c>
      <c r="K581" t="n">
        <v>0</v>
      </c>
      <c r="L581" t="n">
        <v>0</v>
      </c>
      <c r="M581" t="n">
        <v>0</v>
      </c>
      <c r="N581" t="n">
        <v>0</v>
      </c>
      <c r="O581" t="n">
        <v>0</v>
      </c>
      <c r="P581" t="n">
        <v>0</v>
      </c>
      <c r="Q581" t="n">
        <v>0</v>
      </c>
      <c r="R581" s="2" t="inlineStr"/>
    </row>
    <row r="582" ht="15" customHeight="1">
      <c r="A582" t="inlineStr">
        <is>
          <t>A 57041-2019</t>
        </is>
      </c>
      <c r="B582" s="1" t="n">
        <v>43766</v>
      </c>
      <c r="C582" s="1" t="n">
        <v>45669</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57188-2019</t>
        </is>
      </c>
      <c r="B583" s="1" t="n">
        <v>43766</v>
      </c>
      <c r="C583" s="1" t="n">
        <v>45669</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57882-2019</t>
        </is>
      </c>
      <c r="B584" s="1" t="n">
        <v>43768</v>
      </c>
      <c r="C584" s="1" t="n">
        <v>45669</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57884-2019</t>
        </is>
      </c>
      <c r="B585" s="1" t="n">
        <v>43768</v>
      </c>
      <c r="C585" s="1" t="n">
        <v>45669</v>
      </c>
      <c r="D585" t="inlineStr">
        <is>
          <t>VÄSTERNORRLANDS LÄN</t>
        </is>
      </c>
      <c r="E585" t="inlineStr">
        <is>
          <t>SOLLEFTEÅ</t>
        </is>
      </c>
      <c r="F585" t="inlineStr">
        <is>
          <t>SCA</t>
        </is>
      </c>
      <c r="G585" t="n">
        <v>14.7</v>
      </c>
      <c r="H585" t="n">
        <v>0</v>
      </c>
      <c r="I585" t="n">
        <v>0</v>
      </c>
      <c r="J585" t="n">
        <v>0</v>
      </c>
      <c r="K585" t="n">
        <v>0</v>
      </c>
      <c r="L585" t="n">
        <v>0</v>
      </c>
      <c r="M585" t="n">
        <v>0</v>
      </c>
      <c r="N585" t="n">
        <v>0</v>
      </c>
      <c r="O585" t="n">
        <v>0</v>
      </c>
      <c r="P585" t="n">
        <v>0</v>
      </c>
      <c r="Q585" t="n">
        <v>0</v>
      </c>
      <c r="R585" s="2" t="inlineStr"/>
    </row>
    <row r="586" ht="15" customHeight="1">
      <c r="A586" t="inlineStr">
        <is>
          <t>A 57883-2019</t>
        </is>
      </c>
      <c r="B586" s="1" t="n">
        <v>43768</v>
      </c>
      <c r="C586" s="1" t="n">
        <v>45669</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58170-2019</t>
        </is>
      </c>
      <c r="B587" s="1" t="n">
        <v>43769</v>
      </c>
      <c r="C587" s="1" t="n">
        <v>45669</v>
      </c>
      <c r="D587" t="inlineStr">
        <is>
          <t>VÄSTERNORRLANDS LÄN</t>
        </is>
      </c>
      <c r="E587" t="inlineStr">
        <is>
          <t>SOLLEFTEÅ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58267-2019</t>
        </is>
      </c>
      <c r="B588" s="1" t="n">
        <v>43770</v>
      </c>
      <c r="C588" s="1" t="n">
        <v>45669</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59460-2019</t>
        </is>
      </c>
      <c r="B589" s="1" t="n">
        <v>43776</v>
      </c>
      <c r="C589" s="1" t="n">
        <v>45669</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60491-2019</t>
        </is>
      </c>
      <c r="B590" s="1" t="n">
        <v>43780</v>
      </c>
      <c r="C590" s="1" t="n">
        <v>45669</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61428-2019</t>
        </is>
      </c>
      <c r="B591" s="1" t="n">
        <v>43780</v>
      </c>
      <c r="C591" s="1" t="n">
        <v>45669</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60531-2019</t>
        </is>
      </c>
      <c r="B592" s="1" t="n">
        <v>43781</v>
      </c>
      <c r="C592" s="1" t="n">
        <v>45669</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60538-2019</t>
        </is>
      </c>
      <c r="B593" s="1" t="n">
        <v>43781</v>
      </c>
      <c r="C593" s="1" t="n">
        <v>45669</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60905-2019</t>
        </is>
      </c>
      <c r="B594" s="1" t="n">
        <v>43781</v>
      </c>
      <c r="C594" s="1" t="n">
        <v>45669</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61978-2019</t>
        </is>
      </c>
      <c r="B595" s="1" t="n">
        <v>43781</v>
      </c>
      <c r="C595" s="1" t="n">
        <v>45669</v>
      </c>
      <c r="D595" t="inlineStr">
        <is>
          <t>VÄSTERNORRLANDS LÄN</t>
        </is>
      </c>
      <c r="E595" t="inlineStr">
        <is>
          <t>SOLLEFTEÅ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63450-2019</t>
        </is>
      </c>
      <c r="B596" s="1" t="n">
        <v>43788</v>
      </c>
      <c r="C596" s="1" t="n">
        <v>45669</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62500-2019</t>
        </is>
      </c>
      <c r="B597" s="1" t="n">
        <v>43788</v>
      </c>
      <c r="C597" s="1" t="n">
        <v>45669</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64197-2019</t>
        </is>
      </c>
      <c r="B598" s="1" t="n">
        <v>43791</v>
      </c>
      <c r="C598" s="1" t="n">
        <v>45669</v>
      </c>
      <c r="D598" t="inlineStr">
        <is>
          <t>VÄSTERNORRLANDS LÄN</t>
        </is>
      </c>
      <c r="E598" t="inlineStr">
        <is>
          <t>SOLLEFTEÅ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63552-2019</t>
        </is>
      </c>
      <c r="B599" s="1" t="n">
        <v>43794</v>
      </c>
      <c r="C599" s="1" t="n">
        <v>45669</v>
      </c>
      <c r="D599" t="inlineStr">
        <is>
          <t>VÄSTERNORRLANDS LÄN</t>
        </is>
      </c>
      <c r="E599" t="inlineStr">
        <is>
          <t>SOLLEFTEÅ</t>
        </is>
      </c>
      <c r="G599" t="n">
        <v>7.2</v>
      </c>
      <c r="H599" t="n">
        <v>0</v>
      </c>
      <c r="I599" t="n">
        <v>0</v>
      </c>
      <c r="J599" t="n">
        <v>0</v>
      </c>
      <c r="K599" t="n">
        <v>0</v>
      </c>
      <c r="L599" t="n">
        <v>0</v>
      </c>
      <c r="M599" t="n">
        <v>0</v>
      </c>
      <c r="N599" t="n">
        <v>0</v>
      </c>
      <c r="O599" t="n">
        <v>0</v>
      </c>
      <c r="P599" t="n">
        <v>0</v>
      </c>
      <c r="Q599" t="n">
        <v>0</v>
      </c>
      <c r="R599" s="2" t="inlineStr"/>
    </row>
    <row r="600" ht="15" customHeight="1">
      <c r="A600" t="inlineStr">
        <is>
          <t>A 63752-2019</t>
        </is>
      </c>
      <c r="B600" s="1" t="n">
        <v>43795</v>
      </c>
      <c r="C600" s="1" t="n">
        <v>45669</v>
      </c>
      <c r="D600" t="inlineStr">
        <is>
          <t>VÄSTERNORRLANDS LÄN</t>
        </is>
      </c>
      <c r="E600" t="inlineStr">
        <is>
          <t>SOLLEFTEÅ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65218-2019</t>
        </is>
      </c>
      <c r="B601" s="1" t="n">
        <v>43797</v>
      </c>
      <c r="C601" s="1" t="n">
        <v>45669</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65029-2019</t>
        </is>
      </c>
      <c r="B602" s="1" t="n">
        <v>43801</v>
      </c>
      <c r="C602" s="1" t="n">
        <v>45669</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65332-2019</t>
        </is>
      </c>
      <c r="B603" s="1" t="n">
        <v>43802</v>
      </c>
      <c r="C603" s="1" t="n">
        <v>45669</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66321-2019</t>
        </is>
      </c>
      <c r="B604" s="1" t="n">
        <v>43802</v>
      </c>
      <c r="C604" s="1" t="n">
        <v>45669</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65319-2019</t>
        </is>
      </c>
      <c r="B605" s="1" t="n">
        <v>43802</v>
      </c>
      <c r="C605" s="1" t="n">
        <v>45669</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65327-2019</t>
        </is>
      </c>
      <c r="B606" s="1" t="n">
        <v>43802</v>
      </c>
      <c r="C606" s="1" t="n">
        <v>45669</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66391-2019</t>
        </is>
      </c>
      <c r="B607" s="1" t="n">
        <v>43808</v>
      </c>
      <c r="C607" s="1" t="n">
        <v>45669</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67805-2019</t>
        </is>
      </c>
      <c r="B608" s="1" t="n">
        <v>43815</v>
      </c>
      <c r="C608" s="1" t="n">
        <v>45669</v>
      </c>
      <c r="D608" t="inlineStr">
        <is>
          <t>VÄSTERNORRLANDS LÄN</t>
        </is>
      </c>
      <c r="E608" t="inlineStr">
        <is>
          <t>SOLLEFTEÅ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67815-2019</t>
        </is>
      </c>
      <c r="B609" s="1" t="n">
        <v>43815</v>
      </c>
      <c r="C609" s="1" t="n">
        <v>45669</v>
      </c>
      <c r="D609" t="inlineStr">
        <is>
          <t>VÄSTERNORRLANDS LÄN</t>
        </is>
      </c>
      <c r="E609" t="inlineStr">
        <is>
          <t>SOLLEFTEÅ</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1627-2020</t>
        </is>
      </c>
      <c r="B610" s="1" t="n">
        <v>43829</v>
      </c>
      <c r="C610" s="1" t="n">
        <v>45669</v>
      </c>
      <c r="D610" t="inlineStr">
        <is>
          <t>VÄSTERNORRLANDS LÄN</t>
        </is>
      </c>
      <c r="E610" t="inlineStr">
        <is>
          <t>SOLLEFTEÅ</t>
        </is>
      </c>
      <c r="G610" t="n">
        <v>9</v>
      </c>
      <c r="H610" t="n">
        <v>0</v>
      </c>
      <c r="I610" t="n">
        <v>0</v>
      </c>
      <c r="J610" t="n">
        <v>0</v>
      </c>
      <c r="K610" t="n">
        <v>0</v>
      </c>
      <c r="L610" t="n">
        <v>0</v>
      </c>
      <c r="M610" t="n">
        <v>0</v>
      </c>
      <c r="N610" t="n">
        <v>0</v>
      </c>
      <c r="O610" t="n">
        <v>0</v>
      </c>
      <c r="P610" t="n">
        <v>0</v>
      </c>
      <c r="Q610" t="n">
        <v>0</v>
      </c>
      <c r="R610" s="2" t="inlineStr"/>
    </row>
    <row r="611" ht="15" customHeight="1">
      <c r="A611" t="inlineStr">
        <is>
          <t>A 127-2020</t>
        </is>
      </c>
      <c r="B611" s="1" t="n">
        <v>43832</v>
      </c>
      <c r="C611" s="1" t="n">
        <v>45669</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125-2020</t>
        </is>
      </c>
      <c r="B612" s="1" t="n">
        <v>43832</v>
      </c>
      <c r="C612" s="1" t="n">
        <v>45669</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126-2020</t>
        </is>
      </c>
      <c r="B613" s="1" t="n">
        <v>43832</v>
      </c>
      <c r="C613" s="1" t="n">
        <v>45669</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538-2020</t>
        </is>
      </c>
      <c r="B614" s="1" t="n">
        <v>43837</v>
      </c>
      <c r="C614" s="1" t="n">
        <v>45669</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1263-2020</t>
        </is>
      </c>
      <c r="B615" s="1" t="n">
        <v>43840</v>
      </c>
      <c r="C615" s="1" t="n">
        <v>45669</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1262-2020</t>
        </is>
      </c>
      <c r="B616" s="1" t="n">
        <v>43840</v>
      </c>
      <c r="C616" s="1" t="n">
        <v>45669</v>
      </c>
      <c r="D616" t="inlineStr">
        <is>
          <t>VÄSTERNORRLANDS LÄN</t>
        </is>
      </c>
      <c r="E616" t="inlineStr">
        <is>
          <t>SOLLEFTEÅ</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1213-2020</t>
        </is>
      </c>
      <c r="B617" s="1" t="n">
        <v>43840</v>
      </c>
      <c r="C617" s="1" t="n">
        <v>45669</v>
      </c>
      <c r="D617" t="inlineStr">
        <is>
          <t>VÄSTERNORRLANDS LÄN</t>
        </is>
      </c>
      <c r="E617" t="inlineStr">
        <is>
          <t>SOLLEFTEÅ</t>
        </is>
      </c>
      <c r="F617" t="inlineStr">
        <is>
          <t>Kyrkan</t>
        </is>
      </c>
      <c r="G617" t="n">
        <v>13.9</v>
      </c>
      <c r="H617" t="n">
        <v>0</v>
      </c>
      <c r="I617" t="n">
        <v>0</v>
      </c>
      <c r="J617" t="n">
        <v>0</v>
      </c>
      <c r="K617" t="n">
        <v>0</v>
      </c>
      <c r="L617" t="n">
        <v>0</v>
      </c>
      <c r="M617" t="n">
        <v>0</v>
      </c>
      <c r="N617" t="n">
        <v>0</v>
      </c>
      <c r="O617" t="n">
        <v>0</v>
      </c>
      <c r="P617" t="n">
        <v>0</v>
      </c>
      <c r="Q617" t="n">
        <v>0</v>
      </c>
      <c r="R617" s="2" t="inlineStr"/>
    </row>
    <row r="618" ht="15" customHeight="1">
      <c r="A618" t="inlineStr">
        <is>
          <t>A 1568-2020</t>
        </is>
      </c>
      <c r="B618" s="1" t="n">
        <v>43844</v>
      </c>
      <c r="C618" s="1" t="n">
        <v>45669</v>
      </c>
      <c r="D618" t="inlineStr">
        <is>
          <t>VÄSTERNORRLANDS LÄN</t>
        </is>
      </c>
      <c r="E618" t="inlineStr">
        <is>
          <t>SOLLEFTEÅ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2897-2020</t>
        </is>
      </c>
      <c r="B619" s="1" t="n">
        <v>43850</v>
      </c>
      <c r="C619" s="1" t="n">
        <v>45669</v>
      </c>
      <c r="D619" t="inlineStr">
        <is>
          <t>VÄSTERNORRLANDS LÄN</t>
        </is>
      </c>
      <c r="E619" t="inlineStr">
        <is>
          <t>SOLLEFTEÅ</t>
        </is>
      </c>
      <c r="G619" t="n">
        <v>7.6</v>
      </c>
      <c r="H619" t="n">
        <v>0</v>
      </c>
      <c r="I619" t="n">
        <v>0</v>
      </c>
      <c r="J619" t="n">
        <v>0</v>
      </c>
      <c r="K619" t="n">
        <v>0</v>
      </c>
      <c r="L619" t="n">
        <v>0</v>
      </c>
      <c r="M619" t="n">
        <v>0</v>
      </c>
      <c r="N619" t="n">
        <v>0</v>
      </c>
      <c r="O619" t="n">
        <v>0</v>
      </c>
      <c r="P619" t="n">
        <v>0</v>
      </c>
      <c r="Q619" t="n">
        <v>0</v>
      </c>
      <c r="R619" s="2" t="inlineStr"/>
    </row>
    <row r="620" ht="15" customHeight="1">
      <c r="A620" t="inlineStr">
        <is>
          <t>A 3230-2020</t>
        </is>
      </c>
      <c r="B620" s="1" t="n">
        <v>43851</v>
      </c>
      <c r="C620" s="1" t="n">
        <v>45669</v>
      </c>
      <c r="D620" t="inlineStr">
        <is>
          <t>VÄSTERNORRLANDS LÄN</t>
        </is>
      </c>
      <c r="E620" t="inlineStr">
        <is>
          <t>SOLLEFTEÅ</t>
        </is>
      </c>
      <c r="F620" t="inlineStr">
        <is>
          <t>Övriga statliga verk och myndigheter</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4363-2020</t>
        </is>
      </c>
      <c r="B621" s="1" t="n">
        <v>43857</v>
      </c>
      <c r="C621" s="1" t="n">
        <v>45669</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5248-2020</t>
        </is>
      </c>
      <c r="B622" s="1" t="n">
        <v>43857</v>
      </c>
      <c r="C622" s="1" t="n">
        <v>45669</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5635-2020</t>
        </is>
      </c>
      <c r="B623" s="1" t="n">
        <v>43860</v>
      </c>
      <c r="C623" s="1" t="n">
        <v>45669</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5662-2020</t>
        </is>
      </c>
      <c r="B624" s="1" t="n">
        <v>43861</v>
      </c>
      <c r="C624" s="1" t="n">
        <v>45669</v>
      </c>
      <c r="D624" t="inlineStr">
        <is>
          <t>VÄSTERNORRLANDS LÄN</t>
        </is>
      </c>
      <c r="E624" t="inlineStr">
        <is>
          <t>SOLLEFTEÅ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5714-2020</t>
        </is>
      </c>
      <c r="B625" s="1" t="n">
        <v>43861</v>
      </c>
      <c r="C625" s="1" t="n">
        <v>45669</v>
      </c>
      <c r="D625" t="inlineStr">
        <is>
          <t>VÄSTERNORRLANDS LÄN</t>
        </is>
      </c>
      <c r="E625" t="inlineStr">
        <is>
          <t>SOLLEFTEÅ</t>
        </is>
      </c>
      <c r="G625" t="n">
        <v>3</v>
      </c>
      <c r="H625" t="n">
        <v>0</v>
      </c>
      <c r="I625" t="n">
        <v>0</v>
      </c>
      <c r="J625" t="n">
        <v>0</v>
      </c>
      <c r="K625" t="n">
        <v>0</v>
      </c>
      <c r="L625" t="n">
        <v>0</v>
      </c>
      <c r="M625" t="n">
        <v>0</v>
      </c>
      <c r="N625" t="n">
        <v>0</v>
      </c>
      <c r="O625" t="n">
        <v>0</v>
      </c>
      <c r="P625" t="n">
        <v>0</v>
      </c>
      <c r="Q625" t="n">
        <v>0</v>
      </c>
      <c r="R625" s="2" t="inlineStr"/>
    </row>
    <row r="626" ht="15" customHeight="1">
      <c r="A626" t="inlineStr">
        <is>
          <t>A 5908-2020</t>
        </is>
      </c>
      <c r="B626" s="1" t="n">
        <v>43861</v>
      </c>
      <c r="C626" s="1" t="n">
        <v>45669</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8363-2020</t>
        </is>
      </c>
      <c r="B627" s="1" t="n">
        <v>43875</v>
      </c>
      <c r="C627" s="1" t="n">
        <v>45669</v>
      </c>
      <c r="D627" t="inlineStr">
        <is>
          <t>VÄSTERNORRLANDS LÄN</t>
        </is>
      </c>
      <c r="E627" t="inlineStr">
        <is>
          <t>SOLLEFTEÅ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8935-2020</t>
        </is>
      </c>
      <c r="B628" s="1" t="n">
        <v>43878</v>
      </c>
      <c r="C628" s="1" t="n">
        <v>45669</v>
      </c>
      <c r="D628" t="inlineStr">
        <is>
          <t>VÄSTERNORRLANDS LÄN</t>
        </is>
      </c>
      <c r="E628" t="inlineStr">
        <is>
          <t>SOLLEFTEÅ</t>
        </is>
      </c>
      <c r="G628" t="n">
        <v>3.9</v>
      </c>
      <c r="H628" t="n">
        <v>0</v>
      </c>
      <c r="I628" t="n">
        <v>0</v>
      </c>
      <c r="J628" t="n">
        <v>0</v>
      </c>
      <c r="K628" t="n">
        <v>0</v>
      </c>
      <c r="L628" t="n">
        <v>0</v>
      </c>
      <c r="M628" t="n">
        <v>0</v>
      </c>
      <c r="N628" t="n">
        <v>0</v>
      </c>
      <c r="O628" t="n">
        <v>0</v>
      </c>
      <c r="P628" t="n">
        <v>0</v>
      </c>
      <c r="Q628" t="n">
        <v>0</v>
      </c>
      <c r="R628" s="2" t="inlineStr"/>
    </row>
    <row r="629" ht="15" customHeight="1">
      <c r="A629" t="inlineStr">
        <is>
          <t>A 10631-2020</t>
        </is>
      </c>
      <c r="B629" s="1" t="n">
        <v>43887</v>
      </c>
      <c r="C629" s="1" t="n">
        <v>45669</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10846-2020</t>
        </is>
      </c>
      <c r="B630" s="1" t="n">
        <v>43888</v>
      </c>
      <c r="C630" s="1" t="n">
        <v>45669</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11685-2020</t>
        </is>
      </c>
      <c r="B631" s="1" t="n">
        <v>43893</v>
      </c>
      <c r="C631" s="1" t="n">
        <v>45669</v>
      </c>
      <c r="D631" t="inlineStr">
        <is>
          <t>VÄSTERNORRLANDS LÄN</t>
        </is>
      </c>
      <c r="E631" t="inlineStr">
        <is>
          <t>SOLLEFTEÅ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12819-2020</t>
        </is>
      </c>
      <c r="B632" s="1" t="n">
        <v>43893</v>
      </c>
      <c r="C632" s="1" t="n">
        <v>45669</v>
      </c>
      <c r="D632" t="inlineStr">
        <is>
          <t>VÄSTERNORRLANDS LÄN</t>
        </is>
      </c>
      <c r="E632" t="inlineStr">
        <is>
          <t>SOLLEFTEÅ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12525-2020</t>
        </is>
      </c>
      <c r="B633" s="1" t="n">
        <v>43896</v>
      </c>
      <c r="C633" s="1" t="n">
        <v>45669</v>
      </c>
      <c r="D633" t="inlineStr">
        <is>
          <t>VÄSTERNORRLANDS LÄN</t>
        </is>
      </c>
      <c r="E633" t="inlineStr">
        <is>
          <t>SOLLEFTEÅ</t>
        </is>
      </c>
      <c r="F633" t="inlineStr">
        <is>
          <t>SCA</t>
        </is>
      </c>
      <c r="G633" t="n">
        <v>28.7</v>
      </c>
      <c r="H633" t="n">
        <v>0</v>
      </c>
      <c r="I633" t="n">
        <v>0</v>
      </c>
      <c r="J633" t="n">
        <v>0</v>
      </c>
      <c r="K633" t="n">
        <v>0</v>
      </c>
      <c r="L633" t="n">
        <v>0</v>
      </c>
      <c r="M633" t="n">
        <v>0</v>
      </c>
      <c r="N633" t="n">
        <v>0</v>
      </c>
      <c r="O633" t="n">
        <v>0</v>
      </c>
      <c r="P633" t="n">
        <v>0</v>
      </c>
      <c r="Q633" t="n">
        <v>0</v>
      </c>
      <c r="R633" s="2" t="inlineStr"/>
    </row>
    <row r="634" ht="15" customHeight="1">
      <c r="A634" t="inlineStr">
        <is>
          <t>A 13023-2020</t>
        </is>
      </c>
      <c r="B634" s="1" t="n">
        <v>43900</v>
      </c>
      <c r="C634" s="1" t="n">
        <v>45669</v>
      </c>
      <c r="D634" t="inlineStr">
        <is>
          <t>VÄSTERNORRLANDS LÄN</t>
        </is>
      </c>
      <c r="E634" t="inlineStr">
        <is>
          <t>SOLLEFTEÅ</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13567-2020</t>
        </is>
      </c>
      <c r="B635" s="1" t="n">
        <v>43902</v>
      </c>
      <c r="C635" s="1" t="n">
        <v>45669</v>
      </c>
      <c r="D635" t="inlineStr">
        <is>
          <t>VÄSTERNORRLANDS LÄN</t>
        </is>
      </c>
      <c r="E635" t="inlineStr">
        <is>
          <t>SOLLEFTEÅ</t>
        </is>
      </c>
      <c r="F635" t="inlineStr">
        <is>
          <t>SCA</t>
        </is>
      </c>
      <c r="G635" t="n">
        <v>15.9</v>
      </c>
      <c r="H635" t="n">
        <v>0</v>
      </c>
      <c r="I635" t="n">
        <v>0</v>
      </c>
      <c r="J635" t="n">
        <v>0</v>
      </c>
      <c r="K635" t="n">
        <v>0</v>
      </c>
      <c r="L635" t="n">
        <v>0</v>
      </c>
      <c r="M635" t="n">
        <v>0</v>
      </c>
      <c r="N635" t="n">
        <v>0</v>
      </c>
      <c r="O635" t="n">
        <v>0</v>
      </c>
      <c r="P635" t="n">
        <v>0</v>
      </c>
      <c r="Q635" t="n">
        <v>0</v>
      </c>
      <c r="R635" s="2" t="inlineStr"/>
    </row>
    <row r="636" ht="15" customHeight="1">
      <c r="A636" t="inlineStr">
        <is>
          <t>A 13577-2020</t>
        </is>
      </c>
      <c r="B636" s="1" t="n">
        <v>43902</v>
      </c>
      <c r="C636" s="1" t="n">
        <v>45669</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13565-2020</t>
        </is>
      </c>
      <c r="B637" s="1" t="n">
        <v>43902</v>
      </c>
      <c r="C637" s="1" t="n">
        <v>45669</v>
      </c>
      <c r="D637" t="inlineStr">
        <is>
          <t>VÄSTERNORRLANDS LÄN</t>
        </is>
      </c>
      <c r="E637" t="inlineStr">
        <is>
          <t>SOLLEFTEÅ</t>
        </is>
      </c>
      <c r="F637" t="inlineStr">
        <is>
          <t>SCA</t>
        </is>
      </c>
      <c r="G637" t="n">
        <v>12.6</v>
      </c>
      <c r="H637" t="n">
        <v>0</v>
      </c>
      <c r="I637" t="n">
        <v>0</v>
      </c>
      <c r="J637" t="n">
        <v>0</v>
      </c>
      <c r="K637" t="n">
        <v>0</v>
      </c>
      <c r="L637" t="n">
        <v>0</v>
      </c>
      <c r="M637" t="n">
        <v>0</v>
      </c>
      <c r="N637" t="n">
        <v>0</v>
      </c>
      <c r="O637" t="n">
        <v>0</v>
      </c>
      <c r="P637" t="n">
        <v>0</v>
      </c>
      <c r="Q637" t="n">
        <v>0</v>
      </c>
      <c r="R637" s="2" t="inlineStr"/>
    </row>
    <row r="638" ht="15" customHeight="1">
      <c r="A638" t="inlineStr">
        <is>
          <t>A 13575-2020</t>
        </is>
      </c>
      <c r="B638" s="1" t="n">
        <v>43902</v>
      </c>
      <c r="C638" s="1" t="n">
        <v>45669</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13561-2020</t>
        </is>
      </c>
      <c r="B639" s="1" t="n">
        <v>43902</v>
      </c>
      <c r="C639" s="1" t="n">
        <v>45669</v>
      </c>
      <c r="D639" t="inlineStr">
        <is>
          <t>VÄSTERNORRLANDS LÄN</t>
        </is>
      </c>
      <c r="E639" t="inlineStr">
        <is>
          <t>SOLLEFTEÅ</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13564-2020</t>
        </is>
      </c>
      <c r="B640" s="1" t="n">
        <v>43902</v>
      </c>
      <c r="C640" s="1" t="n">
        <v>45669</v>
      </c>
      <c r="D640" t="inlineStr">
        <is>
          <t>VÄSTERNORRLANDS LÄN</t>
        </is>
      </c>
      <c r="E640" t="inlineStr">
        <is>
          <t>SOLLEFTEÅ</t>
        </is>
      </c>
      <c r="F640" t="inlineStr">
        <is>
          <t>SCA</t>
        </is>
      </c>
      <c r="G640" t="n">
        <v>26.1</v>
      </c>
      <c r="H640" t="n">
        <v>0</v>
      </c>
      <c r="I640" t="n">
        <v>0</v>
      </c>
      <c r="J640" t="n">
        <v>0</v>
      </c>
      <c r="K640" t="n">
        <v>0</v>
      </c>
      <c r="L640" t="n">
        <v>0</v>
      </c>
      <c r="M640" t="n">
        <v>0</v>
      </c>
      <c r="N640" t="n">
        <v>0</v>
      </c>
      <c r="O640" t="n">
        <v>0</v>
      </c>
      <c r="P640" t="n">
        <v>0</v>
      </c>
      <c r="Q640" t="n">
        <v>0</v>
      </c>
      <c r="R640" s="2" t="inlineStr"/>
    </row>
    <row r="641" ht="15" customHeight="1">
      <c r="A641" t="inlineStr">
        <is>
          <t>A 13798-2020</t>
        </is>
      </c>
      <c r="B641" s="1" t="n">
        <v>43903</v>
      </c>
      <c r="C641" s="1" t="n">
        <v>45669</v>
      </c>
      <c r="D641" t="inlineStr">
        <is>
          <t>VÄSTERNORRLANDS LÄN</t>
        </is>
      </c>
      <c r="E641" t="inlineStr">
        <is>
          <t>SOLLEFTEÅ</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13864-2020</t>
        </is>
      </c>
      <c r="B642" s="1" t="n">
        <v>43906</v>
      </c>
      <c r="C642" s="1" t="n">
        <v>45669</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14859-2020</t>
        </is>
      </c>
      <c r="B643" s="1" t="n">
        <v>43909</v>
      </c>
      <c r="C643" s="1" t="n">
        <v>45669</v>
      </c>
      <c r="D643" t="inlineStr">
        <is>
          <t>VÄSTERNORRLANDS LÄN</t>
        </is>
      </c>
      <c r="E643" t="inlineStr">
        <is>
          <t>SOLLEFTEÅ</t>
        </is>
      </c>
      <c r="F643" t="inlineStr">
        <is>
          <t>SCA</t>
        </is>
      </c>
      <c r="G643" t="n">
        <v>5.8</v>
      </c>
      <c r="H643" t="n">
        <v>0</v>
      </c>
      <c r="I643" t="n">
        <v>0</v>
      </c>
      <c r="J643" t="n">
        <v>0</v>
      </c>
      <c r="K643" t="n">
        <v>0</v>
      </c>
      <c r="L643" t="n">
        <v>0</v>
      </c>
      <c r="M643" t="n">
        <v>0</v>
      </c>
      <c r="N643" t="n">
        <v>0</v>
      </c>
      <c r="O643" t="n">
        <v>0</v>
      </c>
      <c r="P643" t="n">
        <v>0</v>
      </c>
      <c r="Q643" t="n">
        <v>0</v>
      </c>
      <c r="R643" s="2" t="inlineStr"/>
    </row>
    <row r="644" ht="15" customHeight="1">
      <c r="A644" t="inlineStr">
        <is>
          <t>A 18515-2020</t>
        </is>
      </c>
      <c r="B644" s="1" t="n">
        <v>43927</v>
      </c>
      <c r="C644" s="1" t="n">
        <v>45669</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18402-2020</t>
        </is>
      </c>
      <c r="B645" s="1" t="n">
        <v>43928</v>
      </c>
      <c r="C645" s="1" t="n">
        <v>45669</v>
      </c>
      <c r="D645" t="inlineStr">
        <is>
          <t>VÄSTERNORRLANDS LÄN</t>
        </is>
      </c>
      <c r="E645" t="inlineStr">
        <is>
          <t>SOLLEFTEÅ</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20164-2020</t>
        </is>
      </c>
      <c r="B646" s="1" t="n">
        <v>43944</v>
      </c>
      <c r="C646" s="1" t="n">
        <v>45669</v>
      </c>
      <c r="D646" t="inlineStr">
        <is>
          <t>VÄSTERNORRLANDS LÄN</t>
        </is>
      </c>
      <c r="E646" t="inlineStr">
        <is>
          <t>SOLLEFTEÅ</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20419-2020</t>
        </is>
      </c>
      <c r="B647" s="1" t="n">
        <v>43945</v>
      </c>
      <c r="C647" s="1" t="n">
        <v>45669</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20861-2020</t>
        </is>
      </c>
      <c r="B648" s="1" t="n">
        <v>43948</v>
      </c>
      <c r="C648" s="1" t="n">
        <v>45669</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21022-2020</t>
        </is>
      </c>
      <c r="B649" s="1" t="n">
        <v>43950</v>
      </c>
      <c r="C649" s="1" t="n">
        <v>45669</v>
      </c>
      <c r="D649" t="inlineStr">
        <is>
          <t>VÄSTERNORRLANDS LÄN</t>
        </is>
      </c>
      <c r="E649" t="inlineStr">
        <is>
          <t>SOLLEFTEÅ</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21097-2020</t>
        </is>
      </c>
      <c r="B650" s="1" t="n">
        <v>43950</v>
      </c>
      <c r="C650" s="1" t="n">
        <v>45669</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21020-2020</t>
        </is>
      </c>
      <c r="B651" s="1" t="n">
        <v>43950</v>
      </c>
      <c r="C651" s="1" t="n">
        <v>45669</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22371-2020</t>
        </is>
      </c>
      <c r="B652" s="1" t="n">
        <v>43957</v>
      </c>
      <c r="C652" s="1" t="n">
        <v>45669</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22731-2020</t>
        </is>
      </c>
      <c r="B653" s="1" t="n">
        <v>43962</v>
      </c>
      <c r="C653" s="1" t="n">
        <v>45669</v>
      </c>
      <c r="D653" t="inlineStr">
        <is>
          <t>VÄSTERNORRLANDS LÄN</t>
        </is>
      </c>
      <c r="E653" t="inlineStr">
        <is>
          <t>SOLLEFTEÅ</t>
        </is>
      </c>
      <c r="G653" t="n">
        <v>16.8</v>
      </c>
      <c r="H653" t="n">
        <v>0</v>
      </c>
      <c r="I653" t="n">
        <v>0</v>
      </c>
      <c r="J653" t="n">
        <v>0</v>
      </c>
      <c r="K653" t="n">
        <v>0</v>
      </c>
      <c r="L653" t="n">
        <v>0</v>
      </c>
      <c r="M653" t="n">
        <v>0</v>
      </c>
      <c r="N653" t="n">
        <v>0</v>
      </c>
      <c r="O653" t="n">
        <v>0</v>
      </c>
      <c r="P653" t="n">
        <v>0</v>
      </c>
      <c r="Q653" t="n">
        <v>0</v>
      </c>
      <c r="R653" s="2" t="inlineStr"/>
    </row>
    <row r="654" ht="15" customHeight="1">
      <c r="A654" t="inlineStr">
        <is>
          <t>A 21607-2020</t>
        </is>
      </c>
      <c r="B654" s="1" t="n">
        <v>43963</v>
      </c>
      <c r="C654" s="1" t="n">
        <v>45669</v>
      </c>
      <c r="D654" t="inlineStr">
        <is>
          <t>VÄSTERNORRLANDS LÄN</t>
        </is>
      </c>
      <c r="E654" t="inlineStr">
        <is>
          <t>SOLLEFTEÅ</t>
        </is>
      </c>
      <c r="G654" t="n">
        <v>3.6</v>
      </c>
      <c r="H654" t="n">
        <v>0</v>
      </c>
      <c r="I654" t="n">
        <v>0</v>
      </c>
      <c r="J654" t="n">
        <v>0</v>
      </c>
      <c r="K654" t="n">
        <v>0</v>
      </c>
      <c r="L654" t="n">
        <v>0</v>
      </c>
      <c r="M654" t="n">
        <v>0</v>
      </c>
      <c r="N654" t="n">
        <v>0</v>
      </c>
      <c r="O654" t="n">
        <v>0</v>
      </c>
      <c r="P654" t="n">
        <v>0</v>
      </c>
      <c r="Q654" t="n">
        <v>0</v>
      </c>
      <c r="R654" s="2" t="inlineStr"/>
    </row>
    <row r="655" ht="15" customHeight="1">
      <c r="A655" t="inlineStr">
        <is>
          <t>A 22561-2020</t>
        </is>
      </c>
      <c r="B655" s="1" t="n">
        <v>43963</v>
      </c>
      <c r="C655" s="1" t="n">
        <v>45669</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23231-2020</t>
        </is>
      </c>
      <c r="B656" s="1" t="n">
        <v>43966</v>
      </c>
      <c r="C656" s="1" t="n">
        <v>45669</v>
      </c>
      <c r="D656" t="inlineStr">
        <is>
          <t>VÄSTERNORRLANDS LÄN</t>
        </is>
      </c>
      <c r="E656" t="inlineStr">
        <is>
          <t>SOLLEFTEÅ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23638-2020</t>
        </is>
      </c>
      <c r="B657" s="1" t="n">
        <v>43969</v>
      </c>
      <c r="C657" s="1" t="n">
        <v>45669</v>
      </c>
      <c r="D657" t="inlineStr">
        <is>
          <t>VÄSTERNORRLANDS LÄN</t>
        </is>
      </c>
      <c r="E657" t="inlineStr">
        <is>
          <t>SOLLEFTEÅ</t>
        </is>
      </c>
      <c r="G657" t="n">
        <v>8.9</v>
      </c>
      <c r="H657" t="n">
        <v>0</v>
      </c>
      <c r="I657" t="n">
        <v>0</v>
      </c>
      <c r="J657" t="n">
        <v>0</v>
      </c>
      <c r="K657" t="n">
        <v>0</v>
      </c>
      <c r="L657" t="n">
        <v>0</v>
      </c>
      <c r="M657" t="n">
        <v>0</v>
      </c>
      <c r="N657" t="n">
        <v>0</v>
      </c>
      <c r="O657" t="n">
        <v>0</v>
      </c>
      <c r="P657" t="n">
        <v>0</v>
      </c>
      <c r="Q657" t="n">
        <v>0</v>
      </c>
      <c r="R657" s="2" t="inlineStr"/>
    </row>
    <row r="658" ht="15" customHeight="1">
      <c r="A658" t="inlineStr">
        <is>
          <t>A 24060-2020</t>
        </is>
      </c>
      <c r="B658" s="1" t="n">
        <v>43971</v>
      </c>
      <c r="C658" s="1" t="n">
        <v>45669</v>
      </c>
      <c r="D658" t="inlineStr">
        <is>
          <t>VÄSTERNORRLANDS LÄN</t>
        </is>
      </c>
      <c r="E658" t="inlineStr">
        <is>
          <t>SOLLEFTEÅ</t>
        </is>
      </c>
      <c r="G658" t="n">
        <v>16.3</v>
      </c>
      <c r="H658" t="n">
        <v>0</v>
      </c>
      <c r="I658" t="n">
        <v>0</v>
      </c>
      <c r="J658" t="n">
        <v>0</v>
      </c>
      <c r="K658" t="n">
        <v>0</v>
      </c>
      <c r="L658" t="n">
        <v>0</v>
      </c>
      <c r="M658" t="n">
        <v>0</v>
      </c>
      <c r="N658" t="n">
        <v>0</v>
      </c>
      <c r="O658" t="n">
        <v>0</v>
      </c>
      <c r="P658" t="n">
        <v>0</v>
      </c>
      <c r="Q658" t="n">
        <v>0</v>
      </c>
      <c r="R658" s="2" t="inlineStr"/>
    </row>
    <row r="659" ht="15" customHeight="1">
      <c r="A659" t="inlineStr">
        <is>
          <t>A 24062-2020</t>
        </is>
      </c>
      <c r="B659" s="1" t="n">
        <v>43971</v>
      </c>
      <c r="C659" s="1" t="n">
        <v>45669</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24061-2020</t>
        </is>
      </c>
      <c r="B660" s="1" t="n">
        <v>43971</v>
      </c>
      <c r="C660" s="1" t="n">
        <v>45669</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25100-2020</t>
        </is>
      </c>
      <c r="B661" s="1" t="n">
        <v>43979</v>
      </c>
      <c r="C661" s="1" t="n">
        <v>45669</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26189-2020</t>
        </is>
      </c>
      <c r="B662" s="1" t="n">
        <v>43985</v>
      </c>
      <c r="C662" s="1" t="n">
        <v>45669</v>
      </c>
      <c r="D662" t="inlineStr">
        <is>
          <t>VÄSTERNORRLANDS LÄN</t>
        </is>
      </c>
      <c r="E662" t="inlineStr">
        <is>
          <t>SOLLEFTEÅ</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26249-2020</t>
        </is>
      </c>
      <c r="B663" s="1" t="n">
        <v>43986</v>
      </c>
      <c r="C663" s="1" t="n">
        <v>45669</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27199-2020</t>
        </is>
      </c>
      <c r="B664" s="1" t="n">
        <v>43991</v>
      </c>
      <c r="C664" s="1" t="n">
        <v>45669</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27209-2020</t>
        </is>
      </c>
      <c r="B665" s="1" t="n">
        <v>43991</v>
      </c>
      <c r="C665" s="1" t="n">
        <v>45669</v>
      </c>
      <c r="D665" t="inlineStr">
        <is>
          <t>VÄSTERNORRLANDS LÄN</t>
        </is>
      </c>
      <c r="E665" t="inlineStr">
        <is>
          <t>SOLLEFTEÅ</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28489-2020</t>
        </is>
      </c>
      <c r="B666" s="1" t="n">
        <v>43998</v>
      </c>
      <c r="C666" s="1" t="n">
        <v>45669</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28486-2020</t>
        </is>
      </c>
      <c r="B667" s="1" t="n">
        <v>43999</v>
      </c>
      <c r="C667" s="1" t="n">
        <v>45669</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29648-2020</t>
        </is>
      </c>
      <c r="B668" s="1" t="n">
        <v>44004</v>
      </c>
      <c r="C668" s="1" t="n">
        <v>45669</v>
      </c>
      <c r="D668" t="inlineStr">
        <is>
          <t>VÄSTERNORRLANDS LÄN</t>
        </is>
      </c>
      <c r="E668" t="inlineStr">
        <is>
          <t>SOLLEFTEÅ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29503-2020</t>
        </is>
      </c>
      <c r="B669" s="1" t="n">
        <v>44005</v>
      </c>
      <c r="C669" s="1" t="n">
        <v>45669</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29825-2020</t>
        </is>
      </c>
      <c r="B670" s="1" t="n">
        <v>44005</v>
      </c>
      <c r="C670" s="1" t="n">
        <v>45669</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29801-2020</t>
        </is>
      </c>
      <c r="B671" s="1" t="n">
        <v>44005</v>
      </c>
      <c r="C671" s="1" t="n">
        <v>45669</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30492-2020</t>
        </is>
      </c>
      <c r="B672" s="1" t="n">
        <v>44007</v>
      </c>
      <c r="C672" s="1" t="n">
        <v>45669</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30484-2020</t>
        </is>
      </c>
      <c r="B673" s="1" t="n">
        <v>44007</v>
      </c>
      <c r="C673" s="1" t="n">
        <v>45669</v>
      </c>
      <c r="D673" t="inlineStr">
        <is>
          <t>VÄSTERNORRLANDS LÄN</t>
        </is>
      </c>
      <c r="E673" t="inlineStr">
        <is>
          <t>SOLLEFTEÅ</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30753-2020</t>
        </is>
      </c>
      <c r="B674" s="1" t="n">
        <v>44008</v>
      </c>
      <c r="C674" s="1" t="n">
        <v>45669</v>
      </c>
      <c r="D674" t="inlineStr">
        <is>
          <t>VÄSTERNORRLANDS LÄN</t>
        </is>
      </c>
      <c r="E674" t="inlineStr">
        <is>
          <t>SOLLEFTEÅ</t>
        </is>
      </c>
      <c r="F674" t="inlineStr">
        <is>
          <t>SCA</t>
        </is>
      </c>
      <c r="G674" t="n">
        <v>10.7</v>
      </c>
      <c r="H674" t="n">
        <v>0</v>
      </c>
      <c r="I674" t="n">
        <v>0</v>
      </c>
      <c r="J674" t="n">
        <v>0</v>
      </c>
      <c r="K674" t="n">
        <v>0</v>
      </c>
      <c r="L674" t="n">
        <v>0</v>
      </c>
      <c r="M674" t="n">
        <v>0</v>
      </c>
      <c r="N674" t="n">
        <v>0</v>
      </c>
      <c r="O674" t="n">
        <v>0</v>
      </c>
      <c r="P674" t="n">
        <v>0</v>
      </c>
      <c r="Q674" t="n">
        <v>0</v>
      </c>
      <c r="R674" s="2" t="inlineStr"/>
    </row>
    <row r="675" ht="15" customHeight="1">
      <c r="A675" t="inlineStr">
        <is>
          <t>A 30747-2020</t>
        </is>
      </c>
      <c r="B675" s="1" t="n">
        <v>44008</v>
      </c>
      <c r="C675" s="1" t="n">
        <v>45669</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30802-2020</t>
        </is>
      </c>
      <c r="B676" s="1" t="n">
        <v>44011</v>
      </c>
      <c r="C676" s="1" t="n">
        <v>45669</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31313-2020</t>
        </is>
      </c>
      <c r="B677" s="1" t="n">
        <v>44012</v>
      </c>
      <c r="C677" s="1" t="n">
        <v>45669</v>
      </c>
      <c r="D677" t="inlineStr">
        <is>
          <t>VÄSTERNORRLANDS LÄN</t>
        </is>
      </c>
      <c r="E677" t="inlineStr">
        <is>
          <t>SOLLEFTEÅ</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32013-2020</t>
        </is>
      </c>
      <c r="B678" s="1" t="n">
        <v>44015</v>
      </c>
      <c r="C678" s="1" t="n">
        <v>45669</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32325-2020</t>
        </is>
      </c>
      <c r="B679" s="1" t="n">
        <v>44016</v>
      </c>
      <c r="C679" s="1" t="n">
        <v>45669</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32461-2020</t>
        </is>
      </c>
      <c r="B680" s="1" t="n">
        <v>44015</v>
      </c>
      <c r="C680" s="1" t="n">
        <v>45669</v>
      </c>
      <c r="D680" t="inlineStr">
        <is>
          <t>VÄSTERNORRLANDS LÄN</t>
        </is>
      </c>
      <c r="E680" t="inlineStr">
        <is>
          <t>SOLLEFTEÅ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32318-2020</t>
        </is>
      </c>
      <c r="B681" s="1" t="n">
        <v>44015</v>
      </c>
      <c r="C681" s="1" t="n">
        <v>45669</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32919-2020</t>
        </is>
      </c>
      <c r="B682" s="1" t="n">
        <v>44018</v>
      </c>
      <c r="C682" s="1" t="n">
        <v>45669</v>
      </c>
      <c r="D682" t="inlineStr">
        <is>
          <t>VÄSTERNORRLANDS LÄN</t>
        </is>
      </c>
      <c r="E682" t="inlineStr">
        <is>
          <t>SOLLEFTEÅ</t>
        </is>
      </c>
      <c r="G682" t="n">
        <v>5.5</v>
      </c>
      <c r="H682" t="n">
        <v>0</v>
      </c>
      <c r="I682" t="n">
        <v>0</v>
      </c>
      <c r="J682" t="n">
        <v>0</v>
      </c>
      <c r="K682" t="n">
        <v>0</v>
      </c>
      <c r="L682" t="n">
        <v>0</v>
      </c>
      <c r="M682" t="n">
        <v>0</v>
      </c>
      <c r="N682" t="n">
        <v>0</v>
      </c>
      <c r="O682" t="n">
        <v>0</v>
      </c>
      <c r="P682" t="n">
        <v>0</v>
      </c>
      <c r="Q682" t="n">
        <v>0</v>
      </c>
      <c r="R682" s="2" t="inlineStr"/>
    </row>
    <row r="683" ht="15" customHeight="1">
      <c r="A683" t="inlineStr">
        <is>
          <t>A 32929-2020</t>
        </is>
      </c>
      <c r="B683" s="1" t="n">
        <v>44018</v>
      </c>
      <c r="C683" s="1" t="n">
        <v>45669</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32924-2020</t>
        </is>
      </c>
      <c r="B684" s="1" t="n">
        <v>44018</v>
      </c>
      <c r="C684" s="1" t="n">
        <v>45669</v>
      </c>
      <c r="D684" t="inlineStr">
        <is>
          <t>VÄSTERNORRLANDS LÄN</t>
        </is>
      </c>
      <c r="E684" t="inlineStr">
        <is>
          <t>SOLLEFTEÅ</t>
        </is>
      </c>
      <c r="G684" t="n">
        <v>2.8</v>
      </c>
      <c r="H684" t="n">
        <v>0</v>
      </c>
      <c r="I684" t="n">
        <v>0</v>
      </c>
      <c r="J684" t="n">
        <v>0</v>
      </c>
      <c r="K684" t="n">
        <v>0</v>
      </c>
      <c r="L684" t="n">
        <v>0</v>
      </c>
      <c r="M684" t="n">
        <v>0</v>
      </c>
      <c r="N684" t="n">
        <v>0</v>
      </c>
      <c r="O684" t="n">
        <v>0</v>
      </c>
      <c r="P684" t="n">
        <v>0</v>
      </c>
      <c r="Q684" t="n">
        <v>0</v>
      </c>
      <c r="R684" s="2" t="inlineStr"/>
    </row>
    <row r="685" ht="15" customHeight="1">
      <c r="A685" t="inlineStr">
        <is>
          <t>A 32742-2020</t>
        </is>
      </c>
      <c r="B685" s="1" t="n">
        <v>44019</v>
      </c>
      <c r="C685" s="1" t="n">
        <v>45669</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33013-2020</t>
        </is>
      </c>
      <c r="B686" s="1" t="n">
        <v>44020</v>
      </c>
      <c r="C686" s="1" t="n">
        <v>45669</v>
      </c>
      <c r="D686" t="inlineStr">
        <is>
          <t>VÄSTERNORRLANDS LÄN</t>
        </is>
      </c>
      <c r="E686" t="inlineStr">
        <is>
          <t>SOLLEFTEÅ</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33009-2020</t>
        </is>
      </c>
      <c r="B687" s="1" t="n">
        <v>44020</v>
      </c>
      <c r="C687" s="1" t="n">
        <v>45669</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33014-2020</t>
        </is>
      </c>
      <c r="B688" s="1" t="n">
        <v>44021</v>
      </c>
      <c r="C688" s="1" t="n">
        <v>45669</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33010-2020</t>
        </is>
      </c>
      <c r="B689" s="1" t="n">
        <v>44020</v>
      </c>
      <c r="C689" s="1" t="n">
        <v>45669</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33200-2020</t>
        </is>
      </c>
      <c r="B690" s="1" t="n">
        <v>44021</v>
      </c>
      <c r="C690" s="1" t="n">
        <v>45669</v>
      </c>
      <c r="D690" t="inlineStr">
        <is>
          <t>VÄSTERNORRLANDS LÄN</t>
        </is>
      </c>
      <c r="E690" t="inlineStr">
        <is>
          <t>SOLLEFTEÅ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33211-2020</t>
        </is>
      </c>
      <c r="B691" s="1" t="n">
        <v>44021</v>
      </c>
      <c r="C691" s="1" t="n">
        <v>45669</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33212-2020</t>
        </is>
      </c>
      <c r="B692" s="1" t="n">
        <v>44021</v>
      </c>
      <c r="C692" s="1" t="n">
        <v>45669</v>
      </c>
      <c r="D692" t="inlineStr">
        <is>
          <t>VÄSTERNORRLANDS LÄN</t>
        </is>
      </c>
      <c r="E692" t="inlineStr">
        <is>
          <t>SOLLEFTEÅ</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33440-2020</t>
        </is>
      </c>
      <c r="B693" s="1" t="n">
        <v>44022</v>
      </c>
      <c r="C693" s="1" t="n">
        <v>45669</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33458-2020</t>
        </is>
      </c>
      <c r="B694" s="1" t="n">
        <v>44022</v>
      </c>
      <c r="C694" s="1" t="n">
        <v>45669</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33445-2020</t>
        </is>
      </c>
      <c r="B695" s="1" t="n">
        <v>44022</v>
      </c>
      <c r="C695" s="1" t="n">
        <v>45669</v>
      </c>
      <c r="D695" t="inlineStr">
        <is>
          <t>VÄSTERNORRLANDS LÄN</t>
        </is>
      </c>
      <c r="E695" t="inlineStr">
        <is>
          <t>SOLLEFTEÅ</t>
        </is>
      </c>
      <c r="G695" t="n">
        <v>4.5</v>
      </c>
      <c r="H695" t="n">
        <v>0</v>
      </c>
      <c r="I695" t="n">
        <v>0</v>
      </c>
      <c r="J695" t="n">
        <v>0</v>
      </c>
      <c r="K695" t="n">
        <v>0</v>
      </c>
      <c r="L695" t="n">
        <v>0</v>
      </c>
      <c r="M695" t="n">
        <v>0</v>
      </c>
      <c r="N695" t="n">
        <v>0</v>
      </c>
      <c r="O695" t="n">
        <v>0</v>
      </c>
      <c r="P695" t="n">
        <v>0</v>
      </c>
      <c r="Q695" t="n">
        <v>0</v>
      </c>
      <c r="R695" s="2" t="inlineStr"/>
    </row>
    <row r="696" ht="15" customHeight="1">
      <c r="A696" t="inlineStr">
        <is>
          <t>A 33492-2020</t>
        </is>
      </c>
      <c r="B696" s="1" t="n">
        <v>44024</v>
      </c>
      <c r="C696" s="1" t="n">
        <v>45669</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33640-2020</t>
        </is>
      </c>
      <c r="B697" s="1" t="n">
        <v>44025</v>
      </c>
      <c r="C697" s="1" t="n">
        <v>45669</v>
      </c>
      <c r="D697" t="inlineStr">
        <is>
          <t>VÄSTERNORRLANDS LÄN</t>
        </is>
      </c>
      <c r="E697" t="inlineStr">
        <is>
          <t>SOLLEFTEÅ</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33641-2020</t>
        </is>
      </c>
      <c r="B698" s="1" t="n">
        <v>44025</v>
      </c>
      <c r="C698" s="1" t="n">
        <v>45669</v>
      </c>
      <c r="D698" t="inlineStr">
        <is>
          <t>VÄSTERNORRLANDS LÄN</t>
        </is>
      </c>
      <c r="E698" t="inlineStr">
        <is>
          <t>SOLLEFTEÅ</t>
        </is>
      </c>
      <c r="F698" t="inlineStr">
        <is>
          <t>SCA</t>
        </is>
      </c>
      <c r="G698" t="n">
        <v>8.1</v>
      </c>
      <c r="H698" t="n">
        <v>0</v>
      </c>
      <c r="I698" t="n">
        <v>0</v>
      </c>
      <c r="J698" t="n">
        <v>0</v>
      </c>
      <c r="K698" t="n">
        <v>0</v>
      </c>
      <c r="L698" t="n">
        <v>0</v>
      </c>
      <c r="M698" t="n">
        <v>0</v>
      </c>
      <c r="N698" t="n">
        <v>0</v>
      </c>
      <c r="O698" t="n">
        <v>0</v>
      </c>
      <c r="P698" t="n">
        <v>0</v>
      </c>
      <c r="Q698" t="n">
        <v>0</v>
      </c>
      <c r="R698" s="2" t="inlineStr"/>
    </row>
    <row r="699" ht="15" customHeight="1">
      <c r="A699" t="inlineStr">
        <is>
          <t>A 33628-2020</t>
        </is>
      </c>
      <c r="B699" s="1" t="n">
        <v>44025</v>
      </c>
      <c r="C699" s="1" t="n">
        <v>45669</v>
      </c>
      <c r="D699" t="inlineStr">
        <is>
          <t>VÄSTERNORRLANDS LÄN</t>
        </is>
      </c>
      <c r="E699" t="inlineStr">
        <is>
          <t>SOLLEFTEÅ</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33784-2020</t>
        </is>
      </c>
      <c r="B700" s="1" t="n">
        <v>44026</v>
      </c>
      <c r="C700" s="1" t="n">
        <v>45669</v>
      </c>
      <c r="D700" t="inlineStr">
        <is>
          <t>VÄSTERNORRLANDS LÄN</t>
        </is>
      </c>
      <c r="E700" t="inlineStr">
        <is>
          <t>SOLLEFTEÅ</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33782-2020</t>
        </is>
      </c>
      <c r="B701" s="1" t="n">
        <v>44026</v>
      </c>
      <c r="C701" s="1" t="n">
        <v>45669</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33950-2020</t>
        </is>
      </c>
      <c r="B702" s="1" t="n">
        <v>44027</v>
      </c>
      <c r="C702" s="1" t="n">
        <v>45669</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34120-2020</t>
        </is>
      </c>
      <c r="B703" s="1" t="n">
        <v>44029</v>
      </c>
      <c r="C703" s="1" t="n">
        <v>45669</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34474-2020</t>
        </is>
      </c>
      <c r="B704" s="1" t="n">
        <v>44032</v>
      </c>
      <c r="C704" s="1" t="n">
        <v>45669</v>
      </c>
      <c r="D704" t="inlineStr">
        <is>
          <t>VÄSTERNORRLANDS LÄN</t>
        </is>
      </c>
      <c r="E704" t="inlineStr">
        <is>
          <t>SOLLEFTEÅ</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34585-2020</t>
        </is>
      </c>
      <c r="B705" s="1" t="n">
        <v>44033</v>
      </c>
      <c r="C705" s="1" t="n">
        <v>45669</v>
      </c>
      <c r="D705" t="inlineStr">
        <is>
          <t>VÄSTERNORRLANDS LÄN</t>
        </is>
      </c>
      <c r="E705" t="inlineStr">
        <is>
          <t>SOLLEFTEÅ</t>
        </is>
      </c>
      <c r="F705" t="inlineStr">
        <is>
          <t>SCA</t>
        </is>
      </c>
      <c r="G705" t="n">
        <v>10</v>
      </c>
      <c r="H705" t="n">
        <v>0</v>
      </c>
      <c r="I705" t="n">
        <v>0</v>
      </c>
      <c r="J705" t="n">
        <v>0</v>
      </c>
      <c r="K705" t="n">
        <v>0</v>
      </c>
      <c r="L705" t="n">
        <v>0</v>
      </c>
      <c r="M705" t="n">
        <v>0</v>
      </c>
      <c r="N705" t="n">
        <v>0</v>
      </c>
      <c r="O705" t="n">
        <v>0</v>
      </c>
      <c r="P705" t="n">
        <v>0</v>
      </c>
      <c r="Q705" t="n">
        <v>0</v>
      </c>
      <c r="R705" s="2" t="inlineStr"/>
    </row>
    <row r="706" ht="15" customHeight="1">
      <c r="A706" t="inlineStr">
        <is>
          <t>A 34669-2020</t>
        </is>
      </c>
      <c r="B706" s="1" t="n">
        <v>44034</v>
      </c>
      <c r="C706" s="1" t="n">
        <v>45669</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34800-2020</t>
        </is>
      </c>
      <c r="B707" s="1" t="n">
        <v>44035</v>
      </c>
      <c r="C707" s="1" t="n">
        <v>45669</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34921-2020</t>
        </is>
      </c>
      <c r="B708" s="1" t="n">
        <v>44036</v>
      </c>
      <c r="C708" s="1" t="n">
        <v>45669</v>
      </c>
      <c r="D708" t="inlineStr">
        <is>
          <t>VÄSTERNORRLANDS LÄN</t>
        </is>
      </c>
      <c r="E708" t="inlineStr">
        <is>
          <t>SOLLEFTEÅ</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34923-2020</t>
        </is>
      </c>
      <c r="B709" s="1" t="n">
        <v>44037</v>
      </c>
      <c r="C709" s="1" t="n">
        <v>45669</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34922-2020</t>
        </is>
      </c>
      <c r="B710" s="1" t="n">
        <v>44036</v>
      </c>
      <c r="C710" s="1" t="n">
        <v>45669</v>
      </c>
      <c r="D710" t="inlineStr">
        <is>
          <t>VÄSTERNORRLANDS LÄN</t>
        </is>
      </c>
      <c r="E710" t="inlineStr">
        <is>
          <t>SOLLEFTEÅ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35372-2020</t>
        </is>
      </c>
      <c r="B711" s="1" t="n">
        <v>44041</v>
      </c>
      <c r="C711" s="1" t="n">
        <v>45669</v>
      </c>
      <c r="D711" t="inlineStr">
        <is>
          <t>VÄSTERNORRLANDS LÄN</t>
        </is>
      </c>
      <c r="E711" t="inlineStr">
        <is>
          <t>SOLLEFTEÅ</t>
        </is>
      </c>
      <c r="F711" t="inlineStr">
        <is>
          <t>SCA</t>
        </is>
      </c>
      <c r="G711" t="n">
        <v>12.3</v>
      </c>
      <c r="H711" t="n">
        <v>0</v>
      </c>
      <c r="I711" t="n">
        <v>0</v>
      </c>
      <c r="J711" t="n">
        <v>0</v>
      </c>
      <c r="K711" t="n">
        <v>0</v>
      </c>
      <c r="L711" t="n">
        <v>0</v>
      </c>
      <c r="M711" t="n">
        <v>0</v>
      </c>
      <c r="N711" t="n">
        <v>0</v>
      </c>
      <c r="O711" t="n">
        <v>0</v>
      </c>
      <c r="P711" t="n">
        <v>0</v>
      </c>
      <c r="Q711" t="n">
        <v>0</v>
      </c>
      <c r="R711" s="2" t="inlineStr"/>
    </row>
    <row r="712" ht="15" customHeight="1">
      <c r="A712" t="inlineStr">
        <is>
          <t>A 35361-2020</t>
        </is>
      </c>
      <c r="B712" s="1" t="n">
        <v>44041</v>
      </c>
      <c r="C712" s="1" t="n">
        <v>45669</v>
      </c>
      <c r="D712" t="inlineStr">
        <is>
          <t>VÄSTERNORRLANDS LÄN</t>
        </is>
      </c>
      <c r="E712" t="inlineStr">
        <is>
          <t>SOLLEFTEÅ</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36789-2020</t>
        </is>
      </c>
      <c r="B713" s="1" t="n">
        <v>44048</v>
      </c>
      <c r="C713" s="1" t="n">
        <v>45669</v>
      </c>
      <c r="D713" t="inlineStr">
        <is>
          <t>VÄSTERNORRLANDS LÄN</t>
        </is>
      </c>
      <c r="E713" t="inlineStr">
        <is>
          <t>SOLLEFTEÅ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36660-2020</t>
        </is>
      </c>
      <c r="B714" s="1" t="n">
        <v>44050</v>
      </c>
      <c r="C714" s="1" t="n">
        <v>45669</v>
      </c>
      <c r="D714" t="inlineStr">
        <is>
          <t>VÄSTERNORRLANDS LÄN</t>
        </is>
      </c>
      <c r="E714" t="inlineStr">
        <is>
          <t>SOLLEFTEÅ</t>
        </is>
      </c>
      <c r="G714" t="n">
        <v>18.2</v>
      </c>
      <c r="H714" t="n">
        <v>0</v>
      </c>
      <c r="I714" t="n">
        <v>0</v>
      </c>
      <c r="J714" t="n">
        <v>0</v>
      </c>
      <c r="K714" t="n">
        <v>0</v>
      </c>
      <c r="L714" t="n">
        <v>0</v>
      </c>
      <c r="M714" t="n">
        <v>0</v>
      </c>
      <c r="N714" t="n">
        <v>0</v>
      </c>
      <c r="O714" t="n">
        <v>0</v>
      </c>
      <c r="P714" t="n">
        <v>0</v>
      </c>
      <c r="Q714" t="n">
        <v>0</v>
      </c>
      <c r="R714" s="2" t="inlineStr"/>
    </row>
    <row r="715" ht="15" customHeight="1">
      <c r="A715" t="inlineStr">
        <is>
          <t>A 36811-2020</t>
        </is>
      </c>
      <c r="B715" s="1" t="n">
        <v>44053</v>
      </c>
      <c r="C715" s="1" t="n">
        <v>45669</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37710-2020</t>
        </is>
      </c>
      <c r="B716" s="1" t="n">
        <v>44056</v>
      </c>
      <c r="C716" s="1" t="n">
        <v>45669</v>
      </c>
      <c r="D716" t="inlineStr">
        <is>
          <t>VÄSTERNORRLANDS LÄN</t>
        </is>
      </c>
      <c r="E716" t="inlineStr">
        <is>
          <t>SOLLEFTEÅ</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38482-2020</t>
        </is>
      </c>
      <c r="B717" s="1" t="n">
        <v>44060</v>
      </c>
      <c r="C717" s="1" t="n">
        <v>45669</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38517-2020</t>
        </is>
      </c>
      <c r="B718" s="1" t="n">
        <v>44060</v>
      </c>
      <c r="C718" s="1" t="n">
        <v>45669</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39007-2020</t>
        </is>
      </c>
      <c r="B719" s="1" t="n">
        <v>44062</v>
      </c>
      <c r="C719" s="1" t="n">
        <v>45669</v>
      </c>
      <c r="D719" t="inlineStr">
        <is>
          <t>VÄSTERNORRLANDS LÄN</t>
        </is>
      </c>
      <c r="E719" t="inlineStr">
        <is>
          <t>SOLLEFTEÅ</t>
        </is>
      </c>
      <c r="F719" t="inlineStr">
        <is>
          <t>Kyrkan</t>
        </is>
      </c>
      <c r="G719" t="n">
        <v>5</v>
      </c>
      <c r="H719" t="n">
        <v>0</v>
      </c>
      <c r="I719" t="n">
        <v>0</v>
      </c>
      <c r="J719" t="n">
        <v>0</v>
      </c>
      <c r="K719" t="n">
        <v>0</v>
      </c>
      <c r="L719" t="n">
        <v>0</v>
      </c>
      <c r="M719" t="n">
        <v>0</v>
      </c>
      <c r="N719" t="n">
        <v>0</v>
      </c>
      <c r="O719" t="n">
        <v>0</v>
      </c>
      <c r="P719" t="n">
        <v>0</v>
      </c>
      <c r="Q719" t="n">
        <v>0</v>
      </c>
      <c r="R719" s="2" t="inlineStr"/>
    </row>
    <row r="720" ht="15" customHeight="1">
      <c r="A720" t="inlineStr">
        <is>
          <t>A 39077-2020</t>
        </is>
      </c>
      <c r="B720" s="1" t="n">
        <v>44062</v>
      </c>
      <c r="C720" s="1" t="n">
        <v>45669</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39016-2020</t>
        </is>
      </c>
      <c r="B721" s="1" t="n">
        <v>44062</v>
      </c>
      <c r="C721" s="1" t="n">
        <v>45669</v>
      </c>
      <c r="D721" t="inlineStr">
        <is>
          <t>VÄSTERNORRLANDS LÄN</t>
        </is>
      </c>
      <c r="E721" t="inlineStr">
        <is>
          <t>SOLLEFTEÅ</t>
        </is>
      </c>
      <c r="F721" t="inlineStr">
        <is>
          <t>Kyrkan</t>
        </is>
      </c>
      <c r="G721" t="n">
        <v>2.4</v>
      </c>
      <c r="H721" t="n">
        <v>0</v>
      </c>
      <c r="I721" t="n">
        <v>0</v>
      </c>
      <c r="J721" t="n">
        <v>0</v>
      </c>
      <c r="K721" t="n">
        <v>0</v>
      </c>
      <c r="L721" t="n">
        <v>0</v>
      </c>
      <c r="M721" t="n">
        <v>0</v>
      </c>
      <c r="N721" t="n">
        <v>0</v>
      </c>
      <c r="O721" t="n">
        <v>0</v>
      </c>
      <c r="P721" t="n">
        <v>0</v>
      </c>
      <c r="Q721" t="n">
        <v>0</v>
      </c>
      <c r="R721" s="2" t="inlineStr"/>
    </row>
    <row r="722" ht="15" customHeight="1">
      <c r="A722" t="inlineStr">
        <is>
          <t>A 39148-2020</t>
        </is>
      </c>
      <c r="B722" s="1" t="n">
        <v>44063</v>
      </c>
      <c r="C722" s="1" t="n">
        <v>45669</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39409-2020</t>
        </is>
      </c>
      <c r="B723" s="1" t="n">
        <v>44064</v>
      </c>
      <c r="C723" s="1" t="n">
        <v>45669</v>
      </c>
      <c r="D723" t="inlineStr">
        <is>
          <t>VÄSTERNORRLANDS LÄN</t>
        </is>
      </c>
      <c r="E723" t="inlineStr">
        <is>
          <t>SOLLEFTEÅ</t>
        </is>
      </c>
      <c r="F723" t="inlineStr">
        <is>
          <t>Holmen skog AB</t>
        </is>
      </c>
      <c r="G723" t="n">
        <v>7.8</v>
      </c>
      <c r="H723" t="n">
        <v>0</v>
      </c>
      <c r="I723" t="n">
        <v>0</v>
      </c>
      <c r="J723" t="n">
        <v>0</v>
      </c>
      <c r="K723" t="n">
        <v>0</v>
      </c>
      <c r="L723" t="n">
        <v>0</v>
      </c>
      <c r="M723" t="n">
        <v>0</v>
      </c>
      <c r="N723" t="n">
        <v>0</v>
      </c>
      <c r="O723" t="n">
        <v>0</v>
      </c>
      <c r="P723" t="n">
        <v>0</v>
      </c>
      <c r="Q723" t="n">
        <v>0</v>
      </c>
      <c r="R723" s="2" t="inlineStr"/>
    </row>
    <row r="724" ht="15" customHeight="1">
      <c r="A724" t="inlineStr">
        <is>
          <t>A 39479-2020</t>
        </is>
      </c>
      <c r="B724" s="1" t="n">
        <v>44064</v>
      </c>
      <c r="C724" s="1" t="n">
        <v>45669</v>
      </c>
      <c r="D724" t="inlineStr">
        <is>
          <t>VÄSTERNORRLANDS LÄN</t>
        </is>
      </c>
      <c r="E724" t="inlineStr">
        <is>
          <t>SOLLEFTEÅ</t>
        </is>
      </c>
      <c r="G724" t="n">
        <v>17.8</v>
      </c>
      <c r="H724" t="n">
        <v>0</v>
      </c>
      <c r="I724" t="n">
        <v>0</v>
      </c>
      <c r="J724" t="n">
        <v>0</v>
      </c>
      <c r="K724" t="n">
        <v>0</v>
      </c>
      <c r="L724" t="n">
        <v>0</v>
      </c>
      <c r="M724" t="n">
        <v>0</v>
      </c>
      <c r="N724" t="n">
        <v>0</v>
      </c>
      <c r="O724" t="n">
        <v>0</v>
      </c>
      <c r="P724" t="n">
        <v>0</v>
      </c>
      <c r="Q724" t="n">
        <v>0</v>
      </c>
      <c r="R724" s="2" t="inlineStr"/>
    </row>
    <row r="725" ht="15" customHeight="1">
      <c r="A725" t="inlineStr">
        <is>
          <t>A 40180-2020</t>
        </is>
      </c>
      <c r="B725" s="1" t="n">
        <v>44064</v>
      </c>
      <c r="C725" s="1" t="n">
        <v>45669</v>
      </c>
      <c r="D725" t="inlineStr">
        <is>
          <t>VÄSTERNORRLANDS LÄN</t>
        </is>
      </c>
      <c r="E725" t="inlineStr">
        <is>
          <t>SOLLEFTEÅ</t>
        </is>
      </c>
      <c r="G725" t="n">
        <v>3.8</v>
      </c>
      <c r="H725" t="n">
        <v>0</v>
      </c>
      <c r="I725" t="n">
        <v>0</v>
      </c>
      <c r="J725" t="n">
        <v>0</v>
      </c>
      <c r="K725" t="n">
        <v>0</v>
      </c>
      <c r="L725" t="n">
        <v>0</v>
      </c>
      <c r="M725" t="n">
        <v>0</v>
      </c>
      <c r="N725" t="n">
        <v>0</v>
      </c>
      <c r="O725" t="n">
        <v>0</v>
      </c>
      <c r="P725" t="n">
        <v>0</v>
      </c>
      <c r="Q725" t="n">
        <v>0</v>
      </c>
      <c r="R725" s="2" t="inlineStr"/>
    </row>
    <row r="726" ht="15" customHeight="1">
      <c r="A726" t="inlineStr">
        <is>
          <t>A 39681-2020</t>
        </is>
      </c>
      <c r="B726" s="1" t="n">
        <v>44065</v>
      </c>
      <c r="C726" s="1" t="n">
        <v>45669</v>
      </c>
      <c r="D726" t="inlineStr">
        <is>
          <t>VÄSTERNORRLANDS LÄN</t>
        </is>
      </c>
      <c r="E726" t="inlineStr">
        <is>
          <t>SOLLEFTEÅ</t>
        </is>
      </c>
      <c r="F726" t="inlineStr">
        <is>
          <t>SCA</t>
        </is>
      </c>
      <c r="G726" t="n">
        <v>19.7</v>
      </c>
      <c r="H726" t="n">
        <v>0</v>
      </c>
      <c r="I726" t="n">
        <v>0</v>
      </c>
      <c r="J726" t="n">
        <v>0</v>
      </c>
      <c r="K726" t="n">
        <v>0</v>
      </c>
      <c r="L726" t="n">
        <v>0</v>
      </c>
      <c r="M726" t="n">
        <v>0</v>
      </c>
      <c r="N726" t="n">
        <v>0</v>
      </c>
      <c r="O726" t="n">
        <v>0</v>
      </c>
      <c r="P726" t="n">
        <v>0</v>
      </c>
      <c r="Q726" t="n">
        <v>0</v>
      </c>
      <c r="R726" s="2" t="inlineStr"/>
    </row>
    <row r="727" ht="15" customHeight="1">
      <c r="A727" t="inlineStr">
        <is>
          <t>A 40476-2020</t>
        </is>
      </c>
      <c r="B727" s="1" t="n">
        <v>44067</v>
      </c>
      <c r="C727" s="1" t="n">
        <v>45669</v>
      </c>
      <c r="D727" t="inlineStr">
        <is>
          <t>VÄSTERNORRLANDS LÄN</t>
        </is>
      </c>
      <c r="E727" t="inlineStr">
        <is>
          <t>SOLLEFTEÅ</t>
        </is>
      </c>
      <c r="G727" t="n">
        <v>8</v>
      </c>
      <c r="H727" t="n">
        <v>0</v>
      </c>
      <c r="I727" t="n">
        <v>0</v>
      </c>
      <c r="J727" t="n">
        <v>0</v>
      </c>
      <c r="K727" t="n">
        <v>0</v>
      </c>
      <c r="L727" t="n">
        <v>0</v>
      </c>
      <c r="M727" t="n">
        <v>0</v>
      </c>
      <c r="N727" t="n">
        <v>0</v>
      </c>
      <c r="O727" t="n">
        <v>0</v>
      </c>
      <c r="P727" t="n">
        <v>0</v>
      </c>
      <c r="Q727" t="n">
        <v>0</v>
      </c>
      <c r="R727" s="2" t="inlineStr"/>
    </row>
    <row r="728" ht="15" customHeight="1">
      <c r="A728" t="inlineStr">
        <is>
          <t>A 40697-2020</t>
        </is>
      </c>
      <c r="B728" s="1" t="n">
        <v>44067</v>
      </c>
      <c r="C728" s="1" t="n">
        <v>45669</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40682-2020</t>
        </is>
      </c>
      <c r="B729" s="1" t="n">
        <v>44067</v>
      </c>
      <c r="C729" s="1" t="n">
        <v>45669</v>
      </c>
      <c r="D729" t="inlineStr">
        <is>
          <t>VÄSTERNORRLANDS LÄN</t>
        </is>
      </c>
      <c r="E729" t="inlineStr">
        <is>
          <t>SOLLEFTEÅ</t>
        </is>
      </c>
      <c r="G729" t="n">
        <v>3.5</v>
      </c>
      <c r="H729" t="n">
        <v>0</v>
      </c>
      <c r="I729" t="n">
        <v>0</v>
      </c>
      <c r="J729" t="n">
        <v>0</v>
      </c>
      <c r="K729" t="n">
        <v>0</v>
      </c>
      <c r="L729" t="n">
        <v>0</v>
      </c>
      <c r="M729" t="n">
        <v>0</v>
      </c>
      <c r="N729" t="n">
        <v>0</v>
      </c>
      <c r="O729" t="n">
        <v>0</v>
      </c>
      <c r="P729" t="n">
        <v>0</v>
      </c>
      <c r="Q729" t="n">
        <v>0</v>
      </c>
      <c r="R729" s="2" t="inlineStr"/>
    </row>
    <row r="730" ht="15" customHeight="1">
      <c r="A730" t="inlineStr">
        <is>
          <t>A 40735-2020</t>
        </is>
      </c>
      <c r="B730" s="1" t="n">
        <v>44069</v>
      </c>
      <c r="C730" s="1" t="n">
        <v>45669</v>
      </c>
      <c r="D730" t="inlineStr">
        <is>
          <t>VÄSTERNORRLANDS LÄN</t>
        </is>
      </c>
      <c r="E730" t="inlineStr">
        <is>
          <t>SOLLEFTEÅ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40747-2020</t>
        </is>
      </c>
      <c r="B731" s="1" t="n">
        <v>44069</v>
      </c>
      <c r="C731" s="1" t="n">
        <v>45669</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42196-2020</t>
        </is>
      </c>
      <c r="B732" s="1" t="n">
        <v>44076</v>
      </c>
      <c r="C732" s="1" t="n">
        <v>45669</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43300-2020</t>
        </is>
      </c>
      <c r="B733" s="1" t="n">
        <v>44076</v>
      </c>
      <c r="C733" s="1" t="n">
        <v>45669</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43160-2020</t>
        </is>
      </c>
      <c r="B734" s="1" t="n">
        <v>44076</v>
      </c>
      <c r="C734" s="1" t="n">
        <v>45669</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42846-2020</t>
        </is>
      </c>
      <c r="B735" s="1" t="n">
        <v>44078</v>
      </c>
      <c r="C735" s="1" t="n">
        <v>45669</v>
      </c>
      <c r="D735" t="inlineStr">
        <is>
          <t>VÄSTERNORRLANDS LÄN</t>
        </is>
      </c>
      <c r="E735" t="inlineStr">
        <is>
          <t>SOLLEFTEÅ</t>
        </is>
      </c>
      <c r="G735" t="n">
        <v>8.6</v>
      </c>
      <c r="H735" t="n">
        <v>0</v>
      </c>
      <c r="I735" t="n">
        <v>0</v>
      </c>
      <c r="J735" t="n">
        <v>0</v>
      </c>
      <c r="K735" t="n">
        <v>0</v>
      </c>
      <c r="L735" t="n">
        <v>0</v>
      </c>
      <c r="M735" t="n">
        <v>0</v>
      </c>
      <c r="N735" t="n">
        <v>0</v>
      </c>
      <c r="O735" t="n">
        <v>0</v>
      </c>
      <c r="P735" t="n">
        <v>0</v>
      </c>
      <c r="Q735" t="n">
        <v>0</v>
      </c>
      <c r="R735" s="2" t="inlineStr"/>
    </row>
    <row r="736" ht="15" customHeight="1">
      <c r="A736" t="inlineStr">
        <is>
          <t>A 43107-2020</t>
        </is>
      </c>
      <c r="B736" s="1" t="n">
        <v>44078</v>
      </c>
      <c r="C736" s="1" t="n">
        <v>45669</v>
      </c>
      <c r="D736" t="inlineStr">
        <is>
          <t>VÄSTERNORRLANDS LÄN</t>
        </is>
      </c>
      <c r="E736" t="inlineStr">
        <is>
          <t>SOLLEFTEÅ</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43438-2020</t>
        </is>
      </c>
      <c r="B737" s="1" t="n">
        <v>44081</v>
      </c>
      <c r="C737" s="1" t="n">
        <v>45669</v>
      </c>
      <c r="D737" t="inlineStr">
        <is>
          <t>VÄSTERNORRLANDS LÄN</t>
        </is>
      </c>
      <c r="E737" t="inlineStr">
        <is>
          <t>SOLLEFTEÅ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43820-2020</t>
        </is>
      </c>
      <c r="B738" s="1" t="n">
        <v>44082</v>
      </c>
      <c r="C738" s="1" t="n">
        <v>45669</v>
      </c>
      <c r="D738" t="inlineStr">
        <is>
          <t>VÄSTERNORRLANDS LÄN</t>
        </is>
      </c>
      <c r="E738" t="inlineStr">
        <is>
          <t>SOLLEFTEÅ</t>
        </is>
      </c>
      <c r="F738" t="inlineStr">
        <is>
          <t>SCA</t>
        </is>
      </c>
      <c r="G738" t="n">
        <v>8.1</v>
      </c>
      <c r="H738" t="n">
        <v>0</v>
      </c>
      <c r="I738" t="n">
        <v>0</v>
      </c>
      <c r="J738" t="n">
        <v>0</v>
      </c>
      <c r="K738" t="n">
        <v>0</v>
      </c>
      <c r="L738" t="n">
        <v>0</v>
      </c>
      <c r="M738" t="n">
        <v>0</v>
      </c>
      <c r="N738" t="n">
        <v>0</v>
      </c>
      <c r="O738" t="n">
        <v>0</v>
      </c>
      <c r="P738" t="n">
        <v>0</v>
      </c>
      <c r="Q738" t="n">
        <v>0</v>
      </c>
      <c r="R738" s="2" t="inlineStr"/>
    </row>
    <row r="739" ht="15" customHeight="1">
      <c r="A739" t="inlineStr">
        <is>
          <t>A 45147-2020</t>
        </is>
      </c>
      <c r="B739" s="1" t="n">
        <v>44084</v>
      </c>
      <c r="C739" s="1" t="n">
        <v>45669</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44681-2020</t>
        </is>
      </c>
      <c r="B740" s="1" t="n">
        <v>44085</v>
      </c>
      <c r="C740" s="1" t="n">
        <v>45669</v>
      </c>
      <c r="D740" t="inlineStr">
        <is>
          <t>VÄSTERNORRLANDS LÄN</t>
        </is>
      </c>
      <c r="E740" t="inlineStr">
        <is>
          <t>SOLLEFTEÅ</t>
        </is>
      </c>
      <c r="G740" t="n">
        <v>7.8</v>
      </c>
      <c r="H740" t="n">
        <v>0</v>
      </c>
      <c r="I740" t="n">
        <v>0</v>
      </c>
      <c r="J740" t="n">
        <v>0</v>
      </c>
      <c r="K740" t="n">
        <v>0</v>
      </c>
      <c r="L740" t="n">
        <v>0</v>
      </c>
      <c r="M740" t="n">
        <v>0</v>
      </c>
      <c r="N740" t="n">
        <v>0</v>
      </c>
      <c r="O740" t="n">
        <v>0</v>
      </c>
      <c r="P740" t="n">
        <v>0</v>
      </c>
      <c r="Q740" t="n">
        <v>0</v>
      </c>
      <c r="R740" s="2" t="inlineStr"/>
    </row>
    <row r="741" ht="15" customHeight="1">
      <c r="A741" t="inlineStr">
        <is>
          <t>A 45250-2020</t>
        </is>
      </c>
      <c r="B741" s="1" t="n">
        <v>44088</v>
      </c>
      <c r="C741" s="1" t="n">
        <v>45669</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45251-2020</t>
        </is>
      </c>
      <c r="B742" s="1" t="n">
        <v>44088</v>
      </c>
      <c r="C742" s="1" t="n">
        <v>45669</v>
      </c>
      <c r="D742" t="inlineStr">
        <is>
          <t>VÄSTERNORRLANDS LÄN</t>
        </is>
      </c>
      <c r="E742" t="inlineStr">
        <is>
          <t>SOLLEFTEÅ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45549-2020</t>
        </is>
      </c>
      <c r="B743" s="1" t="n">
        <v>44090</v>
      </c>
      <c r="C743" s="1" t="n">
        <v>45669</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45542-2020</t>
        </is>
      </c>
      <c r="B744" s="1" t="n">
        <v>44089</v>
      </c>
      <c r="C744" s="1" t="n">
        <v>45669</v>
      </c>
      <c r="D744" t="inlineStr">
        <is>
          <t>VÄSTERNORRLANDS LÄN</t>
        </is>
      </c>
      <c r="E744" t="inlineStr">
        <is>
          <t>SOLLEFTEÅ</t>
        </is>
      </c>
      <c r="G744" t="n">
        <v>0.3</v>
      </c>
      <c r="H744" t="n">
        <v>0</v>
      </c>
      <c r="I744" t="n">
        <v>0</v>
      </c>
      <c r="J744" t="n">
        <v>0</v>
      </c>
      <c r="K744" t="n">
        <v>0</v>
      </c>
      <c r="L744" t="n">
        <v>0</v>
      </c>
      <c r="M744" t="n">
        <v>0</v>
      </c>
      <c r="N744" t="n">
        <v>0</v>
      </c>
      <c r="O744" t="n">
        <v>0</v>
      </c>
      <c r="P744" t="n">
        <v>0</v>
      </c>
      <c r="Q744" t="n">
        <v>0</v>
      </c>
      <c r="R744" s="2" t="inlineStr"/>
    </row>
    <row r="745" ht="15" customHeight="1">
      <c r="A745" t="inlineStr">
        <is>
          <t>A 45551-2020</t>
        </is>
      </c>
      <c r="B745" s="1" t="n">
        <v>44089</v>
      </c>
      <c r="C745" s="1" t="n">
        <v>45669</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46715-2020</t>
        </is>
      </c>
      <c r="B746" s="1" t="n">
        <v>44095</v>
      </c>
      <c r="C746" s="1" t="n">
        <v>45669</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47827-2020</t>
        </is>
      </c>
      <c r="B747" s="1" t="n">
        <v>44098</v>
      </c>
      <c r="C747" s="1" t="n">
        <v>45669</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47859-2020</t>
        </is>
      </c>
      <c r="B748" s="1" t="n">
        <v>44099</v>
      </c>
      <c r="C748" s="1" t="n">
        <v>45669</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48052-2020</t>
        </is>
      </c>
      <c r="B749" s="1" t="n">
        <v>44100</v>
      </c>
      <c r="C749" s="1" t="n">
        <v>45669</v>
      </c>
      <c r="D749" t="inlineStr">
        <is>
          <t>VÄSTERNORRLANDS LÄN</t>
        </is>
      </c>
      <c r="E749" t="inlineStr">
        <is>
          <t>SOLLEFTEÅ</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48240-2020</t>
        </is>
      </c>
      <c r="B750" s="1" t="n">
        <v>44102</v>
      </c>
      <c r="C750" s="1" t="n">
        <v>45669</v>
      </c>
      <c r="D750" t="inlineStr">
        <is>
          <t>VÄSTERNORRLANDS LÄN</t>
        </is>
      </c>
      <c r="E750" t="inlineStr">
        <is>
          <t>SOLLEFTEÅ</t>
        </is>
      </c>
      <c r="G750" t="n">
        <v>0.5</v>
      </c>
      <c r="H750" t="n">
        <v>0</v>
      </c>
      <c r="I750" t="n">
        <v>0</v>
      </c>
      <c r="J750" t="n">
        <v>0</v>
      </c>
      <c r="K750" t="n">
        <v>0</v>
      </c>
      <c r="L750" t="n">
        <v>0</v>
      </c>
      <c r="M750" t="n">
        <v>0</v>
      </c>
      <c r="N750" t="n">
        <v>0</v>
      </c>
      <c r="O750" t="n">
        <v>0</v>
      </c>
      <c r="P750" t="n">
        <v>0</v>
      </c>
      <c r="Q750" t="n">
        <v>0</v>
      </c>
      <c r="R750" s="2" t="inlineStr"/>
    </row>
    <row r="751" ht="15" customHeight="1">
      <c r="A751" t="inlineStr">
        <is>
          <t>A 48477-2020</t>
        </is>
      </c>
      <c r="B751" s="1" t="n">
        <v>44102</v>
      </c>
      <c r="C751" s="1" t="n">
        <v>45669</v>
      </c>
      <c r="D751" t="inlineStr">
        <is>
          <t>VÄSTERNORRLANDS LÄN</t>
        </is>
      </c>
      <c r="E751" t="inlineStr">
        <is>
          <t>SOLLEFTEÅ</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48468-2020</t>
        </is>
      </c>
      <c r="B752" s="1" t="n">
        <v>44102</v>
      </c>
      <c r="C752" s="1" t="n">
        <v>45669</v>
      </c>
      <c r="D752" t="inlineStr">
        <is>
          <t>VÄSTERNORRLANDS LÄN</t>
        </is>
      </c>
      <c r="E752" t="inlineStr">
        <is>
          <t>SOLLEFTEÅ</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48470-2020</t>
        </is>
      </c>
      <c r="B753" s="1" t="n">
        <v>44102</v>
      </c>
      <c r="C753" s="1" t="n">
        <v>45669</v>
      </c>
      <c r="D753" t="inlineStr">
        <is>
          <t>VÄSTERNORRLANDS LÄN</t>
        </is>
      </c>
      <c r="E753" t="inlineStr">
        <is>
          <t>SOLLEFTEÅ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48475-2020</t>
        </is>
      </c>
      <c r="B754" s="1" t="n">
        <v>44103</v>
      </c>
      <c r="C754" s="1" t="n">
        <v>45669</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48802-2020</t>
        </is>
      </c>
      <c r="B755" s="1" t="n">
        <v>44103</v>
      </c>
      <c r="C755" s="1" t="n">
        <v>45669</v>
      </c>
      <c r="D755" t="inlineStr">
        <is>
          <t>VÄSTERNORRLANDS LÄN</t>
        </is>
      </c>
      <c r="E755" t="inlineStr">
        <is>
          <t>SOLLEFTEÅ</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49629-2020</t>
        </is>
      </c>
      <c r="B756" s="1" t="n">
        <v>44103</v>
      </c>
      <c r="C756" s="1" t="n">
        <v>45669</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49165-2020</t>
        </is>
      </c>
      <c r="B757" s="1" t="n">
        <v>44105</v>
      </c>
      <c r="C757" s="1" t="n">
        <v>45669</v>
      </c>
      <c r="D757" t="inlineStr">
        <is>
          <t>VÄSTERNORRLANDS LÄN</t>
        </is>
      </c>
      <c r="E757" t="inlineStr">
        <is>
          <t>SOLLEFTEÅ</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49507-2020</t>
        </is>
      </c>
      <c r="B758" s="1" t="n">
        <v>44105</v>
      </c>
      <c r="C758" s="1" t="n">
        <v>45669</v>
      </c>
      <c r="D758" t="inlineStr">
        <is>
          <t>VÄSTERNORRLANDS LÄN</t>
        </is>
      </c>
      <c r="E758" t="inlineStr">
        <is>
          <t>SOLLEFTEÅ</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49508-2020</t>
        </is>
      </c>
      <c r="B759" s="1" t="n">
        <v>44105</v>
      </c>
      <c r="C759" s="1" t="n">
        <v>45669</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49837-2020</t>
        </is>
      </c>
      <c r="B760" s="1" t="n">
        <v>44106</v>
      </c>
      <c r="C760" s="1" t="n">
        <v>45669</v>
      </c>
      <c r="D760" t="inlineStr">
        <is>
          <t>VÄSTERNORRLANDS LÄN</t>
        </is>
      </c>
      <c r="E760" t="inlineStr">
        <is>
          <t>SOLLEFTEÅ</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50647-2020</t>
        </is>
      </c>
      <c r="B761" s="1" t="n">
        <v>44111</v>
      </c>
      <c r="C761" s="1" t="n">
        <v>45669</v>
      </c>
      <c r="D761" t="inlineStr">
        <is>
          <t>VÄSTERNORRLANDS LÄN</t>
        </is>
      </c>
      <c r="E761" t="inlineStr">
        <is>
          <t>SOLLEFTEÅ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51018-2020</t>
        </is>
      </c>
      <c r="B762" s="1" t="n">
        <v>44111</v>
      </c>
      <c r="C762" s="1" t="n">
        <v>45669</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51011-2020</t>
        </is>
      </c>
      <c r="B763" s="1" t="n">
        <v>44111</v>
      </c>
      <c r="C763" s="1" t="n">
        <v>45669</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51534-2020</t>
        </is>
      </c>
      <c r="B764" s="1" t="n">
        <v>44113</v>
      </c>
      <c r="C764" s="1" t="n">
        <v>45669</v>
      </c>
      <c r="D764" t="inlineStr">
        <is>
          <t>VÄSTERNORRLANDS LÄN</t>
        </is>
      </c>
      <c r="E764" t="inlineStr">
        <is>
          <t>SOLLEFTEÅ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52035-2020</t>
        </is>
      </c>
      <c r="B765" s="1" t="n">
        <v>44117</v>
      </c>
      <c r="C765" s="1" t="n">
        <v>45669</v>
      </c>
      <c r="D765" t="inlineStr">
        <is>
          <t>VÄSTERNORRLANDS LÄN</t>
        </is>
      </c>
      <c r="E765" t="inlineStr">
        <is>
          <t>SOLLEFTEÅ</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52189-2020</t>
        </is>
      </c>
      <c r="B766" s="1" t="n">
        <v>44117</v>
      </c>
      <c r="C766" s="1" t="n">
        <v>45669</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52199-2020</t>
        </is>
      </c>
      <c r="B767" s="1" t="n">
        <v>44117</v>
      </c>
      <c r="C767" s="1" t="n">
        <v>45669</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52406-2020</t>
        </is>
      </c>
      <c r="B768" s="1" t="n">
        <v>44118</v>
      </c>
      <c r="C768" s="1" t="n">
        <v>45669</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52983-2020</t>
        </is>
      </c>
      <c r="B769" s="1" t="n">
        <v>44119</v>
      </c>
      <c r="C769" s="1" t="n">
        <v>45669</v>
      </c>
      <c r="D769" t="inlineStr">
        <is>
          <t>VÄSTERNORRLANDS LÄN</t>
        </is>
      </c>
      <c r="E769" t="inlineStr">
        <is>
          <t>SOLLEFTEÅ</t>
        </is>
      </c>
      <c r="G769" t="n">
        <v>3.8</v>
      </c>
      <c r="H769" t="n">
        <v>0</v>
      </c>
      <c r="I769" t="n">
        <v>0</v>
      </c>
      <c r="J769" t="n">
        <v>0</v>
      </c>
      <c r="K769" t="n">
        <v>0</v>
      </c>
      <c r="L769" t="n">
        <v>0</v>
      </c>
      <c r="M769" t="n">
        <v>0</v>
      </c>
      <c r="N769" t="n">
        <v>0</v>
      </c>
      <c r="O769" t="n">
        <v>0</v>
      </c>
      <c r="P769" t="n">
        <v>0</v>
      </c>
      <c r="Q769" t="n">
        <v>0</v>
      </c>
      <c r="R769" s="2" t="inlineStr"/>
    </row>
    <row r="770" ht="15" customHeight="1">
      <c r="A770" t="inlineStr">
        <is>
          <t>A 52936-2020</t>
        </is>
      </c>
      <c r="B770" s="1" t="n">
        <v>44120</v>
      </c>
      <c r="C770" s="1" t="n">
        <v>45669</v>
      </c>
      <c r="D770" t="inlineStr">
        <is>
          <t>VÄSTERNORRLANDS LÄN</t>
        </is>
      </c>
      <c r="E770" t="inlineStr">
        <is>
          <t>SOLLEFTEÅ</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53828-2020</t>
        </is>
      </c>
      <c r="B771" s="1" t="n">
        <v>44124</v>
      </c>
      <c r="C771" s="1" t="n">
        <v>45669</v>
      </c>
      <c r="D771" t="inlineStr">
        <is>
          <t>VÄSTERNORRLANDS LÄN</t>
        </is>
      </c>
      <c r="E771" t="inlineStr">
        <is>
          <t>SOLLEFTEÅ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54463-2020</t>
        </is>
      </c>
      <c r="B772" s="1" t="n">
        <v>44125</v>
      </c>
      <c r="C772" s="1" t="n">
        <v>45669</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53866-2020</t>
        </is>
      </c>
      <c r="B773" s="1" t="n">
        <v>44125</v>
      </c>
      <c r="C773" s="1" t="n">
        <v>45669</v>
      </c>
      <c r="D773" t="inlineStr">
        <is>
          <t>VÄSTERNORRLANDS LÄN</t>
        </is>
      </c>
      <c r="E773" t="inlineStr">
        <is>
          <t>SOLLEFTEÅ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54567-2020</t>
        </is>
      </c>
      <c r="B774" s="1" t="n">
        <v>44126</v>
      </c>
      <c r="C774" s="1" t="n">
        <v>45669</v>
      </c>
      <c r="D774" t="inlineStr">
        <is>
          <t>VÄSTERNORRLANDS LÄN</t>
        </is>
      </c>
      <c r="E774" t="inlineStr">
        <is>
          <t>SOLLEFTEÅ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54568-2020</t>
        </is>
      </c>
      <c r="B775" s="1" t="n">
        <v>44126</v>
      </c>
      <c r="C775" s="1" t="n">
        <v>45669</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54572-2020</t>
        </is>
      </c>
      <c r="B776" s="1" t="n">
        <v>44126</v>
      </c>
      <c r="C776" s="1" t="n">
        <v>45669</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54576-2020</t>
        </is>
      </c>
      <c r="B777" s="1" t="n">
        <v>44126</v>
      </c>
      <c r="C777" s="1" t="n">
        <v>45669</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54571-2020</t>
        </is>
      </c>
      <c r="B778" s="1" t="n">
        <v>44126</v>
      </c>
      <c r="C778" s="1" t="n">
        <v>45669</v>
      </c>
      <c r="D778" t="inlineStr">
        <is>
          <t>VÄSTERNORRLANDS LÄN</t>
        </is>
      </c>
      <c r="E778" t="inlineStr">
        <is>
          <t>SOLLEFTEÅ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54569-2020</t>
        </is>
      </c>
      <c r="B779" s="1" t="n">
        <v>44126</v>
      </c>
      <c r="C779" s="1" t="n">
        <v>45669</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54566-2020</t>
        </is>
      </c>
      <c r="B780" s="1" t="n">
        <v>44126</v>
      </c>
      <c r="C780" s="1" t="n">
        <v>45669</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54570-2020</t>
        </is>
      </c>
      <c r="B781" s="1" t="n">
        <v>44126</v>
      </c>
      <c r="C781" s="1" t="n">
        <v>45669</v>
      </c>
      <c r="D781" t="inlineStr">
        <is>
          <t>VÄSTERNORRLANDS LÄN</t>
        </is>
      </c>
      <c r="E781" t="inlineStr">
        <is>
          <t>SOLLEFTEÅ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54573-2020</t>
        </is>
      </c>
      <c r="B782" s="1" t="n">
        <v>44126</v>
      </c>
      <c r="C782" s="1" t="n">
        <v>45669</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55337-2020</t>
        </is>
      </c>
      <c r="B783" s="1" t="n">
        <v>44130</v>
      </c>
      <c r="C783" s="1" t="n">
        <v>45669</v>
      </c>
      <c r="D783" t="inlineStr">
        <is>
          <t>VÄSTERNORRLANDS LÄN</t>
        </is>
      </c>
      <c r="E783" t="inlineStr">
        <is>
          <t>SOLLEFTEÅ</t>
        </is>
      </c>
      <c r="G783" t="n">
        <v>21.1</v>
      </c>
      <c r="H783" t="n">
        <v>0</v>
      </c>
      <c r="I783" t="n">
        <v>0</v>
      </c>
      <c r="J783" t="n">
        <v>0</v>
      </c>
      <c r="K783" t="n">
        <v>0</v>
      </c>
      <c r="L783" t="n">
        <v>0</v>
      </c>
      <c r="M783" t="n">
        <v>0</v>
      </c>
      <c r="N783" t="n">
        <v>0</v>
      </c>
      <c r="O783" t="n">
        <v>0</v>
      </c>
      <c r="P783" t="n">
        <v>0</v>
      </c>
      <c r="Q783" t="n">
        <v>0</v>
      </c>
      <c r="R783" s="2" t="inlineStr"/>
    </row>
    <row r="784" ht="15" customHeight="1">
      <c r="A784" t="inlineStr">
        <is>
          <t>A 55489-2020</t>
        </is>
      </c>
      <c r="B784" s="1" t="n">
        <v>44131</v>
      </c>
      <c r="C784" s="1" t="n">
        <v>45669</v>
      </c>
      <c r="D784" t="inlineStr">
        <is>
          <t>VÄSTERNORRLANDS LÄN</t>
        </is>
      </c>
      <c r="E784" t="inlineStr">
        <is>
          <t>SOLLEFTEÅ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58380-2020</t>
        </is>
      </c>
      <c r="B785" s="1" t="n">
        <v>44145</v>
      </c>
      <c r="C785" s="1" t="n">
        <v>45669</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58381-2020</t>
        </is>
      </c>
      <c r="B786" s="1" t="n">
        <v>44145</v>
      </c>
      <c r="C786" s="1" t="n">
        <v>45669</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59334-2020</t>
        </is>
      </c>
      <c r="B787" s="1" t="n">
        <v>44147</v>
      </c>
      <c r="C787" s="1" t="n">
        <v>45669</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59950-2020</t>
        </is>
      </c>
      <c r="B788" s="1" t="n">
        <v>44151</v>
      </c>
      <c r="C788" s="1" t="n">
        <v>45669</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59953-2020</t>
        </is>
      </c>
      <c r="B789" s="1" t="n">
        <v>44151</v>
      </c>
      <c r="C789" s="1" t="n">
        <v>45669</v>
      </c>
      <c r="D789" t="inlineStr">
        <is>
          <t>VÄSTERNORRLANDS LÄN</t>
        </is>
      </c>
      <c r="E789" t="inlineStr">
        <is>
          <t>SOLLEFTEÅ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60091-2020</t>
        </is>
      </c>
      <c r="B790" s="1" t="n">
        <v>44151</v>
      </c>
      <c r="C790" s="1" t="n">
        <v>45669</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61127-2020</t>
        </is>
      </c>
      <c r="B791" s="1" t="n">
        <v>44154</v>
      </c>
      <c r="C791" s="1" t="n">
        <v>45669</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61130-2020</t>
        </is>
      </c>
      <c r="B792" s="1" t="n">
        <v>44154</v>
      </c>
      <c r="C792" s="1" t="n">
        <v>45669</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61894-2020</t>
        </is>
      </c>
      <c r="B793" s="1" t="n">
        <v>44155</v>
      </c>
      <c r="C793" s="1" t="n">
        <v>45669</v>
      </c>
      <c r="D793" t="inlineStr">
        <is>
          <t>VÄSTERNORRLANDS LÄN</t>
        </is>
      </c>
      <c r="E793" t="inlineStr">
        <is>
          <t>SOLLEFTEÅ</t>
        </is>
      </c>
      <c r="G793" t="n">
        <v>0.4</v>
      </c>
      <c r="H793" t="n">
        <v>0</v>
      </c>
      <c r="I793" t="n">
        <v>0</v>
      </c>
      <c r="J793" t="n">
        <v>0</v>
      </c>
      <c r="K793" t="n">
        <v>0</v>
      </c>
      <c r="L793" t="n">
        <v>0</v>
      </c>
      <c r="M793" t="n">
        <v>0</v>
      </c>
      <c r="N793" t="n">
        <v>0</v>
      </c>
      <c r="O793" t="n">
        <v>0</v>
      </c>
      <c r="P793" t="n">
        <v>0</v>
      </c>
      <c r="Q793" t="n">
        <v>0</v>
      </c>
      <c r="R793" s="2" t="inlineStr"/>
    </row>
    <row r="794" ht="15" customHeight="1">
      <c r="A794" t="inlineStr">
        <is>
          <t>A 61943-2020</t>
        </is>
      </c>
      <c r="B794" s="1" t="n">
        <v>44155</v>
      </c>
      <c r="C794" s="1" t="n">
        <v>45669</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62666-2020</t>
        </is>
      </c>
      <c r="B795" s="1" t="n">
        <v>44161</v>
      </c>
      <c r="C795" s="1" t="n">
        <v>45669</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62881-2020</t>
        </is>
      </c>
      <c r="B796" s="1" t="n">
        <v>44161</v>
      </c>
      <c r="C796" s="1" t="n">
        <v>45669</v>
      </c>
      <c r="D796" t="inlineStr">
        <is>
          <t>VÄSTERNORRLANDS LÄN</t>
        </is>
      </c>
      <c r="E796" t="inlineStr">
        <is>
          <t>SOLLEFTEÅ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62883-2020</t>
        </is>
      </c>
      <c r="B797" s="1" t="n">
        <v>44161</v>
      </c>
      <c r="C797" s="1" t="n">
        <v>45669</v>
      </c>
      <c r="D797" t="inlineStr">
        <is>
          <t>VÄSTERNORRLANDS LÄN</t>
        </is>
      </c>
      <c r="E797" t="inlineStr">
        <is>
          <t>SOLLEFTEÅ</t>
        </is>
      </c>
      <c r="F797" t="inlineStr">
        <is>
          <t>SCA</t>
        </is>
      </c>
      <c r="G797" t="n">
        <v>8.5</v>
      </c>
      <c r="H797" t="n">
        <v>0</v>
      </c>
      <c r="I797" t="n">
        <v>0</v>
      </c>
      <c r="J797" t="n">
        <v>0</v>
      </c>
      <c r="K797" t="n">
        <v>0</v>
      </c>
      <c r="L797" t="n">
        <v>0</v>
      </c>
      <c r="M797" t="n">
        <v>0</v>
      </c>
      <c r="N797" t="n">
        <v>0</v>
      </c>
      <c r="O797" t="n">
        <v>0</v>
      </c>
      <c r="P797" t="n">
        <v>0</v>
      </c>
      <c r="Q797" t="n">
        <v>0</v>
      </c>
      <c r="R797" s="2" t="inlineStr"/>
    </row>
    <row r="798" ht="15" customHeight="1">
      <c r="A798" t="inlineStr">
        <is>
          <t>A 63190-2020</t>
        </is>
      </c>
      <c r="B798" s="1" t="n">
        <v>44162</v>
      </c>
      <c r="C798" s="1" t="n">
        <v>45669</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63210-2020</t>
        </is>
      </c>
      <c r="B799" s="1" t="n">
        <v>44163</v>
      </c>
      <c r="C799" s="1" t="n">
        <v>45669</v>
      </c>
      <c r="D799" t="inlineStr">
        <is>
          <t>VÄSTERNORRLANDS LÄN</t>
        </is>
      </c>
      <c r="E799" t="inlineStr">
        <is>
          <t>SOLLEFTEÅ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65401-2020</t>
        </is>
      </c>
      <c r="B800" s="1" t="n">
        <v>44169</v>
      </c>
      <c r="C800" s="1" t="n">
        <v>45669</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65407-2020</t>
        </is>
      </c>
      <c r="B801" s="1" t="n">
        <v>44169</v>
      </c>
      <c r="C801" s="1" t="n">
        <v>45669</v>
      </c>
      <c r="D801" t="inlineStr">
        <is>
          <t>VÄSTERNORRLANDS LÄN</t>
        </is>
      </c>
      <c r="E801" t="inlineStr">
        <is>
          <t>SOLLEFTEÅ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65403-2020</t>
        </is>
      </c>
      <c r="B802" s="1" t="n">
        <v>44169</v>
      </c>
      <c r="C802" s="1" t="n">
        <v>45669</v>
      </c>
      <c r="D802" t="inlineStr">
        <is>
          <t>VÄSTERNORRLANDS LÄN</t>
        </is>
      </c>
      <c r="E802" t="inlineStr">
        <is>
          <t>SOLLEFTEÅ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67063-2020</t>
        </is>
      </c>
      <c r="B803" s="1" t="n">
        <v>44176</v>
      </c>
      <c r="C803" s="1" t="n">
        <v>45669</v>
      </c>
      <c r="D803" t="inlineStr">
        <is>
          <t>VÄSTERNORRLANDS LÄN</t>
        </is>
      </c>
      <c r="E803" t="inlineStr">
        <is>
          <t>SOLLEFTEÅ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66845-2020</t>
        </is>
      </c>
      <c r="B804" s="1" t="n">
        <v>44179</v>
      </c>
      <c r="C804" s="1" t="n">
        <v>45669</v>
      </c>
      <c r="D804" t="inlineStr">
        <is>
          <t>VÄSTERNORRLANDS LÄN</t>
        </is>
      </c>
      <c r="E804" t="inlineStr">
        <is>
          <t>SOLLEFTEÅ</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66844-2020</t>
        </is>
      </c>
      <c r="B805" s="1" t="n">
        <v>44179</v>
      </c>
      <c r="C805" s="1" t="n">
        <v>45669</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66850-2020</t>
        </is>
      </c>
      <c r="B806" s="1" t="n">
        <v>44179</v>
      </c>
      <c r="C806" s="1" t="n">
        <v>45669</v>
      </c>
      <c r="D806" t="inlineStr">
        <is>
          <t>VÄSTERNORRLANDS LÄN</t>
        </is>
      </c>
      <c r="E806" t="inlineStr">
        <is>
          <t>SOLLEFTEÅ</t>
        </is>
      </c>
      <c r="G806" t="n">
        <v>3</v>
      </c>
      <c r="H806" t="n">
        <v>0</v>
      </c>
      <c r="I806" t="n">
        <v>0</v>
      </c>
      <c r="J806" t="n">
        <v>0</v>
      </c>
      <c r="K806" t="n">
        <v>0</v>
      </c>
      <c r="L806" t="n">
        <v>0</v>
      </c>
      <c r="M806" t="n">
        <v>0</v>
      </c>
      <c r="N806" t="n">
        <v>0</v>
      </c>
      <c r="O806" t="n">
        <v>0</v>
      </c>
      <c r="P806" t="n">
        <v>0</v>
      </c>
      <c r="Q806" t="n">
        <v>0</v>
      </c>
      <c r="R806" s="2" t="inlineStr"/>
    </row>
    <row r="807" ht="15" customHeight="1">
      <c r="A807" t="inlineStr">
        <is>
          <t>A 66851-2020</t>
        </is>
      </c>
      <c r="B807" s="1" t="n">
        <v>44179</v>
      </c>
      <c r="C807" s="1" t="n">
        <v>45669</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66853-2020</t>
        </is>
      </c>
      <c r="B808" s="1" t="n">
        <v>44179</v>
      </c>
      <c r="C808" s="1" t="n">
        <v>45669</v>
      </c>
      <c r="D808" t="inlineStr">
        <is>
          <t>VÄSTERNORRLANDS LÄN</t>
        </is>
      </c>
      <c r="E808" t="inlineStr">
        <is>
          <t>SOLLEFTEÅ</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67602-2020</t>
        </is>
      </c>
      <c r="B809" s="1" t="n">
        <v>44181</v>
      </c>
      <c r="C809" s="1" t="n">
        <v>45669</v>
      </c>
      <c r="D809" t="inlineStr">
        <is>
          <t>VÄSTERNORRLANDS LÄN</t>
        </is>
      </c>
      <c r="E809" t="inlineStr">
        <is>
          <t>SOLLEFTEÅ</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68016-2020</t>
        </is>
      </c>
      <c r="B810" s="1" t="n">
        <v>44182</v>
      </c>
      <c r="C810" s="1" t="n">
        <v>45669</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68026-2020</t>
        </is>
      </c>
      <c r="B811" s="1" t="n">
        <v>44182</v>
      </c>
      <c r="C811" s="1" t="n">
        <v>45669</v>
      </c>
      <c r="D811" t="inlineStr">
        <is>
          <t>VÄSTERNORRLANDS LÄN</t>
        </is>
      </c>
      <c r="E811" t="inlineStr">
        <is>
          <t>SOLLEFTEÅ</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68022-2020</t>
        </is>
      </c>
      <c r="B812" s="1" t="n">
        <v>44182</v>
      </c>
      <c r="C812" s="1" t="n">
        <v>45669</v>
      </c>
      <c r="D812" t="inlineStr">
        <is>
          <t>VÄSTERNORRLANDS LÄN</t>
        </is>
      </c>
      <c r="E812" t="inlineStr">
        <is>
          <t>SOLLEFTEÅ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68031-2020</t>
        </is>
      </c>
      <c r="B813" s="1" t="n">
        <v>44182</v>
      </c>
      <c r="C813" s="1" t="n">
        <v>45669</v>
      </c>
      <c r="D813" t="inlineStr">
        <is>
          <t>VÄSTERNORRLANDS LÄN</t>
        </is>
      </c>
      <c r="E813" t="inlineStr">
        <is>
          <t>SOLLEFTEÅ</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68036-2020</t>
        </is>
      </c>
      <c r="B814" s="1" t="n">
        <v>44182</v>
      </c>
      <c r="C814" s="1" t="n">
        <v>45669</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68020-2020</t>
        </is>
      </c>
      <c r="B815" s="1" t="n">
        <v>44182</v>
      </c>
      <c r="C815" s="1" t="n">
        <v>45669</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68030-2020</t>
        </is>
      </c>
      <c r="B816" s="1" t="n">
        <v>44182</v>
      </c>
      <c r="C816" s="1" t="n">
        <v>45669</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68034-2020</t>
        </is>
      </c>
      <c r="B817" s="1" t="n">
        <v>44182</v>
      </c>
      <c r="C817" s="1" t="n">
        <v>45669</v>
      </c>
      <c r="D817" t="inlineStr">
        <is>
          <t>VÄSTERNORRLANDS LÄN</t>
        </is>
      </c>
      <c r="E817" t="inlineStr">
        <is>
          <t>SOLLEFTEÅ</t>
        </is>
      </c>
      <c r="F817" t="inlineStr">
        <is>
          <t>SCA</t>
        </is>
      </c>
      <c r="G817" t="n">
        <v>17.1</v>
      </c>
      <c r="H817" t="n">
        <v>0</v>
      </c>
      <c r="I817" t="n">
        <v>0</v>
      </c>
      <c r="J817" t="n">
        <v>0</v>
      </c>
      <c r="K817" t="n">
        <v>0</v>
      </c>
      <c r="L817" t="n">
        <v>0</v>
      </c>
      <c r="M817" t="n">
        <v>0</v>
      </c>
      <c r="N817" t="n">
        <v>0</v>
      </c>
      <c r="O817" t="n">
        <v>0</v>
      </c>
      <c r="P817" t="n">
        <v>0</v>
      </c>
      <c r="Q817" t="n">
        <v>0</v>
      </c>
      <c r="R817" s="2" t="inlineStr"/>
    </row>
    <row r="818" ht="15" customHeight="1">
      <c r="A818" t="inlineStr">
        <is>
          <t>A 68033-2020</t>
        </is>
      </c>
      <c r="B818" s="1" t="n">
        <v>44182</v>
      </c>
      <c r="C818" s="1" t="n">
        <v>45669</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68015-2020</t>
        </is>
      </c>
      <c r="B819" s="1" t="n">
        <v>44182</v>
      </c>
      <c r="C819" s="1" t="n">
        <v>45669</v>
      </c>
      <c r="D819" t="inlineStr">
        <is>
          <t>VÄSTERNORRLANDS LÄN</t>
        </is>
      </c>
      <c r="E819" t="inlineStr">
        <is>
          <t>SOLLEFTEÅ</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68025-2020</t>
        </is>
      </c>
      <c r="B820" s="1" t="n">
        <v>44182</v>
      </c>
      <c r="C820" s="1" t="n">
        <v>45669</v>
      </c>
      <c r="D820" t="inlineStr">
        <is>
          <t>VÄSTERNORRLANDS LÄN</t>
        </is>
      </c>
      <c r="E820" t="inlineStr">
        <is>
          <t>SOLLEFTEÅ</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68032-2020</t>
        </is>
      </c>
      <c r="B821" s="1" t="n">
        <v>44182</v>
      </c>
      <c r="C821" s="1" t="n">
        <v>45669</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68037-2020</t>
        </is>
      </c>
      <c r="B822" s="1" t="n">
        <v>44182</v>
      </c>
      <c r="C822" s="1" t="n">
        <v>45669</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68292-2020</t>
        </is>
      </c>
      <c r="B823" s="1" t="n">
        <v>44183</v>
      </c>
      <c r="C823" s="1" t="n">
        <v>45669</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68570-2020</t>
        </is>
      </c>
      <c r="B824" s="1" t="n">
        <v>44186</v>
      </c>
      <c r="C824" s="1" t="n">
        <v>45669</v>
      </c>
      <c r="D824" t="inlineStr">
        <is>
          <t>VÄSTERNORRLANDS LÄN</t>
        </is>
      </c>
      <c r="E824" t="inlineStr">
        <is>
          <t>SOLLEFTEÅ</t>
        </is>
      </c>
      <c r="G824" t="n">
        <v>5.5</v>
      </c>
      <c r="H824" t="n">
        <v>0</v>
      </c>
      <c r="I824" t="n">
        <v>0</v>
      </c>
      <c r="J824" t="n">
        <v>0</v>
      </c>
      <c r="K824" t="n">
        <v>0</v>
      </c>
      <c r="L824" t="n">
        <v>0</v>
      </c>
      <c r="M824" t="n">
        <v>0</v>
      </c>
      <c r="N824" t="n">
        <v>0</v>
      </c>
      <c r="O824" t="n">
        <v>0</v>
      </c>
      <c r="P824" t="n">
        <v>0</v>
      </c>
      <c r="Q824" t="n">
        <v>0</v>
      </c>
      <c r="R824" s="2" t="inlineStr"/>
    </row>
    <row r="825" ht="15" customHeight="1">
      <c r="A825" t="inlineStr">
        <is>
          <t>A 68652-2020</t>
        </is>
      </c>
      <c r="B825" s="1" t="n">
        <v>44186</v>
      </c>
      <c r="C825" s="1" t="n">
        <v>45669</v>
      </c>
      <c r="D825" t="inlineStr">
        <is>
          <t>VÄSTERNORRLANDS LÄN</t>
        </is>
      </c>
      <c r="E825" t="inlineStr">
        <is>
          <t>SOLLEFTEÅ</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68647-2020</t>
        </is>
      </c>
      <c r="B826" s="1" t="n">
        <v>44186</v>
      </c>
      <c r="C826" s="1" t="n">
        <v>45669</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68648-2020</t>
        </is>
      </c>
      <c r="B827" s="1" t="n">
        <v>44186</v>
      </c>
      <c r="C827" s="1" t="n">
        <v>45669</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68656-2020</t>
        </is>
      </c>
      <c r="B828" s="1" t="n">
        <v>44186</v>
      </c>
      <c r="C828" s="1" t="n">
        <v>45669</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69436-2020</t>
        </is>
      </c>
      <c r="B829" s="1" t="n">
        <v>44193</v>
      </c>
      <c r="C829" s="1" t="n">
        <v>45669</v>
      </c>
      <c r="D829" t="inlineStr">
        <is>
          <t>VÄSTERNORRLANDS LÄN</t>
        </is>
      </c>
      <c r="E829" t="inlineStr">
        <is>
          <t>SOLLEFTEÅ</t>
        </is>
      </c>
      <c r="G829" t="n">
        <v>4.9</v>
      </c>
      <c r="H829" t="n">
        <v>0</v>
      </c>
      <c r="I829" t="n">
        <v>0</v>
      </c>
      <c r="J829" t="n">
        <v>0</v>
      </c>
      <c r="K829" t="n">
        <v>0</v>
      </c>
      <c r="L829" t="n">
        <v>0</v>
      </c>
      <c r="M829" t="n">
        <v>0</v>
      </c>
      <c r="N829" t="n">
        <v>0</v>
      </c>
      <c r="O829" t="n">
        <v>0</v>
      </c>
      <c r="P829" t="n">
        <v>0</v>
      </c>
      <c r="Q829" t="n">
        <v>0</v>
      </c>
      <c r="R829" s="2" t="inlineStr"/>
    </row>
    <row r="830" ht="15" customHeight="1">
      <c r="A830" t="inlineStr">
        <is>
          <t>A 272-2021</t>
        </is>
      </c>
      <c r="B830" s="1" t="n">
        <v>44200</v>
      </c>
      <c r="C830" s="1" t="n">
        <v>45669</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691-2021</t>
        </is>
      </c>
      <c r="B831" s="1" t="n">
        <v>44203</v>
      </c>
      <c r="C831" s="1" t="n">
        <v>45669</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1858-2021</t>
        </is>
      </c>
      <c r="B832" s="1" t="n">
        <v>44210</v>
      </c>
      <c r="C832" s="1" t="n">
        <v>45669</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2077-2021</t>
        </is>
      </c>
      <c r="B833" s="1" t="n">
        <v>44210</v>
      </c>
      <c r="C833" s="1" t="n">
        <v>45669</v>
      </c>
      <c r="D833" t="inlineStr">
        <is>
          <t>VÄSTERNORRLANDS LÄN</t>
        </is>
      </c>
      <c r="E833" t="inlineStr">
        <is>
          <t>SOLLEFTEÅ</t>
        </is>
      </c>
      <c r="G833" t="n">
        <v>6.1</v>
      </c>
      <c r="H833" t="n">
        <v>0</v>
      </c>
      <c r="I833" t="n">
        <v>0</v>
      </c>
      <c r="J833" t="n">
        <v>0</v>
      </c>
      <c r="K833" t="n">
        <v>0</v>
      </c>
      <c r="L833" t="n">
        <v>0</v>
      </c>
      <c r="M833" t="n">
        <v>0</v>
      </c>
      <c r="N833" t="n">
        <v>0</v>
      </c>
      <c r="O833" t="n">
        <v>0</v>
      </c>
      <c r="P833" t="n">
        <v>0</v>
      </c>
      <c r="Q833" t="n">
        <v>0</v>
      </c>
      <c r="R833" s="2" t="inlineStr"/>
    </row>
    <row r="834" ht="15" customHeight="1">
      <c r="A834" t="inlineStr">
        <is>
          <t>A 2487-2021</t>
        </is>
      </c>
      <c r="B834" s="1" t="n">
        <v>44211</v>
      </c>
      <c r="C834" s="1" t="n">
        <v>45669</v>
      </c>
      <c r="D834" t="inlineStr">
        <is>
          <t>VÄSTERNORRLANDS LÄN</t>
        </is>
      </c>
      <c r="E834" t="inlineStr">
        <is>
          <t>SOLLEFTEÅ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3441-2021</t>
        </is>
      </c>
      <c r="B835" s="1" t="n">
        <v>44218</v>
      </c>
      <c r="C835" s="1" t="n">
        <v>45669</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4127-2021</t>
        </is>
      </c>
      <c r="B836" s="1" t="n">
        <v>44222</v>
      </c>
      <c r="C836" s="1" t="n">
        <v>45669</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5989-2021</t>
        </is>
      </c>
      <c r="B837" s="1" t="n">
        <v>44231</v>
      </c>
      <c r="C837" s="1" t="n">
        <v>45669</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7658-2021</t>
        </is>
      </c>
      <c r="B838" s="1" t="n">
        <v>44242</v>
      </c>
      <c r="C838" s="1" t="n">
        <v>45669</v>
      </c>
      <c r="D838" t="inlineStr">
        <is>
          <t>VÄSTERNORRLANDS LÄN</t>
        </is>
      </c>
      <c r="E838" t="inlineStr">
        <is>
          <t>SOLLEFTEÅ</t>
        </is>
      </c>
      <c r="G838" t="n">
        <v>4.9</v>
      </c>
      <c r="H838" t="n">
        <v>0</v>
      </c>
      <c r="I838" t="n">
        <v>0</v>
      </c>
      <c r="J838" t="n">
        <v>0</v>
      </c>
      <c r="K838" t="n">
        <v>0</v>
      </c>
      <c r="L838" t="n">
        <v>0</v>
      </c>
      <c r="M838" t="n">
        <v>0</v>
      </c>
      <c r="N838" t="n">
        <v>0</v>
      </c>
      <c r="O838" t="n">
        <v>0</v>
      </c>
      <c r="P838" t="n">
        <v>0</v>
      </c>
      <c r="Q838" t="n">
        <v>0</v>
      </c>
      <c r="R838" s="2" t="inlineStr"/>
    </row>
    <row r="839" ht="15" customHeight="1">
      <c r="A839" t="inlineStr">
        <is>
          <t>A 7659-2021</t>
        </is>
      </c>
      <c r="B839" s="1" t="n">
        <v>44242</v>
      </c>
      <c r="C839" s="1" t="n">
        <v>45669</v>
      </c>
      <c r="D839" t="inlineStr">
        <is>
          <t>VÄSTERNORRLANDS LÄN</t>
        </is>
      </c>
      <c r="E839" t="inlineStr">
        <is>
          <t>SOLLEFTEÅ</t>
        </is>
      </c>
      <c r="G839" t="n">
        <v>8.1</v>
      </c>
      <c r="H839" t="n">
        <v>0</v>
      </c>
      <c r="I839" t="n">
        <v>0</v>
      </c>
      <c r="J839" t="n">
        <v>0</v>
      </c>
      <c r="K839" t="n">
        <v>0</v>
      </c>
      <c r="L839" t="n">
        <v>0</v>
      </c>
      <c r="M839" t="n">
        <v>0</v>
      </c>
      <c r="N839" t="n">
        <v>0</v>
      </c>
      <c r="O839" t="n">
        <v>0</v>
      </c>
      <c r="P839" t="n">
        <v>0</v>
      </c>
      <c r="Q839" t="n">
        <v>0</v>
      </c>
      <c r="R839" s="2" t="inlineStr"/>
    </row>
    <row r="840" ht="15" customHeight="1">
      <c r="A840" t="inlineStr">
        <is>
          <t>A 7889-2021</t>
        </is>
      </c>
      <c r="B840" s="1" t="n">
        <v>44242</v>
      </c>
      <c r="C840" s="1" t="n">
        <v>45669</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8631-2021</t>
        </is>
      </c>
      <c r="B841" s="1" t="n">
        <v>44245</v>
      </c>
      <c r="C841" s="1" t="n">
        <v>45669</v>
      </c>
      <c r="D841" t="inlineStr">
        <is>
          <t>VÄSTERNORRLANDS LÄN</t>
        </is>
      </c>
      <c r="E841" t="inlineStr">
        <is>
          <t>SOLLEFTEÅ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8692-2021</t>
        </is>
      </c>
      <c r="B842" s="1" t="n">
        <v>44246</v>
      </c>
      <c r="C842" s="1" t="n">
        <v>45669</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9461-2021</t>
        </is>
      </c>
      <c r="B843" s="1" t="n">
        <v>44251</v>
      </c>
      <c r="C843" s="1" t="n">
        <v>45669</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11270-2021</t>
        </is>
      </c>
      <c r="B844" s="1" t="n">
        <v>44263</v>
      </c>
      <c r="C844" s="1" t="n">
        <v>45669</v>
      </c>
      <c r="D844" t="inlineStr">
        <is>
          <t>VÄSTERNORRLANDS LÄN</t>
        </is>
      </c>
      <c r="E844" t="inlineStr">
        <is>
          <t>SOLLEFTEÅ</t>
        </is>
      </c>
      <c r="F844" t="inlineStr">
        <is>
          <t>Kommuner</t>
        </is>
      </c>
      <c r="G844" t="n">
        <v>10.9</v>
      </c>
      <c r="H844" t="n">
        <v>0</v>
      </c>
      <c r="I844" t="n">
        <v>0</v>
      </c>
      <c r="J844" t="n">
        <v>0</v>
      </c>
      <c r="K844" t="n">
        <v>0</v>
      </c>
      <c r="L844" t="n">
        <v>0</v>
      </c>
      <c r="M844" t="n">
        <v>0</v>
      </c>
      <c r="N844" t="n">
        <v>0</v>
      </c>
      <c r="O844" t="n">
        <v>0</v>
      </c>
      <c r="P844" t="n">
        <v>0</v>
      </c>
      <c r="Q844" t="n">
        <v>0</v>
      </c>
      <c r="R844" s="2" t="inlineStr"/>
    </row>
    <row r="845" ht="15" customHeight="1">
      <c r="A845" t="inlineStr">
        <is>
          <t>A 11710-2021</t>
        </is>
      </c>
      <c r="B845" s="1" t="n">
        <v>44264</v>
      </c>
      <c r="C845" s="1" t="n">
        <v>45669</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12278-2021</t>
        </is>
      </c>
      <c r="B846" s="1" t="n">
        <v>44266</v>
      </c>
      <c r="C846" s="1" t="n">
        <v>45669</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12277-2021</t>
        </is>
      </c>
      <c r="B847" s="1" t="n">
        <v>44266</v>
      </c>
      <c r="C847" s="1" t="n">
        <v>45669</v>
      </c>
      <c r="D847" t="inlineStr">
        <is>
          <t>VÄSTERNORRLANDS LÄN</t>
        </is>
      </c>
      <c r="E847" t="inlineStr">
        <is>
          <t>SOLLEFTEÅ</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12279-2021</t>
        </is>
      </c>
      <c r="B848" s="1" t="n">
        <v>44266</v>
      </c>
      <c r="C848" s="1" t="n">
        <v>45669</v>
      </c>
      <c r="D848" t="inlineStr">
        <is>
          <t>VÄSTERNORRLANDS LÄN</t>
        </is>
      </c>
      <c r="E848" t="inlineStr">
        <is>
          <t>SOLLEFTEÅ</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14733-2021</t>
        </is>
      </c>
      <c r="B849" s="1" t="n">
        <v>44280</v>
      </c>
      <c r="C849" s="1" t="n">
        <v>45669</v>
      </c>
      <c r="D849" t="inlineStr">
        <is>
          <t>VÄSTERNORRLANDS LÄN</t>
        </is>
      </c>
      <c r="E849" t="inlineStr">
        <is>
          <t>SOLLEFTEÅ</t>
        </is>
      </c>
      <c r="G849" t="n">
        <v>5.3</v>
      </c>
      <c r="H849" t="n">
        <v>0</v>
      </c>
      <c r="I849" t="n">
        <v>0</v>
      </c>
      <c r="J849" t="n">
        <v>0</v>
      </c>
      <c r="K849" t="n">
        <v>0</v>
      </c>
      <c r="L849" t="n">
        <v>0</v>
      </c>
      <c r="M849" t="n">
        <v>0</v>
      </c>
      <c r="N849" t="n">
        <v>0</v>
      </c>
      <c r="O849" t="n">
        <v>0</v>
      </c>
      <c r="P849" t="n">
        <v>0</v>
      </c>
      <c r="Q849" t="n">
        <v>0</v>
      </c>
      <c r="R849" s="2" t="inlineStr"/>
    </row>
    <row r="850" ht="15" customHeight="1">
      <c r="A850" t="inlineStr">
        <is>
          <t>A 15461-2021</t>
        </is>
      </c>
      <c r="B850" s="1" t="n">
        <v>44285</v>
      </c>
      <c r="C850" s="1" t="n">
        <v>45669</v>
      </c>
      <c r="D850" t="inlineStr">
        <is>
          <t>VÄSTERNORRLANDS LÄN</t>
        </is>
      </c>
      <c r="E850" t="inlineStr">
        <is>
          <t>SOLLEFTEÅ</t>
        </is>
      </c>
      <c r="G850" t="n">
        <v>0.5</v>
      </c>
      <c r="H850" t="n">
        <v>0</v>
      </c>
      <c r="I850" t="n">
        <v>0</v>
      </c>
      <c r="J850" t="n">
        <v>0</v>
      </c>
      <c r="K850" t="n">
        <v>0</v>
      </c>
      <c r="L850" t="n">
        <v>0</v>
      </c>
      <c r="M850" t="n">
        <v>0</v>
      </c>
      <c r="N850" t="n">
        <v>0</v>
      </c>
      <c r="O850" t="n">
        <v>0</v>
      </c>
      <c r="P850" t="n">
        <v>0</v>
      </c>
      <c r="Q850" t="n">
        <v>0</v>
      </c>
      <c r="R850" s="2" t="inlineStr"/>
    </row>
    <row r="851" ht="15" customHeight="1">
      <c r="A851" t="inlineStr">
        <is>
          <t>A 15894-2021</t>
        </is>
      </c>
      <c r="B851" s="1" t="n">
        <v>44286</v>
      </c>
      <c r="C851" s="1" t="n">
        <v>45669</v>
      </c>
      <c r="D851" t="inlineStr">
        <is>
          <t>VÄSTERNORRLANDS LÄN</t>
        </is>
      </c>
      <c r="E851" t="inlineStr">
        <is>
          <t>SOLLEFTEÅ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16700-2021</t>
        </is>
      </c>
      <c r="B852" s="1" t="n">
        <v>44293</v>
      </c>
      <c r="C852" s="1" t="n">
        <v>45669</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16799-2021</t>
        </is>
      </c>
      <c r="B853" s="1" t="n">
        <v>44293</v>
      </c>
      <c r="C853" s="1" t="n">
        <v>45669</v>
      </c>
      <c r="D853" t="inlineStr">
        <is>
          <t>VÄSTERNORRLANDS LÄN</t>
        </is>
      </c>
      <c r="E853" t="inlineStr">
        <is>
          <t>SOLLEFTEÅ</t>
        </is>
      </c>
      <c r="G853" t="n">
        <v>3</v>
      </c>
      <c r="H853" t="n">
        <v>0</v>
      </c>
      <c r="I853" t="n">
        <v>0</v>
      </c>
      <c r="J853" t="n">
        <v>0</v>
      </c>
      <c r="K853" t="n">
        <v>0</v>
      </c>
      <c r="L853" t="n">
        <v>0</v>
      </c>
      <c r="M853" t="n">
        <v>0</v>
      </c>
      <c r="N853" t="n">
        <v>0</v>
      </c>
      <c r="O853" t="n">
        <v>0</v>
      </c>
      <c r="P853" t="n">
        <v>0</v>
      </c>
      <c r="Q853" t="n">
        <v>0</v>
      </c>
      <c r="R853" s="2" t="inlineStr"/>
    </row>
    <row r="854" ht="15" customHeight="1">
      <c r="A854" t="inlineStr">
        <is>
          <t>A 16905-2021</t>
        </is>
      </c>
      <c r="B854" s="1" t="n">
        <v>44294</v>
      </c>
      <c r="C854" s="1" t="n">
        <v>45669</v>
      </c>
      <c r="D854" t="inlineStr">
        <is>
          <t>VÄSTERNORRLANDS LÄN</t>
        </is>
      </c>
      <c r="E854" t="inlineStr">
        <is>
          <t>SOLLEFTEÅ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17604-2021</t>
        </is>
      </c>
      <c r="B855" s="1" t="n">
        <v>44299</v>
      </c>
      <c r="C855" s="1" t="n">
        <v>45669</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18459-2021</t>
        </is>
      </c>
      <c r="B856" s="1" t="n">
        <v>44306</v>
      </c>
      <c r="C856" s="1" t="n">
        <v>45669</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18668-2021</t>
        </is>
      </c>
      <c r="B857" s="1" t="n">
        <v>44306</v>
      </c>
      <c r="C857" s="1" t="n">
        <v>45669</v>
      </c>
      <c r="D857" t="inlineStr">
        <is>
          <t>VÄSTERNORRLANDS LÄN</t>
        </is>
      </c>
      <c r="E857" t="inlineStr">
        <is>
          <t>SOLLEFTEÅ</t>
        </is>
      </c>
      <c r="G857" t="n">
        <v>12.7</v>
      </c>
      <c r="H857" t="n">
        <v>0</v>
      </c>
      <c r="I857" t="n">
        <v>0</v>
      </c>
      <c r="J857" t="n">
        <v>0</v>
      </c>
      <c r="K857" t="n">
        <v>0</v>
      </c>
      <c r="L857" t="n">
        <v>0</v>
      </c>
      <c r="M857" t="n">
        <v>0</v>
      </c>
      <c r="N857" t="n">
        <v>0</v>
      </c>
      <c r="O857" t="n">
        <v>0</v>
      </c>
      <c r="P857" t="n">
        <v>0</v>
      </c>
      <c r="Q857" t="n">
        <v>0</v>
      </c>
      <c r="R857" s="2" t="inlineStr"/>
    </row>
    <row r="858" ht="15" customHeight="1">
      <c r="A858" t="inlineStr">
        <is>
          <t>A 18741-2021</t>
        </is>
      </c>
      <c r="B858" s="1" t="n">
        <v>44306</v>
      </c>
      <c r="C858" s="1" t="n">
        <v>45669</v>
      </c>
      <c r="D858" t="inlineStr">
        <is>
          <t>VÄSTERNORRLANDS LÄN</t>
        </is>
      </c>
      <c r="E858" t="inlineStr">
        <is>
          <t>SOLLEFTEÅ</t>
        </is>
      </c>
      <c r="F858" t="inlineStr">
        <is>
          <t>Kyrkan</t>
        </is>
      </c>
      <c r="G858" t="n">
        <v>4.8</v>
      </c>
      <c r="H858" t="n">
        <v>0</v>
      </c>
      <c r="I858" t="n">
        <v>0</v>
      </c>
      <c r="J858" t="n">
        <v>0</v>
      </c>
      <c r="K858" t="n">
        <v>0</v>
      </c>
      <c r="L858" t="n">
        <v>0</v>
      </c>
      <c r="M858" t="n">
        <v>0</v>
      </c>
      <c r="N858" t="n">
        <v>0</v>
      </c>
      <c r="O858" t="n">
        <v>0</v>
      </c>
      <c r="P858" t="n">
        <v>0</v>
      </c>
      <c r="Q858" t="n">
        <v>0</v>
      </c>
      <c r="R858" s="2" t="inlineStr"/>
    </row>
    <row r="859" ht="15" customHeight="1">
      <c r="A859" t="inlineStr">
        <is>
          <t>A 18662-2021</t>
        </is>
      </c>
      <c r="B859" s="1" t="n">
        <v>44306</v>
      </c>
      <c r="C859" s="1" t="n">
        <v>45669</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18766-2021</t>
        </is>
      </c>
      <c r="B860" s="1" t="n">
        <v>44307</v>
      </c>
      <c r="C860" s="1" t="n">
        <v>45669</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18761-2021</t>
        </is>
      </c>
      <c r="B861" s="1" t="n">
        <v>44307</v>
      </c>
      <c r="C861" s="1" t="n">
        <v>45669</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18873-2021</t>
        </is>
      </c>
      <c r="B862" s="1" t="n">
        <v>44308</v>
      </c>
      <c r="C862" s="1" t="n">
        <v>45669</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18878-2021</t>
        </is>
      </c>
      <c r="B863" s="1" t="n">
        <v>44307</v>
      </c>
      <c r="C863" s="1" t="n">
        <v>45669</v>
      </c>
      <c r="D863" t="inlineStr">
        <is>
          <t>VÄSTERNORRLANDS LÄN</t>
        </is>
      </c>
      <c r="E863" t="inlineStr">
        <is>
          <t>SOLLEFTEÅ</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18867-2021</t>
        </is>
      </c>
      <c r="B864" s="1" t="n">
        <v>44307</v>
      </c>
      <c r="C864" s="1" t="n">
        <v>45669</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18882-2021</t>
        </is>
      </c>
      <c r="B865" s="1" t="n">
        <v>44308</v>
      </c>
      <c r="C865" s="1" t="n">
        <v>45669</v>
      </c>
      <c r="D865" t="inlineStr">
        <is>
          <t>VÄSTERNORRLANDS LÄN</t>
        </is>
      </c>
      <c r="E865" t="inlineStr">
        <is>
          <t>SOLLEFTEÅ</t>
        </is>
      </c>
      <c r="F865" t="inlineStr">
        <is>
          <t>SCA</t>
        </is>
      </c>
      <c r="G865" t="n">
        <v>6.1</v>
      </c>
      <c r="H865" t="n">
        <v>0</v>
      </c>
      <c r="I865" t="n">
        <v>0</v>
      </c>
      <c r="J865" t="n">
        <v>0</v>
      </c>
      <c r="K865" t="n">
        <v>0</v>
      </c>
      <c r="L865" t="n">
        <v>0</v>
      </c>
      <c r="M865" t="n">
        <v>0</v>
      </c>
      <c r="N865" t="n">
        <v>0</v>
      </c>
      <c r="O865" t="n">
        <v>0</v>
      </c>
      <c r="P865" t="n">
        <v>0</v>
      </c>
      <c r="Q865" t="n">
        <v>0</v>
      </c>
      <c r="R865" s="2" t="inlineStr"/>
    </row>
    <row r="866" ht="15" customHeight="1">
      <c r="A866" t="inlineStr">
        <is>
          <t>A 18875-2021</t>
        </is>
      </c>
      <c r="B866" s="1" t="n">
        <v>44307</v>
      </c>
      <c r="C866" s="1" t="n">
        <v>45669</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18866-2021</t>
        </is>
      </c>
      <c r="B867" s="1" t="n">
        <v>44308</v>
      </c>
      <c r="C867" s="1" t="n">
        <v>45669</v>
      </c>
      <c r="D867" t="inlineStr">
        <is>
          <t>VÄSTERNORRLANDS LÄN</t>
        </is>
      </c>
      <c r="E867" t="inlineStr">
        <is>
          <t>SOLLEFTEÅ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18874-2021</t>
        </is>
      </c>
      <c r="B868" s="1" t="n">
        <v>44308</v>
      </c>
      <c r="C868" s="1" t="n">
        <v>45669</v>
      </c>
      <c r="D868" t="inlineStr">
        <is>
          <t>VÄSTERNORRLANDS LÄN</t>
        </is>
      </c>
      <c r="E868" t="inlineStr">
        <is>
          <t>SOLLEFTEÅ</t>
        </is>
      </c>
      <c r="F868" t="inlineStr">
        <is>
          <t>SCA</t>
        </is>
      </c>
      <c r="G868" t="n">
        <v>10.7</v>
      </c>
      <c r="H868" t="n">
        <v>0</v>
      </c>
      <c r="I868" t="n">
        <v>0</v>
      </c>
      <c r="J868" t="n">
        <v>0</v>
      </c>
      <c r="K868" t="n">
        <v>0</v>
      </c>
      <c r="L868" t="n">
        <v>0</v>
      </c>
      <c r="M868" t="n">
        <v>0</v>
      </c>
      <c r="N868" t="n">
        <v>0</v>
      </c>
      <c r="O868" t="n">
        <v>0</v>
      </c>
      <c r="P868" t="n">
        <v>0</v>
      </c>
      <c r="Q868" t="n">
        <v>0</v>
      </c>
      <c r="R868" s="2" t="inlineStr"/>
    </row>
    <row r="869" ht="15" customHeight="1">
      <c r="A869" t="inlineStr">
        <is>
          <t>A 18879-2021</t>
        </is>
      </c>
      <c r="B869" s="1" t="n">
        <v>44307</v>
      </c>
      <c r="C869" s="1" t="n">
        <v>45669</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18868-2021</t>
        </is>
      </c>
      <c r="B870" s="1" t="n">
        <v>44307</v>
      </c>
      <c r="C870" s="1" t="n">
        <v>45669</v>
      </c>
      <c r="D870" t="inlineStr">
        <is>
          <t>VÄSTERNORRLANDS LÄN</t>
        </is>
      </c>
      <c r="E870" t="inlineStr">
        <is>
          <t>SOLLEFTEÅ</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18877-2021</t>
        </is>
      </c>
      <c r="B871" s="1" t="n">
        <v>44308</v>
      </c>
      <c r="C871" s="1" t="n">
        <v>45669</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18889-2021</t>
        </is>
      </c>
      <c r="B872" s="1" t="n">
        <v>44308</v>
      </c>
      <c r="C872" s="1" t="n">
        <v>45669</v>
      </c>
      <c r="D872" t="inlineStr">
        <is>
          <t>VÄSTERNORRLANDS LÄN</t>
        </is>
      </c>
      <c r="E872" t="inlineStr">
        <is>
          <t>SOLLEFTEÅ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19200-2021</t>
        </is>
      </c>
      <c r="B873" s="1" t="n">
        <v>44309</v>
      </c>
      <c r="C873" s="1" t="n">
        <v>45669</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19510-2021</t>
        </is>
      </c>
      <c r="B874" s="1" t="n">
        <v>44308</v>
      </c>
      <c r="C874" s="1" t="n">
        <v>45669</v>
      </c>
      <c r="D874" t="inlineStr">
        <is>
          <t>VÄSTERNORRLANDS LÄN</t>
        </is>
      </c>
      <c r="E874" t="inlineStr">
        <is>
          <t>SOLLEFTEÅ</t>
        </is>
      </c>
      <c r="F874" t="inlineStr">
        <is>
          <t>Kyrkan</t>
        </is>
      </c>
      <c r="G874" t="n">
        <v>19.6</v>
      </c>
      <c r="H874" t="n">
        <v>0</v>
      </c>
      <c r="I874" t="n">
        <v>0</v>
      </c>
      <c r="J874" t="n">
        <v>0</v>
      </c>
      <c r="K874" t="n">
        <v>0</v>
      </c>
      <c r="L874" t="n">
        <v>0</v>
      </c>
      <c r="M874" t="n">
        <v>0</v>
      </c>
      <c r="N874" t="n">
        <v>0</v>
      </c>
      <c r="O874" t="n">
        <v>0</v>
      </c>
      <c r="P874" t="n">
        <v>0</v>
      </c>
      <c r="Q874" t="n">
        <v>0</v>
      </c>
      <c r="R874" s="2" t="inlineStr"/>
    </row>
    <row r="875" ht="15" customHeight="1">
      <c r="A875" t="inlineStr">
        <is>
          <t>A 19220-2021</t>
        </is>
      </c>
      <c r="B875" s="1" t="n">
        <v>44309</v>
      </c>
      <c r="C875" s="1" t="n">
        <v>45669</v>
      </c>
      <c r="D875" t="inlineStr">
        <is>
          <t>VÄSTERNORRLANDS LÄN</t>
        </is>
      </c>
      <c r="E875" t="inlineStr">
        <is>
          <t>SOLLEFTEÅ</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19433-2021</t>
        </is>
      </c>
      <c r="B876" s="1" t="n">
        <v>44310</v>
      </c>
      <c r="C876" s="1" t="n">
        <v>45669</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19412-2021</t>
        </is>
      </c>
      <c r="B877" s="1" t="n">
        <v>44310</v>
      </c>
      <c r="C877" s="1" t="n">
        <v>45669</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19435-2021</t>
        </is>
      </c>
      <c r="B878" s="1" t="n">
        <v>44310</v>
      </c>
      <c r="C878" s="1" t="n">
        <v>45669</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19516-2021</t>
        </is>
      </c>
      <c r="B879" s="1" t="n">
        <v>44309</v>
      </c>
      <c r="C879" s="1" t="n">
        <v>45669</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19830-2021</t>
        </is>
      </c>
      <c r="B880" s="1" t="n">
        <v>44312</v>
      </c>
      <c r="C880" s="1" t="n">
        <v>45669</v>
      </c>
      <c r="D880" t="inlineStr">
        <is>
          <t>VÄSTERNORRLANDS LÄN</t>
        </is>
      </c>
      <c r="E880" t="inlineStr">
        <is>
          <t>SOLLEFTEÅ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19637-2021</t>
        </is>
      </c>
      <c r="B881" s="1" t="n">
        <v>44312</v>
      </c>
      <c r="C881" s="1" t="n">
        <v>45669</v>
      </c>
      <c r="D881" t="inlineStr">
        <is>
          <t>VÄSTERNORRLANDS LÄN</t>
        </is>
      </c>
      <c r="E881" t="inlineStr">
        <is>
          <t>SOLLEFTEÅ</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21341-2021</t>
        </is>
      </c>
      <c r="B882" s="1" t="n">
        <v>44321</v>
      </c>
      <c r="C882" s="1" t="n">
        <v>45669</v>
      </c>
      <c r="D882" t="inlineStr">
        <is>
          <t>VÄSTERNORRLANDS LÄN</t>
        </is>
      </c>
      <c r="E882" t="inlineStr">
        <is>
          <t>SOLLEFTEÅ</t>
        </is>
      </c>
      <c r="G882" t="n">
        <v>4.1</v>
      </c>
      <c r="H882" t="n">
        <v>0</v>
      </c>
      <c r="I882" t="n">
        <v>0</v>
      </c>
      <c r="J882" t="n">
        <v>0</v>
      </c>
      <c r="K882" t="n">
        <v>0</v>
      </c>
      <c r="L882" t="n">
        <v>0</v>
      </c>
      <c r="M882" t="n">
        <v>0</v>
      </c>
      <c r="N882" t="n">
        <v>0</v>
      </c>
      <c r="O882" t="n">
        <v>0</v>
      </c>
      <c r="P882" t="n">
        <v>0</v>
      </c>
      <c r="Q882" t="n">
        <v>0</v>
      </c>
      <c r="R882" s="2" t="inlineStr"/>
    </row>
    <row r="883" ht="15" customHeight="1">
      <c r="A883" t="inlineStr">
        <is>
          <t>A 21350-2021</t>
        </is>
      </c>
      <c r="B883" s="1" t="n">
        <v>44321</v>
      </c>
      <c r="C883" s="1" t="n">
        <v>45669</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21358-2021</t>
        </is>
      </c>
      <c r="B884" s="1" t="n">
        <v>44320</v>
      </c>
      <c r="C884" s="1" t="n">
        <v>45669</v>
      </c>
      <c r="D884" t="inlineStr">
        <is>
          <t>VÄSTERNORRLANDS LÄN</t>
        </is>
      </c>
      <c r="E884" t="inlineStr">
        <is>
          <t>SOLLEFTEÅ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21362-2021</t>
        </is>
      </c>
      <c r="B885" s="1" t="n">
        <v>44321</v>
      </c>
      <c r="C885" s="1" t="n">
        <v>45669</v>
      </c>
      <c r="D885" t="inlineStr">
        <is>
          <t>VÄSTERNORRLANDS LÄN</t>
        </is>
      </c>
      <c r="E885" t="inlineStr">
        <is>
          <t>SOLLEFTEÅ</t>
        </is>
      </c>
      <c r="G885" t="n">
        <v>1</v>
      </c>
      <c r="H885" t="n">
        <v>0</v>
      </c>
      <c r="I885" t="n">
        <v>0</v>
      </c>
      <c r="J885" t="n">
        <v>0</v>
      </c>
      <c r="K885" t="n">
        <v>0</v>
      </c>
      <c r="L885" t="n">
        <v>0</v>
      </c>
      <c r="M885" t="n">
        <v>0</v>
      </c>
      <c r="N885" t="n">
        <v>0</v>
      </c>
      <c r="O885" t="n">
        <v>0</v>
      </c>
      <c r="P885" t="n">
        <v>0</v>
      </c>
      <c r="Q885" t="n">
        <v>0</v>
      </c>
      <c r="R885" s="2" t="inlineStr"/>
    </row>
    <row r="886" ht="15" customHeight="1">
      <c r="A886" t="inlineStr">
        <is>
          <t>A 21532-2021</t>
        </is>
      </c>
      <c r="B886" s="1" t="n">
        <v>44321</v>
      </c>
      <c r="C886" s="1" t="n">
        <v>45669</v>
      </c>
      <c r="D886" t="inlineStr">
        <is>
          <t>VÄSTERNORRLANDS LÄN</t>
        </is>
      </c>
      <c r="E886" t="inlineStr">
        <is>
          <t>SOLLEFTEÅ</t>
        </is>
      </c>
      <c r="G886" t="n">
        <v>1.1</v>
      </c>
      <c r="H886" t="n">
        <v>0</v>
      </c>
      <c r="I886" t="n">
        <v>0</v>
      </c>
      <c r="J886" t="n">
        <v>0</v>
      </c>
      <c r="K886" t="n">
        <v>0</v>
      </c>
      <c r="L886" t="n">
        <v>0</v>
      </c>
      <c r="M886" t="n">
        <v>0</v>
      </c>
      <c r="N886" t="n">
        <v>0</v>
      </c>
      <c r="O886" t="n">
        <v>0</v>
      </c>
      <c r="P886" t="n">
        <v>0</v>
      </c>
      <c r="Q886" t="n">
        <v>0</v>
      </c>
      <c r="R886" s="2" t="inlineStr"/>
    </row>
    <row r="887" ht="15" customHeight="1">
      <c r="A887" t="inlineStr">
        <is>
          <t>A 21589-2021</t>
        </is>
      </c>
      <c r="B887" s="1" t="n">
        <v>44321</v>
      </c>
      <c r="C887" s="1" t="n">
        <v>45669</v>
      </c>
      <c r="D887" t="inlineStr">
        <is>
          <t>VÄSTERNORRLANDS LÄN</t>
        </is>
      </c>
      <c r="E887" t="inlineStr">
        <is>
          <t>SOLLEFTEÅ</t>
        </is>
      </c>
      <c r="G887" t="n">
        <v>7</v>
      </c>
      <c r="H887" t="n">
        <v>0</v>
      </c>
      <c r="I887" t="n">
        <v>0</v>
      </c>
      <c r="J887" t="n">
        <v>0</v>
      </c>
      <c r="K887" t="n">
        <v>0</v>
      </c>
      <c r="L887" t="n">
        <v>0</v>
      </c>
      <c r="M887" t="n">
        <v>0</v>
      </c>
      <c r="N887" t="n">
        <v>0</v>
      </c>
      <c r="O887" t="n">
        <v>0</v>
      </c>
      <c r="P887" t="n">
        <v>0</v>
      </c>
      <c r="Q887" t="n">
        <v>0</v>
      </c>
      <c r="R887" s="2" t="inlineStr"/>
    </row>
    <row r="888" ht="15" customHeight="1">
      <c r="A888" t="inlineStr">
        <is>
          <t>A 21711-2021</t>
        </is>
      </c>
      <c r="B888" s="1" t="n">
        <v>44322</v>
      </c>
      <c r="C888" s="1" t="n">
        <v>45669</v>
      </c>
      <c r="D888" t="inlineStr">
        <is>
          <t>VÄSTERNORRLANDS LÄN</t>
        </is>
      </c>
      <c r="E888" t="inlineStr">
        <is>
          <t>SOLLEFTEÅ</t>
        </is>
      </c>
      <c r="F888" t="inlineStr">
        <is>
          <t>Kyrkan</t>
        </is>
      </c>
      <c r="G888" t="n">
        <v>22.2</v>
      </c>
      <c r="H888" t="n">
        <v>0</v>
      </c>
      <c r="I888" t="n">
        <v>0</v>
      </c>
      <c r="J888" t="n">
        <v>0</v>
      </c>
      <c r="K888" t="n">
        <v>0</v>
      </c>
      <c r="L888" t="n">
        <v>0</v>
      </c>
      <c r="M888" t="n">
        <v>0</v>
      </c>
      <c r="N888" t="n">
        <v>0</v>
      </c>
      <c r="O888" t="n">
        <v>0</v>
      </c>
      <c r="P888" t="n">
        <v>0</v>
      </c>
      <c r="Q888" t="n">
        <v>0</v>
      </c>
      <c r="R888" s="2" t="inlineStr"/>
    </row>
    <row r="889" ht="15" customHeight="1">
      <c r="A889" t="inlineStr">
        <is>
          <t>A 21924-2021</t>
        </is>
      </c>
      <c r="B889" s="1" t="n">
        <v>44323</v>
      </c>
      <c r="C889" s="1" t="n">
        <v>45669</v>
      </c>
      <c r="D889" t="inlineStr">
        <is>
          <t>VÄSTERNORRLANDS LÄN</t>
        </is>
      </c>
      <c r="E889" t="inlineStr">
        <is>
          <t>SOLLEFTEÅ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22447-2021</t>
        </is>
      </c>
      <c r="B890" s="1" t="n">
        <v>44323</v>
      </c>
      <c r="C890" s="1" t="n">
        <v>45669</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22441-2021</t>
        </is>
      </c>
      <c r="B891" s="1" t="n">
        <v>44323</v>
      </c>
      <c r="C891" s="1" t="n">
        <v>45669</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22224-2021</t>
        </is>
      </c>
      <c r="B892" s="1" t="n">
        <v>44326</v>
      </c>
      <c r="C892" s="1" t="n">
        <v>45669</v>
      </c>
      <c r="D892" t="inlineStr">
        <is>
          <t>VÄSTERNORRLANDS LÄN</t>
        </is>
      </c>
      <c r="E892" t="inlineStr">
        <is>
          <t>SOLLEFTEÅ</t>
        </is>
      </c>
      <c r="F892" t="inlineStr">
        <is>
          <t>Kommuner</t>
        </is>
      </c>
      <c r="G892" t="n">
        <v>2.3</v>
      </c>
      <c r="H892" t="n">
        <v>0</v>
      </c>
      <c r="I892" t="n">
        <v>0</v>
      </c>
      <c r="J892" t="n">
        <v>0</v>
      </c>
      <c r="K892" t="n">
        <v>0</v>
      </c>
      <c r="L892" t="n">
        <v>0</v>
      </c>
      <c r="M892" t="n">
        <v>0</v>
      </c>
      <c r="N892" t="n">
        <v>0</v>
      </c>
      <c r="O892" t="n">
        <v>0</v>
      </c>
      <c r="P892" t="n">
        <v>0</v>
      </c>
      <c r="Q892" t="n">
        <v>0</v>
      </c>
      <c r="R892" s="2" t="inlineStr"/>
    </row>
    <row r="893" ht="15" customHeight="1">
      <c r="A893" t="inlineStr">
        <is>
          <t>A 22934-2021</t>
        </is>
      </c>
      <c r="B893" s="1" t="n">
        <v>44328</v>
      </c>
      <c r="C893" s="1" t="n">
        <v>45669</v>
      </c>
      <c r="D893" t="inlineStr">
        <is>
          <t>VÄSTERNORRLANDS LÄN</t>
        </is>
      </c>
      <c r="E893" t="inlineStr">
        <is>
          <t>SOLLEFTEÅ</t>
        </is>
      </c>
      <c r="G893" t="n">
        <v>10</v>
      </c>
      <c r="H893" t="n">
        <v>0</v>
      </c>
      <c r="I893" t="n">
        <v>0</v>
      </c>
      <c r="J893" t="n">
        <v>0</v>
      </c>
      <c r="K893" t="n">
        <v>0</v>
      </c>
      <c r="L893" t="n">
        <v>0</v>
      </c>
      <c r="M893" t="n">
        <v>0</v>
      </c>
      <c r="N893" t="n">
        <v>0</v>
      </c>
      <c r="O893" t="n">
        <v>0</v>
      </c>
      <c r="P893" t="n">
        <v>0</v>
      </c>
      <c r="Q893" t="n">
        <v>0</v>
      </c>
      <c r="R893" s="2" t="inlineStr"/>
    </row>
    <row r="894" ht="15" customHeight="1">
      <c r="A894" t="inlineStr">
        <is>
          <t>A 23033-2021</t>
        </is>
      </c>
      <c r="B894" s="1" t="n">
        <v>44329</v>
      </c>
      <c r="C894" s="1" t="n">
        <v>45669</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23032-2021</t>
        </is>
      </c>
      <c r="B895" s="1" t="n">
        <v>44329</v>
      </c>
      <c r="C895" s="1" t="n">
        <v>45669</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23034-2021</t>
        </is>
      </c>
      <c r="B896" s="1" t="n">
        <v>44329</v>
      </c>
      <c r="C896" s="1" t="n">
        <v>45669</v>
      </c>
      <c r="D896" t="inlineStr">
        <is>
          <t>VÄSTERNORRLANDS LÄN</t>
        </is>
      </c>
      <c r="E896" t="inlineStr">
        <is>
          <t>SOLLEFTEÅ</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23030-2021</t>
        </is>
      </c>
      <c r="B897" s="1" t="n">
        <v>44329</v>
      </c>
      <c r="C897" s="1" t="n">
        <v>45669</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23069-2021</t>
        </is>
      </c>
      <c r="B898" s="1" t="n">
        <v>44330</v>
      </c>
      <c r="C898" s="1" t="n">
        <v>45669</v>
      </c>
      <c r="D898" t="inlineStr">
        <is>
          <t>VÄSTERNORRLANDS LÄN</t>
        </is>
      </c>
      <c r="E898" t="inlineStr">
        <is>
          <t>SOLLEFTEÅ</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23394-2021</t>
        </is>
      </c>
      <c r="B899" s="1" t="n">
        <v>44333</v>
      </c>
      <c r="C899" s="1" t="n">
        <v>45669</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23639-2021</t>
        </is>
      </c>
      <c r="B900" s="1" t="n">
        <v>44334</v>
      </c>
      <c r="C900" s="1" t="n">
        <v>45669</v>
      </c>
      <c r="D900" t="inlineStr">
        <is>
          <t>VÄSTERNORRLANDS LÄN</t>
        </is>
      </c>
      <c r="E900" t="inlineStr">
        <is>
          <t>SOLLEFTEÅ</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23689-2021</t>
        </is>
      </c>
      <c r="B901" s="1" t="n">
        <v>44334</v>
      </c>
      <c r="C901" s="1" t="n">
        <v>45669</v>
      </c>
      <c r="D901" t="inlineStr">
        <is>
          <t>VÄSTERNORRLANDS LÄN</t>
        </is>
      </c>
      <c r="E901" t="inlineStr">
        <is>
          <t>SOLLEFTEÅ</t>
        </is>
      </c>
      <c r="G901" t="n">
        <v>14.9</v>
      </c>
      <c r="H901" t="n">
        <v>0</v>
      </c>
      <c r="I901" t="n">
        <v>0</v>
      </c>
      <c r="J901" t="n">
        <v>0</v>
      </c>
      <c r="K901" t="n">
        <v>0</v>
      </c>
      <c r="L901" t="n">
        <v>0</v>
      </c>
      <c r="M901" t="n">
        <v>0</v>
      </c>
      <c r="N901" t="n">
        <v>0</v>
      </c>
      <c r="O901" t="n">
        <v>0</v>
      </c>
      <c r="P901" t="n">
        <v>0</v>
      </c>
      <c r="Q901" t="n">
        <v>0</v>
      </c>
      <c r="R901" s="2" t="inlineStr"/>
    </row>
    <row r="902" ht="15" customHeight="1">
      <c r="A902" t="inlineStr">
        <is>
          <t>A 23770-2021</t>
        </is>
      </c>
      <c r="B902" s="1" t="n">
        <v>44335</v>
      </c>
      <c r="C902" s="1" t="n">
        <v>45669</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23753-2021</t>
        </is>
      </c>
      <c r="B903" s="1" t="n">
        <v>44334</v>
      </c>
      <c r="C903" s="1" t="n">
        <v>45669</v>
      </c>
      <c r="D903" t="inlineStr">
        <is>
          <t>VÄSTERNORRLANDS LÄN</t>
        </is>
      </c>
      <c r="E903" t="inlineStr">
        <is>
          <t>SOLLEFTEÅ</t>
        </is>
      </c>
      <c r="G903" t="n">
        <v>14.8</v>
      </c>
      <c r="H903" t="n">
        <v>0</v>
      </c>
      <c r="I903" t="n">
        <v>0</v>
      </c>
      <c r="J903" t="n">
        <v>0</v>
      </c>
      <c r="K903" t="n">
        <v>0</v>
      </c>
      <c r="L903" t="n">
        <v>0</v>
      </c>
      <c r="M903" t="n">
        <v>0</v>
      </c>
      <c r="N903" t="n">
        <v>0</v>
      </c>
      <c r="O903" t="n">
        <v>0</v>
      </c>
      <c r="P903" t="n">
        <v>0</v>
      </c>
      <c r="Q903" t="n">
        <v>0</v>
      </c>
      <c r="R903" s="2" t="inlineStr"/>
    </row>
    <row r="904" ht="15" customHeight="1">
      <c r="A904" t="inlineStr">
        <is>
          <t>A 23814-2021</t>
        </is>
      </c>
      <c r="B904" s="1" t="n">
        <v>44335</v>
      </c>
      <c r="C904" s="1" t="n">
        <v>45669</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24243-2021</t>
        </is>
      </c>
      <c r="B905" s="1" t="n">
        <v>44336</v>
      </c>
      <c r="C905" s="1" t="n">
        <v>45669</v>
      </c>
      <c r="D905" t="inlineStr">
        <is>
          <t>VÄSTERNORRLANDS LÄN</t>
        </is>
      </c>
      <c r="E905" t="inlineStr">
        <is>
          <t>SOLLEFTEÅ</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24244-2021</t>
        </is>
      </c>
      <c r="B906" s="1" t="n">
        <v>44337</v>
      </c>
      <c r="C906" s="1" t="n">
        <v>45669</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24720-2021</t>
        </is>
      </c>
      <c r="B907" s="1" t="n">
        <v>44340</v>
      </c>
      <c r="C907" s="1" t="n">
        <v>45669</v>
      </c>
      <c r="D907" t="inlineStr">
        <is>
          <t>VÄSTERNORRLANDS LÄN</t>
        </is>
      </c>
      <c r="E907" t="inlineStr">
        <is>
          <t>SOLLEFTEÅ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24731-2021</t>
        </is>
      </c>
      <c r="B908" s="1" t="n">
        <v>44340</v>
      </c>
      <c r="C908" s="1" t="n">
        <v>45669</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25183-2021</t>
        </is>
      </c>
      <c r="B909" s="1" t="n">
        <v>44341</v>
      </c>
      <c r="C909" s="1" t="n">
        <v>45669</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25156-2021</t>
        </is>
      </c>
      <c r="B910" s="1" t="n">
        <v>44341</v>
      </c>
      <c r="C910" s="1" t="n">
        <v>45669</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25152-2021</t>
        </is>
      </c>
      <c r="B911" s="1" t="n">
        <v>44341</v>
      </c>
      <c r="C911" s="1" t="n">
        <v>45669</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25329-2021</t>
        </is>
      </c>
      <c r="B912" s="1" t="n">
        <v>44342</v>
      </c>
      <c r="C912" s="1" t="n">
        <v>45669</v>
      </c>
      <c r="D912" t="inlineStr">
        <is>
          <t>VÄSTERNORRLANDS LÄN</t>
        </is>
      </c>
      <c r="E912" t="inlineStr">
        <is>
          <t>SOLLEFTEÅ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25345-2021</t>
        </is>
      </c>
      <c r="B913" s="1" t="n">
        <v>44342</v>
      </c>
      <c r="C913" s="1" t="n">
        <v>45669</v>
      </c>
      <c r="D913" t="inlineStr">
        <is>
          <t>VÄSTERNORRLANDS LÄN</t>
        </is>
      </c>
      <c r="E913" t="inlineStr">
        <is>
          <t>SOLLEFTEÅ</t>
        </is>
      </c>
      <c r="G913" t="n">
        <v>0.2</v>
      </c>
      <c r="H913" t="n">
        <v>0</v>
      </c>
      <c r="I913" t="n">
        <v>0</v>
      </c>
      <c r="J913" t="n">
        <v>0</v>
      </c>
      <c r="K913" t="n">
        <v>0</v>
      </c>
      <c r="L913" t="n">
        <v>0</v>
      </c>
      <c r="M913" t="n">
        <v>0</v>
      </c>
      <c r="N913" t="n">
        <v>0</v>
      </c>
      <c r="O913" t="n">
        <v>0</v>
      </c>
      <c r="P913" t="n">
        <v>0</v>
      </c>
      <c r="Q913" t="n">
        <v>0</v>
      </c>
      <c r="R913" s="2" t="inlineStr"/>
    </row>
    <row r="914" ht="15" customHeight="1">
      <c r="A914" t="inlineStr">
        <is>
          <t>A 25522-2021</t>
        </is>
      </c>
      <c r="B914" s="1" t="n">
        <v>44342</v>
      </c>
      <c r="C914" s="1" t="n">
        <v>45669</v>
      </c>
      <c r="D914" t="inlineStr">
        <is>
          <t>VÄSTERNORRLANDS LÄN</t>
        </is>
      </c>
      <c r="E914" t="inlineStr">
        <is>
          <t>SOLLEFTEÅ</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25999-2021</t>
        </is>
      </c>
      <c r="B915" s="1" t="n">
        <v>44344</v>
      </c>
      <c r="C915" s="1" t="n">
        <v>45669</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25877-2021</t>
        </is>
      </c>
      <c r="B916" s="1" t="n">
        <v>44344</v>
      </c>
      <c r="C916" s="1" t="n">
        <v>45669</v>
      </c>
      <c r="D916" t="inlineStr">
        <is>
          <t>VÄSTERNORRLANDS LÄN</t>
        </is>
      </c>
      <c r="E916" t="inlineStr">
        <is>
          <t>SOLLEFTEÅ</t>
        </is>
      </c>
      <c r="G916" t="n">
        <v>4.2</v>
      </c>
      <c r="H916" t="n">
        <v>0</v>
      </c>
      <c r="I916" t="n">
        <v>0</v>
      </c>
      <c r="J916" t="n">
        <v>0</v>
      </c>
      <c r="K916" t="n">
        <v>0</v>
      </c>
      <c r="L916" t="n">
        <v>0</v>
      </c>
      <c r="M916" t="n">
        <v>0</v>
      </c>
      <c r="N916" t="n">
        <v>0</v>
      </c>
      <c r="O916" t="n">
        <v>0</v>
      </c>
      <c r="P916" t="n">
        <v>0</v>
      </c>
      <c r="Q916" t="n">
        <v>0</v>
      </c>
      <c r="R916" s="2" t="inlineStr"/>
    </row>
    <row r="917" ht="15" customHeight="1">
      <c r="A917" t="inlineStr">
        <is>
          <t>A 25989-2021</t>
        </is>
      </c>
      <c r="B917" s="1" t="n">
        <v>44344</v>
      </c>
      <c r="C917" s="1" t="n">
        <v>45669</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26406-2021</t>
        </is>
      </c>
      <c r="B918" s="1" t="n">
        <v>44347</v>
      </c>
      <c r="C918" s="1" t="n">
        <v>45669</v>
      </c>
      <c r="D918" t="inlineStr">
        <is>
          <t>VÄSTERNORRLANDS LÄN</t>
        </is>
      </c>
      <c r="E918" t="inlineStr">
        <is>
          <t>SOLLEFTEÅ</t>
        </is>
      </c>
      <c r="F918" t="inlineStr">
        <is>
          <t>SCA</t>
        </is>
      </c>
      <c r="G918" t="n">
        <v>12.2</v>
      </c>
      <c r="H918" t="n">
        <v>0</v>
      </c>
      <c r="I918" t="n">
        <v>0</v>
      </c>
      <c r="J918" t="n">
        <v>0</v>
      </c>
      <c r="K918" t="n">
        <v>0</v>
      </c>
      <c r="L918" t="n">
        <v>0</v>
      </c>
      <c r="M918" t="n">
        <v>0</v>
      </c>
      <c r="N918" t="n">
        <v>0</v>
      </c>
      <c r="O918" t="n">
        <v>0</v>
      </c>
      <c r="P918" t="n">
        <v>0</v>
      </c>
      <c r="Q918" t="n">
        <v>0</v>
      </c>
      <c r="R918" s="2" t="inlineStr"/>
    </row>
    <row r="919" ht="15" customHeight="1">
      <c r="A919" t="inlineStr">
        <is>
          <t>A 26401-2021</t>
        </is>
      </c>
      <c r="B919" s="1" t="n">
        <v>44348</v>
      </c>
      <c r="C919" s="1" t="n">
        <v>45669</v>
      </c>
      <c r="D919" t="inlineStr">
        <is>
          <t>VÄSTERNORRLANDS LÄN</t>
        </is>
      </c>
      <c r="E919" t="inlineStr">
        <is>
          <t>SOLLEFTEÅ</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26498-2021</t>
        </is>
      </c>
      <c r="B920" s="1" t="n">
        <v>44348</v>
      </c>
      <c r="C920" s="1" t="n">
        <v>45669</v>
      </c>
      <c r="D920" t="inlineStr">
        <is>
          <t>VÄSTERNORRLANDS LÄN</t>
        </is>
      </c>
      <c r="E920" t="inlineStr">
        <is>
          <t>SOLLEFTEÅ</t>
        </is>
      </c>
      <c r="G920" t="n">
        <v>7.8</v>
      </c>
      <c r="H920" t="n">
        <v>0</v>
      </c>
      <c r="I920" t="n">
        <v>0</v>
      </c>
      <c r="J920" t="n">
        <v>0</v>
      </c>
      <c r="K920" t="n">
        <v>0</v>
      </c>
      <c r="L920" t="n">
        <v>0</v>
      </c>
      <c r="M920" t="n">
        <v>0</v>
      </c>
      <c r="N920" t="n">
        <v>0</v>
      </c>
      <c r="O920" t="n">
        <v>0</v>
      </c>
      <c r="P920" t="n">
        <v>0</v>
      </c>
      <c r="Q920" t="n">
        <v>0</v>
      </c>
      <c r="R920" s="2" t="inlineStr"/>
    </row>
    <row r="921" ht="15" customHeight="1">
      <c r="A921" t="inlineStr">
        <is>
          <t>A 26559-2021</t>
        </is>
      </c>
      <c r="B921" s="1" t="n">
        <v>44348</v>
      </c>
      <c r="C921" s="1" t="n">
        <v>45669</v>
      </c>
      <c r="D921" t="inlineStr">
        <is>
          <t>VÄSTERNORRLANDS LÄN</t>
        </is>
      </c>
      <c r="E921" t="inlineStr">
        <is>
          <t>SOLLEFTEÅ</t>
        </is>
      </c>
      <c r="G921" t="n">
        <v>9</v>
      </c>
      <c r="H921" t="n">
        <v>0</v>
      </c>
      <c r="I921" t="n">
        <v>0</v>
      </c>
      <c r="J921" t="n">
        <v>0</v>
      </c>
      <c r="K921" t="n">
        <v>0</v>
      </c>
      <c r="L921" t="n">
        <v>0</v>
      </c>
      <c r="M921" t="n">
        <v>0</v>
      </c>
      <c r="N921" t="n">
        <v>0</v>
      </c>
      <c r="O921" t="n">
        <v>0</v>
      </c>
      <c r="P921" t="n">
        <v>0</v>
      </c>
      <c r="Q921" t="n">
        <v>0</v>
      </c>
      <c r="R921" s="2" t="inlineStr"/>
    </row>
    <row r="922" ht="15" customHeight="1">
      <c r="A922" t="inlineStr">
        <is>
          <t>A 26669-2021</t>
        </is>
      </c>
      <c r="B922" s="1" t="n">
        <v>44349</v>
      </c>
      <c r="C922" s="1" t="n">
        <v>45669</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27809-2021</t>
        </is>
      </c>
      <c r="B923" s="1" t="n">
        <v>44354</v>
      </c>
      <c r="C923" s="1" t="n">
        <v>45669</v>
      </c>
      <c r="D923" t="inlineStr">
        <is>
          <t>VÄSTERNORRLANDS LÄN</t>
        </is>
      </c>
      <c r="E923" t="inlineStr">
        <is>
          <t>SOLLEFTEÅ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27972-2021</t>
        </is>
      </c>
      <c r="B924" s="1" t="n">
        <v>44355</v>
      </c>
      <c r="C924" s="1" t="n">
        <v>45669</v>
      </c>
      <c r="D924" t="inlineStr">
        <is>
          <t>VÄSTERNORRLANDS LÄN</t>
        </is>
      </c>
      <c r="E924" t="inlineStr">
        <is>
          <t>SOLLEFTEÅ</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28288-2021</t>
        </is>
      </c>
      <c r="B925" s="1" t="n">
        <v>44355</v>
      </c>
      <c r="C925" s="1" t="n">
        <v>45669</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28615-2021</t>
        </is>
      </c>
      <c r="B926" s="1" t="n">
        <v>44357</v>
      </c>
      <c r="C926" s="1" t="n">
        <v>45669</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28939-2021</t>
        </is>
      </c>
      <c r="B927" s="1" t="n">
        <v>44358</v>
      </c>
      <c r="C927" s="1" t="n">
        <v>45669</v>
      </c>
      <c r="D927" t="inlineStr">
        <is>
          <t>VÄSTERNORRLANDS LÄN</t>
        </is>
      </c>
      <c r="E927" t="inlineStr">
        <is>
          <t>SOLLEFTEÅ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29623-2021</t>
        </is>
      </c>
      <c r="B928" s="1" t="n">
        <v>44361</v>
      </c>
      <c r="C928" s="1" t="n">
        <v>45669</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29602-2021</t>
        </is>
      </c>
      <c r="B929" s="1" t="n">
        <v>44362</v>
      </c>
      <c r="C929" s="1" t="n">
        <v>45669</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29829-2021</t>
        </is>
      </c>
      <c r="B930" s="1" t="n">
        <v>44362</v>
      </c>
      <c r="C930" s="1" t="n">
        <v>45669</v>
      </c>
      <c r="D930" t="inlineStr">
        <is>
          <t>VÄSTERNORRLANDS LÄN</t>
        </is>
      </c>
      <c r="E930" t="inlineStr">
        <is>
          <t>SOLLEFTEÅ</t>
        </is>
      </c>
      <c r="G930" t="n">
        <v>4</v>
      </c>
      <c r="H930" t="n">
        <v>0</v>
      </c>
      <c r="I930" t="n">
        <v>0</v>
      </c>
      <c r="J930" t="n">
        <v>0</v>
      </c>
      <c r="K930" t="n">
        <v>0</v>
      </c>
      <c r="L930" t="n">
        <v>0</v>
      </c>
      <c r="M930" t="n">
        <v>0</v>
      </c>
      <c r="N930" t="n">
        <v>0</v>
      </c>
      <c r="O930" t="n">
        <v>0</v>
      </c>
      <c r="P930" t="n">
        <v>0</v>
      </c>
      <c r="Q930" t="n">
        <v>0</v>
      </c>
      <c r="R930" s="2" t="inlineStr"/>
    </row>
    <row r="931" ht="15" customHeight="1">
      <c r="A931" t="inlineStr">
        <is>
          <t>A 30692-2021</t>
        </is>
      </c>
      <c r="B931" s="1" t="n">
        <v>44365</v>
      </c>
      <c r="C931" s="1" t="n">
        <v>45669</v>
      </c>
      <c r="D931" t="inlineStr">
        <is>
          <t>VÄSTERNORRLANDS LÄN</t>
        </is>
      </c>
      <c r="E931" t="inlineStr">
        <is>
          <t>SOLLEFTEÅ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31600-2021</t>
        </is>
      </c>
      <c r="B932" s="1" t="n">
        <v>44369</v>
      </c>
      <c r="C932" s="1" t="n">
        <v>45669</v>
      </c>
      <c r="D932" t="inlineStr">
        <is>
          <t>VÄSTERNORRLANDS LÄN</t>
        </is>
      </c>
      <c r="E932" t="inlineStr">
        <is>
          <t>SOLLEFTEÅ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31737-2021</t>
        </is>
      </c>
      <c r="B933" s="1" t="n">
        <v>44370</v>
      </c>
      <c r="C933" s="1" t="n">
        <v>45669</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32091-2021</t>
        </is>
      </c>
      <c r="B934" s="1" t="n">
        <v>44370</v>
      </c>
      <c r="C934" s="1" t="n">
        <v>45669</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33207-2021</t>
        </is>
      </c>
      <c r="B935" s="1" t="n">
        <v>44376</v>
      </c>
      <c r="C935" s="1" t="n">
        <v>45669</v>
      </c>
      <c r="D935" t="inlineStr">
        <is>
          <t>VÄSTERNORRLANDS LÄN</t>
        </is>
      </c>
      <c r="E935" t="inlineStr">
        <is>
          <t>SOLLEFTEÅ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33214-2021</t>
        </is>
      </c>
      <c r="B936" s="1" t="n">
        <v>44377</v>
      </c>
      <c r="C936" s="1" t="n">
        <v>45669</v>
      </c>
      <c r="D936" t="inlineStr">
        <is>
          <t>VÄSTERNORRLANDS LÄN</t>
        </is>
      </c>
      <c r="E936" t="inlineStr">
        <is>
          <t>SOLLEFTEÅ</t>
        </is>
      </c>
      <c r="F936" t="inlineStr">
        <is>
          <t>SCA</t>
        </is>
      </c>
      <c r="G936" t="n">
        <v>13.9</v>
      </c>
      <c r="H936" t="n">
        <v>0</v>
      </c>
      <c r="I936" t="n">
        <v>0</v>
      </c>
      <c r="J936" t="n">
        <v>0</v>
      </c>
      <c r="K936" t="n">
        <v>0</v>
      </c>
      <c r="L936" t="n">
        <v>0</v>
      </c>
      <c r="M936" t="n">
        <v>0</v>
      </c>
      <c r="N936" t="n">
        <v>0</v>
      </c>
      <c r="O936" t="n">
        <v>0</v>
      </c>
      <c r="P936" t="n">
        <v>0</v>
      </c>
      <c r="Q936" t="n">
        <v>0</v>
      </c>
      <c r="R936" s="2" t="inlineStr"/>
    </row>
    <row r="937" ht="15" customHeight="1">
      <c r="A937" t="inlineStr">
        <is>
          <t>A 33895-2021</t>
        </is>
      </c>
      <c r="B937" s="1" t="n">
        <v>44378</v>
      </c>
      <c r="C937" s="1" t="n">
        <v>45669</v>
      </c>
      <c r="D937" t="inlineStr">
        <is>
          <t>VÄSTERNORRLANDS LÄN</t>
        </is>
      </c>
      <c r="E937" t="inlineStr">
        <is>
          <t>SOLLEFTEÅ</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34396-2021</t>
        </is>
      </c>
      <c r="B938" s="1" t="n">
        <v>44379</v>
      </c>
      <c r="C938" s="1" t="n">
        <v>45669</v>
      </c>
      <c r="D938" t="inlineStr">
        <is>
          <t>VÄSTERNORRLANDS LÄN</t>
        </is>
      </c>
      <c r="E938" t="inlineStr">
        <is>
          <t>SOLLEFTEÅ</t>
        </is>
      </c>
      <c r="F938" t="inlineStr">
        <is>
          <t>SCA</t>
        </is>
      </c>
      <c r="G938" t="n">
        <v>7.2</v>
      </c>
      <c r="H938" t="n">
        <v>0</v>
      </c>
      <c r="I938" t="n">
        <v>0</v>
      </c>
      <c r="J938" t="n">
        <v>0</v>
      </c>
      <c r="K938" t="n">
        <v>0</v>
      </c>
      <c r="L938" t="n">
        <v>0</v>
      </c>
      <c r="M938" t="n">
        <v>0</v>
      </c>
      <c r="N938" t="n">
        <v>0</v>
      </c>
      <c r="O938" t="n">
        <v>0</v>
      </c>
      <c r="P938" t="n">
        <v>0</v>
      </c>
      <c r="Q938" t="n">
        <v>0</v>
      </c>
      <c r="R938" s="2" t="inlineStr"/>
    </row>
    <row r="939" ht="15" customHeight="1">
      <c r="A939" t="inlineStr">
        <is>
          <t>A 34395-2021</t>
        </is>
      </c>
      <c r="B939" s="1" t="n">
        <v>44379</v>
      </c>
      <c r="C939" s="1" t="n">
        <v>45669</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34397-2021</t>
        </is>
      </c>
      <c r="B940" s="1" t="n">
        <v>44379</v>
      </c>
      <c r="C940" s="1" t="n">
        <v>45669</v>
      </c>
      <c r="D940" t="inlineStr">
        <is>
          <t>VÄSTERNORRLANDS LÄN</t>
        </is>
      </c>
      <c r="E940" t="inlineStr">
        <is>
          <t>SOLLEFTEÅ</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34475-2021</t>
        </is>
      </c>
      <c r="B941" s="1" t="n">
        <v>44381</v>
      </c>
      <c r="C941" s="1" t="n">
        <v>45669</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34473-2021</t>
        </is>
      </c>
      <c r="B942" s="1" t="n">
        <v>44382</v>
      </c>
      <c r="C942" s="1" t="n">
        <v>45669</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35333-2021</t>
        </is>
      </c>
      <c r="B943" s="1" t="n">
        <v>44384</v>
      </c>
      <c r="C943" s="1" t="n">
        <v>45669</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35358-2021</t>
        </is>
      </c>
      <c r="B944" s="1" t="n">
        <v>44385</v>
      </c>
      <c r="C944" s="1" t="n">
        <v>45669</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35574-2021</t>
        </is>
      </c>
      <c r="B945" s="1" t="n">
        <v>44386</v>
      </c>
      <c r="C945" s="1" t="n">
        <v>45669</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35862-2021</t>
        </is>
      </c>
      <c r="B946" s="1" t="n">
        <v>44386</v>
      </c>
      <c r="C946" s="1" t="n">
        <v>45669</v>
      </c>
      <c r="D946" t="inlineStr">
        <is>
          <t>VÄSTERNORRLANDS LÄN</t>
        </is>
      </c>
      <c r="E946" t="inlineStr">
        <is>
          <t>SOLLEFTEÅ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36447-2021</t>
        </is>
      </c>
      <c r="B947" s="1" t="n">
        <v>44390</v>
      </c>
      <c r="C947" s="1" t="n">
        <v>45669</v>
      </c>
      <c r="D947" t="inlineStr">
        <is>
          <t>VÄSTERNORRLANDS LÄN</t>
        </is>
      </c>
      <c r="E947" t="inlineStr">
        <is>
          <t>SOLLEFTEÅ</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36448-2021</t>
        </is>
      </c>
      <c r="B948" s="1" t="n">
        <v>44390</v>
      </c>
      <c r="C948" s="1" t="n">
        <v>45669</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36579-2021</t>
        </is>
      </c>
      <c r="B949" s="1" t="n">
        <v>44391</v>
      </c>
      <c r="C949" s="1" t="n">
        <v>45669</v>
      </c>
      <c r="D949" t="inlineStr">
        <is>
          <t>VÄSTERNORRLANDS LÄN</t>
        </is>
      </c>
      <c r="E949" t="inlineStr">
        <is>
          <t>SOLLEFTEÅ</t>
        </is>
      </c>
      <c r="G949" t="n">
        <v>6.9</v>
      </c>
      <c r="H949" t="n">
        <v>0</v>
      </c>
      <c r="I949" t="n">
        <v>0</v>
      </c>
      <c r="J949" t="n">
        <v>0</v>
      </c>
      <c r="K949" t="n">
        <v>0</v>
      </c>
      <c r="L949" t="n">
        <v>0</v>
      </c>
      <c r="M949" t="n">
        <v>0</v>
      </c>
      <c r="N949" t="n">
        <v>0</v>
      </c>
      <c r="O949" t="n">
        <v>0</v>
      </c>
      <c r="P949" t="n">
        <v>0</v>
      </c>
      <c r="Q949" t="n">
        <v>0</v>
      </c>
      <c r="R949" s="2" t="inlineStr"/>
    </row>
    <row r="950" ht="15" customHeight="1">
      <c r="A950" t="inlineStr">
        <is>
          <t>A 36816-2021</t>
        </is>
      </c>
      <c r="B950" s="1" t="n">
        <v>44393</v>
      </c>
      <c r="C950" s="1" t="n">
        <v>45669</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36815-2021</t>
        </is>
      </c>
      <c r="B951" s="1" t="n">
        <v>44393</v>
      </c>
      <c r="C951" s="1" t="n">
        <v>45669</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37041-2021</t>
        </is>
      </c>
      <c r="B952" s="1" t="n">
        <v>44394</v>
      </c>
      <c r="C952" s="1" t="n">
        <v>45669</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37042-2021</t>
        </is>
      </c>
      <c r="B953" s="1" t="n">
        <v>44394</v>
      </c>
      <c r="C953" s="1" t="n">
        <v>45669</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37369-2021</t>
        </is>
      </c>
      <c r="B954" s="1" t="n">
        <v>44397</v>
      </c>
      <c r="C954" s="1" t="n">
        <v>45669</v>
      </c>
      <c r="D954" t="inlineStr">
        <is>
          <t>VÄSTERNORRLANDS LÄN</t>
        </is>
      </c>
      <c r="E954" t="inlineStr">
        <is>
          <t>SOLLEFTEÅ</t>
        </is>
      </c>
      <c r="F954" t="inlineStr">
        <is>
          <t>SCA</t>
        </is>
      </c>
      <c r="G954" t="n">
        <v>20.3</v>
      </c>
      <c r="H954" t="n">
        <v>0</v>
      </c>
      <c r="I954" t="n">
        <v>0</v>
      </c>
      <c r="J954" t="n">
        <v>0</v>
      </c>
      <c r="K954" t="n">
        <v>0</v>
      </c>
      <c r="L954" t="n">
        <v>0</v>
      </c>
      <c r="M954" t="n">
        <v>0</v>
      </c>
      <c r="N954" t="n">
        <v>0</v>
      </c>
      <c r="O954" t="n">
        <v>0</v>
      </c>
      <c r="P954" t="n">
        <v>0</v>
      </c>
      <c r="Q954" t="n">
        <v>0</v>
      </c>
      <c r="R954" s="2" t="inlineStr"/>
    </row>
    <row r="955" ht="15" customHeight="1">
      <c r="A955" t="inlineStr">
        <is>
          <t>A 37639-2021</t>
        </is>
      </c>
      <c r="B955" s="1" t="n">
        <v>44400</v>
      </c>
      <c r="C955" s="1" t="n">
        <v>45669</v>
      </c>
      <c r="D955" t="inlineStr">
        <is>
          <t>VÄSTERNORRLANDS LÄN</t>
        </is>
      </c>
      <c r="E955" t="inlineStr">
        <is>
          <t>SOLLEFTEÅ</t>
        </is>
      </c>
      <c r="G955" t="n">
        <v>10.7</v>
      </c>
      <c r="H955" t="n">
        <v>0</v>
      </c>
      <c r="I955" t="n">
        <v>0</v>
      </c>
      <c r="J955" t="n">
        <v>0</v>
      </c>
      <c r="K955" t="n">
        <v>0</v>
      </c>
      <c r="L955" t="n">
        <v>0</v>
      </c>
      <c r="M955" t="n">
        <v>0</v>
      </c>
      <c r="N955" t="n">
        <v>0</v>
      </c>
      <c r="O955" t="n">
        <v>0</v>
      </c>
      <c r="P955" t="n">
        <v>0</v>
      </c>
      <c r="Q955" t="n">
        <v>0</v>
      </c>
      <c r="R955" s="2" t="inlineStr"/>
    </row>
    <row r="956" ht="15" customHeight="1">
      <c r="A956" t="inlineStr">
        <is>
          <t>A 37648-2021</t>
        </is>
      </c>
      <c r="B956" s="1" t="n">
        <v>44400</v>
      </c>
      <c r="C956" s="1" t="n">
        <v>45669</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37634-2021</t>
        </is>
      </c>
      <c r="B957" s="1" t="n">
        <v>44400</v>
      </c>
      <c r="C957" s="1" t="n">
        <v>45669</v>
      </c>
      <c r="D957" t="inlineStr">
        <is>
          <t>VÄSTERNORRLANDS LÄN</t>
        </is>
      </c>
      <c r="E957" t="inlineStr">
        <is>
          <t>SOLLEFTEÅ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38283-2021</t>
        </is>
      </c>
      <c r="B958" s="1" t="n">
        <v>44405</v>
      </c>
      <c r="C958" s="1" t="n">
        <v>45669</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39334-2021</t>
        </is>
      </c>
      <c r="B959" s="1" t="n">
        <v>44414</v>
      </c>
      <c r="C959" s="1" t="n">
        <v>45669</v>
      </c>
      <c r="D959" t="inlineStr">
        <is>
          <t>VÄSTERNORRLANDS LÄN</t>
        </is>
      </c>
      <c r="E959" t="inlineStr">
        <is>
          <t>SOLLEFTEÅ</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39594-2021</t>
        </is>
      </c>
      <c r="B960" s="1" t="n">
        <v>44413</v>
      </c>
      <c r="C960" s="1" t="n">
        <v>45669</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39230-2021</t>
        </is>
      </c>
      <c r="B961" s="1" t="n">
        <v>44413</v>
      </c>
      <c r="C961" s="1" t="n">
        <v>45669</v>
      </c>
      <c r="D961" t="inlineStr">
        <is>
          <t>VÄSTERNORRLANDS LÄN</t>
        </is>
      </c>
      <c r="E961" t="inlineStr">
        <is>
          <t>SOLLEFTEÅ</t>
        </is>
      </c>
      <c r="G961" t="n">
        <v>13.6</v>
      </c>
      <c r="H961" t="n">
        <v>0</v>
      </c>
      <c r="I961" t="n">
        <v>0</v>
      </c>
      <c r="J961" t="n">
        <v>0</v>
      </c>
      <c r="K961" t="n">
        <v>0</v>
      </c>
      <c r="L961" t="n">
        <v>0</v>
      </c>
      <c r="M961" t="n">
        <v>0</v>
      </c>
      <c r="N961" t="n">
        <v>0</v>
      </c>
      <c r="O961" t="n">
        <v>0</v>
      </c>
      <c r="P961" t="n">
        <v>0</v>
      </c>
      <c r="Q961" t="n">
        <v>0</v>
      </c>
      <c r="R961" s="2" t="inlineStr"/>
    </row>
    <row r="962" ht="15" customHeight="1">
      <c r="A962" t="inlineStr">
        <is>
          <t>A 39504-2021</t>
        </is>
      </c>
      <c r="B962" s="1" t="n">
        <v>44415</v>
      </c>
      <c r="C962" s="1" t="n">
        <v>45669</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40539-2021</t>
        </is>
      </c>
      <c r="B963" s="1" t="n">
        <v>44420</v>
      </c>
      <c r="C963" s="1" t="n">
        <v>45669</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41334-2021</t>
        </is>
      </c>
      <c r="B964" s="1" t="n">
        <v>44424</v>
      </c>
      <c r="C964" s="1" t="n">
        <v>45669</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42219-2021</t>
        </is>
      </c>
      <c r="B965" s="1" t="n">
        <v>44426</v>
      </c>
      <c r="C965" s="1" t="n">
        <v>45669</v>
      </c>
      <c r="D965" t="inlineStr">
        <is>
          <t>VÄSTERNORRLANDS LÄN</t>
        </is>
      </c>
      <c r="E965" t="inlineStr">
        <is>
          <t>SOLLEFTEÅ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42231-2021</t>
        </is>
      </c>
      <c r="B966" s="1" t="n">
        <v>44426</v>
      </c>
      <c r="C966" s="1" t="n">
        <v>45669</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42228-2021</t>
        </is>
      </c>
      <c r="B967" s="1" t="n">
        <v>44426</v>
      </c>
      <c r="C967" s="1" t="n">
        <v>45669</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42229-2021</t>
        </is>
      </c>
      <c r="B968" s="1" t="n">
        <v>44427</v>
      </c>
      <c r="C968" s="1" t="n">
        <v>45669</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42531-2021</t>
        </is>
      </c>
      <c r="B969" s="1" t="n">
        <v>44428</v>
      </c>
      <c r="C969" s="1" t="n">
        <v>45669</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43220-2021</t>
        </is>
      </c>
      <c r="B970" s="1" t="n">
        <v>44432</v>
      </c>
      <c r="C970" s="1" t="n">
        <v>45669</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43525-2021</t>
        </is>
      </c>
      <c r="B971" s="1" t="n">
        <v>44433</v>
      </c>
      <c r="C971" s="1" t="n">
        <v>45669</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44592-2021</t>
        </is>
      </c>
      <c r="B972" s="1" t="n">
        <v>44435</v>
      </c>
      <c r="C972" s="1" t="n">
        <v>45669</v>
      </c>
      <c r="D972" t="inlineStr">
        <is>
          <t>VÄSTERNORRLANDS LÄN</t>
        </is>
      </c>
      <c r="E972" t="inlineStr">
        <is>
          <t>SOLLEFTEÅ</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44587-2021</t>
        </is>
      </c>
      <c r="B973" s="1" t="n">
        <v>44435</v>
      </c>
      <c r="C973" s="1" t="n">
        <v>45669</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45187-2021</t>
        </is>
      </c>
      <c r="B974" s="1" t="n">
        <v>44439</v>
      </c>
      <c r="C974" s="1" t="n">
        <v>45669</v>
      </c>
      <c r="D974" t="inlineStr">
        <is>
          <t>VÄSTERNORRLANDS LÄN</t>
        </is>
      </c>
      <c r="E974" t="inlineStr">
        <is>
          <t>SOLLEFTEÅ</t>
        </is>
      </c>
      <c r="G974" t="n">
        <v>3.2</v>
      </c>
      <c r="H974" t="n">
        <v>0</v>
      </c>
      <c r="I974" t="n">
        <v>0</v>
      </c>
      <c r="J974" t="n">
        <v>0</v>
      </c>
      <c r="K974" t="n">
        <v>0</v>
      </c>
      <c r="L974" t="n">
        <v>0</v>
      </c>
      <c r="M974" t="n">
        <v>0</v>
      </c>
      <c r="N974" t="n">
        <v>0</v>
      </c>
      <c r="O974" t="n">
        <v>0</v>
      </c>
      <c r="P974" t="n">
        <v>0</v>
      </c>
      <c r="Q974" t="n">
        <v>0</v>
      </c>
      <c r="R974" s="2" t="inlineStr"/>
    </row>
    <row r="975" ht="15" customHeight="1">
      <c r="A975" t="inlineStr">
        <is>
          <t>A 45105-2021</t>
        </is>
      </c>
      <c r="B975" s="1" t="n">
        <v>44439</v>
      </c>
      <c r="C975" s="1" t="n">
        <v>45669</v>
      </c>
      <c r="D975" t="inlineStr">
        <is>
          <t>VÄSTERNORRLANDS LÄN</t>
        </is>
      </c>
      <c r="E975" t="inlineStr">
        <is>
          <t>SOLLEFTEÅ</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46049-2021</t>
        </is>
      </c>
      <c r="B976" s="1" t="n">
        <v>44442</v>
      </c>
      <c r="C976" s="1" t="n">
        <v>45669</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46058-2021</t>
        </is>
      </c>
      <c r="B977" s="1" t="n">
        <v>44442</v>
      </c>
      <c r="C977" s="1" t="n">
        <v>45669</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47643-2021</t>
        </is>
      </c>
      <c r="B978" s="1" t="n">
        <v>44448</v>
      </c>
      <c r="C978" s="1" t="n">
        <v>45669</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47675-2021</t>
        </is>
      </c>
      <c r="B979" s="1" t="n">
        <v>44448</v>
      </c>
      <c r="C979" s="1" t="n">
        <v>45669</v>
      </c>
      <c r="D979" t="inlineStr">
        <is>
          <t>VÄSTERNORRLANDS LÄN</t>
        </is>
      </c>
      <c r="E979" t="inlineStr">
        <is>
          <t>SOLLEFTEÅ</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47626-2021</t>
        </is>
      </c>
      <c r="B980" s="1" t="n">
        <v>44448</v>
      </c>
      <c r="C980" s="1" t="n">
        <v>45669</v>
      </c>
      <c r="D980" t="inlineStr">
        <is>
          <t>VÄSTERNORRLANDS LÄN</t>
        </is>
      </c>
      <c r="E980" t="inlineStr">
        <is>
          <t>SOLLEFTEÅ</t>
        </is>
      </c>
      <c r="F980" t="inlineStr">
        <is>
          <t>Holmen skog AB</t>
        </is>
      </c>
      <c r="G980" t="n">
        <v>3.1</v>
      </c>
      <c r="H980" t="n">
        <v>0</v>
      </c>
      <c r="I980" t="n">
        <v>0</v>
      </c>
      <c r="J980" t="n">
        <v>0</v>
      </c>
      <c r="K980" t="n">
        <v>0</v>
      </c>
      <c r="L980" t="n">
        <v>0</v>
      </c>
      <c r="M980" t="n">
        <v>0</v>
      </c>
      <c r="N980" t="n">
        <v>0</v>
      </c>
      <c r="O980" t="n">
        <v>0</v>
      </c>
      <c r="P980" t="n">
        <v>0</v>
      </c>
      <c r="Q980" t="n">
        <v>0</v>
      </c>
      <c r="R980" s="2" t="inlineStr"/>
    </row>
    <row r="981" ht="15" customHeight="1">
      <c r="A981" t="inlineStr">
        <is>
          <t>A 47696-2021</t>
        </is>
      </c>
      <c r="B981" s="1" t="n">
        <v>44448</v>
      </c>
      <c r="C981" s="1" t="n">
        <v>45669</v>
      </c>
      <c r="D981" t="inlineStr">
        <is>
          <t>VÄSTERNORRLANDS LÄN</t>
        </is>
      </c>
      <c r="E981" t="inlineStr">
        <is>
          <t>SOLLEFTEÅ</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47681-2021</t>
        </is>
      </c>
      <c r="B982" s="1" t="n">
        <v>44448</v>
      </c>
      <c r="C982" s="1" t="n">
        <v>45669</v>
      </c>
      <c r="D982" t="inlineStr">
        <is>
          <t>VÄSTERNORRLANDS LÄN</t>
        </is>
      </c>
      <c r="E982" t="inlineStr">
        <is>
          <t>SOLLEFTEÅ</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48555-2021</t>
        </is>
      </c>
      <c r="B983" s="1" t="n">
        <v>44452</v>
      </c>
      <c r="C983" s="1" t="n">
        <v>45669</v>
      </c>
      <c r="D983" t="inlineStr">
        <is>
          <t>VÄSTERNORRLANDS LÄN</t>
        </is>
      </c>
      <c r="E983" t="inlineStr">
        <is>
          <t>SOLLEFTEÅ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48578-2021</t>
        </is>
      </c>
      <c r="B984" s="1" t="n">
        <v>44452</v>
      </c>
      <c r="C984" s="1" t="n">
        <v>45669</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49160-2021</t>
        </is>
      </c>
      <c r="B985" s="1" t="n">
        <v>44454</v>
      </c>
      <c r="C985" s="1" t="n">
        <v>45669</v>
      </c>
      <c r="D985" t="inlineStr">
        <is>
          <t>VÄSTERNORRLANDS LÄN</t>
        </is>
      </c>
      <c r="E985" t="inlineStr">
        <is>
          <t>SOLLEFTEÅ</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49492-2021</t>
        </is>
      </c>
      <c r="B986" s="1" t="n">
        <v>44455</v>
      </c>
      <c r="C986" s="1" t="n">
        <v>45669</v>
      </c>
      <c r="D986" t="inlineStr">
        <is>
          <t>VÄSTERNORRLANDS LÄN</t>
        </is>
      </c>
      <c r="E986" t="inlineStr">
        <is>
          <t>SOLLEFTEÅ</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49518-2021</t>
        </is>
      </c>
      <c r="B987" s="1" t="n">
        <v>44455</v>
      </c>
      <c r="C987" s="1" t="n">
        <v>45669</v>
      </c>
      <c r="D987" t="inlineStr">
        <is>
          <t>VÄSTERNORRLANDS LÄN</t>
        </is>
      </c>
      <c r="E987" t="inlineStr">
        <is>
          <t>SOLLEFTEÅ</t>
        </is>
      </c>
      <c r="G987" t="n">
        <v>12.9</v>
      </c>
      <c r="H987" t="n">
        <v>0</v>
      </c>
      <c r="I987" t="n">
        <v>0</v>
      </c>
      <c r="J987" t="n">
        <v>0</v>
      </c>
      <c r="K987" t="n">
        <v>0</v>
      </c>
      <c r="L987" t="n">
        <v>0</v>
      </c>
      <c r="M987" t="n">
        <v>0</v>
      </c>
      <c r="N987" t="n">
        <v>0</v>
      </c>
      <c r="O987" t="n">
        <v>0</v>
      </c>
      <c r="P987" t="n">
        <v>0</v>
      </c>
      <c r="Q987" t="n">
        <v>0</v>
      </c>
      <c r="R987" s="2" t="inlineStr"/>
    </row>
    <row r="988" ht="15" customHeight="1">
      <c r="A988" t="inlineStr">
        <is>
          <t>A 49711-2021</t>
        </is>
      </c>
      <c r="B988" s="1" t="n">
        <v>44455</v>
      </c>
      <c r="C988" s="1" t="n">
        <v>45669</v>
      </c>
      <c r="D988" t="inlineStr">
        <is>
          <t>VÄSTERNORRLANDS LÄN</t>
        </is>
      </c>
      <c r="E988" t="inlineStr">
        <is>
          <t>SOLLEFTEÅ</t>
        </is>
      </c>
      <c r="G988" t="n">
        <v>3.7</v>
      </c>
      <c r="H988" t="n">
        <v>0</v>
      </c>
      <c r="I988" t="n">
        <v>0</v>
      </c>
      <c r="J988" t="n">
        <v>0</v>
      </c>
      <c r="K988" t="n">
        <v>0</v>
      </c>
      <c r="L988" t="n">
        <v>0</v>
      </c>
      <c r="M988" t="n">
        <v>0</v>
      </c>
      <c r="N988" t="n">
        <v>0</v>
      </c>
      <c r="O988" t="n">
        <v>0</v>
      </c>
      <c r="P988" t="n">
        <v>0</v>
      </c>
      <c r="Q988" t="n">
        <v>0</v>
      </c>
      <c r="R988" s="2" t="inlineStr"/>
    </row>
    <row r="989" ht="15" customHeight="1">
      <c r="A989" t="inlineStr">
        <is>
          <t>A 50360-2021</t>
        </is>
      </c>
      <c r="B989" s="1" t="n">
        <v>44459</v>
      </c>
      <c r="C989" s="1" t="n">
        <v>45669</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51104-2021</t>
        </is>
      </c>
      <c r="B990" s="1" t="n">
        <v>44459</v>
      </c>
      <c r="C990" s="1" t="n">
        <v>45669</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51020-2021</t>
        </is>
      </c>
      <c r="B991" s="1" t="n">
        <v>44460</v>
      </c>
      <c r="C991" s="1" t="n">
        <v>45669</v>
      </c>
      <c r="D991" t="inlineStr">
        <is>
          <t>VÄSTERNORRLANDS LÄN</t>
        </is>
      </c>
      <c r="E991" t="inlineStr">
        <is>
          <t>SOLLEFTEÅ</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51029-2021</t>
        </is>
      </c>
      <c r="B992" s="1" t="n">
        <v>44461</v>
      </c>
      <c r="C992" s="1" t="n">
        <v>45669</v>
      </c>
      <c r="D992" t="inlineStr">
        <is>
          <t>VÄSTERNORRLANDS LÄN</t>
        </is>
      </c>
      <c r="E992" t="inlineStr">
        <is>
          <t>SOLLEFTEÅ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51440-2021</t>
        </is>
      </c>
      <c r="B993" s="1" t="n">
        <v>44461</v>
      </c>
      <c r="C993" s="1" t="n">
        <v>45669</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51443-2021</t>
        </is>
      </c>
      <c r="B994" s="1" t="n">
        <v>44461</v>
      </c>
      <c r="C994" s="1" t="n">
        <v>45669</v>
      </c>
      <c r="D994" t="inlineStr">
        <is>
          <t>VÄSTERNORRLANDS LÄN</t>
        </is>
      </c>
      <c r="E994" t="inlineStr">
        <is>
          <t>SOLLEFTEÅ</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51442-2021</t>
        </is>
      </c>
      <c r="B995" s="1" t="n">
        <v>44462</v>
      </c>
      <c r="C995" s="1" t="n">
        <v>45669</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51491-2021</t>
        </is>
      </c>
      <c r="B996" s="1" t="n">
        <v>44462</v>
      </c>
      <c r="C996" s="1" t="n">
        <v>45669</v>
      </c>
      <c r="D996" t="inlineStr">
        <is>
          <t>VÄSTERNORRLANDS LÄN</t>
        </is>
      </c>
      <c r="E996" t="inlineStr">
        <is>
          <t>SOLLEFTEÅ</t>
        </is>
      </c>
      <c r="F996" t="inlineStr">
        <is>
          <t>Kyrkan</t>
        </is>
      </c>
      <c r="G996" t="n">
        <v>18</v>
      </c>
      <c r="H996" t="n">
        <v>0</v>
      </c>
      <c r="I996" t="n">
        <v>0</v>
      </c>
      <c r="J996" t="n">
        <v>0</v>
      </c>
      <c r="K996" t="n">
        <v>0</v>
      </c>
      <c r="L996" t="n">
        <v>0</v>
      </c>
      <c r="M996" t="n">
        <v>0</v>
      </c>
      <c r="N996" t="n">
        <v>0</v>
      </c>
      <c r="O996" t="n">
        <v>0</v>
      </c>
      <c r="P996" t="n">
        <v>0</v>
      </c>
      <c r="Q996" t="n">
        <v>0</v>
      </c>
      <c r="R996" s="2" t="inlineStr"/>
    </row>
    <row r="997" ht="15" customHeight="1">
      <c r="A997" t="inlineStr">
        <is>
          <t>A 51847-2021</t>
        </is>
      </c>
      <c r="B997" s="1" t="n">
        <v>44462</v>
      </c>
      <c r="C997" s="1" t="n">
        <v>45669</v>
      </c>
      <c r="D997" t="inlineStr">
        <is>
          <t>VÄSTERNORRLANDS LÄN</t>
        </is>
      </c>
      <c r="E997" t="inlineStr">
        <is>
          <t>SOLLEFTEÅ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51952-2021</t>
        </is>
      </c>
      <c r="B998" s="1" t="n">
        <v>44463</v>
      </c>
      <c r="C998" s="1" t="n">
        <v>45669</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52447-2021</t>
        </is>
      </c>
      <c r="B999" s="1" t="n">
        <v>44466</v>
      </c>
      <c r="C999" s="1" t="n">
        <v>45669</v>
      </c>
      <c r="D999" t="inlineStr">
        <is>
          <t>VÄSTERNORRLANDS LÄN</t>
        </is>
      </c>
      <c r="E999" t="inlineStr">
        <is>
          <t>SOLLEFTEÅ</t>
        </is>
      </c>
      <c r="F999" t="inlineStr">
        <is>
          <t>Holmen skog AB</t>
        </is>
      </c>
      <c r="G999" t="n">
        <v>8.9</v>
      </c>
      <c r="H999" t="n">
        <v>0</v>
      </c>
      <c r="I999" t="n">
        <v>0</v>
      </c>
      <c r="J999" t="n">
        <v>0</v>
      </c>
      <c r="K999" t="n">
        <v>0</v>
      </c>
      <c r="L999" t="n">
        <v>0</v>
      </c>
      <c r="M999" t="n">
        <v>0</v>
      </c>
      <c r="N999" t="n">
        <v>0</v>
      </c>
      <c r="O999" t="n">
        <v>0</v>
      </c>
      <c r="P999" t="n">
        <v>0</v>
      </c>
      <c r="Q999" t="n">
        <v>0</v>
      </c>
      <c r="R999" s="2" t="inlineStr"/>
    </row>
    <row r="1000" ht="15" customHeight="1">
      <c r="A1000" t="inlineStr">
        <is>
          <t>A 53289-2021</t>
        </is>
      </c>
      <c r="B1000" s="1" t="n">
        <v>44467</v>
      </c>
      <c r="C1000" s="1" t="n">
        <v>45669</v>
      </c>
      <c r="D1000" t="inlineStr">
        <is>
          <t>VÄSTERNORRLANDS LÄN</t>
        </is>
      </c>
      <c r="E1000" t="inlineStr">
        <is>
          <t>SOLLEFTEÅ</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53278-2021</t>
        </is>
      </c>
      <c r="B1001" s="1" t="n">
        <v>44467</v>
      </c>
      <c r="C1001" s="1" t="n">
        <v>45669</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53524-2021</t>
        </is>
      </c>
      <c r="B1002" s="1" t="n">
        <v>44468</v>
      </c>
      <c r="C1002" s="1" t="n">
        <v>45669</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53955-2021</t>
        </is>
      </c>
      <c r="B1003" s="1" t="n">
        <v>44469</v>
      </c>
      <c r="C1003" s="1" t="n">
        <v>45669</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54146-2021</t>
        </is>
      </c>
      <c r="B1004" s="1" t="n">
        <v>44469</v>
      </c>
      <c r="C1004" s="1" t="n">
        <v>45669</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54728-2021</t>
        </is>
      </c>
      <c r="B1005" s="1" t="n">
        <v>44473</v>
      </c>
      <c r="C1005" s="1" t="n">
        <v>45669</v>
      </c>
      <c r="D1005" t="inlineStr">
        <is>
          <t>VÄSTERNORRLANDS LÄN</t>
        </is>
      </c>
      <c r="E1005" t="inlineStr">
        <is>
          <t>SOLLEFTEÅ</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55016-2021</t>
        </is>
      </c>
      <c r="B1006" s="1" t="n">
        <v>44474</v>
      </c>
      <c r="C1006" s="1" t="n">
        <v>45669</v>
      </c>
      <c r="D1006" t="inlineStr">
        <is>
          <t>VÄSTERNORRLANDS LÄN</t>
        </is>
      </c>
      <c r="E1006" t="inlineStr">
        <is>
          <t>SOLLEFTEÅ</t>
        </is>
      </c>
      <c r="F1006" t="inlineStr">
        <is>
          <t>Övriga Aktiebolag</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55018-2021</t>
        </is>
      </c>
      <c r="B1007" s="1" t="n">
        <v>44474</v>
      </c>
      <c r="C1007" s="1" t="n">
        <v>45669</v>
      </c>
      <c r="D1007" t="inlineStr">
        <is>
          <t>VÄSTERNORRLANDS LÄN</t>
        </is>
      </c>
      <c r="E1007" t="inlineStr">
        <is>
          <t>SOLLEFTEÅ</t>
        </is>
      </c>
      <c r="F1007" t="inlineStr">
        <is>
          <t>Övriga Aktiebolag</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55610-2021</t>
        </is>
      </c>
      <c r="B1008" s="1" t="n">
        <v>44476</v>
      </c>
      <c r="C1008" s="1" t="n">
        <v>45669</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55643-2021</t>
        </is>
      </c>
      <c r="B1009" s="1" t="n">
        <v>44475</v>
      </c>
      <c r="C1009" s="1" t="n">
        <v>45669</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55904-2021</t>
        </is>
      </c>
      <c r="B1010" s="1" t="n">
        <v>44476</v>
      </c>
      <c r="C1010" s="1" t="n">
        <v>45669</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56211-2021</t>
        </is>
      </c>
      <c r="B1011" s="1" t="n">
        <v>44478</v>
      </c>
      <c r="C1011" s="1" t="n">
        <v>45669</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56918-2021</t>
        </is>
      </c>
      <c r="B1012" s="1" t="n">
        <v>44482</v>
      </c>
      <c r="C1012" s="1" t="n">
        <v>45669</v>
      </c>
      <c r="D1012" t="inlineStr">
        <is>
          <t>VÄSTERNORRLANDS LÄN</t>
        </is>
      </c>
      <c r="E1012" t="inlineStr">
        <is>
          <t>SOLLEFTEÅ</t>
        </is>
      </c>
      <c r="F1012" t="inlineStr">
        <is>
          <t>SCA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57007-2021</t>
        </is>
      </c>
      <c r="B1013" s="1" t="n">
        <v>44482</v>
      </c>
      <c r="C1013" s="1" t="n">
        <v>45669</v>
      </c>
      <c r="D1013" t="inlineStr">
        <is>
          <t>VÄSTERNORRLANDS LÄN</t>
        </is>
      </c>
      <c r="E1013" t="inlineStr">
        <is>
          <t>SOLLEFTEÅ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57550-2021</t>
        </is>
      </c>
      <c r="B1014" s="1" t="n">
        <v>44484</v>
      </c>
      <c r="C1014" s="1" t="n">
        <v>45669</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57552-2021</t>
        </is>
      </c>
      <c r="B1015" s="1" t="n">
        <v>44483</v>
      </c>
      <c r="C1015" s="1" t="n">
        <v>45669</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57856-2021</t>
        </is>
      </c>
      <c r="B1016" s="1" t="n">
        <v>44485</v>
      </c>
      <c r="C1016" s="1" t="n">
        <v>45669</v>
      </c>
      <c r="D1016" t="inlineStr">
        <is>
          <t>VÄSTERNORRLANDS LÄN</t>
        </is>
      </c>
      <c r="E1016" t="inlineStr">
        <is>
          <t>SOLLEFTEÅ</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57911-2021</t>
        </is>
      </c>
      <c r="B1017" s="1" t="n">
        <v>44486</v>
      </c>
      <c r="C1017" s="1" t="n">
        <v>45669</v>
      </c>
      <c r="D1017" t="inlineStr">
        <is>
          <t>VÄSTERNORRLANDS LÄN</t>
        </is>
      </c>
      <c r="E1017" t="inlineStr">
        <is>
          <t>SOLLEFTEÅ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58268-2021</t>
        </is>
      </c>
      <c r="B1018" s="1" t="n">
        <v>44487</v>
      </c>
      <c r="C1018" s="1" t="n">
        <v>45669</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58276-2021</t>
        </is>
      </c>
      <c r="B1019" s="1" t="n">
        <v>44488</v>
      </c>
      <c r="C1019" s="1" t="n">
        <v>45669</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58179-2021</t>
        </is>
      </c>
      <c r="B1020" s="1" t="n">
        <v>44487</v>
      </c>
      <c r="C1020" s="1" t="n">
        <v>45669</v>
      </c>
      <c r="D1020" t="inlineStr">
        <is>
          <t>VÄSTERNORRLANDS LÄN</t>
        </is>
      </c>
      <c r="E1020" t="inlineStr">
        <is>
          <t>SOLLEFTEÅ</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58478-2021</t>
        </is>
      </c>
      <c r="B1021" s="1" t="n">
        <v>44488</v>
      </c>
      <c r="C1021" s="1" t="n">
        <v>45669</v>
      </c>
      <c r="D1021" t="inlineStr">
        <is>
          <t>VÄSTERNORRLANDS LÄN</t>
        </is>
      </c>
      <c r="E1021" t="inlineStr">
        <is>
          <t>SOLLEFTEÅ</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58486-2021</t>
        </is>
      </c>
      <c r="B1022" s="1" t="n">
        <v>44488</v>
      </c>
      <c r="C1022" s="1" t="n">
        <v>45669</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58571-2021</t>
        </is>
      </c>
      <c r="B1023" s="1" t="n">
        <v>44488</v>
      </c>
      <c r="C1023" s="1" t="n">
        <v>45669</v>
      </c>
      <c r="D1023" t="inlineStr">
        <is>
          <t>VÄSTERNORRLANDS LÄN</t>
        </is>
      </c>
      <c r="E1023" t="inlineStr">
        <is>
          <t>SOLLEFTEÅ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58573-2021</t>
        </is>
      </c>
      <c r="B1024" s="1" t="n">
        <v>44488</v>
      </c>
      <c r="C1024" s="1" t="n">
        <v>45669</v>
      </c>
      <c r="D1024" t="inlineStr">
        <is>
          <t>VÄSTERNORRLANDS LÄN</t>
        </is>
      </c>
      <c r="E1024" t="inlineStr">
        <is>
          <t>SOLLEFTEÅ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58726-2021</t>
        </is>
      </c>
      <c r="B1025" s="1" t="n">
        <v>44489</v>
      </c>
      <c r="C1025" s="1" t="n">
        <v>45669</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58742-2021</t>
        </is>
      </c>
      <c r="B1026" s="1" t="n">
        <v>44489</v>
      </c>
      <c r="C1026" s="1" t="n">
        <v>45669</v>
      </c>
      <c r="D1026" t="inlineStr">
        <is>
          <t>VÄSTERNORRLANDS LÄN</t>
        </is>
      </c>
      <c r="E1026" t="inlineStr">
        <is>
          <t>SOLLEFTEÅ</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58755-2021</t>
        </is>
      </c>
      <c r="B1027" s="1" t="n">
        <v>44489</v>
      </c>
      <c r="C1027" s="1" t="n">
        <v>45669</v>
      </c>
      <c r="D1027" t="inlineStr">
        <is>
          <t>VÄSTERNORRLANDS LÄN</t>
        </is>
      </c>
      <c r="E1027" t="inlineStr">
        <is>
          <t>SOLLEFTEÅ</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58688-2021</t>
        </is>
      </c>
      <c r="B1028" s="1" t="n">
        <v>44489</v>
      </c>
      <c r="C1028" s="1" t="n">
        <v>45669</v>
      </c>
      <c r="D1028" t="inlineStr">
        <is>
          <t>VÄSTERNORRLANDS LÄN</t>
        </is>
      </c>
      <c r="E1028" t="inlineStr">
        <is>
          <t>SOLLEFTEÅ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58715-2021</t>
        </is>
      </c>
      <c r="B1029" s="1" t="n">
        <v>44489</v>
      </c>
      <c r="C1029" s="1" t="n">
        <v>45669</v>
      </c>
      <c r="D1029" t="inlineStr">
        <is>
          <t>VÄSTERNORRLANDS LÄN</t>
        </is>
      </c>
      <c r="E1029" t="inlineStr">
        <is>
          <t>SOLLEFTEÅ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59344-2021</t>
        </is>
      </c>
      <c r="B1030" s="1" t="n">
        <v>44490</v>
      </c>
      <c r="C1030" s="1" t="n">
        <v>45669</v>
      </c>
      <c r="D1030" t="inlineStr">
        <is>
          <t>VÄSTERNORRLANDS LÄN</t>
        </is>
      </c>
      <c r="E1030" t="inlineStr">
        <is>
          <t>SOLLEFTEÅ</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59309-2021</t>
        </is>
      </c>
      <c r="B1031" s="1" t="n">
        <v>44491</v>
      </c>
      <c r="C1031" s="1" t="n">
        <v>45669</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59343-2021</t>
        </is>
      </c>
      <c r="B1032" s="1" t="n">
        <v>44490</v>
      </c>
      <c r="C1032" s="1" t="n">
        <v>45669</v>
      </c>
      <c r="D1032" t="inlineStr">
        <is>
          <t>VÄSTERNORRLANDS LÄN</t>
        </is>
      </c>
      <c r="E1032" t="inlineStr">
        <is>
          <t>SOLLEFTEÅ</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60324-2021</t>
        </is>
      </c>
      <c r="B1033" s="1" t="n">
        <v>44496</v>
      </c>
      <c r="C1033" s="1" t="n">
        <v>45669</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60757-2021</t>
        </is>
      </c>
      <c r="B1034" s="1" t="n">
        <v>44497</v>
      </c>
      <c r="C1034" s="1" t="n">
        <v>45669</v>
      </c>
      <c r="D1034" t="inlineStr">
        <is>
          <t>VÄSTERNORRLANDS LÄN</t>
        </is>
      </c>
      <c r="E1034" t="inlineStr">
        <is>
          <t>SOLLEFTEÅ</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60756-2021</t>
        </is>
      </c>
      <c r="B1035" s="1" t="n">
        <v>44496</v>
      </c>
      <c r="C1035" s="1" t="n">
        <v>45669</v>
      </c>
      <c r="D1035" t="inlineStr">
        <is>
          <t>VÄSTERNORRLANDS LÄN</t>
        </is>
      </c>
      <c r="E1035" t="inlineStr">
        <is>
          <t>SOLLEFTEÅ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61739-2021</t>
        </is>
      </c>
      <c r="B1036" s="1" t="n">
        <v>44498</v>
      </c>
      <c r="C1036" s="1" t="n">
        <v>45669</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61424-2021</t>
        </is>
      </c>
      <c r="B1037" s="1" t="n">
        <v>44500</v>
      </c>
      <c r="C1037" s="1" t="n">
        <v>45669</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61470-2021</t>
        </is>
      </c>
      <c r="B1038" s="1" t="n">
        <v>44500</v>
      </c>
      <c r="C1038" s="1" t="n">
        <v>45669</v>
      </c>
      <c r="D1038" t="inlineStr">
        <is>
          <t>VÄSTERNORRLANDS LÄN</t>
        </is>
      </c>
      <c r="E1038" t="inlineStr">
        <is>
          <t>SOLLEFTEÅ</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61480-2021</t>
        </is>
      </c>
      <c r="B1039" s="1" t="n">
        <v>44500</v>
      </c>
      <c r="C1039" s="1" t="n">
        <v>45669</v>
      </c>
      <c r="D1039" t="inlineStr">
        <is>
          <t>VÄSTERNORRLANDS LÄN</t>
        </is>
      </c>
      <c r="E1039" t="inlineStr">
        <is>
          <t>SOLLEFTEÅ</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61426-2021</t>
        </is>
      </c>
      <c r="B1040" s="1" t="n">
        <v>44500</v>
      </c>
      <c r="C1040" s="1" t="n">
        <v>45669</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61469-2021</t>
        </is>
      </c>
      <c r="B1041" s="1" t="n">
        <v>44500</v>
      </c>
      <c r="C1041" s="1" t="n">
        <v>45669</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61496-2021</t>
        </is>
      </c>
      <c r="B1042" s="1" t="n">
        <v>44501</v>
      </c>
      <c r="C1042" s="1" t="n">
        <v>45669</v>
      </c>
      <c r="D1042" t="inlineStr">
        <is>
          <t>VÄSTERNORRLANDS LÄN</t>
        </is>
      </c>
      <c r="E1042" t="inlineStr">
        <is>
          <t>SOLLEFTEÅ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62214-2021</t>
        </is>
      </c>
      <c r="B1043" s="1" t="n">
        <v>44502</v>
      </c>
      <c r="C1043" s="1" t="n">
        <v>45669</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62210-2021</t>
        </is>
      </c>
      <c r="B1044" s="1" t="n">
        <v>44502</v>
      </c>
      <c r="C1044" s="1" t="n">
        <v>45669</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62418-2021</t>
        </is>
      </c>
      <c r="B1045" s="1" t="n">
        <v>44503</v>
      </c>
      <c r="C1045" s="1" t="n">
        <v>45669</v>
      </c>
      <c r="D1045" t="inlineStr">
        <is>
          <t>VÄSTERNORRLANDS LÄN</t>
        </is>
      </c>
      <c r="E1045" t="inlineStr">
        <is>
          <t>SOLLEFTEÅ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62790-2021</t>
        </is>
      </c>
      <c r="B1046" s="1" t="n">
        <v>44503</v>
      </c>
      <c r="C1046" s="1" t="n">
        <v>45669</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62697-2021</t>
        </is>
      </c>
      <c r="B1047" s="1" t="n">
        <v>44504</v>
      </c>
      <c r="C1047" s="1" t="n">
        <v>45669</v>
      </c>
      <c r="D1047" t="inlineStr">
        <is>
          <t>VÄSTERNORRLANDS LÄN</t>
        </is>
      </c>
      <c r="E1047" t="inlineStr">
        <is>
          <t>SOLLEFTEÅ</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62692-2021</t>
        </is>
      </c>
      <c r="B1048" s="1" t="n">
        <v>44504</v>
      </c>
      <c r="C1048" s="1" t="n">
        <v>45669</v>
      </c>
      <c r="D1048" t="inlineStr">
        <is>
          <t>VÄSTERNORRLANDS LÄN</t>
        </is>
      </c>
      <c r="E1048" t="inlineStr">
        <is>
          <t>SOLLEFTEÅ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63710-2021</t>
        </is>
      </c>
      <c r="B1049" s="1" t="n">
        <v>44504</v>
      </c>
      <c r="C1049" s="1" t="n">
        <v>45669</v>
      </c>
      <c r="D1049" t="inlineStr">
        <is>
          <t>VÄSTERNORRLANDS LÄN</t>
        </is>
      </c>
      <c r="E1049" t="inlineStr">
        <is>
          <t>SOLLEFTEÅ</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64638-2021</t>
        </is>
      </c>
      <c r="B1050" s="1" t="n">
        <v>44511</v>
      </c>
      <c r="C1050" s="1" t="n">
        <v>45669</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64651-2021</t>
        </is>
      </c>
      <c r="B1051" s="1" t="n">
        <v>44511</v>
      </c>
      <c r="C1051" s="1" t="n">
        <v>45669</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64653-2021</t>
        </is>
      </c>
      <c r="B1052" s="1" t="n">
        <v>44511</v>
      </c>
      <c r="C1052" s="1" t="n">
        <v>45669</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64939-2021</t>
        </is>
      </c>
      <c r="B1053" s="1" t="n">
        <v>44512</v>
      </c>
      <c r="C1053" s="1" t="n">
        <v>45669</v>
      </c>
      <c r="D1053" t="inlineStr">
        <is>
          <t>VÄSTERNORRLANDS LÄN</t>
        </is>
      </c>
      <c r="E1053" t="inlineStr">
        <is>
          <t>SOLLEFTEÅ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64947-2021</t>
        </is>
      </c>
      <c r="B1054" s="1" t="n">
        <v>44512</v>
      </c>
      <c r="C1054" s="1" t="n">
        <v>45669</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64944-2021</t>
        </is>
      </c>
      <c r="B1055" s="1" t="n">
        <v>44512</v>
      </c>
      <c r="C1055" s="1" t="n">
        <v>45669</v>
      </c>
      <c r="D1055" t="inlineStr">
        <is>
          <t>VÄSTERNORRLANDS LÄN</t>
        </is>
      </c>
      <c r="E1055" t="inlineStr">
        <is>
          <t>SOLLEFTEÅ</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65009-2021</t>
        </is>
      </c>
      <c r="B1056" s="1" t="n">
        <v>44514</v>
      </c>
      <c r="C1056" s="1" t="n">
        <v>45669</v>
      </c>
      <c r="D1056" t="inlineStr">
        <is>
          <t>VÄSTERNORRLANDS LÄN</t>
        </is>
      </c>
      <c r="E1056" t="inlineStr">
        <is>
          <t>SOLLEFTEÅ</t>
        </is>
      </c>
      <c r="G1056" t="n">
        <v>17.3</v>
      </c>
      <c r="H1056" t="n">
        <v>0</v>
      </c>
      <c r="I1056" t="n">
        <v>0</v>
      </c>
      <c r="J1056" t="n">
        <v>0</v>
      </c>
      <c r="K1056" t="n">
        <v>0</v>
      </c>
      <c r="L1056" t="n">
        <v>0</v>
      </c>
      <c r="M1056" t="n">
        <v>0</v>
      </c>
      <c r="N1056" t="n">
        <v>0</v>
      </c>
      <c r="O1056" t="n">
        <v>0</v>
      </c>
      <c r="P1056" t="n">
        <v>0</v>
      </c>
      <c r="Q1056" t="n">
        <v>0</v>
      </c>
      <c r="R1056" s="2" t="inlineStr"/>
    </row>
    <row r="1057" ht="15" customHeight="1">
      <c r="A1057" t="inlineStr">
        <is>
          <t>A 66178-2021</t>
        </is>
      </c>
      <c r="B1057" s="1" t="n">
        <v>44517</v>
      </c>
      <c r="C1057" s="1" t="n">
        <v>45669</v>
      </c>
      <c r="D1057" t="inlineStr">
        <is>
          <t>VÄSTERNORRLANDS LÄN</t>
        </is>
      </c>
      <c r="E1057" t="inlineStr">
        <is>
          <t>SOLLEFTEÅ</t>
        </is>
      </c>
      <c r="F1057" t="inlineStr">
        <is>
          <t>SCA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66856-2021</t>
        </is>
      </c>
      <c r="B1058" s="1" t="n">
        <v>44522</v>
      </c>
      <c r="C1058" s="1" t="n">
        <v>45669</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67085-2021</t>
        </is>
      </c>
      <c r="B1059" s="1" t="n">
        <v>44522</v>
      </c>
      <c r="C1059" s="1" t="n">
        <v>45669</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67143-2021</t>
        </is>
      </c>
      <c r="B1060" s="1" t="n">
        <v>44523</v>
      </c>
      <c r="C1060" s="1" t="n">
        <v>45669</v>
      </c>
      <c r="D1060" t="inlineStr">
        <is>
          <t>VÄSTERNORRLANDS LÄN</t>
        </is>
      </c>
      <c r="E1060" t="inlineStr">
        <is>
          <t>SOLLEFTEÅ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67136-2021</t>
        </is>
      </c>
      <c r="B1061" s="1" t="n">
        <v>44523</v>
      </c>
      <c r="C1061" s="1" t="n">
        <v>45669</v>
      </c>
      <c r="D1061" t="inlineStr">
        <is>
          <t>VÄSTERNORRLANDS LÄN</t>
        </is>
      </c>
      <c r="E1061" t="inlineStr">
        <is>
          <t>SOLLEFTEÅ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67390-2021</t>
        </is>
      </c>
      <c r="B1062" s="1" t="n">
        <v>44523</v>
      </c>
      <c r="C1062" s="1" t="n">
        <v>45669</v>
      </c>
      <c r="D1062" t="inlineStr">
        <is>
          <t>VÄSTERNORRLANDS LÄN</t>
        </is>
      </c>
      <c r="E1062" t="inlineStr">
        <is>
          <t>SOLLEFTEÅ</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67401-2021</t>
        </is>
      </c>
      <c r="B1063" s="1" t="n">
        <v>44523</v>
      </c>
      <c r="C1063" s="1" t="n">
        <v>45669</v>
      </c>
      <c r="D1063" t="inlineStr">
        <is>
          <t>VÄSTERNORRLANDS LÄN</t>
        </is>
      </c>
      <c r="E1063" t="inlineStr">
        <is>
          <t>SOLLEFTEÅ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67689-2021</t>
        </is>
      </c>
      <c r="B1064" s="1" t="n">
        <v>44524</v>
      </c>
      <c r="C1064" s="1" t="n">
        <v>45669</v>
      </c>
      <c r="D1064" t="inlineStr">
        <is>
          <t>VÄSTERNORRLANDS LÄN</t>
        </is>
      </c>
      <c r="E1064" t="inlineStr">
        <is>
          <t>SOLLEFTEÅ</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67702-2021</t>
        </is>
      </c>
      <c r="B1065" s="1" t="n">
        <v>44524</v>
      </c>
      <c r="C1065" s="1" t="n">
        <v>45669</v>
      </c>
      <c r="D1065" t="inlineStr">
        <is>
          <t>VÄSTERNORRLANDS LÄN</t>
        </is>
      </c>
      <c r="E1065" t="inlineStr">
        <is>
          <t>SOLLEFTEÅ</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67822-2021</t>
        </is>
      </c>
      <c r="B1066" s="1" t="n">
        <v>44525</v>
      </c>
      <c r="C1066" s="1" t="n">
        <v>45669</v>
      </c>
      <c r="D1066" t="inlineStr">
        <is>
          <t>VÄSTERNORRLANDS LÄN</t>
        </is>
      </c>
      <c r="E1066" t="inlineStr">
        <is>
          <t>SOLLEFTEÅ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68317-2021</t>
        </is>
      </c>
      <c r="B1067" s="1" t="n">
        <v>44526</v>
      </c>
      <c r="C1067" s="1" t="n">
        <v>45669</v>
      </c>
      <c r="D1067" t="inlineStr">
        <is>
          <t>VÄSTERNORRLANDS LÄN</t>
        </is>
      </c>
      <c r="E1067" t="inlineStr">
        <is>
          <t>SOLLEFTEÅ</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68792-2021</t>
        </is>
      </c>
      <c r="B1068" s="1" t="n">
        <v>44529</v>
      </c>
      <c r="C1068" s="1" t="n">
        <v>45669</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68843-2021</t>
        </is>
      </c>
      <c r="B1069" s="1" t="n">
        <v>44530</v>
      </c>
      <c r="C1069" s="1" t="n">
        <v>45669</v>
      </c>
      <c r="D1069" t="inlineStr">
        <is>
          <t>VÄSTERNORRLANDS LÄN</t>
        </is>
      </c>
      <c r="E1069" t="inlineStr">
        <is>
          <t>SOLLEFTEÅ</t>
        </is>
      </c>
      <c r="F1069" t="inlineStr">
        <is>
          <t>Holmen skog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68863-2021</t>
        </is>
      </c>
      <c r="B1070" s="1" t="n">
        <v>44530</v>
      </c>
      <c r="C1070" s="1" t="n">
        <v>45669</v>
      </c>
      <c r="D1070" t="inlineStr">
        <is>
          <t>VÄSTERNORRLANDS LÄN</t>
        </is>
      </c>
      <c r="E1070" t="inlineStr">
        <is>
          <t>SOLLEFTEÅ</t>
        </is>
      </c>
      <c r="F1070" t="inlineStr">
        <is>
          <t>Holmen skog AB</t>
        </is>
      </c>
      <c r="G1070" t="n">
        <v>16.8</v>
      </c>
      <c r="H1070" t="n">
        <v>0</v>
      </c>
      <c r="I1070" t="n">
        <v>0</v>
      </c>
      <c r="J1070" t="n">
        <v>0</v>
      </c>
      <c r="K1070" t="n">
        <v>0</v>
      </c>
      <c r="L1070" t="n">
        <v>0</v>
      </c>
      <c r="M1070" t="n">
        <v>0</v>
      </c>
      <c r="N1070" t="n">
        <v>0</v>
      </c>
      <c r="O1070" t="n">
        <v>0</v>
      </c>
      <c r="P1070" t="n">
        <v>0</v>
      </c>
      <c r="Q1070" t="n">
        <v>0</v>
      </c>
      <c r="R1070" s="2" t="inlineStr"/>
    </row>
    <row r="1071" ht="15" customHeight="1">
      <c r="A1071" t="inlineStr">
        <is>
          <t>A 69121-2021</t>
        </is>
      </c>
      <c r="B1071" s="1" t="n">
        <v>44530</v>
      </c>
      <c r="C1071" s="1" t="n">
        <v>45669</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69543-2021</t>
        </is>
      </c>
      <c r="B1072" s="1" t="n">
        <v>44531</v>
      </c>
      <c r="C1072" s="1" t="n">
        <v>45669</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69542-2021</t>
        </is>
      </c>
      <c r="B1073" s="1" t="n">
        <v>44531</v>
      </c>
      <c r="C1073" s="1" t="n">
        <v>45669</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69919-2021</t>
        </is>
      </c>
      <c r="B1074" s="1" t="n">
        <v>44532</v>
      </c>
      <c r="C1074" s="1" t="n">
        <v>45669</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69916-2021</t>
        </is>
      </c>
      <c r="B1075" s="1" t="n">
        <v>44532</v>
      </c>
      <c r="C1075" s="1" t="n">
        <v>45669</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70180-2021</t>
        </is>
      </c>
      <c r="B1076" s="1" t="n">
        <v>44533</v>
      </c>
      <c r="C1076" s="1" t="n">
        <v>45669</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70821-2021</t>
        </is>
      </c>
      <c r="B1077" s="1" t="n">
        <v>44537</v>
      </c>
      <c r="C1077" s="1" t="n">
        <v>45669</v>
      </c>
      <c r="D1077" t="inlineStr">
        <is>
          <t>VÄSTERNORRLANDS LÄN</t>
        </is>
      </c>
      <c r="E1077" t="inlineStr">
        <is>
          <t>SOLLEFTEÅ</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71080-2021</t>
        </is>
      </c>
      <c r="B1078" s="1" t="n">
        <v>44538</v>
      </c>
      <c r="C1078" s="1" t="n">
        <v>45669</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71079-2021</t>
        </is>
      </c>
      <c r="B1079" s="1" t="n">
        <v>44538</v>
      </c>
      <c r="C1079" s="1" t="n">
        <v>45669</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71348-2021</t>
        </is>
      </c>
      <c r="B1080" s="1" t="n">
        <v>44539</v>
      </c>
      <c r="C1080" s="1" t="n">
        <v>45669</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71351-2021</t>
        </is>
      </c>
      <c r="B1081" s="1" t="n">
        <v>44539</v>
      </c>
      <c r="C1081" s="1" t="n">
        <v>45669</v>
      </c>
      <c r="D1081" t="inlineStr">
        <is>
          <t>VÄSTERNORRLANDS LÄN</t>
        </is>
      </c>
      <c r="E1081" t="inlineStr">
        <is>
          <t>SOLLEFTEÅ</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71350-2021</t>
        </is>
      </c>
      <c r="B1082" s="1" t="n">
        <v>44539</v>
      </c>
      <c r="C1082" s="1" t="n">
        <v>45669</v>
      </c>
      <c r="D1082" t="inlineStr">
        <is>
          <t>VÄSTERNORRLANDS LÄN</t>
        </is>
      </c>
      <c r="E1082" t="inlineStr">
        <is>
          <t>SOLLEFTEÅ</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71580-2021</t>
        </is>
      </c>
      <c r="B1083" s="1" t="n">
        <v>44540</v>
      </c>
      <c r="C1083" s="1" t="n">
        <v>45669</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72244-2021</t>
        </is>
      </c>
      <c r="B1084" s="1" t="n">
        <v>44544</v>
      </c>
      <c r="C1084" s="1" t="n">
        <v>45669</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72249-2021</t>
        </is>
      </c>
      <c r="B1085" s="1" t="n">
        <v>44544</v>
      </c>
      <c r="C1085" s="1" t="n">
        <v>45669</v>
      </c>
      <c r="D1085" t="inlineStr">
        <is>
          <t>VÄSTERNORRLANDS LÄN</t>
        </is>
      </c>
      <c r="E1085" t="inlineStr">
        <is>
          <t>SOLLEFTEÅ</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72315-2021</t>
        </is>
      </c>
      <c r="B1086" s="1" t="n">
        <v>44545</v>
      </c>
      <c r="C1086" s="1" t="n">
        <v>45669</v>
      </c>
      <c r="D1086" t="inlineStr">
        <is>
          <t>VÄSTERNORRLANDS LÄN</t>
        </is>
      </c>
      <c r="E1086" t="inlineStr">
        <is>
          <t>SOLLEFTEÅ</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72485-2021</t>
        </is>
      </c>
      <c r="B1087" s="1" t="n">
        <v>44545</v>
      </c>
      <c r="C1087" s="1" t="n">
        <v>45669</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72496-2021</t>
        </is>
      </c>
      <c r="B1088" s="1" t="n">
        <v>44545</v>
      </c>
      <c r="C1088" s="1" t="n">
        <v>45669</v>
      </c>
      <c r="D1088" t="inlineStr">
        <is>
          <t>VÄSTERNORRLANDS LÄN</t>
        </is>
      </c>
      <c r="E1088" t="inlineStr">
        <is>
          <t>SOLLEFTEÅ</t>
        </is>
      </c>
      <c r="G1088" t="n">
        <v>20</v>
      </c>
      <c r="H1088" t="n">
        <v>0</v>
      </c>
      <c r="I1088" t="n">
        <v>0</v>
      </c>
      <c r="J1088" t="n">
        <v>0</v>
      </c>
      <c r="K1088" t="n">
        <v>0</v>
      </c>
      <c r="L1088" t="n">
        <v>0</v>
      </c>
      <c r="M1088" t="n">
        <v>0</v>
      </c>
      <c r="N1088" t="n">
        <v>0</v>
      </c>
      <c r="O1088" t="n">
        <v>0</v>
      </c>
      <c r="P1088" t="n">
        <v>0</v>
      </c>
      <c r="Q1088" t="n">
        <v>0</v>
      </c>
      <c r="R1088" s="2" t="inlineStr"/>
    </row>
    <row r="1089" ht="15" customHeight="1">
      <c r="A1089" t="inlineStr">
        <is>
          <t>A 72949-2021</t>
        </is>
      </c>
      <c r="B1089" s="1" t="n">
        <v>44547</v>
      </c>
      <c r="C1089" s="1" t="n">
        <v>45669</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72958-2021</t>
        </is>
      </c>
      <c r="B1090" s="1" t="n">
        <v>44547</v>
      </c>
      <c r="C1090" s="1" t="n">
        <v>45669</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72977-2021</t>
        </is>
      </c>
      <c r="B1091" s="1" t="n">
        <v>44548</v>
      </c>
      <c r="C1091" s="1" t="n">
        <v>45669</v>
      </c>
      <c r="D1091" t="inlineStr">
        <is>
          <t>VÄSTERNORRLANDS LÄN</t>
        </is>
      </c>
      <c r="E1091" t="inlineStr">
        <is>
          <t>SOLLEFTEÅ</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73285-2021</t>
        </is>
      </c>
      <c r="B1092" s="1" t="n">
        <v>44550</v>
      </c>
      <c r="C1092" s="1" t="n">
        <v>45669</v>
      </c>
      <c r="D1092" t="inlineStr">
        <is>
          <t>VÄSTERNORRLANDS LÄN</t>
        </is>
      </c>
      <c r="E1092" t="inlineStr">
        <is>
          <t>SOLLEFTEÅ</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73367-2021</t>
        </is>
      </c>
      <c r="B1093" s="1" t="n">
        <v>44550</v>
      </c>
      <c r="C1093" s="1" t="n">
        <v>45669</v>
      </c>
      <c r="D1093" t="inlineStr">
        <is>
          <t>VÄSTERNORRLANDS LÄN</t>
        </is>
      </c>
      <c r="E1093" t="inlineStr">
        <is>
          <t>SOLLEFTEÅ</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73566-2021</t>
        </is>
      </c>
      <c r="B1094" s="1" t="n">
        <v>44551</v>
      </c>
      <c r="C1094" s="1" t="n">
        <v>45669</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73564-2021</t>
        </is>
      </c>
      <c r="B1095" s="1" t="n">
        <v>44551</v>
      </c>
      <c r="C1095" s="1" t="n">
        <v>45669</v>
      </c>
      <c r="D1095" t="inlineStr">
        <is>
          <t>VÄSTERNORRLANDS LÄN</t>
        </is>
      </c>
      <c r="E1095" t="inlineStr">
        <is>
          <t>SOLLEFTEÅ</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73567-2021</t>
        </is>
      </c>
      <c r="B1096" s="1" t="n">
        <v>44551</v>
      </c>
      <c r="C1096" s="1" t="n">
        <v>45669</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73886-2021</t>
        </is>
      </c>
      <c r="B1097" s="1" t="n">
        <v>44553</v>
      </c>
      <c r="C1097" s="1" t="n">
        <v>45669</v>
      </c>
      <c r="D1097" t="inlineStr">
        <is>
          <t>VÄSTERNORRLANDS LÄN</t>
        </is>
      </c>
      <c r="E1097" t="inlineStr">
        <is>
          <t>SOLLEFTEÅ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73847-2021</t>
        </is>
      </c>
      <c r="B1098" s="1" t="n">
        <v>44553</v>
      </c>
      <c r="C1098" s="1" t="n">
        <v>45669</v>
      </c>
      <c r="D1098" t="inlineStr">
        <is>
          <t>VÄSTERNORRLANDS LÄN</t>
        </is>
      </c>
      <c r="E1098" t="inlineStr">
        <is>
          <t>SOLLEFTEÅ</t>
        </is>
      </c>
      <c r="F1098" t="inlineStr">
        <is>
          <t>Övriga Aktiebolag</t>
        </is>
      </c>
      <c r="G1098" t="n">
        <v>20.1</v>
      </c>
      <c r="H1098" t="n">
        <v>0</v>
      </c>
      <c r="I1098" t="n">
        <v>0</v>
      </c>
      <c r="J1098" t="n">
        <v>0</v>
      </c>
      <c r="K1098" t="n">
        <v>0</v>
      </c>
      <c r="L1098" t="n">
        <v>0</v>
      </c>
      <c r="M1098" t="n">
        <v>0</v>
      </c>
      <c r="N1098" t="n">
        <v>0</v>
      </c>
      <c r="O1098" t="n">
        <v>0</v>
      </c>
      <c r="P1098" t="n">
        <v>0</v>
      </c>
      <c r="Q1098" t="n">
        <v>0</v>
      </c>
      <c r="R1098" s="2" t="inlineStr"/>
    </row>
    <row r="1099" ht="15" customHeight="1">
      <c r="A1099" t="inlineStr">
        <is>
          <t>A 2-2022</t>
        </is>
      </c>
      <c r="B1099" s="1" t="n">
        <v>44562</v>
      </c>
      <c r="C1099" s="1" t="n">
        <v>45669</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19-2022</t>
        </is>
      </c>
      <c r="B1100" s="1" t="n">
        <v>44564</v>
      </c>
      <c r="C1100" s="1" t="n">
        <v>45669</v>
      </c>
      <c r="D1100" t="inlineStr">
        <is>
          <t>VÄSTERNORRLANDS LÄN</t>
        </is>
      </c>
      <c r="E1100" t="inlineStr">
        <is>
          <t>SOLLEFTEÅ</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576-2022</t>
        </is>
      </c>
      <c r="B1101" s="1" t="n">
        <v>44566</v>
      </c>
      <c r="C1101" s="1" t="n">
        <v>45669</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1095-2022</t>
        </is>
      </c>
      <c r="B1102" s="1" t="n">
        <v>44571</v>
      </c>
      <c r="C1102" s="1" t="n">
        <v>45669</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1094-2022</t>
        </is>
      </c>
      <c r="B1103" s="1" t="n">
        <v>44571</v>
      </c>
      <c r="C1103" s="1" t="n">
        <v>45669</v>
      </c>
      <c r="D1103" t="inlineStr">
        <is>
          <t>VÄSTERNORRLANDS LÄN</t>
        </is>
      </c>
      <c r="E1103" t="inlineStr">
        <is>
          <t>SOLLEFTEÅ</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1402-2022</t>
        </is>
      </c>
      <c r="B1104" s="1" t="n">
        <v>44573</v>
      </c>
      <c r="C1104" s="1" t="n">
        <v>45669</v>
      </c>
      <c r="D1104" t="inlineStr">
        <is>
          <t>VÄSTERNORRLANDS LÄN</t>
        </is>
      </c>
      <c r="E1104" t="inlineStr">
        <is>
          <t>SOLLEFTEÅ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1987-2022</t>
        </is>
      </c>
      <c r="B1105" s="1" t="n">
        <v>44575</v>
      </c>
      <c r="C1105" s="1" t="n">
        <v>45669</v>
      </c>
      <c r="D1105" t="inlineStr">
        <is>
          <t>VÄSTERNORRLANDS LÄN</t>
        </is>
      </c>
      <c r="E1105" t="inlineStr">
        <is>
          <t>SOLLEFTEÅ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1997-2022</t>
        </is>
      </c>
      <c r="B1106" s="1" t="n">
        <v>44575</v>
      </c>
      <c r="C1106" s="1" t="n">
        <v>45669</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2536-2022</t>
        </is>
      </c>
      <c r="B1107" s="1" t="n">
        <v>44579</v>
      </c>
      <c r="C1107" s="1" t="n">
        <v>45669</v>
      </c>
      <c r="D1107" t="inlineStr">
        <is>
          <t>VÄSTERNORRLANDS LÄN</t>
        </is>
      </c>
      <c r="E1107" t="inlineStr">
        <is>
          <t>SOLLEFTEÅ</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2543-2022</t>
        </is>
      </c>
      <c r="B1108" s="1" t="n">
        <v>44580</v>
      </c>
      <c r="C1108" s="1" t="n">
        <v>45669</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2542-2022</t>
        </is>
      </c>
      <c r="B1109" s="1" t="n">
        <v>44580</v>
      </c>
      <c r="C1109" s="1" t="n">
        <v>45669</v>
      </c>
      <c r="D1109" t="inlineStr">
        <is>
          <t>VÄSTERNORRLANDS LÄN</t>
        </is>
      </c>
      <c r="E1109" t="inlineStr">
        <is>
          <t>SOLLEFTEÅ</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2541-2022</t>
        </is>
      </c>
      <c r="B1110" s="1" t="n">
        <v>44580</v>
      </c>
      <c r="C1110" s="1" t="n">
        <v>45669</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2747-2022</t>
        </is>
      </c>
      <c r="B1111" s="1" t="n">
        <v>44580</v>
      </c>
      <c r="C1111" s="1" t="n">
        <v>45669</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45669</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3541-2022</t>
        </is>
      </c>
      <c r="B1113" s="1" t="n">
        <v>44585</v>
      </c>
      <c r="C1113" s="1" t="n">
        <v>45669</v>
      </c>
      <c r="D1113" t="inlineStr">
        <is>
          <t>VÄSTERNORRLANDS LÄN</t>
        </is>
      </c>
      <c r="E1113" t="inlineStr">
        <is>
          <t>SOLLEFTEÅ</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3548-2022</t>
        </is>
      </c>
      <c r="B1114" s="1" t="n">
        <v>44585</v>
      </c>
      <c r="C1114" s="1" t="n">
        <v>45669</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3554-2022</t>
        </is>
      </c>
      <c r="B1115" s="1" t="n">
        <v>44585</v>
      </c>
      <c r="C1115" s="1" t="n">
        <v>45669</v>
      </c>
      <c r="D1115" t="inlineStr">
        <is>
          <t>VÄSTERNORRLANDS LÄN</t>
        </is>
      </c>
      <c r="E1115" t="inlineStr">
        <is>
          <t>SOLLEFTEÅ</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3560-2022</t>
        </is>
      </c>
      <c r="B1116" s="1" t="n">
        <v>44585</v>
      </c>
      <c r="C1116" s="1" t="n">
        <v>45669</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3549-2022</t>
        </is>
      </c>
      <c r="B1117" s="1" t="n">
        <v>44585</v>
      </c>
      <c r="C1117" s="1" t="n">
        <v>45669</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3551-2022</t>
        </is>
      </c>
      <c r="B1118" s="1" t="n">
        <v>44585</v>
      </c>
      <c r="C1118" s="1" t="n">
        <v>45669</v>
      </c>
      <c r="D1118" t="inlineStr">
        <is>
          <t>VÄSTERNORRLANDS LÄN</t>
        </is>
      </c>
      <c r="E1118" t="inlineStr">
        <is>
          <t>SOLLEFTEÅ</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3556-2022</t>
        </is>
      </c>
      <c r="B1119" s="1" t="n">
        <v>44585</v>
      </c>
      <c r="C1119" s="1" t="n">
        <v>45669</v>
      </c>
      <c r="D1119" t="inlineStr">
        <is>
          <t>VÄSTERNORRLANDS LÄN</t>
        </is>
      </c>
      <c r="E1119" t="inlineStr">
        <is>
          <t>SOLLEFTEÅ</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3555-2022</t>
        </is>
      </c>
      <c r="B1120" s="1" t="n">
        <v>44585</v>
      </c>
      <c r="C1120" s="1" t="n">
        <v>45669</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3552-2022</t>
        </is>
      </c>
      <c r="B1121" s="1" t="n">
        <v>44585</v>
      </c>
      <c r="C1121" s="1" t="n">
        <v>45669</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3557-2022</t>
        </is>
      </c>
      <c r="B1122" s="1" t="n">
        <v>44585</v>
      </c>
      <c r="C1122" s="1" t="n">
        <v>45669</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3699-2022</t>
        </is>
      </c>
      <c r="B1123" s="1" t="n">
        <v>44586</v>
      </c>
      <c r="C1123" s="1" t="n">
        <v>45669</v>
      </c>
      <c r="D1123" t="inlineStr">
        <is>
          <t>VÄSTERNORRLANDS LÄN</t>
        </is>
      </c>
      <c r="E1123" t="inlineStr">
        <is>
          <t>SOLLEFTEÅ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3793-2022</t>
        </is>
      </c>
      <c r="B1124" s="1" t="n">
        <v>44586</v>
      </c>
      <c r="C1124" s="1" t="n">
        <v>45669</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3795-2022</t>
        </is>
      </c>
      <c r="B1125" s="1" t="n">
        <v>44586</v>
      </c>
      <c r="C1125" s="1" t="n">
        <v>45669</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4018-2022</t>
        </is>
      </c>
      <c r="B1126" s="1" t="n">
        <v>44587</v>
      </c>
      <c r="C1126" s="1" t="n">
        <v>45669</v>
      </c>
      <c r="D1126" t="inlineStr">
        <is>
          <t>VÄSTERNORRLANDS LÄN</t>
        </is>
      </c>
      <c r="E1126" t="inlineStr">
        <is>
          <t>SOLLEFTEÅ</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4343-2022</t>
        </is>
      </c>
      <c r="B1127" s="1" t="n">
        <v>44588</v>
      </c>
      <c r="C1127" s="1" t="n">
        <v>45669</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4555-2022</t>
        </is>
      </c>
      <c r="B1128" s="1" t="n">
        <v>44590</v>
      </c>
      <c r="C1128" s="1" t="n">
        <v>45669</v>
      </c>
      <c r="D1128" t="inlineStr">
        <is>
          <t>VÄSTERNORRLANDS LÄN</t>
        </is>
      </c>
      <c r="E1128" t="inlineStr">
        <is>
          <t>SOLLEFTEÅ</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5108-2022</t>
        </is>
      </c>
      <c r="B1129" s="1" t="n">
        <v>44593</v>
      </c>
      <c r="C1129" s="1" t="n">
        <v>45669</v>
      </c>
      <c r="D1129" t="inlineStr">
        <is>
          <t>VÄSTERNORRLANDS LÄN</t>
        </is>
      </c>
      <c r="E1129" t="inlineStr">
        <is>
          <t>SOLLEFTEÅ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5110-2022</t>
        </is>
      </c>
      <c r="B1130" s="1" t="n">
        <v>44593</v>
      </c>
      <c r="C1130" s="1" t="n">
        <v>45669</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5111-2022</t>
        </is>
      </c>
      <c r="B1131" s="1" t="n">
        <v>44593</v>
      </c>
      <c r="C1131" s="1" t="n">
        <v>45669</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5134-2022</t>
        </is>
      </c>
      <c r="B1132" s="1" t="n">
        <v>44594</v>
      </c>
      <c r="C1132" s="1" t="n">
        <v>45669</v>
      </c>
      <c r="D1132" t="inlineStr">
        <is>
          <t>VÄSTERNORRLANDS LÄN</t>
        </is>
      </c>
      <c r="E1132" t="inlineStr">
        <is>
          <t>SOLLEFTEÅ</t>
        </is>
      </c>
      <c r="G1132" t="n">
        <v>20.4</v>
      </c>
      <c r="H1132" t="n">
        <v>0</v>
      </c>
      <c r="I1132" t="n">
        <v>0</v>
      </c>
      <c r="J1132" t="n">
        <v>0</v>
      </c>
      <c r="K1132" t="n">
        <v>0</v>
      </c>
      <c r="L1132" t="n">
        <v>0</v>
      </c>
      <c r="M1132" t="n">
        <v>0</v>
      </c>
      <c r="N1132" t="n">
        <v>0</v>
      </c>
      <c r="O1132" t="n">
        <v>0</v>
      </c>
      <c r="P1132" t="n">
        <v>0</v>
      </c>
      <c r="Q1132" t="n">
        <v>0</v>
      </c>
      <c r="R1132" s="2" t="inlineStr"/>
    </row>
    <row r="1133" ht="15" customHeight="1">
      <c r="A1133" t="inlineStr">
        <is>
          <t>A 5657-2022</t>
        </is>
      </c>
      <c r="B1133" s="1" t="n">
        <v>44595</v>
      </c>
      <c r="C1133" s="1" t="n">
        <v>45669</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5909-2022</t>
        </is>
      </c>
      <c r="B1134" s="1" t="n">
        <v>44596</v>
      </c>
      <c r="C1134" s="1" t="n">
        <v>45669</v>
      </c>
      <c r="D1134" t="inlineStr">
        <is>
          <t>VÄSTERNORRLANDS LÄN</t>
        </is>
      </c>
      <c r="E1134" t="inlineStr">
        <is>
          <t>SOLLEFTEÅ</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6121-2022</t>
        </is>
      </c>
      <c r="B1135" s="1" t="n">
        <v>44599</v>
      </c>
      <c r="C1135" s="1" t="n">
        <v>45669</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6172-2022</t>
        </is>
      </c>
      <c r="B1136" s="1" t="n">
        <v>44599</v>
      </c>
      <c r="C1136" s="1" t="n">
        <v>45669</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6170-2022</t>
        </is>
      </c>
      <c r="B1137" s="1" t="n">
        <v>44599</v>
      </c>
      <c r="C1137" s="1" t="n">
        <v>45669</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7667-2022</t>
        </is>
      </c>
      <c r="B1138" s="1" t="n">
        <v>44607</v>
      </c>
      <c r="C1138" s="1" t="n">
        <v>45669</v>
      </c>
      <c r="D1138" t="inlineStr">
        <is>
          <t>VÄSTERNORRLANDS LÄN</t>
        </is>
      </c>
      <c r="E1138" t="inlineStr">
        <is>
          <t>SOLLEFTEÅ</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7965-2022</t>
        </is>
      </c>
      <c r="B1139" s="1" t="n">
        <v>44608</v>
      </c>
      <c r="C1139" s="1" t="n">
        <v>45669</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7963-2022</t>
        </is>
      </c>
      <c r="B1140" s="1" t="n">
        <v>44608</v>
      </c>
      <c r="C1140" s="1" t="n">
        <v>45669</v>
      </c>
      <c r="D1140" t="inlineStr">
        <is>
          <t>VÄSTERNORRLANDS LÄN</t>
        </is>
      </c>
      <c r="E1140" t="inlineStr">
        <is>
          <t>SOLLEFTEÅ</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7935-2022</t>
        </is>
      </c>
      <c r="B1141" s="1" t="n">
        <v>44608</v>
      </c>
      <c r="C1141" s="1" t="n">
        <v>45669</v>
      </c>
      <c r="D1141" t="inlineStr">
        <is>
          <t>VÄSTERNORRLANDS LÄN</t>
        </is>
      </c>
      <c r="E1141" t="inlineStr">
        <is>
          <t>SOLLEFTEÅ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7964-2022</t>
        </is>
      </c>
      <c r="B1142" s="1" t="n">
        <v>44608</v>
      </c>
      <c r="C1142" s="1" t="n">
        <v>45669</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8221-2022</t>
        </is>
      </c>
      <c r="B1143" s="1" t="n">
        <v>44609</v>
      </c>
      <c r="C1143" s="1" t="n">
        <v>45669</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8222-2022</t>
        </is>
      </c>
      <c r="B1144" s="1" t="n">
        <v>44609</v>
      </c>
      <c r="C1144" s="1" t="n">
        <v>45669</v>
      </c>
      <c r="D1144" t="inlineStr">
        <is>
          <t>VÄSTERNORRLANDS LÄN</t>
        </is>
      </c>
      <c r="E1144" t="inlineStr">
        <is>
          <t>SOLLEFTEÅ</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8728-2022</t>
        </is>
      </c>
      <c r="B1145" s="1" t="n">
        <v>44613</v>
      </c>
      <c r="C1145" s="1" t="n">
        <v>45669</v>
      </c>
      <c r="D1145" t="inlineStr">
        <is>
          <t>VÄSTERNORRLANDS LÄN</t>
        </is>
      </c>
      <c r="E1145" t="inlineStr">
        <is>
          <t>SOLLEFTEÅ</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8729-2022</t>
        </is>
      </c>
      <c r="B1146" s="1" t="n">
        <v>44613</v>
      </c>
      <c r="C1146" s="1" t="n">
        <v>45669</v>
      </c>
      <c r="D1146" t="inlineStr">
        <is>
          <t>VÄSTERNORRLANDS LÄN</t>
        </is>
      </c>
      <c r="E1146" t="inlineStr">
        <is>
          <t>SOLLEFTEÅ</t>
        </is>
      </c>
      <c r="F1146" t="inlineStr">
        <is>
          <t>SCA</t>
        </is>
      </c>
      <c r="G1146" t="n">
        <v>16.5</v>
      </c>
      <c r="H1146" t="n">
        <v>0</v>
      </c>
      <c r="I1146" t="n">
        <v>0</v>
      </c>
      <c r="J1146" t="n">
        <v>0</v>
      </c>
      <c r="K1146" t="n">
        <v>0</v>
      </c>
      <c r="L1146" t="n">
        <v>0</v>
      </c>
      <c r="M1146" t="n">
        <v>0</v>
      </c>
      <c r="N1146" t="n">
        <v>0</v>
      </c>
      <c r="O1146" t="n">
        <v>0</v>
      </c>
      <c r="P1146" t="n">
        <v>0</v>
      </c>
      <c r="Q1146" t="n">
        <v>0</v>
      </c>
      <c r="R1146" s="2" t="inlineStr"/>
    </row>
    <row r="1147" ht="15" customHeight="1">
      <c r="A1147" t="inlineStr">
        <is>
          <t>A 8734-2022</t>
        </is>
      </c>
      <c r="B1147" s="1" t="n">
        <v>44613</v>
      </c>
      <c r="C1147" s="1" t="n">
        <v>45669</v>
      </c>
      <c r="D1147" t="inlineStr">
        <is>
          <t>VÄSTERNORRLANDS LÄN</t>
        </is>
      </c>
      <c r="E1147" t="inlineStr">
        <is>
          <t>SOLLEFTEÅ</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9124-2022</t>
        </is>
      </c>
      <c r="B1148" s="1" t="n">
        <v>44615</v>
      </c>
      <c r="C1148" s="1" t="n">
        <v>45669</v>
      </c>
      <c r="D1148" t="inlineStr">
        <is>
          <t>VÄSTERNORRLANDS LÄN</t>
        </is>
      </c>
      <c r="E1148" t="inlineStr">
        <is>
          <t>SOLLEFTEÅ</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9487-2022</t>
        </is>
      </c>
      <c r="B1149" s="1" t="n">
        <v>44616</v>
      </c>
      <c r="C1149" s="1" t="n">
        <v>45669</v>
      </c>
      <c r="D1149" t="inlineStr">
        <is>
          <t>VÄSTERNORRLANDS LÄN</t>
        </is>
      </c>
      <c r="E1149" t="inlineStr">
        <is>
          <t>SOLLEFTEÅ</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9586-2022</t>
        </is>
      </c>
      <c r="B1150" s="1" t="n">
        <v>44617</v>
      </c>
      <c r="C1150" s="1" t="n">
        <v>45669</v>
      </c>
      <c r="D1150" t="inlineStr">
        <is>
          <t>VÄSTERNORRLANDS LÄN</t>
        </is>
      </c>
      <c r="E1150" t="inlineStr">
        <is>
          <t>SOLLEFTEÅ</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10138-2022</t>
        </is>
      </c>
      <c r="B1151" s="1" t="n">
        <v>44621</v>
      </c>
      <c r="C1151" s="1" t="n">
        <v>45669</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10139-2022</t>
        </is>
      </c>
      <c r="B1152" s="1" t="n">
        <v>44621</v>
      </c>
      <c r="C1152" s="1" t="n">
        <v>45669</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10140-2022</t>
        </is>
      </c>
      <c r="B1153" s="1" t="n">
        <v>44621</v>
      </c>
      <c r="C1153" s="1" t="n">
        <v>45669</v>
      </c>
      <c r="D1153" t="inlineStr">
        <is>
          <t>VÄSTERNORRLANDS LÄN</t>
        </is>
      </c>
      <c r="E1153" t="inlineStr">
        <is>
          <t>SOLLEFTEÅ</t>
        </is>
      </c>
      <c r="F1153" t="inlineStr">
        <is>
          <t>SCA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10141-2022</t>
        </is>
      </c>
      <c r="B1154" s="1" t="n">
        <v>44621</v>
      </c>
      <c r="C1154" s="1" t="n">
        <v>45669</v>
      </c>
      <c r="D1154" t="inlineStr">
        <is>
          <t>VÄSTERNORRLANDS LÄN</t>
        </is>
      </c>
      <c r="E1154" t="inlineStr">
        <is>
          <t>SOLLEFTEÅ</t>
        </is>
      </c>
      <c r="F1154" t="inlineStr">
        <is>
          <t>SCA</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10198-2022</t>
        </is>
      </c>
      <c r="B1155" s="1" t="n">
        <v>44622</v>
      </c>
      <c r="C1155" s="1" t="n">
        <v>45669</v>
      </c>
      <c r="D1155" t="inlineStr">
        <is>
          <t>VÄSTERNORRLANDS LÄN</t>
        </is>
      </c>
      <c r="E1155" t="inlineStr">
        <is>
          <t>SOLLEFTEÅ</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10242-2022</t>
        </is>
      </c>
      <c r="B1156" s="1" t="n">
        <v>44622</v>
      </c>
      <c r="C1156" s="1" t="n">
        <v>45669</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10308-2022</t>
        </is>
      </c>
      <c r="B1157" s="1" t="n">
        <v>44622</v>
      </c>
      <c r="C1157" s="1" t="n">
        <v>45669</v>
      </c>
      <c r="D1157" t="inlineStr">
        <is>
          <t>VÄSTERNORRLANDS LÄN</t>
        </is>
      </c>
      <c r="E1157" t="inlineStr">
        <is>
          <t>SOLLEFTEÅ</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10250-2022</t>
        </is>
      </c>
      <c r="B1158" s="1" t="n">
        <v>44622</v>
      </c>
      <c r="C1158" s="1" t="n">
        <v>45669</v>
      </c>
      <c r="D1158" t="inlineStr">
        <is>
          <t>VÄSTERNORRLANDS LÄN</t>
        </is>
      </c>
      <c r="E1158" t="inlineStr">
        <is>
          <t>SOLLEFTEÅ</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10310-2022</t>
        </is>
      </c>
      <c r="B1159" s="1" t="n">
        <v>44622</v>
      </c>
      <c r="C1159" s="1" t="n">
        <v>45669</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10307-2022</t>
        </is>
      </c>
      <c r="B1160" s="1" t="n">
        <v>44622</v>
      </c>
      <c r="C1160" s="1" t="n">
        <v>45669</v>
      </c>
      <c r="D1160" t="inlineStr">
        <is>
          <t>VÄSTERNORRLANDS LÄN</t>
        </is>
      </c>
      <c r="E1160" t="inlineStr">
        <is>
          <t>SOLLEFTEÅ</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10311-2022</t>
        </is>
      </c>
      <c r="B1161" s="1" t="n">
        <v>44622</v>
      </c>
      <c r="C1161" s="1" t="n">
        <v>45669</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10309-2022</t>
        </is>
      </c>
      <c r="B1162" s="1" t="n">
        <v>44622</v>
      </c>
      <c r="C1162" s="1" t="n">
        <v>45669</v>
      </c>
      <c r="D1162" t="inlineStr">
        <is>
          <t>VÄSTERNORRLANDS LÄN</t>
        </is>
      </c>
      <c r="E1162" t="inlineStr">
        <is>
          <t>SOLLEFTEÅ</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10314-2022</t>
        </is>
      </c>
      <c r="B1163" s="1" t="n">
        <v>44622</v>
      </c>
      <c r="C1163" s="1" t="n">
        <v>45669</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10417-2022</t>
        </is>
      </c>
      <c r="B1164" s="1" t="n">
        <v>44623</v>
      </c>
      <c r="C1164" s="1" t="n">
        <v>45669</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10924-2022</t>
        </is>
      </c>
      <c r="B1165" s="1" t="n">
        <v>44627</v>
      </c>
      <c r="C1165" s="1" t="n">
        <v>45669</v>
      </c>
      <c r="D1165" t="inlineStr">
        <is>
          <t>VÄSTERNORRLANDS LÄN</t>
        </is>
      </c>
      <c r="E1165" t="inlineStr">
        <is>
          <t>SOLLEFTEÅ</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10926-2022</t>
        </is>
      </c>
      <c r="B1166" s="1" t="n">
        <v>44627</v>
      </c>
      <c r="C1166" s="1" t="n">
        <v>45669</v>
      </c>
      <c r="D1166" t="inlineStr">
        <is>
          <t>VÄSTERNORRLANDS LÄN</t>
        </is>
      </c>
      <c r="E1166" t="inlineStr">
        <is>
          <t>SOLLEFTEÅ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10925-2022</t>
        </is>
      </c>
      <c r="B1167" s="1" t="n">
        <v>44627</v>
      </c>
      <c r="C1167" s="1" t="n">
        <v>45669</v>
      </c>
      <c r="D1167" t="inlineStr">
        <is>
          <t>VÄSTERNORRLANDS LÄN</t>
        </is>
      </c>
      <c r="E1167" t="inlineStr">
        <is>
          <t>SOLLEFTEÅ</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10927-2022</t>
        </is>
      </c>
      <c r="B1168" s="1" t="n">
        <v>44627</v>
      </c>
      <c r="C1168" s="1" t="n">
        <v>45669</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11117-2022</t>
        </is>
      </c>
      <c r="B1169" s="1" t="n">
        <v>44628</v>
      </c>
      <c r="C1169" s="1" t="n">
        <v>45669</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11131-2022</t>
        </is>
      </c>
      <c r="B1170" s="1" t="n">
        <v>44628</v>
      </c>
      <c r="C1170" s="1" t="n">
        <v>45669</v>
      </c>
      <c r="D1170" t="inlineStr">
        <is>
          <t>VÄSTERNORRLANDS LÄN</t>
        </is>
      </c>
      <c r="E1170" t="inlineStr">
        <is>
          <t>SOLLEFTEÅ</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11133-2022</t>
        </is>
      </c>
      <c r="B1171" s="1" t="n">
        <v>44628</v>
      </c>
      <c r="C1171" s="1" t="n">
        <v>45669</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11125-2022</t>
        </is>
      </c>
      <c r="B1172" s="1" t="n">
        <v>44628</v>
      </c>
      <c r="C1172" s="1" t="n">
        <v>45669</v>
      </c>
      <c r="D1172" t="inlineStr">
        <is>
          <t>VÄSTERNORRLANDS LÄN</t>
        </is>
      </c>
      <c r="E1172" t="inlineStr">
        <is>
          <t>SOLLEFTEÅ</t>
        </is>
      </c>
      <c r="F1172" t="inlineStr">
        <is>
          <t>SCA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11241-2022</t>
        </is>
      </c>
      <c r="B1173" s="1" t="n">
        <v>44629</v>
      </c>
      <c r="C1173" s="1" t="n">
        <v>45669</v>
      </c>
      <c r="D1173" t="inlineStr">
        <is>
          <t>VÄSTERNORRLANDS LÄN</t>
        </is>
      </c>
      <c r="E1173" t="inlineStr">
        <is>
          <t>SOLLEFTEÅ</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11318-2022</t>
        </is>
      </c>
      <c r="B1174" s="1" t="n">
        <v>44629</v>
      </c>
      <c r="C1174" s="1" t="n">
        <v>45669</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11475-2022</t>
        </is>
      </c>
      <c r="B1175" s="1" t="n">
        <v>44630</v>
      </c>
      <c r="C1175" s="1" t="n">
        <v>45669</v>
      </c>
      <c r="D1175" t="inlineStr">
        <is>
          <t>VÄSTERNORRLANDS LÄN</t>
        </is>
      </c>
      <c r="E1175" t="inlineStr">
        <is>
          <t>SOLLEFTEÅ</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11484-2022</t>
        </is>
      </c>
      <c r="B1176" s="1" t="n">
        <v>44630</v>
      </c>
      <c r="C1176" s="1" t="n">
        <v>45669</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11474-2022</t>
        </is>
      </c>
      <c r="B1177" s="1" t="n">
        <v>44630</v>
      </c>
      <c r="C1177" s="1" t="n">
        <v>45669</v>
      </c>
      <c r="D1177" t="inlineStr">
        <is>
          <t>VÄSTERNORRLANDS LÄN</t>
        </is>
      </c>
      <c r="E1177" t="inlineStr">
        <is>
          <t>SOLLEFTEÅ</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11483-2022</t>
        </is>
      </c>
      <c r="B1178" s="1" t="n">
        <v>44630</v>
      </c>
      <c r="C1178" s="1" t="n">
        <v>45669</v>
      </c>
      <c r="D1178" t="inlineStr">
        <is>
          <t>VÄSTERNORRLANDS LÄN</t>
        </is>
      </c>
      <c r="E1178" t="inlineStr">
        <is>
          <t>SOLLEFTEÅ</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11652-2022</t>
        </is>
      </c>
      <c r="B1179" s="1" t="n">
        <v>44631</v>
      </c>
      <c r="C1179" s="1" t="n">
        <v>45669</v>
      </c>
      <c r="D1179" t="inlineStr">
        <is>
          <t>VÄSTERNORRLANDS LÄN</t>
        </is>
      </c>
      <c r="E1179" t="inlineStr">
        <is>
          <t>SOLLEFTEÅ</t>
        </is>
      </c>
      <c r="F1179" t="inlineStr">
        <is>
          <t>SCA</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11656-2022</t>
        </is>
      </c>
      <c r="B1180" s="1" t="n">
        <v>44631</v>
      </c>
      <c r="C1180" s="1" t="n">
        <v>45669</v>
      </c>
      <c r="D1180" t="inlineStr">
        <is>
          <t>VÄSTERNORRLANDS LÄN</t>
        </is>
      </c>
      <c r="E1180" t="inlineStr">
        <is>
          <t>SOLLEFTEÅ</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11653-2022</t>
        </is>
      </c>
      <c r="B1181" s="1" t="n">
        <v>44631</v>
      </c>
      <c r="C1181" s="1" t="n">
        <v>45669</v>
      </c>
      <c r="D1181" t="inlineStr">
        <is>
          <t>VÄSTERNORRLANDS LÄN</t>
        </is>
      </c>
      <c r="E1181" t="inlineStr">
        <is>
          <t>SOLLEFTEÅ</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11677-2022</t>
        </is>
      </c>
      <c r="B1182" s="1" t="n">
        <v>44633</v>
      </c>
      <c r="C1182" s="1" t="n">
        <v>45669</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11842-2022</t>
        </is>
      </c>
      <c r="B1183" s="1" t="n">
        <v>44634</v>
      </c>
      <c r="C1183" s="1" t="n">
        <v>45669</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11845-2022</t>
        </is>
      </c>
      <c r="B1184" s="1" t="n">
        <v>44634</v>
      </c>
      <c r="C1184" s="1" t="n">
        <v>45669</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11846-2022</t>
        </is>
      </c>
      <c r="B1185" s="1" t="n">
        <v>44634</v>
      </c>
      <c r="C1185" s="1" t="n">
        <v>45669</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11870-2022</t>
        </is>
      </c>
      <c r="B1186" s="1" t="n">
        <v>44635</v>
      </c>
      <c r="C1186" s="1" t="n">
        <v>45669</v>
      </c>
      <c r="D1186" t="inlineStr">
        <is>
          <t>VÄSTERNORRLANDS LÄN</t>
        </is>
      </c>
      <c r="E1186" t="inlineStr">
        <is>
          <t>SOLLEFTEÅ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11874-2022</t>
        </is>
      </c>
      <c r="B1187" s="1" t="n">
        <v>44635</v>
      </c>
      <c r="C1187" s="1" t="n">
        <v>45669</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12007-2022</t>
        </is>
      </c>
      <c r="B1188" s="1" t="n">
        <v>44635</v>
      </c>
      <c r="C1188" s="1" t="n">
        <v>45669</v>
      </c>
      <c r="D1188" t="inlineStr">
        <is>
          <t>VÄSTERNORRLANDS LÄN</t>
        </is>
      </c>
      <c r="E1188" t="inlineStr">
        <is>
          <t>SOLLEFTEÅ</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12001-2022</t>
        </is>
      </c>
      <c r="B1189" s="1" t="n">
        <v>44635</v>
      </c>
      <c r="C1189" s="1" t="n">
        <v>45669</v>
      </c>
      <c r="D1189" t="inlineStr">
        <is>
          <t>VÄSTERNORRLANDS LÄN</t>
        </is>
      </c>
      <c r="E1189" t="inlineStr">
        <is>
          <t>SOLLEFTEÅ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12006-2022</t>
        </is>
      </c>
      <c r="B1190" s="1" t="n">
        <v>44635</v>
      </c>
      <c r="C1190" s="1" t="n">
        <v>45669</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12022-2022</t>
        </is>
      </c>
      <c r="B1191" s="1" t="n">
        <v>44635</v>
      </c>
      <c r="C1191" s="1" t="n">
        <v>45669</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12191-2022</t>
        </is>
      </c>
      <c r="B1192" s="1" t="n">
        <v>44636</v>
      </c>
      <c r="C1192" s="1" t="n">
        <v>45669</v>
      </c>
      <c r="D1192" t="inlineStr">
        <is>
          <t>VÄSTERNORRLANDS LÄN</t>
        </is>
      </c>
      <c r="E1192" t="inlineStr">
        <is>
          <t>SOLLEFTEÅ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12201-2022</t>
        </is>
      </c>
      <c r="B1193" s="1" t="n">
        <v>44636</v>
      </c>
      <c r="C1193" s="1" t="n">
        <v>45669</v>
      </c>
      <c r="D1193" t="inlineStr">
        <is>
          <t>VÄSTERNORRLANDS LÄN</t>
        </is>
      </c>
      <c r="E1193" t="inlineStr">
        <is>
          <t>SOLLEFTEÅ</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12395-2022</t>
        </is>
      </c>
      <c r="B1194" s="1" t="n">
        <v>44637</v>
      </c>
      <c r="C1194" s="1" t="n">
        <v>45669</v>
      </c>
      <c r="D1194" t="inlineStr">
        <is>
          <t>VÄSTERNORRLANDS LÄN</t>
        </is>
      </c>
      <c r="E1194" t="inlineStr">
        <is>
          <t>SOLLEFTEÅ</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12561-2022</t>
        </is>
      </c>
      <c r="B1195" s="1" t="n">
        <v>44638</v>
      </c>
      <c r="C1195" s="1" t="n">
        <v>45669</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12565-2022</t>
        </is>
      </c>
      <c r="B1196" s="1" t="n">
        <v>44638</v>
      </c>
      <c r="C1196" s="1" t="n">
        <v>45669</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12572-2022</t>
        </is>
      </c>
      <c r="B1197" s="1" t="n">
        <v>44638</v>
      </c>
      <c r="C1197" s="1" t="n">
        <v>45669</v>
      </c>
      <c r="D1197" t="inlineStr">
        <is>
          <t>VÄSTERNORRLANDS LÄN</t>
        </is>
      </c>
      <c r="E1197" t="inlineStr">
        <is>
          <t>SOLLEFTEÅ</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12564-2022</t>
        </is>
      </c>
      <c r="B1198" s="1" t="n">
        <v>44638</v>
      </c>
      <c r="C1198" s="1" t="n">
        <v>45669</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12568-2022</t>
        </is>
      </c>
      <c r="B1199" s="1" t="n">
        <v>44638</v>
      </c>
      <c r="C1199" s="1" t="n">
        <v>45669</v>
      </c>
      <c r="D1199" t="inlineStr">
        <is>
          <t>VÄSTERNORRLANDS LÄN</t>
        </is>
      </c>
      <c r="E1199" t="inlineStr">
        <is>
          <t>SOLLEFTEÅ</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12557-2022</t>
        </is>
      </c>
      <c r="B1200" s="1" t="n">
        <v>44638</v>
      </c>
      <c r="C1200" s="1" t="n">
        <v>45669</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12563-2022</t>
        </is>
      </c>
      <c r="B1201" s="1" t="n">
        <v>44638</v>
      </c>
      <c r="C1201" s="1" t="n">
        <v>45669</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12567-2022</t>
        </is>
      </c>
      <c r="B1202" s="1" t="n">
        <v>44638</v>
      </c>
      <c r="C1202" s="1" t="n">
        <v>45669</v>
      </c>
      <c r="D1202" t="inlineStr">
        <is>
          <t>VÄSTERNORRLANDS LÄN</t>
        </is>
      </c>
      <c r="E1202" t="inlineStr">
        <is>
          <t>SOLLEFTEÅ</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12562-2022</t>
        </is>
      </c>
      <c r="B1203" s="1" t="n">
        <v>44638</v>
      </c>
      <c r="C1203" s="1" t="n">
        <v>45669</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12566-2022</t>
        </is>
      </c>
      <c r="B1204" s="1" t="n">
        <v>44638</v>
      </c>
      <c r="C1204" s="1" t="n">
        <v>45669</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12758-2022</t>
        </is>
      </c>
      <c r="B1205" s="1" t="n">
        <v>44641</v>
      </c>
      <c r="C1205" s="1" t="n">
        <v>45669</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12764-2022</t>
        </is>
      </c>
      <c r="B1206" s="1" t="n">
        <v>44641</v>
      </c>
      <c r="C1206" s="1" t="n">
        <v>45669</v>
      </c>
      <c r="D1206" t="inlineStr">
        <is>
          <t>VÄSTERNORRLANDS LÄN</t>
        </is>
      </c>
      <c r="E1206" t="inlineStr">
        <is>
          <t>SOLLEFTEÅ</t>
        </is>
      </c>
      <c r="F1206" t="inlineStr">
        <is>
          <t>SCA</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12774-2022</t>
        </is>
      </c>
      <c r="B1207" s="1" t="n">
        <v>44641</v>
      </c>
      <c r="C1207" s="1" t="n">
        <v>45669</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13300-2022</t>
        </is>
      </c>
      <c r="B1208" s="1" t="n">
        <v>44644</v>
      </c>
      <c r="C1208" s="1" t="n">
        <v>45669</v>
      </c>
      <c r="D1208" t="inlineStr">
        <is>
          <t>VÄSTERNORRLANDS LÄN</t>
        </is>
      </c>
      <c r="E1208" t="inlineStr">
        <is>
          <t>SOLLEFTEÅ</t>
        </is>
      </c>
      <c r="F1208" t="inlineStr">
        <is>
          <t>SCA</t>
        </is>
      </c>
      <c r="G1208" t="n">
        <v>9.9</v>
      </c>
      <c r="H1208" t="n">
        <v>0</v>
      </c>
      <c r="I1208" t="n">
        <v>0</v>
      </c>
      <c r="J1208" t="n">
        <v>0</v>
      </c>
      <c r="K1208" t="n">
        <v>0</v>
      </c>
      <c r="L1208" t="n">
        <v>0</v>
      </c>
      <c r="M1208" t="n">
        <v>0</v>
      </c>
      <c r="N1208" t="n">
        <v>0</v>
      </c>
      <c r="O1208" t="n">
        <v>0</v>
      </c>
      <c r="P1208" t="n">
        <v>0</v>
      </c>
      <c r="Q1208" t="n">
        <v>0</v>
      </c>
      <c r="R1208" s="2" t="inlineStr"/>
    </row>
    <row r="1209" ht="15" customHeight="1">
      <c r="A1209" t="inlineStr">
        <is>
          <t>A 13311-2022</t>
        </is>
      </c>
      <c r="B1209" s="1" t="n">
        <v>44644</v>
      </c>
      <c r="C1209" s="1" t="n">
        <v>45669</v>
      </c>
      <c r="D1209" t="inlineStr">
        <is>
          <t>VÄSTERNORRLANDS LÄN</t>
        </is>
      </c>
      <c r="E1209" t="inlineStr">
        <is>
          <t>SOLLEFTEÅ</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13309-2022</t>
        </is>
      </c>
      <c r="B1210" s="1" t="n">
        <v>44644</v>
      </c>
      <c r="C1210" s="1" t="n">
        <v>45669</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13492-2022</t>
        </is>
      </c>
      <c r="B1211" s="1" t="n">
        <v>44646</v>
      </c>
      <c r="C1211" s="1" t="n">
        <v>45669</v>
      </c>
      <c r="D1211" t="inlineStr">
        <is>
          <t>VÄSTERNORRLANDS LÄN</t>
        </is>
      </c>
      <c r="E1211" t="inlineStr">
        <is>
          <t>SOLLEFTEÅ</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13598-2022</t>
        </is>
      </c>
      <c r="B1212" s="1" t="n">
        <v>44648</v>
      </c>
      <c r="C1212" s="1" t="n">
        <v>45669</v>
      </c>
      <c r="D1212" t="inlineStr">
        <is>
          <t>VÄSTERNORRLANDS LÄN</t>
        </is>
      </c>
      <c r="E1212" t="inlineStr">
        <is>
          <t>SOLLEFTEÅ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13710-2022</t>
        </is>
      </c>
      <c r="B1213" s="1" t="n">
        <v>44649</v>
      </c>
      <c r="C1213" s="1" t="n">
        <v>45669</v>
      </c>
      <c r="D1213" t="inlineStr">
        <is>
          <t>VÄSTERNORRLANDS LÄN</t>
        </is>
      </c>
      <c r="E1213" t="inlineStr">
        <is>
          <t>SOLLEFTEÅ</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14061-2022</t>
        </is>
      </c>
      <c r="B1214" s="1" t="n">
        <v>44651</v>
      </c>
      <c r="C1214" s="1" t="n">
        <v>45669</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14066-2022</t>
        </is>
      </c>
      <c r="B1215" s="1" t="n">
        <v>44650</v>
      </c>
      <c r="C1215" s="1" t="n">
        <v>45669</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14058-2022</t>
        </is>
      </c>
      <c r="B1216" s="1" t="n">
        <v>44651</v>
      </c>
      <c r="C1216" s="1" t="n">
        <v>45669</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14063-2022</t>
        </is>
      </c>
      <c r="B1217" s="1" t="n">
        <v>44651</v>
      </c>
      <c r="C1217" s="1" t="n">
        <v>45669</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14055-2022</t>
        </is>
      </c>
      <c r="B1218" s="1" t="n">
        <v>44651</v>
      </c>
      <c r="C1218" s="1" t="n">
        <v>45669</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14060-2022</t>
        </is>
      </c>
      <c r="B1219" s="1" t="n">
        <v>44651</v>
      </c>
      <c r="C1219" s="1" t="n">
        <v>45669</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14065-2022</t>
        </is>
      </c>
      <c r="B1220" s="1" t="n">
        <v>44650</v>
      </c>
      <c r="C1220" s="1" t="n">
        <v>45669</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14059-2022</t>
        </is>
      </c>
      <c r="B1221" s="1" t="n">
        <v>44651</v>
      </c>
      <c r="C1221" s="1" t="n">
        <v>45669</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14064-2022</t>
        </is>
      </c>
      <c r="B1222" s="1" t="n">
        <v>44651</v>
      </c>
      <c r="C1222" s="1" t="n">
        <v>45669</v>
      </c>
      <c r="D1222" t="inlineStr">
        <is>
          <t>VÄSTERNORRLANDS LÄN</t>
        </is>
      </c>
      <c r="E1222" t="inlineStr">
        <is>
          <t>SOLLEFTEÅ</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14276-2022</t>
        </is>
      </c>
      <c r="B1223" s="1" t="n">
        <v>44652</v>
      </c>
      <c r="C1223" s="1" t="n">
        <v>45669</v>
      </c>
      <c r="D1223" t="inlineStr">
        <is>
          <t>VÄSTERNORRLANDS LÄN</t>
        </is>
      </c>
      <c r="E1223" t="inlineStr">
        <is>
          <t>SOLLEFTEÅ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14297-2022</t>
        </is>
      </c>
      <c r="B1224" s="1" t="n">
        <v>44651</v>
      </c>
      <c r="C1224" s="1" t="n">
        <v>45669</v>
      </c>
      <c r="D1224" t="inlineStr">
        <is>
          <t>VÄSTERNORRLANDS LÄN</t>
        </is>
      </c>
      <c r="E1224" t="inlineStr">
        <is>
          <t>SOLLEFTEÅ</t>
        </is>
      </c>
      <c r="F1224" t="inlineStr">
        <is>
          <t>SCA</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14300-2022</t>
        </is>
      </c>
      <c r="B1225" s="1" t="n">
        <v>44652</v>
      </c>
      <c r="C1225" s="1" t="n">
        <v>45669</v>
      </c>
      <c r="D1225" t="inlineStr">
        <is>
          <t>VÄSTERNORRLANDS LÄN</t>
        </is>
      </c>
      <c r="E1225" t="inlineStr">
        <is>
          <t>SOLLEFTEÅ</t>
        </is>
      </c>
      <c r="F1225" t="inlineStr">
        <is>
          <t>SCA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14308-2022</t>
        </is>
      </c>
      <c r="B1226" s="1" t="n">
        <v>44652</v>
      </c>
      <c r="C1226" s="1" t="n">
        <v>45669</v>
      </c>
      <c r="D1226" t="inlineStr">
        <is>
          <t>VÄSTERNORRLANDS LÄN</t>
        </is>
      </c>
      <c r="E1226" t="inlineStr">
        <is>
          <t>SOLLEFTEÅ</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14275-2022</t>
        </is>
      </c>
      <c r="B1227" s="1" t="n">
        <v>44651</v>
      </c>
      <c r="C1227" s="1" t="n">
        <v>45669</v>
      </c>
      <c r="D1227" t="inlineStr">
        <is>
          <t>VÄSTERNORRLANDS LÄN</t>
        </is>
      </c>
      <c r="E1227" t="inlineStr">
        <is>
          <t>SOLLEFTEÅ</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14299-2022</t>
        </is>
      </c>
      <c r="B1228" s="1" t="n">
        <v>44652</v>
      </c>
      <c r="C1228" s="1" t="n">
        <v>45669</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14296-2022</t>
        </is>
      </c>
      <c r="B1229" s="1" t="n">
        <v>44652</v>
      </c>
      <c r="C1229" s="1" t="n">
        <v>45669</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14302-2022</t>
        </is>
      </c>
      <c r="B1230" s="1" t="n">
        <v>44651</v>
      </c>
      <c r="C1230" s="1" t="n">
        <v>45669</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14448-2022</t>
        </is>
      </c>
      <c r="B1231" s="1" t="n">
        <v>44652</v>
      </c>
      <c r="C1231" s="1" t="n">
        <v>45669</v>
      </c>
      <c r="D1231" t="inlineStr">
        <is>
          <t>VÄSTERNORRLANDS LÄN</t>
        </is>
      </c>
      <c r="E1231" t="inlineStr">
        <is>
          <t>SOLLEFTEÅ</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14449-2022</t>
        </is>
      </c>
      <c r="B1232" s="1" t="n">
        <v>44652</v>
      </c>
      <c r="C1232" s="1" t="n">
        <v>45669</v>
      </c>
      <c r="D1232" t="inlineStr">
        <is>
          <t>VÄSTERNORRLANDS LÄN</t>
        </is>
      </c>
      <c r="E1232" t="inlineStr">
        <is>
          <t>SOLLEFTEÅ</t>
        </is>
      </c>
      <c r="F1232" t="inlineStr">
        <is>
          <t>SCA</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14450-2022</t>
        </is>
      </c>
      <c r="B1233" s="1" t="n">
        <v>44653</v>
      </c>
      <c r="C1233" s="1" t="n">
        <v>45669</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14447-2022</t>
        </is>
      </c>
      <c r="B1234" s="1" t="n">
        <v>44653</v>
      </c>
      <c r="C1234" s="1" t="n">
        <v>45669</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14477-2022</t>
        </is>
      </c>
      <c r="B1235" s="1" t="n">
        <v>44655</v>
      </c>
      <c r="C1235" s="1" t="n">
        <v>45669</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14910-2022</t>
        </is>
      </c>
      <c r="B1236" s="1" t="n">
        <v>44657</v>
      </c>
      <c r="C1236" s="1" t="n">
        <v>45669</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15090-2022</t>
        </is>
      </c>
      <c r="B1237" s="1" t="n">
        <v>44658</v>
      </c>
      <c r="C1237" s="1" t="n">
        <v>45669</v>
      </c>
      <c r="D1237" t="inlineStr">
        <is>
          <t>VÄSTERNORRLANDS LÄN</t>
        </is>
      </c>
      <c r="E1237" t="inlineStr">
        <is>
          <t>SOLLEFTEÅ</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15241-2022</t>
        </is>
      </c>
      <c r="B1238" s="1" t="n">
        <v>44659</v>
      </c>
      <c r="C1238" s="1" t="n">
        <v>45669</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15234-2022</t>
        </is>
      </c>
      <c r="B1239" s="1" t="n">
        <v>44659</v>
      </c>
      <c r="C1239" s="1" t="n">
        <v>45669</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15658-2022</t>
        </is>
      </c>
      <c r="B1240" s="1" t="n">
        <v>44663</v>
      </c>
      <c r="C1240" s="1" t="n">
        <v>45669</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15809-2022</t>
        </is>
      </c>
      <c r="B1241" s="1" t="n">
        <v>44663</v>
      </c>
      <c r="C1241" s="1" t="n">
        <v>45669</v>
      </c>
      <c r="D1241" t="inlineStr">
        <is>
          <t>VÄSTERNORRLANDS LÄN</t>
        </is>
      </c>
      <c r="E1241" t="inlineStr">
        <is>
          <t>SOLLEFTEÅ</t>
        </is>
      </c>
      <c r="F1241" t="inlineStr">
        <is>
          <t>SCA</t>
        </is>
      </c>
      <c r="G1241" t="n">
        <v>16.3</v>
      </c>
      <c r="H1241" t="n">
        <v>0</v>
      </c>
      <c r="I1241" t="n">
        <v>0</v>
      </c>
      <c r="J1241" t="n">
        <v>0</v>
      </c>
      <c r="K1241" t="n">
        <v>0</v>
      </c>
      <c r="L1241" t="n">
        <v>0</v>
      </c>
      <c r="M1241" t="n">
        <v>0</v>
      </c>
      <c r="N1241" t="n">
        <v>0</v>
      </c>
      <c r="O1241" t="n">
        <v>0</v>
      </c>
      <c r="P1241" t="n">
        <v>0</v>
      </c>
      <c r="Q1241" t="n">
        <v>0</v>
      </c>
      <c r="R1241" s="2" t="inlineStr"/>
    </row>
    <row r="1242" ht="15" customHeight="1">
      <c r="A1242" t="inlineStr">
        <is>
          <t>A 15964-2022</t>
        </is>
      </c>
      <c r="B1242" s="1" t="n">
        <v>44665</v>
      </c>
      <c r="C1242" s="1" t="n">
        <v>45669</v>
      </c>
      <c r="D1242" t="inlineStr">
        <is>
          <t>VÄSTERNORRLANDS LÄN</t>
        </is>
      </c>
      <c r="E1242" t="inlineStr">
        <is>
          <t>SOLLEFTEÅ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15974-2022</t>
        </is>
      </c>
      <c r="B1243" s="1" t="n">
        <v>44665</v>
      </c>
      <c r="C1243" s="1" t="n">
        <v>45669</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16088-2022</t>
        </is>
      </c>
      <c r="B1244" s="1" t="n">
        <v>44665</v>
      </c>
      <c r="C1244" s="1" t="n">
        <v>45669</v>
      </c>
      <c r="D1244" t="inlineStr">
        <is>
          <t>VÄSTERNORRLANDS LÄN</t>
        </is>
      </c>
      <c r="E1244" t="inlineStr">
        <is>
          <t>SOLLEFTEÅ</t>
        </is>
      </c>
      <c r="F1244" t="inlineStr">
        <is>
          <t>Holmen skog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16000-2022</t>
        </is>
      </c>
      <c r="B1245" s="1" t="n">
        <v>44665</v>
      </c>
      <c r="C1245" s="1" t="n">
        <v>45669</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16083-2022</t>
        </is>
      </c>
      <c r="B1246" s="1" t="n">
        <v>44665</v>
      </c>
      <c r="C1246" s="1" t="n">
        <v>45669</v>
      </c>
      <c r="D1246" t="inlineStr">
        <is>
          <t>VÄSTERNORRLANDS LÄN</t>
        </is>
      </c>
      <c r="E1246" t="inlineStr">
        <is>
          <t>SOLLEFTEÅ</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16093-2022</t>
        </is>
      </c>
      <c r="B1247" s="1" t="n">
        <v>44665</v>
      </c>
      <c r="C1247" s="1" t="n">
        <v>45669</v>
      </c>
      <c r="D1247" t="inlineStr">
        <is>
          <t>VÄSTERNORRLANDS LÄN</t>
        </is>
      </c>
      <c r="E1247" t="inlineStr">
        <is>
          <t>SOLLEFTEÅ</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16365-2022</t>
        </is>
      </c>
      <c r="B1248" s="1" t="n">
        <v>44671</v>
      </c>
      <c r="C1248" s="1" t="n">
        <v>45669</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16419-2022</t>
        </is>
      </c>
      <c r="B1249" s="1" t="n">
        <v>44671</v>
      </c>
      <c r="C1249" s="1" t="n">
        <v>45669</v>
      </c>
      <c r="D1249" t="inlineStr">
        <is>
          <t>VÄSTERNORRLANDS LÄN</t>
        </is>
      </c>
      <c r="E1249" t="inlineStr">
        <is>
          <t>SOLLEFTEÅ</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16521-2022</t>
        </is>
      </c>
      <c r="B1250" s="1" t="n">
        <v>44671</v>
      </c>
      <c r="C1250" s="1" t="n">
        <v>45669</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16675-2022</t>
        </is>
      </c>
      <c r="B1251" s="1" t="n">
        <v>44672</v>
      </c>
      <c r="C1251" s="1" t="n">
        <v>45669</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16611-2022</t>
        </is>
      </c>
      <c r="B1252" s="1" t="n">
        <v>44672</v>
      </c>
      <c r="C1252" s="1" t="n">
        <v>45669</v>
      </c>
      <c r="D1252" t="inlineStr">
        <is>
          <t>VÄSTERNORRLANDS LÄN</t>
        </is>
      </c>
      <c r="E1252" t="inlineStr">
        <is>
          <t>SOLLEFTEÅ</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16670-2022</t>
        </is>
      </c>
      <c r="B1253" s="1" t="n">
        <v>44673</v>
      </c>
      <c r="C1253" s="1" t="n">
        <v>45669</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17045-2022</t>
        </is>
      </c>
      <c r="B1254" s="1" t="n">
        <v>44676</v>
      </c>
      <c r="C1254" s="1" t="n">
        <v>45669</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17049-2022</t>
        </is>
      </c>
      <c r="B1255" s="1" t="n">
        <v>44676</v>
      </c>
      <c r="C1255" s="1" t="n">
        <v>45669</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c r="U1255">
        <f>HYPERLINK("https://klasma.github.io/Logging_2283/knärot/A 17049-2022 karta knärot.png", "A 17049-2022")</f>
        <v/>
      </c>
      <c r="V1255">
        <f>HYPERLINK("https://klasma.github.io/Logging_2283/klagomål/A 17049-2022 FSC-klagomål.docx", "A 17049-2022")</f>
        <v/>
      </c>
      <c r="W1255">
        <f>HYPERLINK("https://klasma.github.io/Logging_2283/klagomålsmail/A 17049-2022 FSC-klagomål mail.docx", "A 17049-2022")</f>
        <v/>
      </c>
      <c r="X1255">
        <f>HYPERLINK("https://klasma.github.io/Logging_2283/tillsyn/A 17049-2022 tillsynsbegäran.docx", "A 17049-2022")</f>
        <v/>
      </c>
      <c r="Y1255">
        <f>HYPERLINK("https://klasma.github.io/Logging_2283/tillsynsmail/A 17049-2022 tillsynsbegäran mail.docx", "A 17049-2022")</f>
        <v/>
      </c>
    </row>
    <row r="1256" ht="15" customHeight="1">
      <c r="A1256" t="inlineStr">
        <is>
          <t>A 17344-2022</t>
        </is>
      </c>
      <c r="B1256" s="1" t="n">
        <v>44678</v>
      </c>
      <c r="C1256" s="1" t="n">
        <v>45669</v>
      </c>
      <c r="D1256" t="inlineStr">
        <is>
          <t>VÄSTERNORRLANDS LÄN</t>
        </is>
      </c>
      <c r="E1256" t="inlineStr">
        <is>
          <t>SOLLEFTEÅ</t>
        </is>
      </c>
      <c r="G1256" t="n">
        <v>34.2</v>
      </c>
      <c r="H1256" t="n">
        <v>0</v>
      </c>
      <c r="I1256" t="n">
        <v>0</v>
      </c>
      <c r="J1256" t="n">
        <v>0</v>
      </c>
      <c r="K1256" t="n">
        <v>0</v>
      </c>
      <c r="L1256" t="n">
        <v>0</v>
      </c>
      <c r="M1256" t="n">
        <v>0</v>
      </c>
      <c r="N1256" t="n">
        <v>0</v>
      </c>
      <c r="O1256" t="n">
        <v>0</v>
      </c>
      <c r="P1256" t="n">
        <v>0</v>
      </c>
      <c r="Q1256" t="n">
        <v>0</v>
      </c>
      <c r="R1256" s="2" t="inlineStr"/>
    </row>
    <row r="1257" ht="15" customHeight="1">
      <c r="A1257" t="inlineStr">
        <is>
          <t>A 17995-2022</t>
        </is>
      </c>
      <c r="B1257" s="1" t="n">
        <v>44684</v>
      </c>
      <c r="C1257" s="1" t="n">
        <v>45669</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18000-2022</t>
        </is>
      </c>
      <c r="B1258" s="1" t="n">
        <v>44684</v>
      </c>
      <c r="C1258" s="1" t="n">
        <v>45669</v>
      </c>
      <c r="D1258" t="inlineStr">
        <is>
          <t>VÄSTERNORRLANDS LÄN</t>
        </is>
      </c>
      <c r="E1258" t="inlineStr">
        <is>
          <t>SOLLEFTEÅ</t>
        </is>
      </c>
      <c r="F1258" t="inlineStr">
        <is>
          <t>SCA</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18011-2022</t>
        </is>
      </c>
      <c r="B1259" s="1" t="n">
        <v>44683</v>
      </c>
      <c r="C1259" s="1" t="n">
        <v>45669</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18015-2022</t>
        </is>
      </c>
      <c r="B1260" s="1" t="n">
        <v>44684</v>
      </c>
      <c r="C1260" s="1" t="n">
        <v>45669</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18016-2022</t>
        </is>
      </c>
      <c r="B1261" s="1" t="n">
        <v>44684</v>
      </c>
      <c r="C1261" s="1" t="n">
        <v>45669</v>
      </c>
      <c r="D1261" t="inlineStr">
        <is>
          <t>VÄSTERNORRLANDS LÄN</t>
        </is>
      </c>
      <c r="E1261" t="inlineStr">
        <is>
          <t>SOLLEFTEÅ</t>
        </is>
      </c>
      <c r="F1261" t="inlineStr">
        <is>
          <t>SCA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17999-2022</t>
        </is>
      </c>
      <c r="B1262" s="1" t="n">
        <v>44683</v>
      </c>
      <c r="C1262" s="1" t="n">
        <v>45669</v>
      </c>
      <c r="D1262" t="inlineStr">
        <is>
          <t>VÄSTERNORRLANDS LÄN</t>
        </is>
      </c>
      <c r="E1262" t="inlineStr">
        <is>
          <t>SOLLEFTEÅ</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18013-2022</t>
        </is>
      </c>
      <c r="B1263" s="1" t="n">
        <v>44684</v>
      </c>
      <c r="C1263" s="1" t="n">
        <v>45669</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18017-2022</t>
        </is>
      </c>
      <c r="B1264" s="1" t="n">
        <v>44683</v>
      </c>
      <c r="C1264" s="1" t="n">
        <v>45669</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18187-2022</t>
        </is>
      </c>
      <c r="B1265" s="1" t="n">
        <v>44684</v>
      </c>
      <c r="C1265" s="1" t="n">
        <v>45669</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18190-2022</t>
        </is>
      </c>
      <c r="B1266" s="1" t="n">
        <v>44685</v>
      </c>
      <c r="C1266" s="1" t="n">
        <v>45669</v>
      </c>
      <c r="D1266" t="inlineStr">
        <is>
          <t>VÄSTERNORRLANDS LÄN</t>
        </is>
      </c>
      <c r="E1266" t="inlineStr">
        <is>
          <t>SOLLEFTEÅ</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18197-2022</t>
        </is>
      </c>
      <c r="B1267" s="1" t="n">
        <v>44684</v>
      </c>
      <c r="C1267" s="1" t="n">
        <v>45669</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18188-2022</t>
        </is>
      </c>
      <c r="B1268" s="1" t="n">
        <v>44685</v>
      </c>
      <c r="C1268" s="1" t="n">
        <v>45669</v>
      </c>
      <c r="D1268" t="inlineStr">
        <is>
          <t>VÄSTERNORRLANDS LÄN</t>
        </is>
      </c>
      <c r="E1268" t="inlineStr">
        <is>
          <t>SOLLEFTEÅ</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18196-2022</t>
        </is>
      </c>
      <c r="B1269" s="1" t="n">
        <v>44685</v>
      </c>
      <c r="C1269" s="1" t="n">
        <v>45669</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18202-2022</t>
        </is>
      </c>
      <c r="B1270" s="1" t="n">
        <v>44684</v>
      </c>
      <c r="C1270" s="1" t="n">
        <v>45669</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18304-2022</t>
        </is>
      </c>
      <c r="B1271" s="1" t="n">
        <v>44685</v>
      </c>
      <c r="C1271" s="1" t="n">
        <v>45669</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18372-2022</t>
        </is>
      </c>
      <c r="B1272" s="1" t="n">
        <v>44685</v>
      </c>
      <c r="C1272" s="1" t="n">
        <v>45669</v>
      </c>
      <c r="D1272" t="inlineStr">
        <is>
          <t>VÄSTERNORRLANDS LÄN</t>
        </is>
      </c>
      <c r="E1272" t="inlineStr">
        <is>
          <t>SOLLEFTEÅ</t>
        </is>
      </c>
      <c r="F1272" t="inlineStr">
        <is>
          <t>SCA</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18570-2022</t>
        </is>
      </c>
      <c r="B1273" s="1" t="n">
        <v>44687</v>
      </c>
      <c r="C1273" s="1" t="n">
        <v>45669</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18852-2022</t>
        </is>
      </c>
      <c r="B1274" s="1" t="n">
        <v>44690</v>
      </c>
      <c r="C1274" s="1" t="n">
        <v>45669</v>
      </c>
      <c r="D1274" t="inlineStr">
        <is>
          <t>VÄSTERNORRLANDS LÄN</t>
        </is>
      </c>
      <c r="E1274" t="inlineStr">
        <is>
          <t>SOLLEFTEÅ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19055-2022</t>
        </is>
      </c>
      <c r="B1275" s="1" t="n">
        <v>44691</v>
      </c>
      <c r="C1275" s="1" t="n">
        <v>45669</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19051-2022</t>
        </is>
      </c>
      <c r="B1276" s="1" t="n">
        <v>44691</v>
      </c>
      <c r="C1276" s="1" t="n">
        <v>45669</v>
      </c>
      <c r="D1276" t="inlineStr">
        <is>
          <t>VÄSTERNORRLANDS LÄN</t>
        </is>
      </c>
      <c r="E1276" t="inlineStr">
        <is>
          <t>SOLLEFTEÅ</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19053-2022</t>
        </is>
      </c>
      <c r="B1277" s="1" t="n">
        <v>44691</v>
      </c>
      <c r="C1277" s="1" t="n">
        <v>45669</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19203-2022</t>
        </is>
      </c>
      <c r="B1278" s="1" t="n">
        <v>44692</v>
      </c>
      <c r="C1278" s="1" t="n">
        <v>45669</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19208-2022</t>
        </is>
      </c>
      <c r="B1279" s="1" t="n">
        <v>44691</v>
      </c>
      <c r="C1279" s="1" t="n">
        <v>45669</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19295-2022</t>
        </is>
      </c>
      <c r="B1280" s="1" t="n">
        <v>44692</v>
      </c>
      <c r="C1280" s="1" t="n">
        <v>45669</v>
      </c>
      <c r="D1280" t="inlineStr">
        <is>
          <t>VÄSTERNORRLANDS LÄN</t>
        </is>
      </c>
      <c r="E1280" t="inlineStr">
        <is>
          <t>SOLLEFTEÅ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19414-2022</t>
        </is>
      </c>
      <c r="B1281" s="1" t="n">
        <v>44693</v>
      </c>
      <c r="C1281" s="1" t="n">
        <v>45669</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19416-2022</t>
        </is>
      </c>
      <c r="B1282" s="1" t="n">
        <v>44693</v>
      </c>
      <c r="C1282" s="1" t="n">
        <v>45669</v>
      </c>
      <c r="D1282" t="inlineStr">
        <is>
          <t>VÄSTERNORRLANDS LÄN</t>
        </is>
      </c>
      <c r="E1282" t="inlineStr">
        <is>
          <t>SOLLEFTEÅ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19508-2022</t>
        </is>
      </c>
      <c r="B1283" s="1" t="n">
        <v>44693</v>
      </c>
      <c r="C1283" s="1" t="n">
        <v>45669</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19585-2022</t>
        </is>
      </c>
      <c r="B1284" s="1" t="n">
        <v>44693</v>
      </c>
      <c r="C1284" s="1" t="n">
        <v>45669</v>
      </c>
      <c r="D1284" t="inlineStr">
        <is>
          <t>VÄSTERNORRLANDS LÄN</t>
        </is>
      </c>
      <c r="E1284" t="inlineStr">
        <is>
          <t>SOLLEFTEÅ</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19583-2022</t>
        </is>
      </c>
      <c r="B1285" s="1" t="n">
        <v>44693</v>
      </c>
      <c r="C1285" s="1" t="n">
        <v>45669</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19593-2022</t>
        </is>
      </c>
      <c r="B1286" s="1" t="n">
        <v>44694</v>
      </c>
      <c r="C1286" s="1" t="n">
        <v>45669</v>
      </c>
      <c r="D1286" t="inlineStr">
        <is>
          <t>VÄSTERNORRLANDS LÄN</t>
        </is>
      </c>
      <c r="E1286" t="inlineStr">
        <is>
          <t>SOLLEFTEÅ</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19588-2022</t>
        </is>
      </c>
      <c r="B1287" s="1" t="n">
        <v>44694</v>
      </c>
      <c r="C1287" s="1" t="n">
        <v>45669</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19595-2022</t>
        </is>
      </c>
      <c r="B1288" s="1" t="n">
        <v>44693</v>
      </c>
      <c r="C1288" s="1" t="n">
        <v>45669</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19594-2022</t>
        </is>
      </c>
      <c r="B1289" s="1" t="n">
        <v>44694</v>
      </c>
      <c r="C1289" s="1" t="n">
        <v>45669</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19825-2022</t>
        </is>
      </c>
      <c r="B1290" s="1" t="n">
        <v>44695</v>
      </c>
      <c r="C1290" s="1" t="n">
        <v>45669</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19813-2022</t>
        </is>
      </c>
      <c r="B1291" s="1" t="n">
        <v>44695</v>
      </c>
      <c r="C1291" s="1" t="n">
        <v>45669</v>
      </c>
      <c r="D1291" t="inlineStr">
        <is>
          <t>VÄSTERNORRLANDS LÄN</t>
        </is>
      </c>
      <c r="E1291" t="inlineStr">
        <is>
          <t>SOLLEFTEÅ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19814-2022</t>
        </is>
      </c>
      <c r="B1292" s="1" t="n">
        <v>44695</v>
      </c>
      <c r="C1292" s="1" t="n">
        <v>45669</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20061-2022</t>
        </is>
      </c>
      <c r="B1293" s="1" t="n">
        <v>44698</v>
      </c>
      <c r="C1293" s="1" t="n">
        <v>45669</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20062-2022</t>
        </is>
      </c>
      <c r="B1294" s="1" t="n">
        <v>44697</v>
      </c>
      <c r="C1294" s="1" t="n">
        <v>45669</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20296-2022</t>
        </is>
      </c>
      <c r="B1295" s="1" t="n">
        <v>44698</v>
      </c>
      <c r="C1295" s="1" t="n">
        <v>45669</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20551-2022</t>
        </is>
      </c>
      <c r="B1296" s="1" t="n">
        <v>44699</v>
      </c>
      <c r="C1296" s="1" t="n">
        <v>45669</v>
      </c>
      <c r="D1296" t="inlineStr">
        <is>
          <t>VÄSTERNORRLANDS LÄN</t>
        </is>
      </c>
      <c r="E1296" t="inlineStr">
        <is>
          <t>SOLLEFTEÅ</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20699-2022</t>
        </is>
      </c>
      <c r="B1297" s="1" t="n">
        <v>44701</v>
      </c>
      <c r="C1297" s="1" t="n">
        <v>45669</v>
      </c>
      <c r="D1297" t="inlineStr">
        <is>
          <t>VÄSTERNORRLANDS LÄN</t>
        </is>
      </c>
      <c r="E1297" t="inlineStr">
        <is>
          <t>SOLLEFTEÅ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20704-2022</t>
        </is>
      </c>
      <c r="B1298" s="1" t="n">
        <v>44700</v>
      </c>
      <c r="C1298" s="1" t="n">
        <v>45669</v>
      </c>
      <c r="D1298" t="inlineStr">
        <is>
          <t>VÄSTERNORRLANDS LÄN</t>
        </is>
      </c>
      <c r="E1298" t="inlineStr">
        <is>
          <t>SOLLEFTEÅ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20702-2022</t>
        </is>
      </c>
      <c r="B1299" s="1" t="n">
        <v>44701</v>
      </c>
      <c r="C1299" s="1" t="n">
        <v>45669</v>
      </c>
      <c r="D1299" t="inlineStr">
        <is>
          <t>VÄSTERNORRLANDS LÄN</t>
        </is>
      </c>
      <c r="E1299" t="inlineStr">
        <is>
          <t>SOLLEFTEÅ</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20703-2022</t>
        </is>
      </c>
      <c r="B1300" s="1" t="n">
        <v>44701</v>
      </c>
      <c r="C1300" s="1" t="n">
        <v>45669</v>
      </c>
      <c r="D1300" t="inlineStr">
        <is>
          <t>VÄSTERNORRLANDS LÄN</t>
        </is>
      </c>
      <c r="E1300" t="inlineStr">
        <is>
          <t>SOLLEFTEÅ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20724-2022</t>
        </is>
      </c>
      <c r="B1301" s="1" t="n">
        <v>44700</v>
      </c>
      <c r="C1301" s="1" t="n">
        <v>45669</v>
      </c>
      <c r="D1301" t="inlineStr">
        <is>
          <t>VÄSTERNORRLANDS LÄN</t>
        </is>
      </c>
      <c r="E1301" t="inlineStr">
        <is>
          <t>SOLLEFTEÅ</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20738-2022</t>
        </is>
      </c>
      <c r="B1302" s="1" t="n">
        <v>44700</v>
      </c>
      <c r="C1302" s="1" t="n">
        <v>45669</v>
      </c>
      <c r="D1302" t="inlineStr">
        <is>
          <t>VÄSTERNORRLANDS LÄN</t>
        </is>
      </c>
      <c r="E1302" t="inlineStr">
        <is>
          <t>SOLLEFTEÅ</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20955-2022</t>
        </is>
      </c>
      <c r="B1303" s="1" t="n">
        <v>44702</v>
      </c>
      <c r="C1303" s="1" t="n">
        <v>45669</v>
      </c>
      <c r="D1303" t="inlineStr">
        <is>
          <t>VÄSTERNORRLANDS LÄN</t>
        </is>
      </c>
      <c r="E1303" t="inlineStr">
        <is>
          <t>SOLLEFTEÅ</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20950-2022</t>
        </is>
      </c>
      <c r="B1304" s="1" t="n">
        <v>44701</v>
      </c>
      <c r="C1304" s="1" t="n">
        <v>45669</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20954-2022</t>
        </is>
      </c>
      <c r="B1305" s="1" t="n">
        <v>44702</v>
      </c>
      <c r="C1305" s="1" t="n">
        <v>45669</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20951-2022</t>
        </is>
      </c>
      <c r="B1306" s="1" t="n">
        <v>44701</v>
      </c>
      <c r="C1306" s="1" t="n">
        <v>45669</v>
      </c>
      <c r="D1306" t="inlineStr">
        <is>
          <t>VÄSTERNORRLANDS LÄN</t>
        </is>
      </c>
      <c r="E1306" t="inlineStr">
        <is>
          <t>SOLLEFTEÅ</t>
        </is>
      </c>
      <c r="F1306" t="inlineStr">
        <is>
          <t>SCA</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20942-2022</t>
        </is>
      </c>
      <c r="B1307" s="1" t="n">
        <v>44701</v>
      </c>
      <c r="C1307" s="1" t="n">
        <v>45669</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20996-2022</t>
        </is>
      </c>
      <c r="B1308" s="1" t="n">
        <v>44703</v>
      </c>
      <c r="C1308" s="1" t="n">
        <v>45669</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20994-2022</t>
        </is>
      </c>
      <c r="B1309" s="1" t="n">
        <v>44703</v>
      </c>
      <c r="C1309" s="1" t="n">
        <v>45669</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21050-2022</t>
        </is>
      </c>
      <c r="B1310" s="1" t="n">
        <v>44704</v>
      </c>
      <c r="C1310" s="1" t="n">
        <v>45669</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21191-2022</t>
        </is>
      </c>
      <c r="B1311" s="1" t="n">
        <v>44705</v>
      </c>
      <c r="C1311" s="1" t="n">
        <v>45669</v>
      </c>
      <c r="D1311" t="inlineStr">
        <is>
          <t>VÄSTERNORRLANDS LÄN</t>
        </is>
      </c>
      <c r="E1311" t="inlineStr">
        <is>
          <t>SOLLEFTEÅ</t>
        </is>
      </c>
      <c r="F1311" t="inlineStr">
        <is>
          <t>SCA</t>
        </is>
      </c>
      <c r="G1311" t="n">
        <v>26.5</v>
      </c>
      <c r="H1311" t="n">
        <v>0</v>
      </c>
      <c r="I1311" t="n">
        <v>0</v>
      </c>
      <c r="J1311" t="n">
        <v>0</v>
      </c>
      <c r="K1311" t="n">
        <v>0</v>
      </c>
      <c r="L1311" t="n">
        <v>0</v>
      </c>
      <c r="M1311" t="n">
        <v>0</v>
      </c>
      <c r="N1311" t="n">
        <v>0</v>
      </c>
      <c r="O1311" t="n">
        <v>0</v>
      </c>
      <c r="P1311" t="n">
        <v>0</v>
      </c>
      <c r="Q1311" t="n">
        <v>0</v>
      </c>
      <c r="R1311" s="2" t="inlineStr"/>
    </row>
    <row r="1312" ht="15" customHeight="1">
      <c r="A1312" t="inlineStr">
        <is>
          <t>A 21210-2022</t>
        </is>
      </c>
      <c r="B1312" s="1" t="n">
        <v>44705</v>
      </c>
      <c r="C1312" s="1" t="n">
        <v>45669</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21404-2022</t>
        </is>
      </c>
      <c r="B1313" s="1" t="n">
        <v>44706</v>
      </c>
      <c r="C1313" s="1" t="n">
        <v>45669</v>
      </c>
      <c r="D1313" t="inlineStr">
        <is>
          <t>VÄSTERNORRLANDS LÄN</t>
        </is>
      </c>
      <c r="E1313" t="inlineStr">
        <is>
          <t>SOLLEFTEÅ</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21582-2022</t>
        </is>
      </c>
      <c r="B1314" s="1" t="n">
        <v>44706</v>
      </c>
      <c r="C1314" s="1" t="n">
        <v>45669</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21637-2022</t>
        </is>
      </c>
      <c r="B1315" s="1" t="n">
        <v>44707</v>
      </c>
      <c r="C1315" s="1" t="n">
        <v>45669</v>
      </c>
      <c r="D1315" t="inlineStr">
        <is>
          <t>VÄSTERNORRLANDS LÄN</t>
        </is>
      </c>
      <c r="E1315" t="inlineStr">
        <is>
          <t>SOLLEFTEÅ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21636-2022</t>
        </is>
      </c>
      <c r="B1316" s="1" t="n">
        <v>44707</v>
      </c>
      <c r="C1316" s="1" t="n">
        <v>45669</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21635-2022</t>
        </is>
      </c>
      <c r="B1317" s="1" t="n">
        <v>44707</v>
      </c>
      <c r="C1317" s="1" t="n">
        <v>45669</v>
      </c>
      <c r="D1317" t="inlineStr">
        <is>
          <t>VÄSTERNORRLANDS LÄN</t>
        </is>
      </c>
      <c r="E1317" t="inlineStr">
        <is>
          <t>SOLLEFTEÅ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21713-2022</t>
        </is>
      </c>
      <c r="B1318" s="1" t="n">
        <v>44708</v>
      </c>
      <c r="C1318" s="1" t="n">
        <v>45669</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21714-2022</t>
        </is>
      </c>
      <c r="B1319" s="1" t="n">
        <v>44708</v>
      </c>
      <c r="C1319" s="1" t="n">
        <v>45669</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21715-2022</t>
        </is>
      </c>
      <c r="B1320" s="1" t="n">
        <v>44708</v>
      </c>
      <c r="C1320" s="1" t="n">
        <v>45669</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21711-2022</t>
        </is>
      </c>
      <c r="B1321" s="1" t="n">
        <v>44707</v>
      </c>
      <c r="C1321" s="1" t="n">
        <v>45669</v>
      </c>
      <c r="D1321" t="inlineStr">
        <is>
          <t>VÄSTERNORRLANDS LÄN</t>
        </is>
      </c>
      <c r="E1321" t="inlineStr">
        <is>
          <t>SOLLEFTEÅ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21807-2022</t>
        </is>
      </c>
      <c r="B1322" s="1" t="n">
        <v>44708</v>
      </c>
      <c r="C1322" s="1" t="n">
        <v>45669</v>
      </c>
      <c r="D1322" t="inlineStr">
        <is>
          <t>VÄSTERNORRLANDS LÄN</t>
        </is>
      </c>
      <c r="E1322" t="inlineStr">
        <is>
          <t>SOLLEFTEÅ</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22101-2022</t>
        </is>
      </c>
      <c r="B1323" s="1" t="n">
        <v>44712</v>
      </c>
      <c r="C1323" s="1" t="n">
        <v>45669</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22087-2022</t>
        </is>
      </c>
      <c r="B1324" s="1" t="n">
        <v>44712</v>
      </c>
      <c r="C1324" s="1" t="n">
        <v>45669</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22103-2022</t>
        </is>
      </c>
      <c r="B1325" s="1" t="n">
        <v>44712</v>
      </c>
      <c r="C1325" s="1" t="n">
        <v>45669</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22330-2022</t>
        </is>
      </c>
      <c r="B1326" s="1" t="n">
        <v>44712</v>
      </c>
      <c r="C1326" s="1" t="n">
        <v>45669</v>
      </c>
      <c r="D1326" t="inlineStr">
        <is>
          <t>VÄSTERNORRLANDS LÄN</t>
        </is>
      </c>
      <c r="E1326" t="inlineStr">
        <is>
          <t>SOLLEFTEÅ</t>
        </is>
      </c>
      <c r="F1326" t="inlineStr">
        <is>
          <t>SCA</t>
        </is>
      </c>
      <c r="G1326" t="n">
        <v>21.9</v>
      </c>
      <c r="H1326" t="n">
        <v>0</v>
      </c>
      <c r="I1326" t="n">
        <v>0</v>
      </c>
      <c r="J1326" t="n">
        <v>0</v>
      </c>
      <c r="K1326" t="n">
        <v>0</v>
      </c>
      <c r="L1326" t="n">
        <v>0</v>
      </c>
      <c r="M1326" t="n">
        <v>0</v>
      </c>
      <c r="N1326" t="n">
        <v>0</v>
      </c>
      <c r="O1326" t="n">
        <v>0</v>
      </c>
      <c r="P1326" t="n">
        <v>0</v>
      </c>
      <c r="Q1326" t="n">
        <v>0</v>
      </c>
      <c r="R1326" s="2" t="inlineStr"/>
    </row>
    <row r="1327" ht="15" customHeight="1">
      <c r="A1327" t="inlineStr">
        <is>
          <t>A 22341-2022</t>
        </is>
      </c>
      <c r="B1327" s="1" t="n">
        <v>44713</v>
      </c>
      <c r="C1327" s="1" t="n">
        <v>45669</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22342-2022</t>
        </is>
      </c>
      <c r="B1328" s="1" t="n">
        <v>44713</v>
      </c>
      <c r="C1328" s="1" t="n">
        <v>45669</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22343-2022</t>
        </is>
      </c>
      <c r="B1329" s="1" t="n">
        <v>44713</v>
      </c>
      <c r="C1329" s="1" t="n">
        <v>45669</v>
      </c>
      <c r="D1329" t="inlineStr">
        <is>
          <t>VÄSTERNORRLANDS LÄN</t>
        </is>
      </c>
      <c r="E1329" t="inlineStr">
        <is>
          <t>SOLLEFTEÅ</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22664-2022</t>
        </is>
      </c>
      <c r="B1330" s="1" t="n">
        <v>44714</v>
      </c>
      <c r="C1330" s="1" t="n">
        <v>45669</v>
      </c>
      <c r="D1330" t="inlineStr">
        <is>
          <t>VÄSTERNORRLANDS LÄN</t>
        </is>
      </c>
      <c r="E1330" t="inlineStr">
        <is>
          <t>SOLLEFTEÅ</t>
        </is>
      </c>
      <c r="G1330" t="n">
        <v>9.9</v>
      </c>
      <c r="H1330" t="n">
        <v>0</v>
      </c>
      <c r="I1330" t="n">
        <v>0</v>
      </c>
      <c r="J1330" t="n">
        <v>0</v>
      </c>
      <c r="K1330" t="n">
        <v>0</v>
      </c>
      <c r="L1330" t="n">
        <v>0</v>
      </c>
      <c r="M1330" t="n">
        <v>0</v>
      </c>
      <c r="N1330" t="n">
        <v>0</v>
      </c>
      <c r="O1330" t="n">
        <v>0</v>
      </c>
      <c r="P1330" t="n">
        <v>0</v>
      </c>
      <c r="Q1330" t="n">
        <v>0</v>
      </c>
      <c r="R1330" s="2" t="inlineStr"/>
    </row>
    <row r="1331" ht="15" customHeight="1">
      <c r="A1331" t="inlineStr">
        <is>
          <t>A 22762-2022</t>
        </is>
      </c>
      <c r="B1331" s="1" t="n">
        <v>44715</v>
      </c>
      <c r="C1331" s="1" t="n">
        <v>45669</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22956-2022</t>
        </is>
      </c>
      <c r="B1332" s="1" t="n">
        <v>44716</v>
      </c>
      <c r="C1332" s="1" t="n">
        <v>45669</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22952-2022</t>
        </is>
      </c>
      <c r="B1333" s="1" t="n">
        <v>44716</v>
      </c>
      <c r="C1333" s="1" t="n">
        <v>45669</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22962-2022</t>
        </is>
      </c>
      <c r="B1334" s="1" t="n">
        <v>44715</v>
      </c>
      <c r="C1334" s="1" t="n">
        <v>45669</v>
      </c>
      <c r="D1334" t="inlineStr">
        <is>
          <t>VÄSTERNORRLANDS LÄN</t>
        </is>
      </c>
      <c r="E1334" t="inlineStr">
        <is>
          <t>SOLLEFTEÅ</t>
        </is>
      </c>
      <c r="F1334" t="inlineStr">
        <is>
          <t>SCA</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23111-2022</t>
        </is>
      </c>
      <c r="B1335" s="1" t="n">
        <v>44720</v>
      </c>
      <c r="C1335" s="1" t="n">
        <v>45669</v>
      </c>
      <c r="D1335" t="inlineStr">
        <is>
          <t>VÄSTERNORRLANDS LÄN</t>
        </is>
      </c>
      <c r="E1335" t="inlineStr">
        <is>
          <t>SOLLEFTEÅ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23230-2022</t>
        </is>
      </c>
      <c r="B1336" s="1" t="n">
        <v>44720</v>
      </c>
      <c r="C1336" s="1" t="n">
        <v>45669</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23282-2022</t>
        </is>
      </c>
      <c r="B1337" s="1" t="n">
        <v>44720</v>
      </c>
      <c r="C1337" s="1" t="n">
        <v>45669</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23436-2022</t>
        </is>
      </c>
      <c r="B1338" s="1" t="n">
        <v>44720</v>
      </c>
      <c r="C1338" s="1" t="n">
        <v>45669</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23445-2022</t>
        </is>
      </c>
      <c r="B1339" s="1" t="n">
        <v>44721</v>
      </c>
      <c r="C1339" s="1" t="n">
        <v>45669</v>
      </c>
      <c r="D1339" t="inlineStr">
        <is>
          <t>VÄSTERNORRLANDS LÄN</t>
        </is>
      </c>
      <c r="E1339" t="inlineStr">
        <is>
          <t>SOLLEFTEÅ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23447-2022</t>
        </is>
      </c>
      <c r="B1340" s="1" t="n">
        <v>44721</v>
      </c>
      <c r="C1340" s="1" t="n">
        <v>45669</v>
      </c>
      <c r="D1340" t="inlineStr">
        <is>
          <t>VÄSTERNORRLANDS LÄN</t>
        </is>
      </c>
      <c r="E1340" t="inlineStr">
        <is>
          <t>SOLLEFTEÅ</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23450-2022</t>
        </is>
      </c>
      <c r="B1341" s="1" t="n">
        <v>44720</v>
      </c>
      <c r="C1341" s="1" t="n">
        <v>45669</v>
      </c>
      <c r="D1341" t="inlineStr">
        <is>
          <t>VÄSTERNORRLANDS LÄN</t>
        </is>
      </c>
      <c r="E1341" t="inlineStr">
        <is>
          <t>SOLLEFTEÅ</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24008-2022</t>
        </is>
      </c>
      <c r="B1342" s="1" t="n">
        <v>44723</v>
      </c>
      <c r="C1342" s="1" t="n">
        <v>45669</v>
      </c>
      <c r="D1342" t="inlineStr">
        <is>
          <t>VÄSTERNORRLANDS LÄN</t>
        </is>
      </c>
      <c r="E1342" t="inlineStr">
        <is>
          <t>SOLLEFTEÅ</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24024-2022</t>
        </is>
      </c>
      <c r="B1343" s="1" t="n">
        <v>44723</v>
      </c>
      <c r="C1343" s="1" t="n">
        <v>45669</v>
      </c>
      <c r="D1343" t="inlineStr">
        <is>
          <t>VÄSTERNORRLANDS LÄN</t>
        </is>
      </c>
      <c r="E1343" t="inlineStr">
        <is>
          <t>SOLLEFTEÅ</t>
        </is>
      </c>
      <c r="F1343" t="inlineStr">
        <is>
          <t>SCA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24322-2022</t>
        </is>
      </c>
      <c r="B1344" s="1" t="n">
        <v>44726</v>
      </c>
      <c r="C1344" s="1" t="n">
        <v>45669</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24723-2022</t>
        </is>
      </c>
      <c r="B1345" s="1" t="n">
        <v>44728</v>
      </c>
      <c r="C1345" s="1" t="n">
        <v>45669</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24739-2022</t>
        </is>
      </c>
      <c r="B1346" s="1" t="n">
        <v>44728</v>
      </c>
      <c r="C1346" s="1" t="n">
        <v>45669</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24734-2022</t>
        </is>
      </c>
      <c r="B1347" s="1" t="n">
        <v>44728</v>
      </c>
      <c r="C1347" s="1" t="n">
        <v>45669</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24735-2022</t>
        </is>
      </c>
      <c r="B1348" s="1" t="n">
        <v>44728</v>
      </c>
      <c r="C1348" s="1" t="n">
        <v>45669</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24721-2022</t>
        </is>
      </c>
      <c r="B1349" s="1" t="n">
        <v>44728</v>
      </c>
      <c r="C1349" s="1" t="n">
        <v>45669</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24737-2022</t>
        </is>
      </c>
      <c r="B1350" s="1" t="n">
        <v>44728</v>
      </c>
      <c r="C1350" s="1" t="n">
        <v>45669</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25019-2022</t>
        </is>
      </c>
      <c r="B1351" s="1" t="n">
        <v>44728</v>
      </c>
      <c r="C1351" s="1" t="n">
        <v>45669</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25024-2022</t>
        </is>
      </c>
      <c r="B1352" s="1" t="n">
        <v>44729</v>
      </c>
      <c r="C1352" s="1" t="n">
        <v>45669</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25026-2022</t>
        </is>
      </c>
      <c r="B1353" s="1" t="n">
        <v>44729</v>
      </c>
      <c r="C1353" s="1" t="n">
        <v>45669</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25017-2022</t>
        </is>
      </c>
      <c r="B1354" s="1" t="n">
        <v>44729</v>
      </c>
      <c r="C1354" s="1" t="n">
        <v>45669</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25295-2022</t>
        </is>
      </c>
      <c r="B1355" s="1" t="n">
        <v>44731</v>
      </c>
      <c r="C1355" s="1" t="n">
        <v>45669</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25339-2022</t>
        </is>
      </c>
      <c r="B1356" s="1" t="n">
        <v>44732</v>
      </c>
      <c r="C1356" s="1" t="n">
        <v>45669</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25338-2022</t>
        </is>
      </c>
      <c r="B1357" s="1" t="n">
        <v>44731</v>
      </c>
      <c r="C1357" s="1" t="n">
        <v>45669</v>
      </c>
      <c r="D1357" t="inlineStr">
        <is>
          <t>VÄSTERNORRLANDS LÄN</t>
        </is>
      </c>
      <c r="E1357" t="inlineStr">
        <is>
          <t>SOLLEFTEÅ</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25341-2022</t>
        </is>
      </c>
      <c r="B1358" s="1" t="n">
        <v>44731</v>
      </c>
      <c r="C1358" s="1" t="n">
        <v>45669</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26407-2022</t>
        </is>
      </c>
      <c r="B1359" s="1" t="n">
        <v>44735</v>
      </c>
      <c r="C1359" s="1" t="n">
        <v>45669</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26416-2022</t>
        </is>
      </c>
      <c r="B1360" s="1" t="n">
        <v>44736</v>
      </c>
      <c r="C1360" s="1" t="n">
        <v>45669</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26415-2022</t>
        </is>
      </c>
      <c r="B1361" s="1" t="n">
        <v>44735</v>
      </c>
      <c r="C1361" s="1" t="n">
        <v>45669</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26435-2022</t>
        </is>
      </c>
      <c r="B1362" s="1" t="n">
        <v>44737</v>
      </c>
      <c r="C1362" s="1" t="n">
        <v>45669</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26732-2022</t>
        </is>
      </c>
      <c r="B1363" s="1" t="n">
        <v>44740</v>
      </c>
      <c r="C1363" s="1" t="n">
        <v>45669</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26744-2022</t>
        </is>
      </c>
      <c r="B1364" s="1" t="n">
        <v>44739</v>
      </c>
      <c r="C1364" s="1" t="n">
        <v>45669</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26736-2022</t>
        </is>
      </c>
      <c r="B1365" s="1" t="n">
        <v>44740</v>
      </c>
      <c r="C1365" s="1" t="n">
        <v>45669</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27016-2022</t>
        </is>
      </c>
      <c r="B1366" s="1" t="n">
        <v>44741</v>
      </c>
      <c r="C1366" s="1" t="n">
        <v>45669</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27019-2022</t>
        </is>
      </c>
      <c r="B1367" s="1" t="n">
        <v>44741</v>
      </c>
      <c r="C1367" s="1" t="n">
        <v>45669</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27012-2022</t>
        </is>
      </c>
      <c r="B1368" s="1" t="n">
        <v>44740</v>
      </c>
      <c r="C1368" s="1" t="n">
        <v>45669</v>
      </c>
      <c r="D1368" t="inlineStr">
        <is>
          <t>VÄSTERNORRLANDS LÄN</t>
        </is>
      </c>
      <c r="E1368" t="inlineStr">
        <is>
          <t>SOLLEFTEÅ</t>
        </is>
      </c>
      <c r="F1368" t="inlineStr">
        <is>
          <t>SCA</t>
        </is>
      </c>
      <c r="G1368" t="n">
        <v>19.8</v>
      </c>
      <c r="H1368" t="n">
        <v>0</v>
      </c>
      <c r="I1368" t="n">
        <v>0</v>
      </c>
      <c r="J1368" t="n">
        <v>0</v>
      </c>
      <c r="K1368" t="n">
        <v>0</v>
      </c>
      <c r="L1368" t="n">
        <v>0</v>
      </c>
      <c r="M1368" t="n">
        <v>0</v>
      </c>
      <c r="N1368" t="n">
        <v>0</v>
      </c>
      <c r="O1368" t="n">
        <v>0</v>
      </c>
      <c r="P1368" t="n">
        <v>0</v>
      </c>
      <c r="Q1368" t="n">
        <v>0</v>
      </c>
      <c r="R1368" s="2" t="inlineStr"/>
    </row>
    <row r="1369" ht="15" customHeight="1">
      <c r="A1369" t="inlineStr">
        <is>
          <t>A 27020-2022</t>
        </is>
      </c>
      <c r="B1369" s="1" t="n">
        <v>44741</v>
      </c>
      <c r="C1369" s="1" t="n">
        <v>45669</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27024-2022</t>
        </is>
      </c>
      <c r="B1370" s="1" t="n">
        <v>44741</v>
      </c>
      <c r="C1370" s="1" t="n">
        <v>45669</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27023-2022</t>
        </is>
      </c>
      <c r="B1371" s="1" t="n">
        <v>44741</v>
      </c>
      <c r="C1371" s="1" t="n">
        <v>45669</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27018-2022</t>
        </is>
      </c>
      <c r="B1372" s="1" t="n">
        <v>44740</v>
      </c>
      <c r="C1372" s="1" t="n">
        <v>45669</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27022-2022</t>
        </is>
      </c>
      <c r="B1373" s="1" t="n">
        <v>44741</v>
      </c>
      <c r="C1373" s="1" t="n">
        <v>45669</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27082-2022</t>
        </is>
      </c>
      <c r="B1374" s="1" t="n">
        <v>44741</v>
      </c>
      <c r="C1374" s="1" t="n">
        <v>45669</v>
      </c>
      <c r="D1374" t="inlineStr">
        <is>
          <t>VÄSTERNORRLANDS LÄN</t>
        </is>
      </c>
      <c r="E1374" t="inlineStr">
        <is>
          <t>SOLLEFTEÅ</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27283-2022</t>
        </is>
      </c>
      <c r="B1375" s="1" t="n">
        <v>44742</v>
      </c>
      <c r="C1375" s="1" t="n">
        <v>45669</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27282-2022</t>
        </is>
      </c>
      <c r="B1376" s="1" t="n">
        <v>44741</v>
      </c>
      <c r="C1376" s="1" t="n">
        <v>45669</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27573-2022</t>
        </is>
      </c>
      <c r="B1377" s="1" t="n">
        <v>44743</v>
      </c>
      <c r="C1377" s="1" t="n">
        <v>45669</v>
      </c>
      <c r="D1377" t="inlineStr">
        <is>
          <t>VÄSTERNORRLANDS LÄN</t>
        </is>
      </c>
      <c r="E1377" t="inlineStr">
        <is>
          <t>SOLLEFTEÅ</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27572-2022</t>
        </is>
      </c>
      <c r="B1378" s="1" t="n">
        <v>44743</v>
      </c>
      <c r="C1378" s="1" t="n">
        <v>45669</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27603-2022</t>
        </is>
      </c>
      <c r="B1379" s="1" t="n">
        <v>44743</v>
      </c>
      <c r="C1379" s="1" t="n">
        <v>45669</v>
      </c>
      <c r="D1379" t="inlineStr">
        <is>
          <t>VÄSTERNORRLANDS LÄN</t>
        </is>
      </c>
      <c r="E1379" t="inlineStr">
        <is>
          <t>SOLLEFTEÅ</t>
        </is>
      </c>
      <c r="F1379" t="inlineStr">
        <is>
          <t>SCA</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27593-2022</t>
        </is>
      </c>
      <c r="B1380" s="1" t="n">
        <v>44742</v>
      </c>
      <c r="C1380" s="1" t="n">
        <v>45669</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27926-2022</t>
        </is>
      </c>
      <c r="B1381" s="1" t="n">
        <v>44743</v>
      </c>
      <c r="C1381" s="1" t="n">
        <v>45669</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27943-2022</t>
        </is>
      </c>
      <c r="B1382" s="1" t="n">
        <v>44743</v>
      </c>
      <c r="C1382" s="1" t="n">
        <v>45669</v>
      </c>
      <c r="D1382" t="inlineStr">
        <is>
          <t>VÄSTERNORRLANDS LÄN</t>
        </is>
      </c>
      <c r="E1382" t="inlineStr">
        <is>
          <t>SOLLEFTEÅ</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28293-2022</t>
        </is>
      </c>
      <c r="B1383" s="1" t="n">
        <v>44747</v>
      </c>
      <c r="C1383" s="1" t="n">
        <v>45669</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28700-2022</t>
        </is>
      </c>
      <c r="B1384" s="1" t="n">
        <v>44748</v>
      </c>
      <c r="C1384" s="1" t="n">
        <v>45669</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28729-2022</t>
        </is>
      </c>
      <c r="B1385" s="1" t="n">
        <v>44748</v>
      </c>
      <c r="C1385" s="1" t="n">
        <v>45669</v>
      </c>
      <c r="D1385" t="inlineStr">
        <is>
          <t>VÄSTERNORRLANDS LÄN</t>
        </is>
      </c>
      <c r="E1385" t="inlineStr">
        <is>
          <t>SOLLEFTEÅ</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28730-2022</t>
        </is>
      </c>
      <c r="B1386" s="1" t="n">
        <v>44748</v>
      </c>
      <c r="C1386" s="1" t="n">
        <v>45669</v>
      </c>
      <c r="D1386" t="inlineStr">
        <is>
          <t>VÄSTERNORRLANDS LÄN</t>
        </is>
      </c>
      <c r="E1386" t="inlineStr">
        <is>
          <t>SOLLEFTEÅ</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28828-2022</t>
        </is>
      </c>
      <c r="B1387" s="1" t="n">
        <v>44749</v>
      </c>
      <c r="C1387" s="1" t="n">
        <v>45669</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28893-2022</t>
        </is>
      </c>
      <c r="B1388" s="1" t="n">
        <v>44749</v>
      </c>
      <c r="C1388" s="1" t="n">
        <v>45669</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28909-2022</t>
        </is>
      </c>
      <c r="B1389" s="1" t="n">
        <v>44749</v>
      </c>
      <c r="C1389" s="1" t="n">
        <v>45669</v>
      </c>
      <c r="D1389" t="inlineStr">
        <is>
          <t>VÄSTERNORRLANDS LÄN</t>
        </is>
      </c>
      <c r="E1389" t="inlineStr">
        <is>
          <t>SOLLEFTEÅ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28896-2022</t>
        </is>
      </c>
      <c r="B1390" s="1" t="n">
        <v>44749</v>
      </c>
      <c r="C1390" s="1" t="n">
        <v>45669</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28903-2022</t>
        </is>
      </c>
      <c r="B1391" s="1" t="n">
        <v>44749</v>
      </c>
      <c r="C1391" s="1" t="n">
        <v>45669</v>
      </c>
      <c r="D1391" t="inlineStr">
        <is>
          <t>VÄSTERNORRLANDS LÄN</t>
        </is>
      </c>
      <c r="E1391" t="inlineStr">
        <is>
          <t>SOLLEFTEÅ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28973-2022</t>
        </is>
      </c>
      <c r="B1392" s="1" t="n">
        <v>44749</v>
      </c>
      <c r="C1392" s="1" t="n">
        <v>45669</v>
      </c>
      <c r="D1392" t="inlineStr">
        <is>
          <t>VÄSTERNORRLANDS LÄN</t>
        </is>
      </c>
      <c r="E1392" t="inlineStr">
        <is>
          <t>SOLLEFTEÅ</t>
        </is>
      </c>
      <c r="F1392" t="inlineStr">
        <is>
          <t>Holmen skog AB</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29290-2022</t>
        </is>
      </c>
      <c r="B1393" s="1" t="n">
        <v>44750</v>
      </c>
      <c r="C1393" s="1" t="n">
        <v>45669</v>
      </c>
      <c r="D1393" t="inlineStr">
        <is>
          <t>VÄSTERNORRLANDS LÄN</t>
        </is>
      </c>
      <c r="E1393" t="inlineStr">
        <is>
          <t>SOLLEFTEÅ</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29294-2022</t>
        </is>
      </c>
      <c r="B1394" s="1" t="n">
        <v>44751</v>
      </c>
      <c r="C1394" s="1" t="n">
        <v>45669</v>
      </c>
      <c r="D1394" t="inlineStr">
        <is>
          <t>VÄSTERNORRLANDS LÄN</t>
        </is>
      </c>
      <c r="E1394" t="inlineStr">
        <is>
          <t>SOLLEFTEÅ</t>
        </is>
      </c>
      <c r="F1394" t="inlineStr">
        <is>
          <t>SCA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29300-2022</t>
        </is>
      </c>
      <c r="B1395" s="1" t="n">
        <v>44750</v>
      </c>
      <c r="C1395" s="1" t="n">
        <v>45669</v>
      </c>
      <c r="D1395" t="inlineStr">
        <is>
          <t>VÄSTERNORRLANDS LÄN</t>
        </is>
      </c>
      <c r="E1395" t="inlineStr">
        <is>
          <t>SOLLEFTEÅ</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29292-2022</t>
        </is>
      </c>
      <c r="B1396" s="1" t="n">
        <v>44750</v>
      </c>
      <c r="C1396" s="1" t="n">
        <v>45669</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29538-2022</t>
        </is>
      </c>
      <c r="B1397" s="1" t="n">
        <v>44754</v>
      </c>
      <c r="C1397" s="1" t="n">
        <v>45669</v>
      </c>
      <c r="D1397" t="inlineStr">
        <is>
          <t>VÄSTERNORRLANDS LÄN</t>
        </is>
      </c>
      <c r="E1397" t="inlineStr">
        <is>
          <t>SOLLEFTEÅ</t>
        </is>
      </c>
      <c r="F1397" t="inlineStr">
        <is>
          <t>SCA</t>
        </is>
      </c>
      <c r="G1397" t="n">
        <v>20.2</v>
      </c>
      <c r="H1397" t="n">
        <v>0</v>
      </c>
      <c r="I1397" t="n">
        <v>0</v>
      </c>
      <c r="J1397" t="n">
        <v>0</v>
      </c>
      <c r="K1397" t="n">
        <v>0</v>
      </c>
      <c r="L1397" t="n">
        <v>0</v>
      </c>
      <c r="M1397" t="n">
        <v>0</v>
      </c>
      <c r="N1397" t="n">
        <v>0</v>
      </c>
      <c r="O1397" t="n">
        <v>0</v>
      </c>
      <c r="P1397" t="n">
        <v>0</v>
      </c>
      <c r="Q1397" t="n">
        <v>0</v>
      </c>
      <c r="R1397" s="2" t="inlineStr"/>
    </row>
    <row r="1398" ht="15" customHeight="1">
      <c r="A1398" t="inlineStr">
        <is>
          <t>A 29842-2022</t>
        </is>
      </c>
      <c r="B1398" s="1" t="n">
        <v>44756</v>
      </c>
      <c r="C1398" s="1" t="n">
        <v>45669</v>
      </c>
      <c r="D1398" t="inlineStr">
        <is>
          <t>VÄSTERNORRLANDS LÄN</t>
        </is>
      </c>
      <c r="E1398" t="inlineStr">
        <is>
          <t>SOLLEFTEÅ</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30032-2022</t>
        </is>
      </c>
      <c r="B1399" s="1" t="n">
        <v>44756</v>
      </c>
      <c r="C1399" s="1" t="n">
        <v>45669</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30041-2022</t>
        </is>
      </c>
      <c r="B1400" s="1" t="n">
        <v>44756</v>
      </c>
      <c r="C1400" s="1" t="n">
        <v>45669</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30045-2022</t>
        </is>
      </c>
      <c r="B1401" s="1" t="n">
        <v>44756</v>
      </c>
      <c r="C1401" s="1" t="n">
        <v>45669</v>
      </c>
      <c r="D1401" t="inlineStr">
        <is>
          <t>VÄSTERNORRLANDS LÄN</t>
        </is>
      </c>
      <c r="E1401" t="inlineStr">
        <is>
          <t>SOLLEFTEÅ</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30013-2022</t>
        </is>
      </c>
      <c r="B1402" s="1" t="n">
        <v>44756</v>
      </c>
      <c r="C1402" s="1" t="n">
        <v>45669</v>
      </c>
      <c r="D1402" t="inlineStr">
        <is>
          <t>VÄSTERNORRLANDS LÄN</t>
        </is>
      </c>
      <c r="E1402" t="inlineStr">
        <is>
          <t>SOLLEFTEÅ</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30033-2022</t>
        </is>
      </c>
      <c r="B1403" s="1" t="n">
        <v>44756</v>
      </c>
      <c r="C1403" s="1" t="n">
        <v>45669</v>
      </c>
      <c r="D1403" t="inlineStr">
        <is>
          <t>VÄSTERNORRLANDS LÄN</t>
        </is>
      </c>
      <c r="E1403" t="inlineStr">
        <is>
          <t>SOLLEFTEÅ</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30040-2022</t>
        </is>
      </c>
      <c r="B1404" s="1" t="n">
        <v>44757</v>
      </c>
      <c r="C1404" s="1" t="n">
        <v>45669</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30034-2022</t>
        </is>
      </c>
      <c r="B1405" s="1" t="n">
        <v>44757</v>
      </c>
      <c r="C1405" s="1" t="n">
        <v>45669</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30039-2022</t>
        </is>
      </c>
      <c r="B1406" s="1" t="n">
        <v>44757</v>
      </c>
      <c r="C1406" s="1" t="n">
        <v>45669</v>
      </c>
      <c r="D1406" t="inlineStr">
        <is>
          <t>VÄSTERNORRLANDS LÄN</t>
        </is>
      </c>
      <c r="E1406" t="inlineStr">
        <is>
          <t>SOLLEFTEÅ</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30043-2022</t>
        </is>
      </c>
      <c r="B1407" s="1" t="n">
        <v>44756</v>
      </c>
      <c r="C1407" s="1" t="n">
        <v>45669</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30238-2022</t>
        </is>
      </c>
      <c r="B1408" s="1" t="n">
        <v>44757</v>
      </c>
      <c r="C1408" s="1" t="n">
        <v>45669</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30239-2022</t>
        </is>
      </c>
      <c r="B1409" s="1" t="n">
        <v>44758</v>
      </c>
      <c r="C1409" s="1" t="n">
        <v>45669</v>
      </c>
      <c r="D1409" t="inlineStr">
        <is>
          <t>VÄSTERNORRLANDS LÄN</t>
        </is>
      </c>
      <c r="E1409" t="inlineStr">
        <is>
          <t>SOLLEFTEÅ</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30237-2022</t>
        </is>
      </c>
      <c r="B1410" s="1" t="n">
        <v>44758</v>
      </c>
      <c r="C1410" s="1" t="n">
        <v>45669</v>
      </c>
      <c r="D1410" t="inlineStr">
        <is>
          <t>VÄSTERNORRLANDS LÄN</t>
        </is>
      </c>
      <c r="E1410" t="inlineStr">
        <is>
          <t>SOLLEFTEÅ</t>
        </is>
      </c>
      <c r="F1410" t="inlineStr">
        <is>
          <t>SCA</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30236-2022</t>
        </is>
      </c>
      <c r="B1411" s="1" t="n">
        <v>44757</v>
      </c>
      <c r="C1411" s="1" t="n">
        <v>45669</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30240-2022</t>
        </is>
      </c>
      <c r="B1412" s="1" t="n">
        <v>44757</v>
      </c>
      <c r="C1412" s="1" t="n">
        <v>45669</v>
      </c>
      <c r="D1412" t="inlineStr">
        <is>
          <t>VÄSTERNORRLANDS LÄN</t>
        </is>
      </c>
      <c r="E1412" t="inlineStr">
        <is>
          <t>SOLLEFTEÅ</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30606-2022</t>
        </is>
      </c>
      <c r="B1413" s="1" t="n">
        <v>44763</v>
      </c>
      <c r="C1413" s="1" t="n">
        <v>45669</v>
      </c>
      <c r="D1413" t="inlineStr">
        <is>
          <t>VÄSTERNORRLANDS LÄN</t>
        </is>
      </c>
      <c r="E1413" t="inlineStr">
        <is>
          <t>SOLLEFTEÅ</t>
        </is>
      </c>
      <c r="F1413" t="inlineStr">
        <is>
          <t>SCA</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30805-2022</t>
        </is>
      </c>
      <c r="B1414" s="1" t="n">
        <v>44765</v>
      </c>
      <c r="C1414" s="1" t="n">
        <v>45669</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30936-2022</t>
        </is>
      </c>
      <c r="B1415" s="1" t="n">
        <v>44768</v>
      </c>
      <c r="C1415" s="1" t="n">
        <v>45669</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44768</v>
      </c>
      <c r="C1416" s="1" t="n">
        <v>45669</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31005-2022</t>
        </is>
      </c>
      <c r="B1417" s="1" t="n">
        <v>44768</v>
      </c>
      <c r="C1417" s="1" t="n">
        <v>45669</v>
      </c>
      <c r="D1417" t="inlineStr">
        <is>
          <t>VÄSTERNORRLANDS LÄN</t>
        </is>
      </c>
      <c r="E1417" t="inlineStr">
        <is>
          <t>SOLLEFTEÅ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31444-2022</t>
        </is>
      </c>
      <c r="B1418" s="1" t="n">
        <v>44774</v>
      </c>
      <c r="C1418" s="1" t="n">
        <v>45669</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31453-2022</t>
        </is>
      </c>
      <c r="B1419" s="1" t="n">
        <v>44775</v>
      </c>
      <c r="C1419" s="1" t="n">
        <v>45669</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31474-2022</t>
        </is>
      </c>
      <c r="B1420" s="1" t="n">
        <v>44775</v>
      </c>
      <c r="C1420" s="1" t="n">
        <v>45669</v>
      </c>
      <c r="D1420" t="inlineStr">
        <is>
          <t>VÄSTERNORRLANDS LÄN</t>
        </is>
      </c>
      <c r="E1420" t="inlineStr">
        <is>
          <t>SOLLEFTEÅ</t>
        </is>
      </c>
      <c r="F1420" t="inlineStr">
        <is>
          <t>SCA</t>
        </is>
      </c>
      <c r="G1420" t="n">
        <v>28.3</v>
      </c>
      <c r="H1420" t="n">
        <v>0</v>
      </c>
      <c r="I1420" t="n">
        <v>0</v>
      </c>
      <c r="J1420" t="n">
        <v>0</v>
      </c>
      <c r="K1420" t="n">
        <v>0</v>
      </c>
      <c r="L1420" t="n">
        <v>0</v>
      </c>
      <c r="M1420" t="n">
        <v>0</v>
      </c>
      <c r="N1420" t="n">
        <v>0</v>
      </c>
      <c r="O1420" t="n">
        <v>0</v>
      </c>
      <c r="P1420" t="n">
        <v>0</v>
      </c>
      <c r="Q1420" t="n">
        <v>0</v>
      </c>
      <c r="R1420" s="2" t="inlineStr"/>
    </row>
    <row r="1421" ht="15" customHeight="1">
      <c r="A1421" t="inlineStr">
        <is>
          <t>A 31440-2022</t>
        </is>
      </c>
      <c r="B1421" s="1" t="n">
        <v>44775</v>
      </c>
      <c r="C1421" s="1" t="n">
        <v>45669</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31464-2022</t>
        </is>
      </c>
      <c r="B1422" s="1" t="n">
        <v>44774</v>
      </c>
      <c r="C1422" s="1" t="n">
        <v>45669</v>
      </c>
      <c r="D1422" t="inlineStr">
        <is>
          <t>VÄSTERNORRLANDS LÄN</t>
        </is>
      </c>
      <c r="E1422" t="inlineStr">
        <is>
          <t>SOLLEFTEÅ</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31452-2022</t>
        </is>
      </c>
      <c r="B1423" s="1" t="n">
        <v>44775</v>
      </c>
      <c r="C1423" s="1" t="n">
        <v>45669</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31490-2022</t>
        </is>
      </c>
      <c r="B1424" s="1" t="n">
        <v>44775</v>
      </c>
      <c r="C1424" s="1" t="n">
        <v>45669</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31451-2022</t>
        </is>
      </c>
      <c r="B1425" s="1" t="n">
        <v>44775</v>
      </c>
      <c r="C1425" s="1" t="n">
        <v>45669</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31482-2022</t>
        </is>
      </c>
      <c r="B1426" s="1" t="n">
        <v>44775</v>
      </c>
      <c r="C1426" s="1" t="n">
        <v>45669</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31588-2022</t>
        </is>
      </c>
      <c r="B1427" s="1" t="n">
        <v>44775</v>
      </c>
      <c r="C1427" s="1" t="n">
        <v>45669</v>
      </c>
      <c r="D1427" t="inlineStr">
        <is>
          <t>VÄSTERNORRLANDS LÄN</t>
        </is>
      </c>
      <c r="E1427" t="inlineStr">
        <is>
          <t>SOLLEFTEÅ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31646-2022</t>
        </is>
      </c>
      <c r="B1428" s="1" t="n">
        <v>44776</v>
      </c>
      <c r="C1428" s="1" t="n">
        <v>45669</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31672-2022</t>
        </is>
      </c>
      <c r="B1429" s="1" t="n">
        <v>44776</v>
      </c>
      <c r="C1429" s="1" t="n">
        <v>45669</v>
      </c>
      <c r="D1429" t="inlineStr">
        <is>
          <t>VÄSTERNORRLANDS LÄN</t>
        </is>
      </c>
      <c r="E1429" t="inlineStr">
        <is>
          <t>SOLLEFTEÅ</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31856-2022</t>
        </is>
      </c>
      <c r="B1430" s="1" t="n">
        <v>44776</v>
      </c>
      <c r="C1430" s="1" t="n">
        <v>45669</v>
      </c>
      <c r="D1430" t="inlineStr">
        <is>
          <t>VÄSTERNORRLANDS LÄN</t>
        </is>
      </c>
      <c r="E1430" t="inlineStr">
        <is>
          <t>SOLLEFTEÅ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31968-2022</t>
        </is>
      </c>
      <c r="B1431" s="1" t="n">
        <v>44778</v>
      </c>
      <c r="C1431" s="1" t="n">
        <v>45669</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31967-2022</t>
        </is>
      </c>
      <c r="B1432" s="1" t="n">
        <v>44778</v>
      </c>
      <c r="C1432" s="1" t="n">
        <v>45669</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31965-2022</t>
        </is>
      </c>
      <c r="B1433" s="1" t="n">
        <v>44778</v>
      </c>
      <c r="C1433" s="1" t="n">
        <v>45669</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31966-2022</t>
        </is>
      </c>
      <c r="B1434" s="1" t="n">
        <v>44778</v>
      </c>
      <c r="C1434" s="1" t="n">
        <v>45669</v>
      </c>
      <c r="D1434" t="inlineStr">
        <is>
          <t>VÄSTERNORRLANDS LÄN</t>
        </is>
      </c>
      <c r="E1434" t="inlineStr">
        <is>
          <t>SOLLEFTEÅ</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32127-2022</t>
        </is>
      </c>
      <c r="B1435" s="1" t="n">
        <v>44779</v>
      </c>
      <c r="C1435" s="1" t="n">
        <v>45669</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32129-2022</t>
        </is>
      </c>
      <c r="B1436" s="1" t="n">
        <v>44779</v>
      </c>
      <c r="C1436" s="1" t="n">
        <v>45669</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32126-2022</t>
        </is>
      </c>
      <c r="B1437" s="1" t="n">
        <v>44778</v>
      </c>
      <c r="C1437" s="1" t="n">
        <v>45669</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32130-2022</t>
        </is>
      </c>
      <c r="B1438" s="1" t="n">
        <v>44779</v>
      </c>
      <c r="C1438" s="1" t="n">
        <v>45669</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32453-2022</t>
        </is>
      </c>
      <c r="B1439" s="1" t="n">
        <v>44782</v>
      </c>
      <c r="C1439" s="1" t="n">
        <v>45669</v>
      </c>
      <c r="D1439" t="inlineStr">
        <is>
          <t>VÄSTERNORRLANDS LÄN</t>
        </is>
      </c>
      <c r="E1439" t="inlineStr">
        <is>
          <t>SOLLEFTEÅ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32531-2022</t>
        </is>
      </c>
      <c r="B1440" s="1" t="n">
        <v>44783</v>
      </c>
      <c r="C1440" s="1" t="n">
        <v>45669</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32779-2022</t>
        </is>
      </c>
      <c r="B1441" s="1" t="n">
        <v>44784</v>
      </c>
      <c r="C1441" s="1" t="n">
        <v>45669</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32969-2022</t>
        </is>
      </c>
      <c r="B1442" s="1" t="n">
        <v>44785</v>
      </c>
      <c r="C1442" s="1" t="n">
        <v>45669</v>
      </c>
      <c r="D1442" t="inlineStr">
        <is>
          <t>VÄSTERNORRLANDS LÄN</t>
        </is>
      </c>
      <c r="E1442" t="inlineStr">
        <is>
          <t>SOLLEFTEÅ</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33056-2022</t>
        </is>
      </c>
      <c r="B1443" s="1" t="n">
        <v>44785</v>
      </c>
      <c r="C1443" s="1" t="n">
        <v>45669</v>
      </c>
      <c r="D1443" t="inlineStr">
        <is>
          <t>VÄSTERNORRLANDS LÄN</t>
        </is>
      </c>
      <c r="E1443" t="inlineStr">
        <is>
          <t>SOLLEFTEÅ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33083-2022</t>
        </is>
      </c>
      <c r="B1444" s="1" t="n">
        <v>44785</v>
      </c>
      <c r="C1444" s="1" t="n">
        <v>45669</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33077-2022</t>
        </is>
      </c>
      <c r="B1445" s="1" t="n">
        <v>44785</v>
      </c>
      <c r="C1445" s="1" t="n">
        <v>45669</v>
      </c>
      <c r="D1445" t="inlineStr">
        <is>
          <t>VÄSTERNORRLANDS LÄN</t>
        </is>
      </c>
      <c r="E1445" t="inlineStr">
        <is>
          <t>SOLLEFTEÅ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33226-2022</t>
        </is>
      </c>
      <c r="B1446" s="1" t="n">
        <v>44786</v>
      </c>
      <c r="C1446" s="1" t="n">
        <v>45669</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33505-2022</t>
        </is>
      </c>
      <c r="B1447" s="1" t="n">
        <v>44789</v>
      </c>
      <c r="C1447" s="1" t="n">
        <v>45669</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33519-2022</t>
        </is>
      </c>
      <c r="B1448" s="1" t="n">
        <v>44789</v>
      </c>
      <c r="C1448" s="1" t="n">
        <v>45669</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33528-2022</t>
        </is>
      </c>
      <c r="B1449" s="1" t="n">
        <v>44788</v>
      </c>
      <c r="C1449" s="1" t="n">
        <v>45669</v>
      </c>
      <c r="D1449" t="inlineStr">
        <is>
          <t>VÄSTERNORRLANDS LÄN</t>
        </is>
      </c>
      <c r="E1449" t="inlineStr">
        <is>
          <t>SOLLEFTEÅ</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33734-2022</t>
        </is>
      </c>
      <c r="B1450" s="1" t="n">
        <v>44790</v>
      </c>
      <c r="C1450" s="1" t="n">
        <v>45669</v>
      </c>
      <c r="D1450" t="inlineStr">
        <is>
          <t>VÄSTERNORRLANDS LÄN</t>
        </is>
      </c>
      <c r="E1450" t="inlineStr">
        <is>
          <t>SOLLEFTEÅ</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33990-2022</t>
        </is>
      </c>
      <c r="B1451" s="1" t="n">
        <v>44790</v>
      </c>
      <c r="C1451" s="1" t="n">
        <v>45669</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33995-2022</t>
        </is>
      </c>
      <c r="B1452" s="1" t="n">
        <v>44791</v>
      </c>
      <c r="C1452" s="1" t="n">
        <v>45669</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33994-2022</t>
        </is>
      </c>
      <c r="B1453" s="1" t="n">
        <v>44791</v>
      </c>
      <c r="C1453" s="1" t="n">
        <v>45669</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34242-2022</t>
        </is>
      </c>
      <c r="B1454" s="1" t="n">
        <v>44792</v>
      </c>
      <c r="C1454" s="1" t="n">
        <v>45669</v>
      </c>
      <c r="D1454" t="inlineStr">
        <is>
          <t>VÄSTERNORRLANDS LÄN</t>
        </is>
      </c>
      <c r="E1454" t="inlineStr">
        <is>
          <t>SOLLEFTEÅ</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34252-2022</t>
        </is>
      </c>
      <c r="B1455" s="1" t="n">
        <v>44792</v>
      </c>
      <c r="C1455" s="1" t="n">
        <v>45669</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34267-2022</t>
        </is>
      </c>
      <c r="B1456" s="1" t="n">
        <v>44792</v>
      </c>
      <c r="C1456" s="1" t="n">
        <v>45669</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34281-2022</t>
        </is>
      </c>
      <c r="B1457" s="1" t="n">
        <v>44791</v>
      </c>
      <c r="C1457" s="1" t="n">
        <v>45669</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34518-2022</t>
        </is>
      </c>
      <c r="B1458" s="1" t="n">
        <v>44793</v>
      </c>
      <c r="C1458" s="1" t="n">
        <v>45669</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34517-2022</t>
        </is>
      </c>
      <c r="B1459" s="1" t="n">
        <v>44793</v>
      </c>
      <c r="C1459" s="1" t="n">
        <v>45669</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34527-2022</t>
        </is>
      </c>
      <c r="B1460" s="1" t="n">
        <v>44793</v>
      </c>
      <c r="C1460" s="1" t="n">
        <v>45669</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34534-2022</t>
        </is>
      </c>
      <c r="B1461" s="1" t="n">
        <v>44793</v>
      </c>
      <c r="C1461" s="1" t="n">
        <v>45669</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34516-2022</t>
        </is>
      </c>
      <c r="B1462" s="1" t="n">
        <v>44792</v>
      </c>
      <c r="C1462" s="1" t="n">
        <v>45669</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34648-2022</t>
        </is>
      </c>
      <c r="B1463" s="1" t="n">
        <v>44792</v>
      </c>
      <c r="C1463" s="1" t="n">
        <v>45669</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34549-2022</t>
        </is>
      </c>
      <c r="B1464" s="1" t="n">
        <v>44793</v>
      </c>
      <c r="C1464" s="1" t="n">
        <v>45669</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34542-2022</t>
        </is>
      </c>
      <c r="B1465" s="1" t="n">
        <v>44793</v>
      </c>
      <c r="C1465" s="1" t="n">
        <v>45669</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34543-2022</t>
        </is>
      </c>
      <c r="B1466" s="1" t="n">
        <v>44793</v>
      </c>
      <c r="C1466" s="1" t="n">
        <v>45669</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34552-2022</t>
        </is>
      </c>
      <c r="B1467" s="1" t="n">
        <v>44794</v>
      </c>
      <c r="C1467" s="1" t="n">
        <v>45669</v>
      </c>
      <c r="D1467" t="inlineStr">
        <is>
          <t>VÄSTERNORRLANDS LÄN</t>
        </is>
      </c>
      <c r="E1467" t="inlineStr">
        <is>
          <t>SOLLEFTEÅ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34804-2022</t>
        </is>
      </c>
      <c r="B1468" s="1" t="n">
        <v>44796</v>
      </c>
      <c r="C1468" s="1" t="n">
        <v>45669</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35019-2022</t>
        </is>
      </c>
      <c r="B1469" s="1" t="n">
        <v>44797</v>
      </c>
      <c r="C1469" s="1" t="n">
        <v>45669</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35229-2022</t>
        </is>
      </c>
      <c r="B1470" s="1" t="n">
        <v>44798</v>
      </c>
      <c r="C1470" s="1" t="n">
        <v>45669</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35747-2022</t>
        </is>
      </c>
      <c r="B1471" s="1" t="n">
        <v>44799</v>
      </c>
      <c r="C1471" s="1" t="n">
        <v>45669</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35797-2022</t>
        </is>
      </c>
      <c r="B1472" s="1" t="n">
        <v>44802</v>
      </c>
      <c r="C1472" s="1" t="n">
        <v>45669</v>
      </c>
      <c r="D1472" t="inlineStr">
        <is>
          <t>VÄSTERNORRLANDS LÄN</t>
        </is>
      </c>
      <c r="E1472" t="inlineStr">
        <is>
          <t>SOLLEFTEÅ</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36080-2022</t>
        </is>
      </c>
      <c r="B1473" s="1" t="n">
        <v>44803</v>
      </c>
      <c r="C1473" s="1" t="n">
        <v>45669</v>
      </c>
      <c r="D1473" t="inlineStr">
        <is>
          <t>VÄSTERNORRLANDS LÄN</t>
        </is>
      </c>
      <c r="E1473" t="inlineStr">
        <is>
          <t>SOLLEFTEÅ</t>
        </is>
      </c>
      <c r="F1473" t="inlineStr">
        <is>
          <t>SCA</t>
        </is>
      </c>
      <c r="G1473" t="n">
        <v>78.2</v>
      </c>
      <c r="H1473" t="n">
        <v>0</v>
      </c>
      <c r="I1473" t="n">
        <v>0</v>
      </c>
      <c r="J1473" t="n">
        <v>0</v>
      </c>
      <c r="K1473" t="n">
        <v>0</v>
      </c>
      <c r="L1473" t="n">
        <v>0</v>
      </c>
      <c r="M1473" t="n">
        <v>0</v>
      </c>
      <c r="N1473" t="n">
        <v>0</v>
      </c>
      <c r="O1473" t="n">
        <v>0</v>
      </c>
      <c r="P1473" t="n">
        <v>0</v>
      </c>
      <c r="Q1473" t="n">
        <v>0</v>
      </c>
      <c r="R1473" s="2" t="inlineStr"/>
    </row>
    <row r="1474" ht="15" customHeight="1">
      <c r="A1474" t="inlineStr">
        <is>
          <t>A 36078-2022</t>
        </is>
      </c>
      <c r="B1474" s="1" t="n">
        <v>44803</v>
      </c>
      <c r="C1474" s="1" t="n">
        <v>45669</v>
      </c>
      <c r="D1474" t="inlineStr">
        <is>
          <t>VÄSTERNORRLANDS LÄN</t>
        </is>
      </c>
      <c r="E1474" t="inlineStr">
        <is>
          <t>SOLLEFTEÅ</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36368-2022</t>
        </is>
      </c>
      <c r="B1475" s="1" t="n">
        <v>44804</v>
      </c>
      <c r="C1475" s="1" t="n">
        <v>45669</v>
      </c>
      <c r="D1475" t="inlineStr">
        <is>
          <t>VÄSTERNORRLANDS LÄN</t>
        </is>
      </c>
      <c r="E1475" t="inlineStr">
        <is>
          <t>SOLLEFTEÅ</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36367-2022</t>
        </is>
      </c>
      <c r="B1476" s="1" t="n">
        <v>44804</v>
      </c>
      <c r="C1476" s="1" t="n">
        <v>45669</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36688-2022</t>
        </is>
      </c>
      <c r="B1477" s="1" t="n">
        <v>44804</v>
      </c>
      <c r="C1477" s="1" t="n">
        <v>45669</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36681-2022</t>
        </is>
      </c>
      <c r="B1478" s="1" t="n">
        <v>44804</v>
      </c>
      <c r="C1478" s="1" t="n">
        <v>45669</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36926-2022</t>
        </is>
      </c>
      <c r="B1479" s="1" t="n">
        <v>44806</v>
      </c>
      <c r="C1479" s="1" t="n">
        <v>45669</v>
      </c>
      <c r="D1479" t="inlineStr">
        <is>
          <t>VÄSTERNORRLANDS LÄN</t>
        </is>
      </c>
      <c r="E1479" t="inlineStr">
        <is>
          <t>SOLLEFTEÅ</t>
        </is>
      </c>
      <c r="F1479" t="inlineStr">
        <is>
          <t>SCA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37242-2022</t>
        </is>
      </c>
      <c r="B1480" s="1" t="n">
        <v>44807</v>
      </c>
      <c r="C1480" s="1" t="n">
        <v>45669</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37589-2022</t>
        </is>
      </c>
      <c r="B1481" s="1" t="n">
        <v>44810</v>
      </c>
      <c r="C1481" s="1" t="n">
        <v>45669</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37596-2022</t>
        </is>
      </c>
      <c r="B1482" s="1" t="n">
        <v>44810</v>
      </c>
      <c r="C1482" s="1" t="n">
        <v>45669</v>
      </c>
      <c r="D1482" t="inlineStr">
        <is>
          <t>VÄSTERNORRLANDS LÄN</t>
        </is>
      </c>
      <c r="E1482" t="inlineStr">
        <is>
          <t>SOLLEFTEÅ</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37597-2022</t>
        </is>
      </c>
      <c r="B1483" s="1" t="n">
        <v>44810</v>
      </c>
      <c r="C1483" s="1" t="n">
        <v>45669</v>
      </c>
      <c r="D1483" t="inlineStr">
        <is>
          <t>VÄSTERNORRLANDS LÄN</t>
        </is>
      </c>
      <c r="E1483" t="inlineStr">
        <is>
          <t>SOLLEFTEÅ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37835-2022</t>
        </is>
      </c>
      <c r="B1484" s="1" t="n">
        <v>44810</v>
      </c>
      <c r="C1484" s="1" t="n">
        <v>45669</v>
      </c>
      <c r="D1484" t="inlineStr">
        <is>
          <t>VÄSTERNORRLANDS LÄN</t>
        </is>
      </c>
      <c r="E1484" t="inlineStr">
        <is>
          <t>SOLLEFTEÅ</t>
        </is>
      </c>
      <c r="F1484" t="inlineStr">
        <is>
          <t>SCA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37826-2022</t>
        </is>
      </c>
      <c r="B1485" s="1" t="n">
        <v>44811</v>
      </c>
      <c r="C1485" s="1" t="n">
        <v>45669</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37840-2022</t>
        </is>
      </c>
      <c r="B1486" s="1" t="n">
        <v>44810</v>
      </c>
      <c r="C1486" s="1" t="n">
        <v>45669</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38096-2022</t>
        </is>
      </c>
      <c r="B1487" s="1" t="n">
        <v>44812</v>
      </c>
      <c r="C1487" s="1" t="n">
        <v>45669</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38095-2022</t>
        </is>
      </c>
      <c r="B1488" s="1" t="n">
        <v>44811</v>
      </c>
      <c r="C1488" s="1" t="n">
        <v>45669</v>
      </c>
      <c r="D1488" t="inlineStr">
        <is>
          <t>VÄSTERNORRLANDS LÄN</t>
        </is>
      </c>
      <c r="E1488" t="inlineStr">
        <is>
          <t>SOLLEFTEÅ</t>
        </is>
      </c>
      <c r="F1488" t="inlineStr">
        <is>
          <t>SCA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37977-2022</t>
        </is>
      </c>
      <c r="B1489" s="1" t="n">
        <v>44811</v>
      </c>
      <c r="C1489" s="1" t="n">
        <v>45669</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38102-2022</t>
        </is>
      </c>
      <c r="B1490" s="1" t="n">
        <v>44811</v>
      </c>
      <c r="C1490" s="1" t="n">
        <v>45669</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c r="U1490">
        <f>HYPERLINK("https://klasma.github.io/Logging_2283/knärot/A 38102-2022 karta knärot.png", "A 38102-2022")</f>
        <v/>
      </c>
      <c r="V1490">
        <f>HYPERLINK("https://klasma.github.io/Logging_2283/klagomål/A 38102-2022 FSC-klagomål.docx", "A 38102-2022")</f>
        <v/>
      </c>
      <c r="W1490">
        <f>HYPERLINK("https://klasma.github.io/Logging_2283/klagomålsmail/A 38102-2022 FSC-klagomål mail.docx", "A 38102-2022")</f>
        <v/>
      </c>
      <c r="X1490">
        <f>HYPERLINK("https://klasma.github.io/Logging_2283/tillsyn/A 38102-2022 tillsynsbegäran.docx", "A 38102-2022")</f>
        <v/>
      </c>
      <c r="Y1490">
        <f>HYPERLINK("https://klasma.github.io/Logging_2283/tillsynsmail/A 38102-2022 tillsynsbegäran mail.docx", "A 38102-2022")</f>
        <v/>
      </c>
    </row>
    <row r="1491" ht="15" customHeight="1">
      <c r="A1491" t="inlineStr">
        <is>
          <t>A 38230-2022</t>
        </is>
      </c>
      <c r="B1491" s="1" t="n">
        <v>44812</v>
      </c>
      <c r="C1491" s="1" t="n">
        <v>45669</v>
      </c>
      <c r="D1491" t="inlineStr">
        <is>
          <t>VÄSTERNORRLANDS LÄN</t>
        </is>
      </c>
      <c r="E1491" t="inlineStr">
        <is>
          <t>SOLLEFTEÅ</t>
        </is>
      </c>
      <c r="F1491" t="inlineStr">
        <is>
          <t>Kommuner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38430-2022</t>
        </is>
      </c>
      <c r="B1492" s="1" t="n">
        <v>44812</v>
      </c>
      <c r="C1492" s="1" t="n">
        <v>45669</v>
      </c>
      <c r="D1492" t="inlineStr">
        <is>
          <t>VÄSTERNORRLANDS LÄN</t>
        </is>
      </c>
      <c r="E1492" t="inlineStr">
        <is>
          <t>SOLLEFTEÅ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38433-2022</t>
        </is>
      </c>
      <c r="B1493" s="1" t="n">
        <v>44812</v>
      </c>
      <c r="C1493" s="1" t="n">
        <v>45669</v>
      </c>
      <c r="D1493" t="inlineStr">
        <is>
          <t>VÄSTERNORRLANDS LÄN</t>
        </is>
      </c>
      <c r="E1493" t="inlineStr">
        <is>
          <t>SOLLEFTEÅ</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38312-2022</t>
        </is>
      </c>
      <c r="B1494" s="1" t="n">
        <v>44812</v>
      </c>
      <c r="C1494" s="1" t="n">
        <v>45669</v>
      </c>
      <c r="D1494" t="inlineStr">
        <is>
          <t>VÄSTERNORRLANDS LÄN</t>
        </is>
      </c>
      <c r="E1494" t="inlineStr">
        <is>
          <t>SOLLEFTEÅ</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38428-2022</t>
        </is>
      </c>
      <c r="B1495" s="1" t="n">
        <v>44812</v>
      </c>
      <c r="C1495" s="1" t="n">
        <v>45669</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38432-2022</t>
        </is>
      </c>
      <c r="B1496" s="1" t="n">
        <v>44812</v>
      </c>
      <c r="C1496" s="1" t="n">
        <v>45669</v>
      </c>
      <c r="D1496" t="inlineStr">
        <is>
          <t>VÄSTERNORRLANDS LÄN</t>
        </is>
      </c>
      <c r="E1496" t="inlineStr">
        <is>
          <t>SOLLEFTEÅ</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38663-2022</t>
        </is>
      </c>
      <c r="B1497" s="1" t="n">
        <v>44814</v>
      </c>
      <c r="C1497" s="1" t="n">
        <v>45669</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39006-2022</t>
        </is>
      </c>
      <c r="B1498" s="1" t="n">
        <v>44817</v>
      </c>
      <c r="C1498" s="1" t="n">
        <v>45669</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39012-2022</t>
        </is>
      </c>
      <c r="B1499" s="1" t="n">
        <v>44816</v>
      </c>
      <c r="C1499" s="1" t="n">
        <v>45669</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39384-2022</t>
        </is>
      </c>
      <c r="B1500" s="1" t="n">
        <v>44818</v>
      </c>
      <c r="C1500" s="1" t="n">
        <v>45669</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39372-2022</t>
        </is>
      </c>
      <c r="B1501" s="1" t="n">
        <v>44818</v>
      </c>
      <c r="C1501" s="1" t="n">
        <v>45669</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39371-2022</t>
        </is>
      </c>
      <c r="B1502" s="1" t="n">
        <v>44818</v>
      </c>
      <c r="C1502" s="1" t="n">
        <v>45669</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39688-2022</t>
        </is>
      </c>
      <c r="B1503" s="1" t="n">
        <v>44818</v>
      </c>
      <c r="C1503" s="1" t="n">
        <v>45669</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39699-2022</t>
        </is>
      </c>
      <c r="B1504" s="1" t="n">
        <v>44819</v>
      </c>
      <c r="C1504" s="1" t="n">
        <v>45669</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39944-2022</t>
        </is>
      </c>
      <c r="B1505" s="1" t="n">
        <v>44819</v>
      </c>
      <c r="C1505" s="1" t="n">
        <v>45669</v>
      </c>
      <c r="D1505" t="inlineStr">
        <is>
          <t>VÄSTERNORRLANDS LÄN</t>
        </is>
      </c>
      <c r="E1505" t="inlineStr">
        <is>
          <t>SOLLEFTEÅ</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39942-2022</t>
        </is>
      </c>
      <c r="B1506" s="1" t="n">
        <v>44820</v>
      </c>
      <c r="C1506" s="1" t="n">
        <v>45669</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39947-2022</t>
        </is>
      </c>
      <c r="B1507" s="1" t="n">
        <v>44819</v>
      </c>
      <c r="C1507" s="1" t="n">
        <v>45669</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39943-2022</t>
        </is>
      </c>
      <c r="B1508" s="1" t="n">
        <v>44820</v>
      </c>
      <c r="C1508" s="1" t="n">
        <v>45669</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39951-2022</t>
        </is>
      </c>
      <c r="B1509" s="1" t="n">
        <v>44820</v>
      </c>
      <c r="C1509" s="1" t="n">
        <v>45669</v>
      </c>
      <c r="D1509" t="inlineStr">
        <is>
          <t>VÄSTERNORRLANDS LÄN</t>
        </is>
      </c>
      <c r="E1509" t="inlineStr">
        <is>
          <t>SOLLEFTEÅ</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39934-2022</t>
        </is>
      </c>
      <c r="B1510" s="1" t="n">
        <v>44820</v>
      </c>
      <c r="C1510" s="1" t="n">
        <v>45669</v>
      </c>
      <c r="D1510" t="inlineStr">
        <is>
          <t>VÄSTERNORRLANDS LÄN</t>
        </is>
      </c>
      <c r="E1510" t="inlineStr">
        <is>
          <t>SOLLEFTEÅ</t>
        </is>
      </c>
      <c r="F1510" t="inlineStr">
        <is>
          <t>SCA</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39946-2022</t>
        </is>
      </c>
      <c r="B1511" s="1" t="n">
        <v>44819</v>
      </c>
      <c r="C1511" s="1" t="n">
        <v>45669</v>
      </c>
      <c r="D1511" t="inlineStr">
        <is>
          <t>VÄSTERNORRLANDS LÄN</t>
        </is>
      </c>
      <c r="E1511" t="inlineStr">
        <is>
          <t>SOLLEFTEÅ</t>
        </is>
      </c>
      <c r="F1511" t="inlineStr">
        <is>
          <t>SCA</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40608-2022</t>
        </is>
      </c>
      <c r="B1512" s="1" t="n">
        <v>44824</v>
      </c>
      <c r="C1512" s="1" t="n">
        <v>45669</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40609-2022</t>
        </is>
      </c>
      <c r="B1513" s="1" t="n">
        <v>44824</v>
      </c>
      <c r="C1513" s="1" t="n">
        <v>45669</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40610-2022</t>
        </is>
      </c>
      <c r="B1514" s="1" t="n">
        <v>44824</v>
      </c>
      <c r="C1514" s="1" t="n">
        <v>45669</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40599-2022</t>
        </is>
      </c>
      <c r="B1515" s="1" t="n">
        <v>44824</v>
      </c>
      <c r="C1515" s="1" t="n">
        <v>45669</v>
      </c>
      <c r="D1515" t="inlineStr">
        <is>
          <t>VÄSTERNORRLANDS LÄN</t>
        </is>
      </c>
      <c r="E1515" t="inlineStr">
        <is>
          <t>SOLLEFTEÅ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40611-2022</t>
        </is>
      </c>
      <c r="B1516" s="1" t="n">
        <v>44824</v>
      </c>
      <c r="C1516" s="1" t="n">
        <v>45669</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40832-2022</t>
        </is>
      </c>
      <c r="B1517" s="1" t="n">
        <v>44825</v>
      </c>
      <c r="C1517" s="1" t="n">
        <v>45669</v>
      </c>
      <c r="D1517" t="inlineStr">
        <is>
          <t>VÄSTERNORRLANDS LÄN</t>
        </is>
      </c>
      <c r="E1517" t="inlineStr">
        <is>
          <t>SOLLEFTEÅ</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41187-2022</t>
        </is>
      </c>
      <c r="B1518" s="1" t="n">
        <v>44826</v>
      </c>
      <c r="C1518" s="1" t="n">
        <v>45669</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41192-2022</t>
        </is>
      </c>
      <c r="B1519" s="1" t="n">
        <v>44826</v>
      </c>
      <c r="C1519" s="1" t="n">
        <v>45669</v>
      </c>
      <c r="D1519" t="inlineStr">
        <is>
          <t>VÄSTERNORRLANDS LÄN</t>
        </is>
      </c>
      <c r="E1519" t="inlineStr">
        <is>
          <t>SOLLEFTEÅ</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41168-2022</t>
        </is>
      </c>
      <c r="B1520" s="1" t="n">
        <v>44826</v>
      </c>
      <c r="C1520" s="1" t="n">
        <v>45669</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41172-2022</t>
        </is>
      </c>
      <c r="B1521" s="1" t="n">
        <v>44826</v>
      </c>
      <c r="C1521" s="1" t="n">
        <v>45669</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41176-2022</t>
        </is>
      </c>
      <c r="B1522" s="1" t="n">
        <v>44826</v>
      </c>
      <c r="C1522" s="1" t="n">
        <v>45669</v>
      </c>
      <c r="D1522" t="inlineStr">
        <is>
          <t>VÄSTERNORRLANDS LÄN</t>
        </is>
      </c>
      <c r="E1522" t="inlineStr">
        <is>
          <t>SOLLEFTEÅ</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41189-2022</t>
        </is>
      </c>
      <c r="B1523" s="1" t="n">
        <v>44826</v>
      </c>
      <c r="C1523" s="1" t="n">
        <v>45669</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41196-2022</t>
        </is>
      </c>
      <c r="B1524" s="1" t="n">
        <v>44826</v>
      </c>
      <c r="C1524" s="1" t="n">
        <v>45669</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41195-2022</t>
        </is>
      </c>
      <c r="B1525" s="1" t="n">
        <v>44826</v>
      </c>
      <c r="C1525" s="1" t="n">
        <v>45669</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41456-2022</t>
        </is>
      </c>
      <c r="B1526" s="1" t="n">
        <v>44826</v>
      </c>
      <c r="C1526" s="1" t="n">
        <v>45669</v>
      </c>
      <c r="D1526" t="inlineStr">
        <is>
          <t>VÄSTERNORRLANDS LÄN</t>
        </is>
      </c>
      <c r="E1526" t="inlineStr">
        <is>
          <t>SOLLEFTEÅ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41463-2022</t>
        </is>
      </c>
      <c r="B1527" s="1" t="n">
        <v>44827</v>
      </c>
      <c r="C1527" s="1" t="n">
        <v>45669</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41475-2022</t>
        </is>
      </c>
      <c r="B1528" s="1" t="n">
        <v>44826</v>
      </c>
      <c r="C1528" s="1" t="n">
        <v>45669</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41481-2022</t>
        </is>
      </c>
      <c r="B1529" s="1" t="n">
        <v>44827</v>
      </c>
      <c r="C1529" s="1" t="n">
        <v>45669</v>
      </c>
      <c r="D1529" t="inlineStr">
        <is>
          <t>VÄSTERNORRLANDS LÄN</t>
        </is>
      </c>
      <c r="E1529" t="inlineStr">
        <is>
          <t>SOLLEFTEÅ</t>
        </is>
      </c>
      <c r="F1529" t="inlineStr">
        <is>
          <t>SCA</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41478-2022</t>
        </is>
      </c>
      <c r="B1530" s="1" t="n">
        <v>44827</v>
      </c>
      <c r="C1530" s="1" t="n">
        <v>45669</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41486-2022</t>
        </is>
      </c>
      <c r="B1531" s="1" t="n">
        <v>44827</v>
      </c>
      <c r="C1531" s="1" t="n">
        <v>45669</v>
      </c>
      <c r="D1531" t="inlineStr">
        <is>
          <t>VÄSTERNORRLANDS LÄN</t>
        </is>
      </c>
      <c r="E1531" t="inlineStr">
        <is>
          <t>SOLLEFTEÅ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41455-2022</t>
        </is>
      </c>
      <c r="B1532" s="1" t="n">
        <v>44826</v>
      </c>
      <c r="C1532" s="1" t="n">
        <v>45669</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41474-2022</t>
        </is>
      </c>
      <c r="B1533" s="1" t="n">
        <v>44827</v>
      </c>
      <c r="C1533" s="1" t="n">
        <v>45669</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41480-2022</t>
        </is>
      </c>
      <c r="B1534" s="1" t="n">
        <v>44827</v>
      </c>
      <c r="C1534" s="1" t="n">
        <v>45669</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41488-2022</t>
        </is>
      </c>
      <c r="B1535" s="1" t="n">
        <v>44826</v>
      </c>
      <c r="C1535" s="1" t="n">
        <v>45669</v>
      </c>
      <c r="D1535" t="inlineStr">
        <is>
          <t>VÄSTERNORRLANDS LÄN</t>
        </is>
      </c>
      <c r="E1535" t="inlineStr">
        <is>
          <t>SOLLEFTEÅ</t>
        </is>
      </c>
      <c r="F1535" t="inlineStr">
        <is>
          <t>SCA</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41487-2022</t>
        </is>
      </c>
      <c r="B1536" s="1" t="n">
        <v>44827</v>
      </c>
      <c r="C1536" s="1" t="n">
        <v>45669</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41479-2022</t>
        </is>
      </c>
      <c r="B1537" s="1" t="n">
        <v>44827</v>
      </c>
      <c r="C1537" s="1" t="n">
        <v>45669</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41813-2022</t>
        </is>
      </c>
      <c r="B1538" s="1" t="n">
        <v>44828</v>
      </c>
      <c r="C1538" s="1" t="n">
        <v>45669</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42272-2022</t>
        </is>
      </c>
      <c r="B1539" s="1" t="n">
        <v>44831</v>
      </c>
      <c r="C1539" s="1" t="n">
        <v>45669</v>
      </c>
      <c r="D1539" t="inlineStr">
        <is>
          <t>VÄSTERNORRLANDS LÄN</t>
        </is>
      </c>
      <c r="E1539" t="inlineStr">
        <is>
          <t>SOLLEFTEÅ</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42299-2022</t>
        </is>
      </c>
      <c r="B1540" s="1" t="n">
        <v>44830</v>
      </c>
      <c r="C1540" s="1" t="n">
        <v>45669</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42303-2022</t>
        </is>
      </c>
      <c r="B1541" s="1" t="n">
        <v>44831</v>
      </c>
      <c r="C1541" s="1" t="n">
        <v>45669</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42275-2022</t>
        </is>
      </c>
      <c r="B1542" s="1" t="n">
        <v>44830</v>
      </c>
      <c r="C1542" s="1" t="n">
        <v>45669</v>
      </c>
      <c r="D1542" t="inlineStr">
        <is>
          <t>VÄSTERNORRLANDS LÄN</t>
        </is>
      </c>
      <c r="E1542" t="inlineStr">
        <is>
          <t>SOLLEFTEÅ</t>
        </is>
      </c>
      <c r="F1542" t="inlineStr">
        <is>
          <t>SCA</t>
        </is>
      </c>
      <c r="G1542" t="n">
        <v>26.9</v>
      </c>
      <c r="H1542" t="n">
        <v>0</v>
      </c>
      <c r="I1542" t="n">
        <v>0</v>
      </c>
      <c r="J1542" t="n">
        <v>0</v>
      </c>
      <c r="K1542" t="n">
        <v>0</v>
      </c>
      <c r="L1542" t="n">
        <v>0</v>
      </c>
      <c r="M1542" t="n">
        <v>0</v>
      </c>
      <c r="N1542" t="n">
        <v>0</v>
      </c>
      <c r="O1542" t="n">
        <v>0</v>
      </c>
      <c r="P1542" t="n">
        <v>0</v>
      </c>
      <c r="Q1542" t="n">
        <v>0</v>
      </c>
      <c r="R1542" s="2" t="inlineStr"/>
    </row>
    <row r="1543" ht="15" customHeight="1">
      <c r="A1543" t="inlineStr">
        <is>
          <t>A 42300-2022</t>
        </is>
      </c>
      <c r="B1543" s="1" t="n">
        <v>44831</v>
      </c>
      <c r="C1543" s="1" t="n">
        <v>45669</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42302-2022</t>
        </is>
      </c>
      <c r="B1544" s="1" t="n">
        <v>44830</v>
      </c>
      <c r="C1544" s="1" t="n">
        <v>45669</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42482-2022</t>
        </is>
      </c>
      <c r="B1545" s="1" t="n">
        <v>44831</v>
      </c>
      <c r="C1545" s="1" t="n">
        <v>45669</v>
      </c>
      <c r="D1545" t="inlineStr">
        <is>
          <t>VÄSTERNORRLANDS LÄN</t>
        </is>
      </c>
      <c r="E1545" t="inlineStr">
        <is>
          <t>SOLLEFTEÅ</t>
        </is>
      </c>
      <c r="F1545" t="inlineStr">
        <is>
          <t>Holmen skog AB</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42430-2022</t>
        </is>
      </c>
      <c r="B1546" s="1" t="n">
        <v>44831</v>
      </c>
      <c r="C1546" s="1" t="n">
        <v>45669</v>
      </c>
      <c r="D1546" t="inlineStr">
        <is>
          <t>VÄSTERNORRLANDS LÄN</t>
        </is>
      </c>
      <c r="E1546" t="inlineStr">
        <is>
          <t>SOLLEFTEÅ</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42634-2022</t>
        </is>
      </c>
      <c r="B1547" s="1" t="n">
        <v>44832</v>
      </c>
      <c r="C1547" s="1" t="n">
        <v>45669</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42663-2022</t>
        </is>
      </c>
      <c r="B1548" s="1" t="n">
        <v>44831</v>
      </c>
      <c r="C1548" s="1" t="n">
        <v>45669</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42664-2022</t>
        </is>
      </c>
      <c r="B1549" s="1" t="n">
        <v>44831</v>
      </c>
      <c r="C1549" s="1" t="n">
        <v>45669</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42654-2022</t>
        </is>
      </c>
      <c r="B1550" s="1" t="n">
        <v>44832</v>
      </c>
      <c r="C1550" s="1" t="n">
        <v>45669</v>
      </c>
      <c r="D1550" t="inlineStr">
        <is>
          <t>VÄSTERNORRLANDS LÄN</t>
        </is>
      </c>
      <c r="E1550" t="inlineStr">
        <is>
          <t>SOLLEFTEÅ</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42771-2022</t>
        </is>
      </c>
      <c r="B1551" s="1" t="n">
        <v>44832</v>
      </c>
      <c r="C1551" s="1" t="n">
        <v>45669</v>
      </c>
      <c r="D1551" t="inlineStr">
        <is>
          <t>VÄSTERNORRLANDS LÄN</t>
        </is>
      </c>
      <c r="E1551" t="inlineStr">
        <is>
          <t>SOLLEFTEÅ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42755-2022</t>
        </is>
      </c>
      <c r="B1552" s="1" t="n">
        <v>44832</v>
      </c>
      <c r="C1552" s="1" t="n">
        <v>45669</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42885-2022</t>
        </is>
      </c>
      <c r="B1553" s="1" t="n">
        <v>44833</v>
      </c>
      <c r="C1553" s="1" t="n">
        <v>45669</v>
      </c>
      <c r="D1553" t="inlineStr">
        <is>
          <t>VÄSTERNORRLANDS LÄN</t>
        </is>
      </c>
      <c r="E1553" t="inlineStr">
        <is>
          <t>SOLLEFTEÅ</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42891-2022</t>
        </is>
      </c>
      <c r="B1554" s="1" t="n">
        <v>44833</v>
      </c>
      <c r="C1554" s="1" t="n">
        <v>45669</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43035-2022</t>
        </is>
      </c>
      <c r="B1555" s="1" t="n">
        <v>44833</v>
      </c>
      <c r="C1555" s="1" t="n">
        <v>45669</v>
      </c>
      <c r="D1555" t="inlineStr">
        <is>
          <t>VÄSTERNORRLANDS LÄN</t>
        </is>
      </c>
      <c r="E1555" t="inlineStr">
        <is>
          <t>SOLLEFTEÅ</t>
        </is>
      </c>
      <c r="F1555" t="inlineStr">
        <is>
          <t>Kommuner</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43130-2022</t>
        </is>
      </c>
      <c r="B1556" s="1" t="n">
        <v>44833</v>
      </c>
      <c r="C1556" s="1" t="n">
        <v>45669</v>
      </c>
      <c r="D1556" t="inlineStr">
        <is>
          <t>VÄSTERNORRLANDS LÄN</t>
        </is>
      </c>
      <c r="E1556" t="inlineStr">
        <is>
          <t>SOLLEFTEÅ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43137-2022</t>
        </is>
      </c>
      <c r="B1557" s="1" t="n">
        <v>44834</v>
      </c>
      <c r="C1557" s="1" t="n">
        <v>45669</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43124-2022</t>
        </is>
      </c>
      <c r="B1558" s="1" t="n">
        <v>44834</v>
      </c>
      <c r="C1558" s="1" t="n">
        <v>45669</v>
      </c>
      <c r="D1558" t="inlineStr">
        <is>
          <t>VÄSTERNORRLANDS LÄN</t>
        </is>
      </c>
      <c r="E1558" t="inlineStr">
        <is>
          <t>SOLLEFTEÅ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43122-2022</t>
        </is>
      </c>
      <c r="B1559" s="1" t="n">
        <v>44834</v>
      </c>
      <c r="C1559" s="1" t="n">
        <v>45669</v>
      </c>
      <c r="D1559" t="inlineStr">
        <is>
          <t>VÄSTERNORRLANDS LÄN</t>
        </is>
      </c>
      <c r="E1559" t="inlineStr">
        <is>
          <t>SOLLEFTEÅ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43148-2022</t>
        </is>
      </c>
      <c r="B1560" s="1" t="n">
        <v>44834</v>
      </c>
      <c r="C1560" s="1" t="n">
        <v>45669</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43149-2022</t>
        </is>
      </c>
      <c r="B1561" s="1" t="n">
        <v>44834</v>
      </c>
      <c r="C1561" s="1" t="n">
        <v>45669</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43442-2022</t>
        </is>
      </c>
      <c r="B1562" s="1" t="n">
        <v>44834</v>
      </c>
      <c r="C1562" s="1" t="n">
        <v>45669</v>
      </c>
      <c r="D1562" t="inlineStr">
        <is>
          <t>VÄSTERNORRLANDS LÄN</t>
        </is>
      </c>
      <c r="E1562" t="inlineStr">
        <is>
          <t>SOLLEFTEÅ</t>
        </is>
      </c>
      <c r="F1562" t="inlineStr">
        <is>
          <t>Kyrkan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43469-2022</t>
        </is>
      </c>
      <c r="B1563" s="1" t="n">
        <v>44836</v>
      </c>
      <c r="C1563" s="1" t="n">
        <v>45669</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43774-2022</t>
        </is>
      </c>
      <c r="B1564" s="1" t="n">
        <v>44837</v>
      </c>
      <c r="C1564" s="1" t="n">
        <v>45669</v>
      </c>
      <c r="D1564" t="inlineStr">
        <is>
          <t>VÄSTERNORRLANDS LÄN</t>
        </is>
      </c>
      <c r="E1564" t="inlineStr">
        <is>
          <t>SOLLEFTEÅ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43772-2022</t>
        </is>
      </c>
      <c r="B1565" s="1" t="n">
        <v>44837</v>
      </c>
      <c r="C1565" s="1" t="n">
        <v>45669</v>
      </c>
      <c r="D1565" t="inlineStr">
        <is>
          <t>VÄSTERNORRLANDS LÄN</t>
        </is>
      </c>
      <c r="E1565" t="inlineStr">
        <is>
          <t>SOLLEFTEÅ</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43762-2022</t>
        </is>
      </c>
      <c r="B1566" s="1" t="n">
        <v>44838</v>
      </c>
      <c r="C1566" s="1" t="n">
        <v>45669</v>
      </c>
      <c r="D1566" t="inlineStr">
        <is>
          <t>VÄSTERNORRLANDS LÄN</t>
        </is>
      </c>
      <c r="E1566" t="inlineStr">
        <is>
          <t>SOLLEFTEÅ</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43766-2022</t>
        </is>
      </c>
      <c r="B1567" s="1" t="n">
        <v>44838</v>
      </c>
      <c r="C1567" s="1" t="n">
        <v>45669</v>
      </c>
      <c r="D1567" t="inlineStr">
        <is>
          <t>VÄSTERNORRLANDS LÄN</t>
        </is>
      </c>
      <c r="E1567" t="inlineStr">
        <is>
          <t>SOLLEFTEÅ</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43782-2022</t>
        </is>
      </c>
      <c r="B1568" s="1" t="n">
        <v>44838</v>
      </c>
      <c r="C1568" s="1" t="n">
        <v>45669</v>
      </c>
      <c r="D1568" t="inlineStr">
        <is>
          <t>VÄSTERNORRLANDS LÄN</t>
        </is>
      </c>
      <c r="E1568" t="inlineStr">
        <is>
          <t>SOLLEFTEÅ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43786-2022</t>
        </is>
      </c>
      <c r="B1569" s="1" t="n">
        <v>44837</v>
      </c>
      <c r="C1569" s="1" t="n">
        <v>45669</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44042-2022</t>
        </is>
      </c>
      <c r="B1570" s="1" t="n">
        <v>44839</v>
      </c>
      <c r="C1570" s="1" t="n">
        <v>45669</v>
      </c>
      <c r="D1570" t="inlineStr">
        <is>
          <t>VÄSTERNORRLANDS LÄN</t>
        </is>
      </c>
      <c r="E1570" t="inlineStr">
        <is>
          <t>SOLLEFTEÅ</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44285-2022</t>
        </is>
      </c>
      <c r="B1571" s="1" t="n">
        <v>44839</v>
      </c>
      <c r="C1571" s="1" t="n">
        <v>45669</v>
      </c>
      <c r="D1571" t="inlineStr">
        <is>
          <t>VÄSTERNORRLANDS LÄN</t>
        </is>
      </c>
      <c r="E1571" t="inlineStr">
        <is>
          <t>SOLLEFTEÅ</t>
        </is>
      </c>
      <c r="F1571" t="inlineStr">
        <is>
          <t>Holmen skog AB</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44438-2022</t>
        </is>
      </c>
      <c r="B1572" s="1" t="n">
        <v>44840</v>
      </c>
      <c r="C1572" s="1" t="n">
        <v>45669</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44454-2022</t>
        </is>
      </c>
      <c r="B1573" s="1" t="n">
        <v>44840</v>
      </c>
      <c r="C1573" s="1" t="n">
        <v>45669</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44208-2022</t>
        </is>
      </c>
      <c r="B1574" s="1" t="n">
        <v>44839</v>
      </c>
      <c r="C1574" s="1" t="n">
        <v>45669</v>
      </c>
      <c r="D1574" t="inlineStr">
        <is>
          <t>VÄSTERNORRLANDS LÄN</t>
        </is>
      </c>
      <c r="E1574" t="inlineStr">
        <is>
          <t>SOLLEFTEÅ</t>
        </is>
      </c>
      <c r="F1574" t="inlineStr">
        <is>
          <t>Holmen skog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44755-2022</t>
        </is>
      </c>
      <c r="B1575" s="1" t="n">
        <v>44841</v>
      </c>
      <c r="C1575" s="1" t="n">
        <v>45669</v>
      </c>
      <c r="D1575" t="inlineStr">
        <is>
          <t>VÄSTERNORRLANDS LÄN</t>
        </is>
      </c>
      <c r="E1575" t="inlineStr">
        <is>
          <t>SOLLEFTEÅ</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44762-2022</t>
        </is>
      </c>
      <c r="B1576" s="1" t="n">
        <v>44840</v>
      </c>
      <c r="C1576" s="1" t="n">
        <v>45669</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44761-2022</t>
        </is>
      </c>
      <c r="B1577" s="1" t="n">
        <v>44840</v>
      </c>
      <c r="C1577" s="1" t="n">
        <v>45669</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44805-2022</t>
        </is>
      </c>
      <c r="B1578" s="1" t="n">
        <v>44841</v>
      </c>
      <c r="C1578" s="1" t="n">
        <v>45669</v>
      </c>
      <c r="D1578" t="inlineStr">
        <is>
          <t>VÄSTERNORRLANDS LÄN</t>
        </is>
      </c>
      <c r="E1578" t="inlineStr">
        <is>
          <t>SOLLEFTEÅ</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45085-2022</t>
        </is>
      </c>
      <c r="B1579" s="1" t="n">
        <v>44841</v>
      </c>
      <c r="C1579" s="1" t="n">
        <v>45669</v>
      </c>
      <c r="D1579" t="inlineStr">
        <is>
          <t>VÄSTERNORRLANDS LÄN</t>
        </is>
      </c>
      <c r="E1579" t="inlineStr">
        <is>
          <t>SOLLEFTEÅ</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45119-2022</t>
        </is>
      </c>
      <c r="B1580" s="1" t="n">
        <v>44843</v>
      </c>
      <c r="C1580" s="1" t="n">
        <v>45669</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45117-2022</t>
        </is>
      </c>
      <c r="B1581" s="1" t="n">
        <v>44844</v>
      </c>
      <c r="C1581" s="1" t="n">
        <v>45669</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45121-2022</t>
        </is>
      </c>
      <c r="B1582" s="1" t="n">
        <v>44844</v>
      </c>
      <c r="C1582" s="1" t="n">
        <v>45669</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45120-2022</t>
        </is>
      </c>
      <c r="B1583" s="1" t="n">
        <v>44843</v>
      </c>
      <c r="C1583" s="1" t="n">
        <v>45669</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45118-2022</t>
        </is>
      </c>
      <c r="B1584" s="1" t="n">
        <v>44843</v>
      </c>
      <c r="C1584" s="1" t="n">
        <v>45669</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45419-2022</t>
        </is>
      </c>
      <c r="B1585" s="1" t="n">
        <v>44844</v>
      </c>
      <c r="C1585" s="1" t="n">
        <v>45669</v>
      </c>
      <c r="D1585" t="inlineStr">
        <is>
          <t>VÄSTERNORRLANDS LÄN</t>
        </is>
      </c>
      <c r="E1585" t="inlineStr">
        <is>
          <t>SOLLEFTEÅ</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45423-2022</t>
        </is>
      </c>
      <c r="B1586" s="1" t="n">
        <v>44845</v>
      </c>
      <c r="C1586" s="1" t="n">
        <v>45669</v>
      </c>
      <c r="D1586" t="inlineStr">
        <is>
          <t>VÄSTERNORRLANDS LÄN</t>
        </is>
      </c>
      <c r="E1586" t="inlineStr">
        <is>
          <t>SOLLEFTEÅ</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46130-2022</t>
        </is>
      </c>
      <c r="B1587" s="1" t="n">
        <v>44844</v>
      </c>
      <c r="C1587" s="1" t="n">
        <v>45669</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45719-2022</t>
        </is>
      </c>
      <c r="B1588" s="1" t="n">
        <v>44846</v>
      </c>
      <c r="C1588" s="1" t="n">
        <v>45669</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46039-2022</t>
        </is>
      </c>
      <c r="B1589" s="1" t="n">
        <v>44847</v>
      </c>
      <c r="C1589" s="1" t="n">
        <v>45669</v>
      </c>
      <c r="D1589" t="inlineStr">
        <is>
          <t>VÄSTERNORRLANDS LÄN</t>
        </is>
      </c>
      <c r="E1589" t="inlineStr">
        <is>
          <t>SOLLEFTEÅ</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46032-2022</t>
        </is>
      </c>
      <c r="B1590" s="1" t="n">
        <v>44846</v>
      </c>
      <c r="C1590" s="1" t="n">
        <v>45669</v>
      </c>
      <c r="D1590" t="inlineStr">
        <is>
          <t>VÄSTERNORRLANDS LÄN</t>
        </is>
      </c>
      <c r="E1590" t="inlineStr">
        <is>
          <t>SOLLEFTEÅ</t>
        </is>
      </c>
      <c r="F1590" t="inlineStr">
        <is>
          <t>SCA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46036-2022</t>
        </is>
      </c>
      <c r="B1591" s="1" t="n">
        <v>44846</v>
      </c>
      <c r="C1591" s="1" t="n">
        <v>45669</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46052-2022</t>
        </is>
      </c>
      <c r="B1592" s="1" t="n">
        <v>44846</v>
      </c>
      <c r="C1592" s="1" t="n">
        <v>45669</v>
      </c>
      <c r="D1592" t="inlineStr">
        <is>
          <t>VÄSTERNORRLANDS LÄN</t>
        </is>
      </c>
      <c r="E1592" t="inlineStr">
        <is>
          <t>SOLLEFTEÅ</t>
        </is>
      </c>
      <c r="F1592" t="inlineStr">
        <is>
          <t>SCA</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46053-2022</t>
        </is>
      </c>
      <c r="B1593" s="1" t="n">
        <v>44846</v>
      </c>
      <c r="C1593" s="1" t="n">
        <v>45669</v>
      </c>
      <c r="D1593" t="inlineStr">
        <is>
          <t>VÄSTERNORRLANDS LÄN</t>
        </is>
      </c>
      <c r="E1593" t="inlineStr">
        <is>
          <t>SOLLEFTEÅ</t>
        </is>
      </c>
      <c r="F1593" t="inlineStr">
        <is>
          <t>SCA</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46324-2022</t>
        </is>
      </c>
      <c r="B1594" s="1" t="n">
        <v>44847</v>
      </c>
      <c r="C1594" s="1" t="n">
        <v>45669</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46626-2022</t>
        </is>
      </c>
      <c r="B1595" s="1" t="n">
        <v>44848</v>
      </c>
      <c r="C1595" s="1" t="n">
        <v>45669</v>
      </c>
      <c r="D1595" t="inlineStr">
        <is>
          <t>VÄSTERNORRLANDS LÄN</t>
        </is>
      </c>
      <c r="E1595" t="inlineStr">
        <is>
          <t>SOLLEFTEÅ</t>
        </is>
      </c>
      <c r="F1595" t="inlineStr">
        <is>
          <t>SCA</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46616-2022</t>
        </is>
      </c>
      <c r="B1596" s="1" t="n">
        <v>44848</v>
      </c>
      <c r="C1596" s="1" t="n">
        <v>45669</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44851</v>
      </c>
      <c r="C1597" s="1" t="n">
        <v>45669</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46871-2022</t>
        </is>
      </c>
      <c r="B1598" s="1" t="n">
        <v>44851</v>
      </c>
      <c r="C1598" s="1" t="n">
        <v>45669</v>
      </c>
      <c r="D1598" t="inlineStr">
        <is>
          <t>VÄSTERNORRLANDS LÄN</t>
        </is>
      </c>
      <c r="E1598" t="inlineStr">
        <is>
          <t>SOLLEFTEÅ</t>
        </is>
      </c>
      <c r="F1598" t="inlineStr">
        <is>
          <t>Kyrkan</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46880-2022</t>
        </is>
      </c>
      <c r="B1599" s="1" t="n">
        <v>44851</v>
      </c>
      <c r="C1599" s="1" t="n">
        <v>45669</v>
      </c>
      <c r="D1599" t="inlineStr">
        <is>
          <t>VÄSTERNORRLANDS LÄN</t>
        </is>
      </c>
      <c r="E1599" t="inlineStr">
        <is>
          <t>SOLLEFTEÅ</t>
        </is>
      </c>
      <c r="F1599" t="inlineStr">
        <is>
          <t>Kyrkan</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46986-2022</t>
        </is>
      </c>
      <c r="B1600" s="1" t="n">
        <v>44851</v>
      </c>
      <c r="C1600" s="1" t="n">
        <v>45669</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46985-2022</t>
        </is>
      </c>
      <c r="B1601" s="1" t="n">
        <v>44851</v>
      </c>
      <c r="C1601" s="1" t="n">
        <v>45669</v>
      </c>
      <c r="D1601" t="inlineStr">
        <is>
          <t>VÄSTERNORRLANDS LÄN</t>
        </is>
      </c>
      <c r="E1601" t="inlineStr">
        <is>
          <t>SOLLEFTEÅ</t>
        </is>
      </c>
      <c r="F1601" t="inlineStr">
        <is>
          <t>Kyrkan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47250-2022</t>
        </is>
      </c>
      <c r="B1602" s="1" t="n">
        <v>44852</v>
      </c>
      <c r="C1602" s="1" t="n">
        <v>45669</v>
      </c>
      <c r="D1602" t="inlineStr">
        <is>
          <t>VÄSTERNORRLANDS LÄN</t>
        </is>
      </c>
      <c r="E1602" t="inlineStr">
        <is>
          <t>SOLLEFTEÅ</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47268-2022</t>
        </is>
      </c>
      <c r="B1603" s="1" t="n">
        <v>44853</v>
      </c>
      <c r="C1603" s="1" t="n">
        <v>45669</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47269-2022</t>
        </is>
      </c>
      <c r="B1604" s="1" t="n">
        <v>44853</v>
      </c>
      <c r="C1604" s="1" t="n">
        <v>45669</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47272-2022</t>
        </is>
      </c>
      <c r="B1605" s="1" t="n">
        <v>44853</v>
      </c>
      <c r="C1605" s="1" t="n">
        <v>45669</v>
      </c>
      <c r="D1605" t="inlineStr">
        <is>
          <t>VÄSTERNORRLANDS LÄN</t>
        </is>
      </c>
      <c r="E1605" t="inlineStr">
        <is>
          <t>SOLLEFTEÅ</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47564-2022</t>
        </is>
      </c>
      <c r="B1606" s="1" t="n">
        <v>44854</v>
      </c>
      <c r="C1606" s="1" t="n">
        <v>45669</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47580-2022</t>
        </is>
      </c>
      <c r="B1607" s="1" t="n">
        <v>44854</v>
      </c>
      <c r="C1607" s="1" t="n">
        <v>45669</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47787-2022</t>
        </is>
      </c>
      <c r="B1608" s="1" t="n">
        <v>44855</v>
      </c>
      <c r="C1608" s="1" t="n">
        <v>45669</v>
      </c>
      <c r="D1608" t="inlineStr">
        <is>
          <t>VÄSTERNORRLANDS LÄN</t>
        </is>
      </c>
      <c r="E1608" t="inlineStr">
        <is>
          <t>SOLLEFTEÅ</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47814-2022</t>
        </is>
      </c>
      <c r="B1609" s="1" t="n">
        <v>44855</v>
      </c>
      <c r="C1609" s="1" t="n">
        <v>45669</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47812-2022</t>
        </is>
      </c>
      <c r="B1610" s="1" t="n">
        <v>44855</v>
      </c>
      <c r="C1610" s="1" t="n">
        <v>45669</v>
      </c>
      <c r="D1610" t="inlineStr">
        <is>
          <t>VÄSTERNORRLANDS LÄN</t>
        </is>
      </c>
      <c r="E1610" t="inlineStr">
        <is>
          <t>SOLLEFTEÅ</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47875-2022</t>
        </is>
      </c>
      <c r="B1611" s="1" t="n">
        <v>44855</v>
      </c>
      <c r="C1611" s="1" t="n">
        <v>45669</v>
      </c>
      <c r="D1611" t="inlineStr">
        <is>
          <t>VÄSTERNORRLANDS LÄN</t>
        </is>
      </c>
      <c r="E1611" t="inlineStr">
        <is>
          <t>SOLLEFTEÅ</t>
        </is>
      </c>
      <c r="F1611" t="inlineStr">
        <is>
          <t>Holmen skog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48056-2022</t>
        </is>
      </c>
      <c r="B1612" s="1" t="n">
        <v>44856</v>
      </c>
      <c r="C1612" s="1" t="n">
        <v>45669</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48064-2022</t>
        </is>
      </c>
      <c r="B1613" s="1" t="n">
        <v>44856</v>
      </c>
      <c r="C1613" s="1" t="n">
        <v>45669</v>
      </c>
      <c r="D1613" t="inlineStr">
        <is>
          <t>VÄSTERNORRLANDS LÄN</t>
        </is>
      </c>
      <c r="E1613" t="inlineStr">
        <is>
          <t>SOLLEFTEÅ</t>
        </is>
      </c>
      <c r="F1613" t="inlineStr">
        <is>
          <t>SCA</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48067-2022</t>
        </is>
      </c>
      <c r="B1614" s="1" t="n">
        <v>44855</v>
      </c>
      <c r="C1614" s="1" t="n">
        <v>45669</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48062-2022</t>
        </is>
      </c>
      <c r="B1615" s="1" t="n">
        <v>44856</v>
      </c>
      <c r="C1615" s="1" t="n">
        <v>45669</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47826-2022</t>
        </is>
      </c>
      <c r="B1616" s="1" t="n">
        <v>44855</v>
      </c>
      <c r="C1616" s="1" t="n">
        <v>45669</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48057-2022</t>
        </is>
      </c>
      <c r="B1617" s="1" t="n">
        <v>44856</v>
      </c>
      <c r="C1617" s="1" t="n">
        <v>45669</v>
      </c>
      <c r="D1617" t="inlineStr">
        <is>
          <t>VÄSTERNORRLANDS LÄN</t>
        </is>
      </c>
      <c r="E1617" t="inlineStr">
        <is>
          <t>SOLLEFTEÅ</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48065-2022</t>
        </is>
      </c>
      <c r="B1618" s="1" t="n">
        <v>44856</v>
      </c>
      <c r="C1618" s="1" t="n">
        <v>45669</v>
      </c>
      <c r="D1618" t="inlineStr">
        <is>
          <t>VÄSTERNORRLANDS LÄN</t>
        </is>
      </c>
      <c r="E1618" t="inlineStr">
        <is>
          <t>SOLLEFTEÅ</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48738-2022</t>
        </is>
      </c>
      <c r="B1619" s="1" t="n">
        <v>44855</v>
      </c>
      <c r="C1619" s="1" t="n">
        <v>45669</v>
      </c>
      <c r="D1619" t="inlineStr">
        <is>
          <t>VÄSTERNORRLANDS LÄN</t>
        </is>
      </c>
      <c r="E1619" t="inlineStr">
        <is>
          <t>SOLLEFTEÅ</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48240-2022</t>
        </is>
      </c>
      <c r="B1620" s="1" t="n">
        <v>44858</v>
      </c>
      <c r="C1620" s="1" t="n">
        <v>45669</v>
      </c>
      <c r="D1620" t="inlineStr">
        <is>
          <t>VÄSTERNORRLANDS LÄN</t>
        </is>
      </c>
      <c r="E1620" t="inlineStr">
        <is>
          <t>SOLLEFTEÅ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48511-2022</t>
        </is>
      </c>
      <c r="B1621" s="1" t="n">
        <v>44859</v>
      </c>
      <c r="C1621" s="1" t="n">
        <v>45669</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48512-2022</t>
        </is>
      </c>
      <c r="B1622" s="1" t="n">
        <v>44859</v>
      </c>
      <c r="C1622" s="1" t="n">
        <v>45669</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48519-2022</t>
        </is>
      </c>
      <c r="B1623" s="1" t="n">
        <v>44858</v>
      </c>
      <c r="C1623" s="1" t="n">
        <v>45669</v>
      </c>
      <c r="D1623" t="inlineStr">
        <is>
          <t>VÄSTERNORRLANDS LÄN</t>
        </is>
      </c>
      <c r="E1623" t="inlineStr">
        <is>
          <t>SOLLEFTEÅ</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48296-2022</t>
        </is>
      </c>
      <c r="B1624" s="1" t="n">
        <v>44858</v>
      </c>
      <c r="C1624" s="1" t="n">
        <v>45669</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48510-2022</t>
        </is>
      </c>
      <c r="B1625" s="1" t="n">
        <v>44858</v>
      </c>
      <c r="C1625" s="1" t="n">
        <v>45669</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48535-2022</t>
        </is>
      </c>
      <c r="B1626" s="1" t="n">
        <v>44859</v>
      </c>
      <c r="C1626" s="1" t="n">
        <v>45669</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48513-2022</t>
        </is>
      </c>
      <c r="B1627" s="1" t="n">
        <v>44859</v>
      </c>
      <c r="C1627" s="1" t="n">
        <v>45669</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48905-2022</t>
        </is>
      </c>
      <c r="B1628" s="1" t="n">
        <v>44859</v>
      </c>
      <c r="C1628" s="1" t="n">
        <v>45669</v>
      </c>
      <c r="D1628" t="inlineStr">
        <is>
          <t>VÄSTERNORRLANDS LÄN</t>
        </is>
      </c>
      <c r="E1628" t="inlineStr">
        <is>
          <t>SOLLEFTEÅ</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48915-2022</t>
        </is>
      </c>
      <c r="B1629" s="1" t="n">
        <v>44860</v>
      </c>
      <c r="C1629" s="1" t="n">
        <v>45669</v>
      </c>
      <c r="D1629" t="inlineStr">
        <is>
          <t>VÄSTERNORRLANDS LÄN</t>
        </is>
      </c>
      <c r="E1629" t="inlineStr">
        <is>
          <t>SOLLEFTEÅ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48919-2022</t>
        </is>
      </c>
      <c r="B1630" s="1" t="n">
        <v>44859</v>
      </c>
      <c r="C1630" s="1" t="n">
        <v>45669</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48901-2022</t>
        </is>
      </c>
      <c r="B1631" s="1" t="n">
        <v>44860</v>
      </c>
      <c r="C1631" s="1" t="n">
        <v>45669</v>
      </c>
      <c r="D1631" t="inlineStr">
        <is>
          <t>VÄSTERNORRLANDS LÄN</t>
        </is>
      </c>
      <c r="E1631" t="inlineStr">
        <is>
          <t>SOLLEFTEÅ</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48913-2022</t>
        </is>
      </c>
      <c r="B1632" s="1" t="n">
        <v>44860</v>
      </c>
      <c r="C1632" s="1" t="n">
        <v>45669</v>
      </c>
      <c r="D1632" t="inlineStr">
        <is>
          <t>VÄSTERNORRLANDS LÄN</t>
        </is>
      </c>
      <c r="E1632" t="inlineStr">
        <is>
          <t>SOLLEFTEÅ</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48923-2022</t>
        </is>
      </c>
      <c r="B1633" s="1" t="n">
        <v>44860</v>
      </c>
      <c r="C1633" s="1" t="n">
        <v>45669</v>
      </c>
      <c r="D1633" t="inlineStr">
        <is>
          <t>VÄSTERNORRLANDS LÄN</t>
        </is>
      </c>
      <c r="E1633" t="inlineStr">
        <is>
          <t>SOLLEFTEÅ</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48902-2022</t>
        </is>
      </c>
      <c r="B1634" s="1" t="n">
        <v>44859</v>
      </c>
      <c r="C1634" s="1" t="n">
        <v>45669</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48914-2022</t>
        </is>
      </c>
      <c r="B1635" s="1" t="n">
        <v>44860</v>
      </c>
      <c r="C1635" s="1" t="n">
        <v>45669</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45669</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49708-2022</t>
        </is>
      </c>
      <c r="B1637" s="1" t="n">
        <v>44859</v>
      </c>
      <c r="C1637" s="1" t="n">
        <v>45669</v>
      </c>
      <c r="D1637" t="inlineStr">
        <is>
          <t>VÄSTERNORRLANDS LÄN</t>
        </is>
      </c>
      <c r="E1637" t="inlineStr">
        <is>
          <t>SOLLEFTEÅ</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49176-2022</t>
        </is>
      </c>
      <c r="B1638" s="1" t="n">
        <v>44861</v>
      </c>
      <c r="C1638" s="1" t="n">
        <v>45669</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49181-2022</t>
        </is>
      </c>
      <c r="B1639" s="1" t="n">
        <v>44861</v>
      </c>
      <c r="C1639" s="1" t="n">
        <v>45669</v>
      </c>
      <c r="D1639" t="inlineStr">
        <is>
          <t>VÄSTERNORRLANDS LÄN</t>
        </is>
      </c>
      <c r="E1639" t="inlineStr">
        <is>
          <t>SOLLEFTEÅ</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49170-2022</t>
        </is>
      </c>
      <c r="B1640" s="1" t="n">
        <v>44861</v>
      </c>
      <c r="C1640" s="1" t="n">
        <v>45669</v>
      </c>
      <c r="D1640" t="inlineStr">
        <is>
          <t>VÄSTERNORRLANDS LÄN</t>
        </is>
      </c>
      <c r="E1640" t="inlineStr">
        <is>
          <t>SOLLEFTEÅ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49198-2022</t>
        </is>
      </c>
      <c r="B1641" s="1" t="n">
        <v>44860</v>
      </c>
      <c r="C1641" s="1" t="n">
        <v>45669</v>
      </c>
      <c r="D1641" t="inlineStr">
        <is>
          <t>VÄSTERNORRLANDS LÄN</t>
        </is>
      </c>
      <c r="E1641" t="inlineStr">
        <is>
          <t>SOLLEFTEÅ</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49177-2022</t>
        </is>
      </c>
      <c r="B1642" s="1" t="n">
        <v>44861</v>
      </c>
      <c r="C1642" s="1" t="n">
        <v>45669</v>
      </c>
      <c r="D1642" t="inlineStr">
        <is>
          <t>VÄSTERNORRLANDS LÄN</t>
        </is>
      </c>
      <c r="E1642" t="inlineStr">
        <is>
          <t>SOLLEFTEÅ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49171-2022</t>
        </is>
      </c>
      <c r="B1643" s="1" t="n">
        <v>44861</v>
      </c>
      <c r="C1643" s="1" t="n">
        <v>45669</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49175-2022</t>
        </is>
      </c>
      <c r="B1644" s="1" t="n">
        <v>44861</v>
      </c>
      <c r="C1644" s="1" t="n">
        <v>45669</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49200-2022</t>
        </is>
      </c>
      <c r="B1645" s="1" t="n">
        <v>44861</v>
      </c>
      <c r="C1645" s="1" t="n">
        <v>45669</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49520-2022</t>
        </is>
      </c>
      <c r="B1646" s="1" t="n">
        <v>44862</v>
      </c>
      <c r="C1646" s="1" t="n">
        <v>45669</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49513-2022</t>
        </is>
      </c>
      <c r="B1647" s="1" t="n">
        <v>44862</v>
      </c>
      <c r="C1647" s="1" t="n">
        <v>45669</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49512-2022</t>
        </is>
      </c>
      <c r="B1648" s="1" t="n">
        <v>44861</v>
      </c>
      <c r="C1648" s="1" t="n">
        <v>45669</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49521-2022</t>
        </is>
      </c>
      <c r="B1649" s="1" t="n">
        <v>44861</v>
      </c>
      <c r="C1649" s="1" t="n">
        <v>45669</v>
      </c>
      <c r="D1649" t="inlineStr">
        <is>
          <t>VÄSTERNORRLANDS LÄN</t>
        </is>
      </c>
      <c r="E1649" t="inlineStr">
        <is>
          <t>SOLLEFTEÅ</t>
        </is>
      </c>
      <c r="F1649" t="inlineStr">
        <is>
          <t>SCA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49538-2022</t>
        </is>
      </c>
      <c r="B1650" s="1" t="n">
        <v>44861</v>
      </c>
      <c r="C1650" s="1" t="n">
        <v>45669</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49665-2022</t>
        </is>
      </c>
      <c r="B1651" s="1" t="n">
        <v>44862</v>
      </c>
      <c r="C1651" s="1" t="n">
        <v>45669</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49860-2022</t>
        </is>
      </c>
      <c r="B1652" s="1" t="n">
        <v>44862</v>
      </c>
      <c r="C1652" s="1" t="n">
        <v>45669</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49866-2022</t>
        </is>
      </c>
      <c r="B1653" s="1" t="n">
        <v>44863</v>
      </c>
      <c r="C1653" s="1" t="n">
        <v>45669</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50813-2022</t>
        </is>
      </c>
      <c r="B1654" s="1" t="n">
        <v>44862</v>
      </c>
      <c r="C1654" s="1" t="n">
        <v>45669</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50825-2022</t>
        </is>
      </c>
      <c r="B1655" s="1" t="n">
        <v>44862</v>
      </c>
      <c r="C1655" s="1" t="n">
        <v>45669</v>
      </c>
      <c r="D1655" t="inlineStr">
        <is>
          <t>VÄSTERNORRLANDS LÄN</t>
        </is>
      </c>
      <c r="E1655" t="inlineStr">
        <is>
          <t>SOLLEFTEÅ</t>
        </is>
      </c>
      <c r="F1655" t="inlineStr">
        <is>
          <t>Övriga statliga verk och myndigheter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49911-2022</t>
        </is>
      </c>
      <c r="B1656" s="1" t="n">
        <v>44865</v>
      </c>
      <c r="C1656" s="1" t="n">
        <v>45669</v>
      </c>
      <c r="D1656" t="inlineStr">
        <is>
          <t>VÄSTERNORRLANDS LÄN</t>
        </is>
      </c>
      <c r="E1656" t="inlineStr">
        <is>
          <t>SOLLEFTEÅ</t>
        </is>
      </c>
      <c r="F1656" t="inlineStr">
        <is>
          <t>Holmen skog AB</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50318-2022</t>
        </is>
      </c>
      <c r="B1657" s="1" t="n">
        <v>44865</v>
      </c>
      <c r="C1657" s="1" t="n">
        <v>45669</v>
      </c>
      <c r="D1657" t="inlineStr">
        <is>
          <t>VÄSTERNORRLANDS LÄN</t>
        </is>
      </c>
      <c r="E1657" t="inlineStr">
        <is>
          <t>SOLLEFTEÅ</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51080-2022</t>
        </is>
      </c>
      <c r="B1658" s="1" t="n">
        <v>44865</v>
      </c>
      <c r="C1658" s="1" t="n">
        <v>45669</v>
      </c>
      <c r="D1658" t="inlineStr">
        <is>
          <t>VÄSTERNORRLANDS LÄN</t>
        </is>
      </c>
      <c r="E1658" t="inlineStr">
        <is>
          <t>SOLLEFTEÅ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50641-2022</t>
        </is>
      </c>
      <c r="B1659" s="1" t="n">
        <v>44866</v>
      </c>
      <c r="C1659" s="1" t="n">
        <v>45669</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50642-2022</t>
        </is>
      </c>
      <c r="B1660" s="1" t="n">
        <v>44866</v>
      </c>
      <c r="C1660" s="1" t="n">
        <v>45669</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50655-2022</t>
        </is>
      </c>
      <c r="B1661" s="1" t="n">
        <v>44866</v>
      </c>
      <c r="C1661" s="1" t="n">
        <v>45669</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50656-2022</t>
        </is>
      </c>
      <c r="B1662" s="1" t="n">
        <v>44866</v>
      </c>
      <c r="C1662" s="1" t="n">
        <v>45669</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50662-2022</t>
        </is>
      </c>
      <c r="B1663" s="1" t="n">
        <v>44866</v>
      </c>
      <c r="C1663" s="1" t="n">
        <v>45669</v>
      </c>
      <c r="D1663" t="inlineStr">
        <is>
          <t>VÄSTERNORRLANDS LÄN</t>
        </is>
      </c>
      <c r="E1663" t="inlineStr">
        <is>
          <t>SOLLEFTEÅ</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51249-2022</t>
        </is>
      </c>
      <c r="B1664" s="1" t="n">
        <v>44866</v>
      </c>
      <c r="C1664" s="1" t="n">
        <v>45669</v>
      </c>
      <c r="D1664" t="inlineStr">
        <is>
          <t>VÄSTERNORRLANDS LÄN</t>
        </is>
      </c>
      <c r="E1664" t="inlineStr">
        <is>
          <t>SOLLEFTEÅ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51006-2022</t>
        </is>
      </c>
      <c r="B1665" s="1" t="n">
        <v>44867</v>
      </c>
      <c r="C1665" s="1" t="n">
        <v>45669</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51212-2022</t>
        </is>
      </c>
      <c r="B1666" s="1" t="n">
        <v>44868</v>
      </c>
      <c r="C1666" s="1" t="n">
        <v>45669</v>
      </c>
      <c r="D1666" t="inlineStr">
        <is>
          <t>VÄSTERNORRLANDS LÄN</t>
        </is>
      </c>
      <c r="E1666" t="inlineStr">
        <is>
          <t>SOLLEFTEÅ</t>
        </is>
      </c>
      <c r="F1666" t="inlineStr">
        <is>
          <t>Holmen skog AB</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51317-2022</t>
        </is>
      </c>
      <c r="B1667" s="1" t="n">
        <v>44868</v>
      </c>
      <c r="C1667" s="1" t="n">
        <v>45669</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51314-2022</t>
        </is>
      </c>
      <c r="B1668" s="1" t="n">
        <v>44868</v>
      </c>
      <c r="C1668" s="1" t="n">
        <v>45669</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51544-2022</t>
        </is>
      </c>
      <c r="B1669" s="1" t="n">
        <v>44869</v>
      </c>
      <c r="C1669" s="1" t="n">
        <v>45669</v>
      </c>
      <c r="D1669" t="inlineStr">
        <is>
          <t>VÄSTERNORRLANDS LÄN</t>
        </is>
      </c>
      <c r="E1669" t="inlineStr">
        <is>
          <t>SOLLEFTEÅ</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51541-2022</t>
        </is>
      </c>
      <c r="B1670" s="1" t="n">
        <v>44869</v>
      </c>
      <c r="C1670" s="1" t="n">
        <v>45669</v>
      </c>
      <c r="D1670" t="inlineStr">
        <is>
          <t>VÄSTERNORRLANDS LÄN</t>
        </is>
      </c>
      <c r="E1670" t="inlineStr">
        <is>
          <t>SOLLEFTEÅ</t>
        </is>
      </c>
      <c r="F1670" t="inlineStr">
        <is>
          <t>SCA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51543-2022</t>
        </is>
      </c>
      <c r="B1671" s="1" t="n">
        <v>44869</v>
      </c>
      <c r="C1671" s="1" t="n">
        <v>45669</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51739-2022</t>
        </is>
      </c>
      <c r="B1672" s="1" t="n">
        <v>44872</v>
      </c>
      <c r="C1672" s="1" t="n">
        <v>45669</v>
      </c>
      <c r="D1672" t="inlineStr">
        <is>
          <t>VÄSTERNORRLANDS LÄN</t>
        </is>
      </c>
      <c r="E1672" t="inlineStr">
        <is>
          <t>SOLLEFTEÅ</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52013-2022</t>
        </is>
      </c>
      <c r="B1673" s="1" t="n">
        <v>44872</v>
      </c>
      <c r="C1673" s="1" t="n">
        <v>45669</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52034-2022</t>
        </is>
      </c>
      <c r="B1674" s="1" t="n">
        <v>44872</v>
      </c>
      <c r="C1674" s="1" t="n">
        <v>45669</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52040-2022</t>
        </is>
      </c>
      <c r="B1675" s="1" t="n">
        <v>44872</v>
      </c>
      <c r="C1675" s="1" t="n">
        <v>45669</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52035-2022</t>
        </is>
      </c>
      <c r="B1676" s="1" t="n">
        <v>44872</v>
      </c>
      <c r="C1676" s="1" t="n">
        <v>45669</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52039-2022</t>
        </is>
      </c>
      <c r="B1677" s="1" t="n">
        <v>44872</v>
      </c>
      <c r="C1677" s="1" t="n">
        <v>45669</v>
      </c>
      <c r="D1677" t="inlineStr">
        <is>
          <t>VÄSTERNORRLANDS LÄN</t>
        </is>
      </c>
      <c r="E1677" t="inlineStr">
        <is>
          <t>SOLLEFTEÅ</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53128-2022</t>
        </is>
      </c>
      <c r="B1678" s="1" t="n">
        <v>44873</v>
      </c>
      <c r="C1678" s="1" t="n">
        <v>45669</v>
      </c>
      <c r="D1678" t="inlineStr">
        <is>
          <t>VÄSTERNORRLANDS LÄN</t>
        </is>
      </c>
      <c r="E1678" t="inlineStr">
        <is>
          <t>SOLLEFTEÅ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53123-2022</t>
        </is>
      </c>
      <c r="B1679" s="1" t="n">
        <v>44873</v>
      </c>
      <c r="C1679" s="1" t="n">
        <v>45669</v>
      </c>
      <c r="D1679" t="inlineStr">
        <is>
          <t>VÄSTERNORRLANDS LÄN</t>
        </is>
      </c>
      <c r="E1679" t="inlineStr">
        <is>
          <t>SOLLEFTEÅ</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52549-2022</t>
        </is>
      </c>
      <c r="B1680" s="1" t="n">
        <v>44874</v>
      </c>
      <c r="C1680" s="1" t="n">
        <v>45669</v>
      </c>
      <c r="D1680" t="inlineStr">
        <is>
          <t>VÄSTERNORRLANDS LÄN</t>
        </is>
      </c>
      <c r="E1680" t="inlineStr">
        <is>
          <t>SOLLEFTEÅ</t>
        </is>
      </c>
      <c r="F1680" t="inlineStr">
        <is>
          <t>Holmen skog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52735-2022</t>
        </is>
      </c>
      <c r="B1681" s="1" t="n">
        <v>44874</v>
      </c>
      <c r="C1681" s="1" t="n">
        <v>45669</v>
      </c>
      <c r="D1681" t="inlineStr">
        <is>
          <t>VÄSTERNORRLANDS LÄN</t>
        </is>
      </c>
      <c r="E1681" t="inlineStr">
        <is>
          <t>SOLLEFTEÅ</t>
        </is>
      </c>
      <c r="F1681" t="inlineStr">
        <is>
          <t>SCA</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52595-2022</t>
        </is>
      </c>
      <c r="B1682" s="1" t="n">
        <v>44874</v>
      </c>
      <c r="C1682" s="1" t="n">
        <v>45669</v>
      </c>
      <c r="D1682" t="inlineStr">
        <is>
          <t>VÄSTERNORRLANDS LÄN</t>
        </is>
      </c>
      <c r="E1682" t="inlineStr">
        <is>
          <t>SOLLEFTEÅ</t>
        </is>
      </c>
      <c r="F1682" t="inlineStr">
        <is>
          <t>Holmen skog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52717-2022</t>
        </is>
      </c>
      <c r="B1683" s="1" t="n">
        <v>44874</v>
      </c>
      <c r="C1683" s="1" t="n">
        <v>45669</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52718-2022</t>
        </is>
      </c>
      <c r="B1684" s="1" t="n">
        <v>44874</v>
      </c>
      <c r="C1684" s="1" t="n">
        <v>45669</v>
      </c>
      <c r="D1684" t="inlineStr">
        <is>
          <t>VÄSTERNORRLANDS LÄN</t>
        </is>
      </c>
      <c r="E1684" t="inlineStr">
        <is>
          <t>SOLLEFTEÅ</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53012-2022</t>
        </is>
      </c>
      <c r="B1685" s="1" t="n">
        <v>44875</v>
      </c>
      <c r="C1685" s="1" t="n">
        <v>45669</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52777-2022</t>
        </is>
      </c>
      <c r="B1686" s="1" t="n">
        <v>44875</v>
      </c>
      <c r="C1686" s="1" t="n">
        <v>45669</v>
      </c>
      <c r="D1686" t="inlineStr">
        <is>
          <t>VÄSTERNORRLANDS LÄN</t>
        </is>
      </c>
      <c r="E1686" t="inlineStr">
        <is>
          <t>SOLLEFTEÅ</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53000-2022</t>
        </is>
      </c>
      <c r="B1687" s="1" t="n">
        <v>44875</v>
      </c>
      <c r="C1687" s="1" t="n">
        <v>45669</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53011-2022</t>
        </is>
      </c>
      <c r="B1688" s="1" t="n">
        <v>44875</v>
      </c>
      <c r="C1688" s="1" t="n">
        <v>45669</v>
      </c>
      <c r="D1688" t="inlineStr">
        <is>
          <t>VÄSTERNORRLANDS LÄN</t>
        </is>
      </c>
      <c r="E1688" t="inlineStr">
        <is>
          <t>SOLLEFTEÅ</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53669-2022</t>
        </is>
      </c>
      <c r="B1689" s="1" t="n">
        <v>44879</v>
      </c>
      <c r="C1689" s="1" t="n">
        <v>45669</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53933-2022</t>
        </is>
      </c>
      <c r="B1690" s="1" t="n">
        <v>44880</v>
      </c>
      <c r="C1690" s="1" t="n">
        <v>45669</v>
      </c>
      <c r="D1690" t="inlineStr">
        <is>
          <t>VÄSTERNORRLANDS LÄN</t>
        </is>
      </c>
      <c r="E1690" t="inlineStr">
        <is>
          <t>SOLLEFTEÅ</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53929-2022</t>
        </is>
      </c>
      <c r="B1691" s="1" t="n">
        <v>44880</v>
      </c>
      <c r="C1691" s="1" t="n">
        <v>45669</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53944-2022</t>
        </is>
      </c>
      <c r="B1692" s="1" t="n">
        <v>44880</v>
      </c>
      <c r="C1692" s="1" t="n">
        <v>45669</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53947-2022</t>
        </is>
      </c>
      <c r="B1693" s="1" t="n">
        <v>44880</v>
      </c>
      <c r="C1693" s="1" t="n">
        <v>45669</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53985-2022</t>
        </is>
      </c>
      <c r="B1694" s="1" t="n">
        <v>44881</v>
      </c>
      <c r="C1694" s="1" t="n">
        <v>45669</v>
      </c>
      <c r="D1694" t="inlineStr">
        <is>
          <t>VÄSTERNORRLANDS LÄN</t>
        </is>
      </c>
      <c r="E1694" t="inlineStr">
        <is>
          <t>SOLLEFTEÅ</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54256-2022</t>
        </is>
      </c>
      <c r="B1695" s="1" t="n">
        <v>44881</v>
      </c>
      <c r="C1695" s="1" t="n">
        <v>45669</v>
      </c>
      <c r="D1695" t="inlineStr">
        <is>
          <t>VÄSTERNORRLANDS LÄN</t>
        </is>
      </c>
      <c r="E1695" t="inlineStr">
        <is>
          <t>SOLLEFTEÅ</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54242-2022</t>
        </is>
      </c>
      <c r="B1696" s="1" t="n">
        <v>44881</v>
      </c>
      <c r="C1696" s="1" t="n">
        <v>45669</v>
      </c>
      <c r="D1696" t="inlineStr">
        <is>
          <t>VÄSTERNORRLANDS LÄN</t>
        </is>
      </c>
      <c r="E1696" t="inlineStr">
        <is>
          <t>SOLLEFTEÅ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54249-2022</t>
        </is>
      </c>
      <c r="B1697" s="1" t="n">
        <v>44881</v>
      </c>
      <c r="C1697" s="1" t="n">
        <v>45669</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54255-2022</t>
        </is>
      </c>
      <c r="B1698" s="1" t="n">
        <v>44881</v>
      </c>
      <c r="C1698" s="1" t="n">
        <v>45669</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54280-2022</t>
        </is>
      </c>
      <c r="B1699" s="1" t="n">
        <v>44882</v>
      </c>
      <c r="C1699" s="1" t="n">
        <v>45669</v>
      </c>
      <c r="D1699" t="inlineStr">
        <is>
          <t>VÄSTERNORRLANDS LÄN</t>
        </is>
      </c>
      <c r="E1699" t="inlineStr">
        <is>
          <t>SOLLEFTEÅ</t>
        </is>
      </c>
      <c r="F1699" t="inlineStr">
        <is>
          <t>Holmen skog AB</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54538-2022</t>
        </is>
      </c>
      <c r="B1700" s="1" t="n">
        <v>44882</v>
      </c>
      <c r="C1700" s="1" t="n">
        <v>45669</v>
      </c>
      <c r="D1700" t="inlineStr">
        <is>
          <t>VÄSTERNORRLANDS LÄN</t>
        </is>
      </c>
      <c r="E1700" t="inlineStr">
        <is>
          <t>SOLLEFTEÅ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54559-2022</t>
        </is>
      </c>
      <c r="B1701" s="1" t="n">
        <v>44882</v>
      </c>
      <c r="C1701" s="1" t="n">
        <v>45669</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54573-2022</t>
        </is>
      </c>
      <c r="B1702" s="1" t="n">
        <v>44882</v>
      </c>
      <c r="C1702" s="1" t="n">
        <v>45669</v>
      </c>
      <c r="D1702" t="inlineStr">
        <is>
          <t>VÄSTERNORRLANDS LÄN</t>
        </is>
      </c>
      <c r="E1702" t="inlineStr">
        <is>
          <t>SOLLEFTEÅ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54569-2022</t>
        </is>
      </c>
      <c r="B1703" s="1" t="n">
        <v>44882</v>
      </c>
      <c r="C1703" s="1" t="n">
        <v>45669</v>
      </c>
      <c r="D1703" t="inlineStr">
        <is>
          <t>VÄSTERNORRLANDS LÄN</t>
        </is>
      </c>
      <c r="E1703" t="inlineStr">
        <is>
          <t>SOLLEFTEÅ</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55209-2022</t>
        </is>
      </c>
      <c r="B1704" s="1" t="n">
        <v>44887</v>
      </c>
      <c r="C1704" s="1" t="n">
        <v>45669</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55692-2022</t>
        </is>
      </c>
      <c r="B1705" s="1" t="n">
        <v>44888</v>
      </c>
      <c r="C1705" s="1" t="n">
        <v>45669</v>
      </c>
      <c r="D1705" t="inlineStr">
        <is>
          <t>VÄSTERNORRLANDS LÄN</t>
        </is>
      </c>
      <c r="E1705" t="inlineStr">
        <is>
          <t>SOLLEFTEÅ</t>
        </is>
      </c>
      <c r="F1705" t="inlineStr">
        <is>
          <t>Holmen skog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55898-2022</t>
        </is>
      </c>
      <c r="B1706" s="1" t="n">
        <v>44888</v>
      </c>
      <c r="C1706" s="1" t="n">
        <v>45669</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56176-2022</t>
        </is>
      </c>
      <c r="B1707" s="1" t="n">
        <v>44889</v>
      </c>
      <c r="C1707" s="1" t="n">
        <v>45669</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56175-2022</t>
        </is>
      </c>
      <c r="B1708" s="1" t="n">
        <v>44889</v>
      </c>
      <c r="C1708" s="1" t="n">
        <v>45669</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56184-2022</t>
        </is>
      </c>
      <c r="B1709" s="1" t="n">
        <v>44889</v>
      </c>
      <c r="C1709" s="1" t="n">
        <v>45669</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56544-2022</t>
        </is>
      </c>
      <c r="B1710" s="1" t="n">
        <v>44893</v>
      </c>
      <c r="C1710" s="1" t="n">
        <v>45669</v>
      </c>
      <c r="D1710" t="inlineStr">
        <is>
          <t>VÄSTERNORRLANDS LÄN</t>
        </is>
      </c>
      <c r="E1710" t="inlineStr">
        <is>
          <t>SOLLEFTEÅ</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57019-2022</t>
        </is>
      </c>
      <c r="B1711" s="1" t="n">
        <v>44895</v>
      </c>
      <c r="C1711" s="1" t="n">
        <v>45669</v>
      </c>
      <c r="D1711" t="inlineStr">
        <is>
          <t>VÄSTERNORRLANDS LÄN</t>
        </is>
      </c>
      <c r="E1711" t="inlineStr">
        <is>
          <t>SOLLEFTEÅ</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57020-2022</t>
        </is>
      </c>
      <c r="B1712" s="1" t="n">
        <v>44895</v>
      </c>
      <c r="C1712" s="1" t="n">
        <v>45669</v>
      </c>
      <c r="D1712" t="inlineStr">
        <is>
          <t>VÄSTERNORRLANDS LÄN</t>
        </is>
      </c>
      <c r="E1712" t="inlineStr">
        <is>
          <t>SOLLEFTEÅ</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57282-2022</t>
        </is>
      </c>
      <c r="B1713" s="1" t="n">
        <v>44895</v>
      </c>
      <c r="C1713" s="1" t="n">
        <v>45669</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57273-2022</t>
        </is>
      </c>
      <c r="B1714" s="1" t="n">
        <v>44895</v>
      </c>
      <c r="C1714" s="1" t="n">
        <v>45669</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58643-2022</t>
        </is>
      </c>
      <c r="B1715" s="1" t="n">
        <v>44895</v>
      </c>
      <c r="C1715" s="1" t="n">
        <v>45669</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58636-2022</t>
        </is>
      </c>
      <c r="B1716" s="1" t="n">
        <v>44895</v>
      </c>
      <c r="C1716" s="1" t="n">
        <v>45669</v>
      </c>
      <c r="D1716" t="inlineStr">
        <is>
          <t>VÄSTERNORRLANDS LÄN</t>
        </is>
      </c>
      <c r="E1716" t="inlineStr">
        <is>
          <t>SOLLEFTEÅ</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58646-2022</t>
        </is>
      </c>
      <c r="B1717" s="1" t="n">
        <v>44895</v>
      </c>
      <c r="C1717" s="1" t="n">
        <v>45669</v>
      </c>
      <c r="D1717" t="inlineStr">
        <is>
          <t>VÄSTERNORRLANDS LÄN</t>
        </is>
      </c>
      <c r="E1717" t="inlineStr">
        <is>
          <t>SOLLEFTEÅ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57991-2022</t>
        </is>
      </c>
      <c r="B1718" s="1" t="n">
        <v>44900</v>
      </c>
      <c r="C1718" s="1" t="n">
        <v>45669</v>
      </c>
      <c r="D1718" t="inlineStr">
        <is>
          <t>VÄSTERNORRLANDS LÄN</t>
        </is>
      </c>
      <c r="E1718" t="inlineStr">
        <is>
          <t>SOLLEFTEÅ</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58173-2022</t>
        </is>
      </c>
      <c r="B1719" s="1" t="n">
        <v>44900</v>
      </c>
      <c r="C1719" s="1" t="n">
        <v>45669</v>
      </c>
      <c r="D1719" t="inlineStr">
        <is>
          <t>VÄSTERNORRLANDS LÄN</t>
        </is>
      </c>
      <c r="E1719" t="inlineStr">
        <is>
          <t>SOLLEFTEÅ</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58172-2022</t>
        </is>
      </c>
      <c r="B1720" s="1" t="n">
        <v>44900</v>
      </c>
      <c r="C1720" s="1" t="n">
        <v>45669</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58171-2022</t>
        </is>
      </c>
      <c r="B1721" s="1" t="n">
        <v>44900</v>
      </c>
      <c r="C1721" s="1" t="n">
        <v>45669</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58401-2022</t>
        </is>
      </c>
      <c r="B1722" s="1" t="n">
        <v>44901</v>
      </c>
      <c r="C1722" s="1" t="n">
        <v>45669</v>
      </c>
      <c r="D1722" t="inlineStr">
        <is>
          <t>VÄSTERNORRLANDS LÄN</t>
        </is>
      </c>
      <c r="E1722" t="inlineStr">
        <is>
          <t>SOLLEFTEÅ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58765-2022</t>
        </is>
      </c>
      <c r="B1723" s="1" t="n">
        <v>44903</v>
      </c>
      <c r="C1723" s="1" t="n">
        <v>45669</v>
      </c>
      <c r="D1723" t="inlineStr">
        <is>
          <t>VÄSTERNORRLANDS LÄN</t>
        </is>
      </c>
      <c r="E1723" t="inlineStr">
        <is>
          <t>SOLLEFTEÅ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59036-2022</t>
        </is>
      </c>
      <c r="B1724" s="1" t="n">
        <v>44903</v>
      </c>
      <c r="C1724" s="1" t="n">
        <v>45669</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59038-2022</t>
        </is>
      </c>
      <c r="B1725" s="1" t="n">
        <v>44903</v>
      </c>
      <c r="C1725" s="1" t="n">
        <v>45669</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59037-2022</t>
        </is>
      </c>
      <c r="B1726" s="1" t="n">
        <v>44903</v>
      </c>
      <c r="C1726" s="1" t="n">
        <v>45669</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59371-2022</t>
        </is>
      </c>
      <c r="B1727" s="1" t="n">
        <v>44904</v>
      </c>
      <c r="C1727" s="1" t="n">
        <v>45669</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60482-2022</t>
        </is>
      </c>
      <c r="B1728" s="1" t="n">
        <v>44904</v>
      </c>
      <c r="C1728" s="1" t="n">
        <v>45669</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60856-2022</t>
        </is>
      </c>
      <c r="B1729" s="1" t="n">
        <v>44907</v>
      </c>
      <c r="C1729" s="1" t="n">
        <v>45669</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59647-2022</t>
        </is>
      </c>
      <c r="B1730" s="1" t="n">
        <v>44908</v>
      </c>
      <c r="C1730" s="1" t="n">
        <v>45669</v>
      </c>
      <c r="D1730" t="inlineStr">
        <is>
          <t>VÄSTERNORRLANDS LÄN</t>
        </is>
      </c>
      <c r="E1730" t="inlineStr">
        <is>
          <t>SOLLEFTEÅ</t>
        </is>
      </c>
      <c r="F1730" t="inlineStr">
        <is>
          <t>SCA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59908-2022</t>
        </is>
      </c>
      <c r="B1731" s="1" t="n">
        <v>44908</v>
      </c>
      <c r="C1731" s="1" t="n">
        <v>45669</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59854-2022</t>
        </is>
      </c>
      <c r="B1732" s="1" t="n">
        <v>44908</v>
      </c>
      <c r="C1732" s="1" t="n">
        <v>45669</v>
      </c>
      <c r="D1732" t="inlineStr">
        <is>
          <t>VÄSTERNORRLANDS LÄN</t>
        </is>
      </c>
      <c r="E1732" t="inlineStr">
        <is>
          <t>SOLLEFTEÅ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60170-2022</t>
        </is>
      </c>
      <c r="B1733" s="1" t="n">
        <v>44909</v>
      </c>
      <c r="C1733" s="1" t="n">
        <v>45669</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60169-2022</t>
        </is>
      </c>
      <c r="B1734" s="1" t="n">
        <v>44909</v>
      </c>
      <c r="C1734" s="1" t="n">
        <v>45669</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60171-2022</t>
        </is>
      </c>
      <c r="B1735" s="1" t="n">
        <v>44909</v>
      </c>
      <c r="C1735" s="1" t="n">
        <v>45669</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60168-2022</t>
        </is>
      </c>
      <c r="B1736" s="1" t="n">
        <v>44909</v>
      </c>
      <c r="C1736" s="1" t="n">
        <v>45669</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60338-2022</t>
        </is>
      </c>
      <c r="B1737" s="1" t="n">
        <v>44910</v>
      </c>
      <c r="C1737" s="1" t="n">
        <v>45669</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60420-2022</t>
        </is>
      </c>
      <c r="B1738" s="1" t="n">
        <v>44910</v>
      </c>
      <c r="C1738" s="1" t="n">
        <v>45669</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61473-2022</t>
        </is>
      </c>
      <c r="B1739" s="1" t="n">
        <v>44910</v>
      </c>
      <c r="C1739" s="1" t="n">
        <v>45669</v>
      </c>
      <c r="D1739" t="inlineStr">
        <is>
          <t>VÄSTERNORRLANDS LÄN</t>
        </is>
      </c>
      <c r="E1739" t="inlineStr">
        <is>
          <t>SOLLEFTEÅ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61459-2022</t>
        </is>
      </c>
      <c r="B1740" s="1" t="n">
        <v>44910</v>
      </c>
      <c r="C1740" s="1" t="n">
        <v>45669</v>
      </c>
      <c r="D1740" t="inlineStr">
        <is>
          <t>VÄSTERNORRLANDS LÄN</t>
        </is>
      </c>
      <c r="E1740" t="inlineStr">
        <is>
          <t>SOLLEFTEÅ</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60665-2022</t>
        </is>
      </c>
      <c r="B1741" s="1" t="n">
        <v>44911</v>
      </c>
      <c r="C1741" s="1" t="n">
        <v>45669</v>
      </c>
      <c r="D1741" t="inlineStr">
        <is>
          <t>VÄSTERNORRLANDS LÄN</t>
        </is>
      </c>
      <c r="E1741" t="inlineStr">
        <is>
          <t>SOLLEFTEÅ</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60664-2022</t>
        </is>
      </c>
      <c r="B1742" s="1" t="n">
        <v>44911</v>
      </c>
      <c r="C1742" s="1" t="n">
        <v>45669</v>
      </c>
      <c r="D1742" t="inlineStr">
        <is>
          <t>VÄSTERNORRLANDS LÄN</t>
        </is>
      </c>
      <c r="E1742" t="inlineStr">
        <is>
          <t>SOLLEFTEÅ</t>
        </is>
      </c>
      <c r="F1742" t="inlineStr">
        <is>
          <t>SCA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60666-2022</t>
        </is>
      </c>
      <c r="B1743" s="1" t="n">
        <v>44911</v>
      </c>
      <c r="C1743" s="1" t="n">
        <v>45669</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61384-2022</t>
        </is>
      </c>
      <c r="B1744" s="1" t="n">
        <v>44915</v>
      </c>
      <c r="C1744" s="1" t="n">
        <v>45669</v>
      </c>
      <c r="D1744" t="inlineStr">
        <is>
          <t>VÄSTERNORRLANDS LÄN</t>
        </is>
      </c>
      <c r="E1744" t="inlineStr">
        <is>
          <t>SOLLEFTEÅ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61345-2022</t>
        </is>
      </c>
      <c r="B1745" s="1" t="n">
        <v>44915</v>
      </c>
      <c r="C1745" s="1" t="n">
        <v>45669</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61341-2022</t>
        </is>
      </c>
      <c r="B1746" s="1" t="n">
        <v>44915</v>
      </c>
      <c r="C1746" s="1" t="n">
        <v>45669</v>
      </c>
      <c r="D1746" t="inlineStr">
        <is>
          <t>VÄSTERNORRLANDS LÄN</t>
        </is>
      </c>
      <c r="E1746" t="inlineStr">
        <is>
          <t>SOLLEFTEÅ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61376-2022</t>
        </is>
      </c>
      <c r="B1747" s="1" t="n">
        <v>44915</v>
      </c>
      <c r="C1747" s="1" t="n">
        <v>45669</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61391-2022</t>
        </is>
      </c>
      <c r="B1748" s="1" t="n">
        <v>44915</v>
      </c>
      <c r="C1748" s="1" t="n">
        <v>45669</v>
      </c>
      <c r="D1748" t="inlineStr">
        <is>
          <t>VÄSTERNORRLANDS LÄN</t>
        </is>
      </c>
      <c r="E1748" t="inlineStr">
        <is>
          <t>SOLLEFTEÅ</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61383-2022</t>
        </is>
      </c>
      <c r="B1749" s="1" t="n">
        <v>44915</v>
      </c>
      <c r="C1749" s="1" t="n">
        <v>45669</v>
      </c>
      <c r="D1749" t="inlineStr">
        <is>
          <t>VÄSTERNORRLANDS LÄN</t>
        </is>
      </c>
      <c r="E1749" t="inlineStr">
        <is>
          <t>SOLLEFTEÅ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62217-2022</t>
        </is>
      </c>
      <c r="B1750" s="1" t="n">
        <v>44916</v>
      </c>
      <c r="C1750" s="1" t="n">
        <v>45669</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61920-2022</t>
        </is>
      </c>
      <c r="B1751" s="1" t="n">
        <v>44917</v>
      </c>
      <c r="C1751" s="1" t="n">
        <v>45669</v>
      </c>
      <c r="D1751" t="inlineStr">
        <is>
          <t>VÄSTERNORRLANDS LÄN</t>
        </is>
      </c>
      <c r="E1751" t="inlineStr">
        <is>
          <t>SOLLEFTEÅ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61936-2022</t>
        </is>
      </c>
      <c r="B1752" s="1" t="n">
        <v>44917</v>
      </c>
      <c r="C1752" s="1" t="n">
        <v>45669</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62662-2022</t>
        </is>
      </c>
      <c r="B1753" s="1" t="n">
        <v>44917</v>
      </c>
      <c r="C1753" s="1" t="n">
        <v>45669</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28-2023</t>
        </is>
      </c>
      <c r="B1754" s="1" t="n">
        <v>44918</v>
      </c>
      <c r="C1754" s="1" t="n">
        <v>45669</v>
      </c>
      <c r="D1754" t="inlineStr">
        <is>
          <t>VÄSTERNORRLANDS LÄN</t>
        </is>
      </c>
      <c r="E1754" t="inlineStr">
        <is>
          <t>SOLLEFTEÅ</t>
        </is>
      </c>
      <c r="G1754" t="n">
        <v>23.8</v>
      </c>
      <c r="H1754" t="n">
        <v>0</v>
      </c>
      <c r="I1754" t="n">
        <v>0</v>
      </c>
      <c r="J1754" t="n">
        <v>0</v>
      </c>
      <c r="K1754" t="n">
        <v>0</v>
      </c>
      <c r="L1754" t="n">
        <v>0</v>
      </c>
      <c r="M1754" t="n">
        <v>0</v>
      </c>
      <c r="N1754" t="n">
        <v>0</v>
      </c>
      <c r="O1754" t="n">
        <v>0</v>
      </c>
      <c r="P1754" t="n">
        <v>0</v>
      </c>
      <c r="Q1754" t="n">
        <v>0</v>
      </c>
      <c r="R1754" s="2" t="inlineStr"/>
    </row>
    <row r="1755" ht="15" customHeight="1">
      <c r="A1755" t="inlineStr">
        <is>
          <t>A 62262-2022</t>
        </is>
      </c>
      <c r="B1755" s="1" t="n">
        <v>44922</v>
      </c>
      <c r="C1755" s="1" t="n">
        <v>45669</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62260-2022</t>
        </is>
      </c>
      <c r="B1756" s="1" t="n">
        <v>44922</v>
      </c>
      <c r="C1756" s="1" t="n">
        <v>45669</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192-2023</t>
        </is>
      </c>
      <c r="B1757" s="1" t="n">
        <v>44922</v>
      </c>
      <c r="C1757" s="1" t="n">
        <v>45669</v>
      </c>
      <c r="D1757" t="inlineStr">
        <is>
          <t>VÄSTERNORRLANDS LÄN</t>
        </is>
      </c>
      <c r="E1757" t="inlineStr">
        <is>
          <t>SOLLEFTEÅ</t>
        </is>
      </c>
      <c r="G1757" t="n">
        <v>20.9</v>
      </c>
      <c r="H1757" t="n">
        <v>0</v>
      </c>
      <c r="I1757" t="n">
        <v>0</v>
      </c>
      <c r="J1757" t="n">
        <v>0</v>
      </c>
      <c r="K1757" t="n">
        <v>0</v>
      </c>
      <c r="L1757" t="n">
        <v>0</v>
      </c>
      <c r="M1757" t="n">
        <v>0</v>
      </c>
      <c r="N1757" t="n">
        <v>0</v>
      </c>
      <c r="O1757" t="n">
        <v>0</v>
      </c>
      <c r="P1757" t="n">
        <v>0</v>
      </c>
      <c r="Q1757" t="n">
        <v>0</v>
      </c>
      <c r="R1757" s="2" t="inlineStr"/>
    </row>
    <row r="1758" ht="15" customHeight="1">
      <c r="A1758" t="inlineStr">
        <is>
          <t>A 62406-2022</t>
        </is>
      </c>
      <c r="B1758" s="1" t="n">
        <v>44923</v>
      </c>
      <c r="C1758" s="1" t="n">
        <v>45669</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62507-2022</t>
        </is>
      </c>
      <c r="B1759" s="1" t="n">
        <v>44924</v>
      </c>
      <c r="C1759" s="1" t="n">
        <v>45669</v>
      </c>
      <c r="D1759" t="inlineStr">
        <is>
          <t>VÄSTERNORRLANDS LÄN</t>
        </is>
      </c>
      <c r="E1759" t="inlineStr">
        <is>
          <t>SOLLEFTEÅ</t>
        </is>
      </c>
      <c r="F1759" t="inlineStr">
        <is>
          <t>Holmen skog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62745-2022</t>
        </is>
      </c>
      <c r="B1760" s="1" t="n">
        <v>44925</v>
      </c>
      <c r="C1760" s="1" t="n">
        <v>45669</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62750-2022</t>
        </is>
      </c>
      <c r="B1761" s="1" t="n">
        <v>44925</v>
      </c>
      <c r="C1761" s="1" t="n">
        <v>45669</v>
      </c>
      <c r="D1761" t="inlineStr">
        <is>
          <t>VÄSTERNORRLANDS LÄN</t>
        </is>
      </c>
      <c r="E1761" t="inlineStr">
        <is>
          <t>SOLLEFTEÅ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62710-2022</t>
        </is>
      </c>
      <c r="B1762" s="1" t="n">
        <v>44925</v>
      </c>
      <c r="C1762" s="1" t="n">
        <v>45669</v>
      </c>
      <c r="D1762" t="inlineStr">
        <is>
          <t>VÄSTERNORRLANDS LÄN</t>
        </is>
      </c>
      <c r="E1762" t="inlineStr">
        <is>
          <t>SOLLEFTEÅ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279-2023</t>
        </is>
      </c>
      <c r="B1763" s="1" t="n">
        <v>44928</v>
      </c>
      <c r="C1763" s="1" t="n">
        <v>45669</v>
      </c>
      <c r="D1763" t="inlineStr">
        <is>
          <t>VÄSTERNORRLANDS LÄN</t>
        </is>
      </c>
      <c r="E1763" t="inlineStr">
        <is>
          <t>SOLLEFTEÅ</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282-2023</t>
        </is>
      </c>
      <c r="B1764" s="1" t="n">
        <v>44928</v>
      </c>
      <c r="C1764" s="1" t="n">
        <v>45669</v>
      </c>
      <c r="D1764" t="inlineStr">
        <is>
          <t>VÄSTERNORRLANDS LÄN</t>
        </is>
      </c>
      <c r="E1764" t="inlineStr">
        <is>
          <t>SOLLEFTEÅ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714-2023</t>
        </is>
      </c>
      <c r="B1765" s="1" t="n">
        <v>44930</v>
      </c>
      <c r="C1765" s="1" t="n">
        <v>45669</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918-2023</t>
        </is>
      </c>
      <c r="B1766" s="1" t="n">
        <v>44931</v>
      </c>
      <c r="C1766" s="1" t="n">
        <v>45669</v>
      </c>
      <c r="D1766" t="inlineStr">
        <is>
          <t>VÄSTERNORRLANDS LÄN</t>
        </is>
      </c>
      <c r="E1766" t="inlineStr">
        <is>
          <t>SOLLEFTEÅ</t>
        </is>
      </c>
      <c r="F1766" t="inlineStr">
        <is>
          <t>SCA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965-2023</t>
        </is>
      </c>
      <c r="B1767" s="1" t="n">
        <v>44934</v>
      </c>
      <c r="C1767" s="1" t="n">
        <v>45669</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964-2023</t>
        </is>
      </c>
      <c r="B1768" s="1" t="n">
        <v>44934</v>
      </c>
      <c r="C1768" s="1" t="n">
        <v>45669</v>
      </c>
      <c r="D1768" t="inlineStr">
        <is>
          <t>VÄSTERNORRLANDS LÄN</t>
        </is>
      </c>
      <c r="E1768" t="inlineStr">
        <is>
          <t>SOLLEFTEÅ</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1275-2023</t>
        </is>
      </c>
      <c r="B1769" s="1" t="n">
        <v>44936</v>
      </c>
      <c r="C1769" s="1" t="n">
        <v>45669</v>
      </c>
      <c r="D1769" t="inlineStr">
        <is>
          <t>VÄSTERNORRLANDS LÄN</t>
        </is>
      </c>
      <c r="E1769" t="inlineStr">
        <is>
          <t>SOLLEFTEÅ</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1803-2023</t>
        </is>
      </c>
      <c r="B1770" s="1" t="n">
        <v>44937</v>
      </c>
      <c r="C1770" s="1" t="n">
        <v>45669</v>
      </c>
      <c r="D1770" t="inlineStr">
        <is>
          <t>VÄSTERNORRLANDS LÄN</t>
        </is>
      </c>
      <c r="E1770" t="inlineStr">
        <is>
          <t>SOLLEFTEÅ</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1868-2023</t>
        </is>
      </c>
      <c r="B1771" s="1" t="n">
        <v>44938</v>
      </c>
      <c r="C1771" s="1" t="n">
        <v>45669</v>
      </c>
      <c r="D1771" t="inlineStr">
        <is>
          <t>VÄSTERNORRLANDS LÄN</t>
        </is>
      </c>
      <c r="E1771" t="inlineStr">
        <is>
          <t>SOLLEFTEÅ</t>
        </is>
      </c>
      <c r="F1771" t="inlineStr">
        <is>
          <t>SCA</t>
        </is>
      </c>
      <c r="G1771" t="n">
        <v>19.3</v>
      </c>
      <c r="H1771" t="n">
        <v>0</v>
      </c>
      <c r="I1771" t="n">
        <v>0</v>
      </c>
      <c r="J1771" t="n">
        <v>0</v>
      </c>
      <c r="K1771" t="n">
        <v>0</v>
      </c>
      <c r="L1771" t="n">
        <v>0</v>
      </c>
      <c r="M1771" t="n">
        <v>0</v>
      </c>
      <c r="N1771" t="n">
        <v>0</v>
      </c>
      <c r="O1771" t="n">
        <v>0</v>
      </c>
      <c r="P1771" t="n">
        <v>0</v>
      </c>
      <c r="Q1771" t="n">
        <v>0</v>
      </c>
      <c r="R1771" s="2" t="inlineStr"/>
    </row>
    <row r="1772" ht="15" customHeight="1">
      <c r="A1772" t="inlineStr">
        <is>
          <t>A 1874-2023</t>
        </is>
      </c>
      <c r="B1772" s="1" t="n">
        <v>44938</v>
      </c>
      <c r="C1772" s="1" t="n">
        <v>45669</v>
      </c>
      <c r="D1772" t="inlineStr">
        <is>
          <t>VÄSTERNORRLANDS LÄN</t>
        </is>
      </c>
      <c r="E1772" t="inlineStr">
        <is>
          <t>SOLLEFTEÅ</t>
        </is>
      </c>
      <c r="F1772" t="inlineStr">
        <is>
          <t>SCA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2058-2023</t>
        </is>
      </c>
      <c r="B1773" s="1" t="n">
        <v>44938</v>
      </c>
      <c r="C1773" s="1" t="n">
        <v>45669</v>
      </c>
      <c r="D1773" t="inlineStr">
        <is>
          <t>VÄSTERNORRLANDS LÄN</t>
        </is>
      </c>
      <c r="E1773" t="inlineStr">
        <is>
          <t>SOLLEFTEÅ</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2121-2023</t>
        </is>
      </c>
      <c r="B1774" s="1" t="n">
        <v>44939</v>
      </c>
      <c r="C1774" s="1" t="n">
        <v>45669</v>
      </c>
      <c r="D1774" t="inlineStr">
        <is>
          <t>VÄSTERNORRLANDS LÄN</t>
        </is>
      </c>
      <c r="E1774" t="inlineStr">
        <is>
          <t>SOLLEFTEÅ</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2119-2023</t>
        </is>
      </c>
      <c r="B1775" s="1" t="n">
        <v>44939</v>
      </c>
      <c r="C1775" s="1" t="n">
        <v>45669</v>
      </c>
      <c r="D1775" t="inlineStr">
        <is>
          <t>VÄSTERNORRLANDS LÄN</t>
        </is>
      </c>
      <c r="E1775" t="inlineStr">
        <is>
          <t>SOLLEFTEÅ</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2132-2023</t>
        </is>
      </c>
      <c r="B1776" s="1" t="n">
        <v>44939</v>
      </c>
      <c r="C1776" s="1" t="n">
        <v>45669</v>
      </c>
      <c r="D1776" t="inlineStr">
        <is>
          <t>VÄSTERNORRLANDS LÄN</t>
        </is>
      </c>
      <c r="E1776" t="inlineStr">
        <is>
          <t>SOLLEFTEÅ</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2120-2023</t>
        </is>
      </c>
      <c r="B1777" s="1" t="n">
        <v>44939</v>
      </c>
      <c r="C1777" s="1" t="n">
        <v>45669</v>
      </c>
      <c r="D1777" t="inlineStr">
        <is>
          <t>VÄSTERNORRLANDS LÄN</t>
        </is>
      </c>
      <c r="E1777" t="inlineStr">
        <is>
          <t>SOLLEFTEÅ</t>
        </is>
      </c>
      <c r="F1777" t="inlineStr">
        <is>
          <t>SCA</t>
        </is>
      </c>
      <c r="G1777" t="n">
        <v>126.9</v>
      </c>
      <c r="H1777" t="n">
        <v>0</v>
      </c>
      <c r="I1777" t="n">
        <v>0</v>
      </c>
      <c r="J1777" t="n">
        <v>0</v>
      </c>
      <c r="K1777" t="n">
        <v>0</v>
      </c>
      <c r="L1777" t="n">
        <v>0</v>
      </c>
      <c r="M1777" t="n">
        <v>0</v>
      </c>
      <c r="N1777" t="n">
        <v>0</v>
      </c>
      <c r="O1777" t="n">
        <v>0</v>
      </c>
      <c r="P1777" t="n">
        <v>0</v>
      </c>
      <c r="Q1777" t="n">
        <v>0</v>
      </c>
      <c r="R1777" s="2" t="inlineStr"/>
    </row>
    <row r="1778" ht="15" customHeight="1">
      <c r="A1778" t="inlineStr">
        <is>
          <t>A 2114-2023</t>
        </is>
      </c>
      <c r="B1778" s="1" t="n">
        <v>44939</v>
      </c>
      <c r="C1778" s="1" t="n">
        <v>45669</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2118-2023</t>
        </is>
      </c>
      <c r="B1779" s="1" t="n">
        <v>44939</v>
      </c>
      <c r="C1779" s="1" t="n">
        <v>45669</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2139-2023</t>
        </is>
      </c>
      <c r="B1780" s="1" t="n">
        <v>44940</v>
      </c>
      <c r="C1780" s="1" t="n">
        <v>45669</v>
      </c>
      <c r="D1780" t="inlineStr">
        <is>
          <t>VÄSTERNORRLANDS LÄN</t>
        </is>
      </c>
      <c r="E1780" t="inlineStr">
        <is>
          <t>SOLLEFTEÅ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2183-2023</t>
        </is>
      </c>
      <c r="B1781" s="1" t="n">
        <v>44942</v>
      </c>
      <c r="C1781" s="1" t="n">
        <v>45669</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2408-2023</t>
        </is>
      </c>
      <c r="B1782" s="1" t="n">
        <v>44942</v>
      </c>
      <c r="C1782" s="1" t="n">
        <v>45669</v>
      </c>
      <c r="D1782" t="inlineStr">
        <is>
          <t>VÄSTERNORRLANDS LÄN</t>
        </is>
      </c>
      <c r="E1782" t="inlineStr">
        <is>
          <t>SOLLEFTEÅ</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2412-2023</t>
        </is>
      </c>
      <c r="B1783" s="1" t="n">
        <v>44942</v>
      </c>
      <c r="C1783" s="1" t="n">
        <v>45669</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2597-2023</t>
        </is>
      </c>
      <c r="B1784" s="1" t="n">
        <v>44943</v>
      </c>
      <c r="C1784" s="1" t="n">
        <v>45669</v>
      </c>
      <c r="D1784" t="inlineStr">
        <is>
          <t>VÄSTERNORRLANDS LÄN</t>
        </is>
      </c>
      <c r="E1784" t="inlineStr">
        <is>
          <t>SOLLEFTEÅ</t>
        </is>
      </c>
      <c r="F1784" t="inlineStr">
        <is>
          <t>SCA</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2756-2023</t>
        </is>
      </c>
      <c r="B1785" s="1" t="n">
        <v>44943</v>
      </c>
      <c r="C1785" s="1" t="n">
        <v>45669</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2598-2023</t>
        </is>
      </c>
      <c r="B1786" s="1" t="n">
        <v>44943</v>
      </c>
      <c r="C1786" s="1" t="n">
        <v>45669</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2927-2023</t>
        </is>
      </c>
      <c r="B1787" s="1" t="n">
        <v>44945</v>
      </c>
      <c r="C1787" s="1" t="n">
        <v>45669</v>
      </c>
      <c r="D1787" t="inlineStr">
        <is>
          <t>VÄSTERNORRLANDS LÄN</t>
        </is>
      </c>
      <c r="E1787" t="inlineStr">
        <is>
          <t>SOLLEFTEÅ</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3019-2023</t>
        </is>
      </c>
      <c r="B1788" s="1" t="n">
        <v>44945</v>
      </c>
      <c r="C1788" s="1" t="n">
        <v>45669</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3319-2023</t>
        </is>
      </c>
      <c r="B1789" s="1" t="n">
        <v>44949</v>
      </c>
      <c r="C1789" s="1" t="n">
        <v>45669</v>
      </c>
      <c r="D1789" t="inlineStr">
        <is>
          <t>VÄSTERNORRLANDS LÄN</t>
        </is>
      </c>
      <c r="E1789" t="inlineStr">
        <is>
          <t>SOLLEFTEÅ</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3692-2023</t>
        </is>
      </c>
      <c r="B1790" s="1" t="n">
        <v>44950</v>
      </c>
      <c r="C1790" s="1" t="n">
        <v>45669</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3691-2023</t>
        </is>
      </c>
      <c r="B1791" s="1" t="n">
        <v>44950</v>
      </c>
      <c r="C1791" s="1" t="n">
        <v>45669</v>
      </c>
      <c r="D1791" t="inlineStr">
        <is>
          <t>VÄSTERNORRLANDS LÄN</t>
        </is>
      </c>
      <c r="E1791" t="inlineStr">
        <is>
          <t>SOLLEFTEÅ</t>
        </is>
      </c>
      <c r="F1791" t="inlineStr">
        <is>
          <t>SCA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3689-2023</t>
        </is>
      </c>
      <c r="B1792" s="1" t="n">
        <v>44950</v>
      </c>
      <c r="C1792" s="1" t="n">
        <v>45669</v>
      </c>
      <c r="D1792" t="inlineStr">
        <is>
          <t>VÄSTERNORRLANDS LÄN</t>
        </is>
      </c>
      <c r="E1792" t="inlineStr">
        <is>
          <t>SOLLEFTEÅ</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4154-2023</t>
        </is>
      </c>
      <c r="B1793" s="1" t="n">
        <v>44950</v>
      </c>
      <c r="C1793" s="1" t="n">
        <v>45669</v>
      </c>
      <c r="D1793" t="inlineStr">
        <is>
          <t>VÄSTERNORRLANDS LÄN</t>
        </is>
      </c>
      <c r="E1793" t="inlineStr">
        <is>
          <t>SOLLEFTEÅ</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4406-2023</t>
        </is>
      </c>
      <c r="B1794" s="1" t="n">
        <v>44951</v>
      </c>
      <c r="C1794" s="1" t="n">
        <v>45669</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4132-2023</t>
        </is>
      </c>
      <c r="B1795" s="1" t="n">
        <v>44952</v>
      </c>
      <c r="C1795" s="1" t="n">
        <v>45669</v>
      </c>
      <c r="D1795" t="inlineStr">
        <is>
          <t>VÄSTERNORRLANDS LÄN</t>
        </is>
      </c>
      <c r="E1795" t="inlineStr">
        <is>
          <t>SOLLEFTEÅ</t>
        </is>
      </c>
      <c r="F1795" t="inlineStr">
        <is>
          <t>SCA</t>
        </is>
      </c>
      <c r="G1795" t="n">
        <v>50.4</v>
      </c>
      <c r="H1795" t="n">
        <v>0</v>
      </c>
      <c r="I1795" t="n">
        <v>0</v>
      </c>
      <c r="J1795" t="n">
        <v>0</v>
      </c>
      <c r="K1795" t="n">
        <v>0</v>
      </c>
      <c r="L1795" t="n">
        <v>0</v>
      </c>
      <c r="M1795" t="n">
        <v>0</v>
      </c>
      <c r="N1795" t="n">
        <v>0</v>
      </c>
      <c r="O1795" t="n">
        <v>0</v>
      </c>
      <c r="P1795" t="n">
        <v>0</v>
      </c>
      <c r="Q1795" t="n">
        <v>0</v>
      </c>
      <c r="R1795" s="2" t="inlineStr"/>
    </row>
    <row r="1796" ht="15" customHeight="1">
      <c r="A1796" t="inlineStr">
        <is>
          <t>A 4138-2023</t>
        </is>
      </c>
      <c r="B1796" s="1" t="n">
        <v>44952</v>
      </c>
      <c r="C1796" s="1" t="n">
        <v>45669</v>
      </c>
      <c r="D1796" t="inlineStr">
        <is>
          <t>VÄSTERNORRLANDS LÄN</t>
        </is>
      </c>
      <c r="E1796" t="inlineStr">
        <is>
          <t>SOLLEFTEÅ</t>
        </is>
      </c>
      <c r="F1796" t="inlineStr">
        <is>
          <t>SCA</t>
        </is>
      </c>
      <c r="G1796" t="n">
        <v>70</v>
      </c>
      <c r="H1796" t="n">
        <v>0</v>
      </c>
      <c r="I1796" t="n">
        <v>0</v>
      </c>
      <c r="J1796" t="n">
        <v>0</v>
      </c>
      <c r="K1796" t="n">
        <v>0</v>
      </c>
      <c r="L1796" t="n">
        <v>0</v>
      </c>
      <c r="M1796" t="n">
        <v>0</v>
      </c>
      <c r="N1796" t="n">
        <v>0</v>
      </c>
      <c r="O1796" t="n">
        <v>0</v>
      </c>
      <c r="P1796" t="n">
        <v>0</v>
      </c>
      <c r="Q1796" t="n">
        <v>0</v>
      </c>
      <c r="R1796" s="2" t="inlineStr"/>
    </row>
    <row r="1797" ht="15" customHeight="1">
      <c r="A1797" t="inlineStr">
        <is>
          <t>A 4501-2023</t>
        </is>
      </c>
      <c r="B1797" s="1" t="n">
        <v>44952</v>
      </c>
      <c r="C1797" s="1" t="n">
        <v>45669</v>
      </c>
      <c r="D1797" t="inlineStr">
        <is>
          <t>VÄSTERNORRLANDS LÄN</t>
        </is>
      </c>
      <c r="E1797" t="inlineStr">
        <is>
          <t>SOLLEFTEÅ</t>
        </is>
      </c>
      <c r="F1797" t="inlineStr">
        <is>
          <t>Övriga Aktiebolag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4613-2023</t>
        </is>
      </c>
      <c r="B1798" s="1" t="n">
        <v>44956</v>
      </c>
      <c r="C1798" s="1" t="n">
        <v>45669</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4611-2023</t>
        </is>
      </c>
      <c r="B1799" s="1" t="n">
        <v>44956</v>
      </c>
      <c r="C1799" s="1" t="n">
        <v>45669</v>
      </c>
      <c r="D1799" t="inlineStr">
        <is>
          <t>VÄSTERNORRLANDS LÄN</t>
        </is>
      </c>
      <c r="E1799" t="inlineStr">
        <is>
          <t>SOLLEFTEÅ</t>
        </is>
      </c>
      <c r="F1799" t="inlineStr">
        <is>
          <t>SCA</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4612-2023</t>
        </is>
      </c>
      <c r="B1800" s="1" t="n">
        <v>44956</v>
      </c>
      <c r="C1800" s="1" t="n">
        <v>45669</v>
      </c>
      <c r="D1800" t="inlineStr">
        <is>
          <t>VÄSTERNORRLANDS LÄN</t>
        </is>
      </c>
      <c r="E1800" t="inlineStr">
        <is>
          <t>SOLLEFTEÅ</t>
        </is>
      </c>
      <c r="F1800" t="inlineStr">
        <is>
          <t>SCA</t>
        </is>
      </c>
      <c r="G1800" t="n">
        <v>25.5</v>
      </c>
      <c r="H1800" t="n">
        <v>0</v>
      </c>
      <c r="I1800" t="n">
        <v>0</v>
      </c>
      <c r="J1800" t="n">
        <v>0</v>
      </c>
      <c r="K1800" t="n">
        <v>0</v>
      </c>
      <c r="L1800" t="n">
        <v>0</v>
      </c>
      <c r="M1800" t="n">
        <v>0</v>
      </c>
      <c r="N1800" t="n">
        <v>0</v>
      </c>
      <c r="O1800" t="n">
        <v>0</v>
      </c>
      <c r="P1800" t="n">
        <v>0</v>
      </c>
      <c r="Q1800" t="n">
        <v>0</v>
      </c>
      <c r="R1800" s="2" t="inlineStr"/>
    </row>
    <row r="1801" ht="15" customHeight="1">
      <c r="A1801" t="inlineStr">
        <is>
          <t>A 4623-2023</t>
        </is>
      </c>
      <c r="B1801" s="1" t="n">
        <v>44956</v>
      </c>
      <c r="C1801" s="1" t="n">
        <v>45669</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5001-2023</t>
        </is>
      </c>
      <c r="B1802" s="1" t="n">
        <v>44956</v>
      </c>
      <c r="C1802" s="1" t="n">
        <v>45669</v>
      </c>
      <c r="D1802" t="inlineStr">
        <is>
          <t>VÄSTERNORRLANDS LÄN</t>
        </is>
      </c>
      <c r="E1802" t="inlineStr">
        <is>
          <t>SOLLEFTEÅ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5168-2023</t>
        </is>
      </c>
      <c r="B1803" s="1" t="n">
        <v>44958</v>
      </c>
      <c r="C1803" s="1" t="n">
        <v>45669</v>
      </c>
      <c r="D1803" t="inlineStr">
        <is>
          <t>VÄSTERNORRLANDS LÄN</t>
        </is>
      </c>
      <c r="E1803" t="inlineStr">
        <is>
          <t>SOLLEFTEÅ</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5149-2023</t>
        </is>
      </c>
      <c r="B1804" s="1" t="n">
        <v>44958</v>
      </c>
      <c r="C1804" s="1" t="n">
        <v>45669</v>
      </c>
      <c r="D1804" t="inlineStr">
        <is>
          <t>VÄSTERNORRLANDS LÄN</t>
        </is>
      </c>
      <c r="E1804" t="inlineStr">
        <is>
          <t>SOLLEFTEÅ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5161-2023</t>
        </is>
      </c>
      <c r="B1805" s="1" t="n">
        <v>44958</v>
      </c>
      <c r="C1805" s="1" t="n">
        <v>45669</v>
      </c>
      <c r="D1805" t="inlineStr">
        <is>
          <t>VÄSTERNORRLANDS LÄN</t>
        </is>
      </c>
      <c r="E1805" t="inlineStr">
        <is>
          <t>SOLLEFTEÅ</t>
        </is>
      </c>
      <c r="F1805" t="inlineStr">
        <is>
          <t>SCA</t>
        </is>
      </c>
      <c r="G1805" t="n">
        <v>30.3</v>
      </c>
      <c r="H1805" t="n">
        <v>0</v>
      </c>
      <c r="I1805" t="n">
        <v>0</v>
      </c>
      <c r="J1805" t="n">
        <v>0</v>
      </c>
      <c r="K1805" t="n">
        <v>0</v>
      </c>
      <c r="L1805" t="n">
        <v>0</v>
      </c>
      <c r="M1805" t="n">
        <v>0</v>
      </c>
      <c r="N1805" t="n">
        <v>0</v>
      </c>
      <c r="O1805" t="n">
        <v>0</v>
      </c>
      <c r="P1805" t="n">
        <v>0</v>
      </c>
      <c r="Q1805" t="n">
        <v>0</v>
      </c>
      <c r="R1805" s="2" t="inlineStr"/>
    </row>
    <row r="1806" ht="15" customHeight="1">
      <c r="A1806" t="inlineStr">
        <is>
          <t>A 5166-2023</t>
        </is>
      </c>
      <c r="B1806" s="1" t="n">
        <v>44958</v>
      </c>
      <c r="C1806" s="1" t="n">
        <v>45669</v>
      </c>
      <c r="D1806" t="inlineStr">
        <is>
          <t>VÄSTERNORRLANDS LÄN</t>
        </is>
      </c>
      <c r="E1806" t="inlineStr">
        <is>
          <t>SOLLEFTEÅ</t>
        </is>
      </c>
      <c r="F1806" t="inlineStr">
        <is>
          <t>SCA</t>
        </is>
      </c>
      <c r="G1806" t="n">
        <v>29.3</v>
      </c>
      <c r="H1806" t="n">
        <v>0</v>
      </c>
      <c r="I1806" t="n">
        <v>0</v>
      </c>
      <c r="J1806" t="n">
        <v>0</v>
      </c>
      <c r="K1806" t="n">
        <v>0</v>
      </c>
      <c r="L1806" t="n">
        <v>0</v>
      </c>
      <c r="M1806" t="n">
        <v>0</v>
      </c>
      <c r="N1806" t="n">
        <v>0</v>
      </c>
      <c r="O1806" t="n">
        <v>0</v>
      </c>
      <c r="P1806" t="n">
        <v>0</v>
      </c>
      <c r="Q1806" t="n">
        <v>0</v>
      </c>
      <c r="R1806" s="2" t="inlineStr"/>
    </row>
    <row r="1807" ht="15" customHeight="1">
      <c r="A1807" t="inlineStr">
        <is>
          <t>A 5167-2023</t>
        </is>
      </c>
      <c r="B1807" s="1" t="n">
        <v>44958</v>
      </c>
      <c r="C1807" s="1" t="n">
        <v>45669</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5448-2023</t>
        </is>
      </c>
      <c r="B1808" s="1" t="n">
        <v>44959</v>
      </c>
      <c r="C1808" s="1" t="n">
        <v>45669</v>
      </c>
      <c r="D1808" t="inlineStr">
        <is>
          <t>VÄSTERNORRLANDS LÄN</t>
        </is>
      </c>
      <c r="E1808" t="inlineStr">
        <is>
          <t>SOLLEFTEÅ</t>
        </is>
      </c>
      <c r="F1808" t="inlineStr">
        <is>
          <t>SCA</t>
        </is>
      </c>
      <c r="G1808" t="n">
        <v>138.3</v>
      </c>
      <c r="H1808" t="n">
        <v>0</v>
      </c>
      <c r="I1808" t="n">
        <v>0</v>
      </c>
      <c r="J1808" t="n">
        <v>0</v>
      </c>
      <c r="K1808" t="n">
        <v>0</v>
      </c>
      <c r="L1808" t="n">
        <v>0</v>
      </c>
      <c r="M1808" t="n">
        <v>0</v>
      </c>
      <c r="N1808" t="n">
        <v>0</v>
      </c>
      <c r="O1808" t="n">
        <v>0</v>
      </c>
      <c r="P1808" t="n">
        <v>0</v>
      </c>
      <c r="Q1808" t="n">
        <v>0</v>
      </c>
      <c r="R1808" s="2" t="inlineStr"/>
    </row>
    <row r="1809" ht="15" customHeight="1">
      <c r="A1809" t="inlineStr">
        <is>
          <t>A 5451-2023</t>
        </is>
      </c>
      <c r="B1809" s="1" t="n">
        <v>44959</v>
      </c>
      <c r="C1809" s="1" t="n">
        <v>45669</v>
      </c>
      <c r="D1809" t="inlineStr">
        <is>
          <t>VÄSTERNORRLANDS LÄN</t>
        </is>
      </c>
      <c r="E1809" t="inlineStr">
        <is>
          <t>SOLLEFTEÅ</t>
        </is>
      </c>
      <c r="F1809" t="inlineStr">
        <is>
          <t>SCA</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6271-2023</t>
        </is>
      </c>
      <c r="B1810" s="1" t="n">
        <v>44959</v>
      </c>
      <c r="C1810" s="1" t="n">
        <v>45669</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5519-2023</t>
        </is>
      </c>
      <c r="B1811" s="1" t="n">
        <v>44960</v>
      </c>
      <c r="C1811" s="1" t="n">
        <v>45669</v>
      </c>
      <c r="D1811" t="inlineStr">
        <is>
          <t>VÄSTERNORRLANDS LÄN</t>
        </is>
      </c>
      <c r="E1811" t="inlineStr">
        <is>
          <t>SOLLEFTEÅ</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5529-2023</t>
        </is>
      </c>
      <c r="B1812" s="1" t="n">
        <v>44960</v>
      </c>
      <c r="C1812" s="1" t="n">
        <v>45669</v>
      </c>
      <c r="D1812" t="inlineStr">
        <is>
          <t>VÄSTERNORRLANDS LÄN</t>
        </is>
      </c>
      <c r="E1812" t="inlineStr">
        <is>
          <t>SOLLEFTEÅ</t>
        </is>
      </c>
      <c r="F1812" t="inlineStr">
        <is>
          <t>Holmen skog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5952-2023</t>
        </is>
      </c>
      <c r="B1813" s="1" t="n">
        <v>44963</v>
      </c>
      <c r="C1813" s="1" t="n">
        <v>45669</v>
      </c>
      <c r="D1813" t="inlineStr">
        <is>
          <t>VÄSTERNORRLANDS LÄN</t>
        </is>
      </c>
      <c r="E1813" t="inlineStr">
        <is>
          <t>SOLLEFTEÅ</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6236-2023</t>
        </is>
      </c>
      <c r="B1814" s="1" t="n">
        <v>44964</v>
      </c>
      <c r="C1814" s="1" t="n">
        <v>45669</v>
      </c>
      <c r="D1814" t="inlineStr">
        <is>
          <t>VÄSTERNORRLANDS LÄN</t>
        </is>
      </c>
      <c r="E1814" t="inlineStr">
        <is>
          <t>SOLLEFTEÅ</t>
        </is>
      </c>
      <c r="F1814" t="inlineStr">
        <is>
          <t>SCA</t>
        </is>
      </c>
      <c r="G1814" t="n">
        <v>0.1</v>
      </c>
      <c r="H1814" t="n">
        <v>0</v>
      </c>
      <c r="I1814" t="n">
        <v>0</v>
      </c>
      <c r="J1814" t="n">
        <v>0</v>
      </c>
      <c r="K1814" t="n">
        <v>0</v>
      </c>
      <c r="L1814" t="n">
        <v>0</v>
      </c>
      <c r="M1814" t="n">
        <v>0</v>
      </c>
      <c r="N1814" t="n">
        <v>0</v>
      </c>
      <c r="O1814" t="n">
        <v>0</v>
      </c>
      <c r="P1814" t="n">
        <v>0</v>
      </c>
      <c r="Q1814" t="n">
        <v>0</v>
      </c>
      <c r="R1814" s="2" t="inlineStr"/>
      <c r="U1814">
        <f>HYPERLINK("https://klasma.github.io/Logging_2283/knärot/A 6236-2023 karta knärot.png", "A 6236-2023")</f>
        <v/>
      </c>
      <c r="V1814">
        <f>HYPERLINK("https://klasma.github.io/Logging_2283/klagomål/A 6236-2023 FSC-klagomål.docx", "A 6236-2023")</f>
        <v/>
      </c>
      <c r="W1814">
        <f>HYPERLINK("https://klasma.github.io/Logging_2283/klagomålsmail/A 6236-2023 FSC-klagomål mail.docx", "A 6236-2023")</f>
        <v/>
      </c>
      <c r="X1814">
        <f>HYPERLINK("https://klasma.github.io/Logging_2283/tillsyn/A 6236-2023 tillsynsbegäran.docx", "A 6236-2023")</f>
        <v/>
      </c>
      <c r="Y1814">
        <f>HYPERLINK("https://klasma.github.io/Logging_2283/tillsynsmail/A 6236-2023 tillsynsbegäran mail.docx", "A 6236-2023")</f>
        <v/>
      </c>
    </row>
    <row r="1815" ht="15" customHeight="1">
      <c r="A1815" t="inlineStr">
        <is>
          <t>A 6474-2023</t>
        </is>
      </c>
      <c r="B1815" s="1" t="n">
        <v>44965</v>
      </c>
      <c r="C1815" s="1" t="n">
        <v>45669</v>
      </c>
      <c r="D1815" t="inlineStr">
        <is>
          <t>VÄSTERNORRLANDS LÄN</t>
        </is>
      </c>
      <c r="E1815" t="inlineStr">
        <is>
          <t>SOLLEFTEÅ</t>
        </is>
      </c>
      <c r="F1815" t="inlineStr">
        <is>
          <t>SCA</t>
        </is>
      </c>
      <c r="G1815" t="n">
        <v>47.3</v>
      </c>
      <c r="H1815" t="n">
        <v>0</v>
      </c>
      <c r="I1815" t="n">
        <v>0</v>
      </c>
      <c r="J1815" t="n">
        <v>0</v>
      </c>
      <c r="K1815" t="n">
        <v>0</v>
      </c>
      <c r="L1815" t="n">
        <v>0</v>
      </c>
      <c r="M1815" t="n">
        <v>0</v>
      </c>
      <c r="N1815" t="n">
        <v>0</v>
      </c>
      <c r="O1815" t="n">
        <v>0</v>
      </c>
      <c r="P1815" t="n">
        <v>0</v>
      </c>
      <c r="Q1815" t="n">
        <v>0</v>
      </c>
      <c r="R1815" s="2" t="inlineStr"/>
    </row>
    <row r="1816" ht="15" customHeight="1">
      <c r="A1816" t="inlineStr">
        <is>
          <t>A 7009-2023</t>
        </is>
      </c>
      <c r="B1816" s="1" t="n">
        <v>44967</v>
      </c>
      <c r="C1816" s="1" t="n">
        <v>45669</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7332-2023</t>
        </is>
      </c>
      <c r="B1817" s="1" t="n">
        <v>44970</v>
      </c>
      <c r="C1817" s="1" t="n">
        <v>45669</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7324-2023</t>
        </is>
      </c>
      <c r="B1818" s="1" t="n">
        <v>44970</v>
      </c>
      <c r="C1818" s="1" t="n">
        <v>45669</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7325-2023</t>
        </is>
      </c>
      <c r="B1819" s="1" t="n">
        <v>44970</v>
      </c>
      <c r="C1819" s="1" t="n">
        <v>45669</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7330-2023</t>
        </is>
      </c>
      <c r="B1820" s="1" t="n">
        <v>44971</v>
      </c>
      <c r="C1820" s="1" t="n">
        <v>45669</v>
      </c>
      <c r="D1820" t="inlineStr">
        <is>
          <t>VÄSTERNORRLANDS LÄN</t>
        </is>
      </c>
      <c r="E1820" t="inlineStr">
        <is>
          <t>SOLLEFTEÅ</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7331-2023</t>
        </is>
      </c>
      <c r="B1821" s="1" t="n">
        <v>44970</v>
      </c>
      <c r="C1821" s="1" t="n">
        <v>45669</v>
      </c>
      <c r="D1821" t="inlineStr">
        <is>
          <t>VÄSTERNORRLANDS LÄN</t>
        </is>
      </c>
      <c r="E1821" t="inlineStr">
        <is>
          <t>SOLLEFTEÅ</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7333-2023</t>
        </is>
      </c>
      <c r="B1822" s="1" t="n">
        <v>44971</v>
      </c>
      <c r="C1822" s="1" t="n">
        <v>45669</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7713-2023</t>
        </is>
      </c>
      <c r="B1823" s="1" t="n">
        <v>44972</v>
      </c>
      <c r="C1823" s="1" t="n">
        <v>45669</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7721-2023</t>
        </is>
      </c>
      <c r="B1824" s="1" t="n">
        <v>44972</v>
      </c>
      <c r="C1824" s="1" t="n">
        <v>45669</v>
      </c>
      <c r="D1824" t="inlineStr">
        <is>
          <t>VÄSTERNORRLANDS LÄN</t>
        </is>
      </c>
      <c r="E1824" t="inlineStr">
        <is>
          <t>SOLLEFTEÅ</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8030-2023</t>
        </is>
      </c>
      <c r="B1825" s="1" t="n">
        <v>44973</v>
      </c>
      <c r="C1825" s="1" t="n">
        <v>45669</v>
      </c>
      <c r="D1825" t="inlineStr">
        <is>
          <t>VÄSTERNORRLANDS LÄN</t>
        </is>
      </c>
      <c r="E1825" t="inlineStr">
        <is>
          <t>SOLLEFTEÅ</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8959-2023</t>
        </is>
      </c>
      <c r="B1826" s="1" t="n">
        <v>44974</v>
      </c>
      <c r="C1826" s="1" t="n">
        <v>45669</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8640-2023</t>
        </is>
      </c>
      <c r="B1827" s="1" t="n">
        <v>44978</v>
      </c>
      <c r="C1827" s="1" t="n">
        <v>45669</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8658-2023</t>
        </is>
      </c>
      <c r="B1828" s="1" t="n">
        <v>44978</v>
      </c>
      <c r="C1828" s="1" t="n">
        <v>45669</v>
      </c>
      <c r="D1828" t="inlineStr">
        <is>
          <t>VÄSTERNORRLANDS LÄN</t>
        </is>
      </c>
      <c r="E1828" t="inlineStr">
        <is>
          <t>SOLLEFTEÅ</t>
        </is>
      </c>
      <c r="F1828" t="inlineStr">
        <is>
          <t>SCA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8668-2023</t>
        </is>
      </c>
      <c r="B1829" s="1" t="n">
        <v>44978</v>
      </c>
      <c r="C1829" s="1" t="n">
        <v>45669</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8672-2023</t>
        </is>
      </c>
      <c r="B1830" s="1" t="n">
        <v>44977</v>
      </c>
      <c r="C1830" s="1" t="n">
        <v>45669</v>
      </c>
      <c r="D1830" t="inlineStr">
        <is>
          <t>VÄSTERNORRLANDS LÄN</t>
        </is>
      </c>
      <c r="E1830" t="inlineStr">
        <is>
          <t>SOLLEFTEÅ</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8656-2023</t>
        </is>
      </c>
      <c r="B1831" s="1" t="n">
        <v>44978</v>
      </c>
      <c r="C1831" s="1" t="n">
        <v>45669</v>
      </c>
      <c r="D1831" t="inlineStr">
        <is>
          <t>VÄSTERNORRLANDS LÄN</t>
        </is>
      </c>
      <c r="E1831" t="inlineStr">
        <is>
          <t>SOLLEFTEÅ</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8670-2023</t>
        </is>
      </c>
      <c r="B1832" s="1" t="n">
        <v>44977</v>
      </c>
      <c r="C1832" s="1" t="n">
        <v>45669</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8667-2023</t>
        </is>
      </c>
      <c r="B1833" s="1" t="n">
        <v>44978</v>
      </c>
      <c r="C1833" s="1" t="n">
        <v>45669</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8671-2023</t>
        </is>
      </c>
      <c r="B1834" s="1" t="n">
        <v>44978</v>
      </c>
      <c r="C1834" s="1" t="n">
        <v>45669</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8875-2023</t>
        </is>
      </c>
      <c r="B1835" s="1" t="n">
        <v>44978</v>
      </c>
      <c r="C1835" s="1" t="n">
        <v>45669</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8880-2023</t>
        </is>
      </c>
      <c r="B1836" s="1" t="n">
        <v>44978</v>
      </c>
      <c r="C1836" s="1" t="n">
        <v>45669</v>
      </c>
      <c r="D1836" t="inlineStr">
        <is>
          <t>VÄSTERNORRLANDS LÄN</t>
        </is>
      </c>
      <c r="E1836" t="inlineStr">
        <is>
          <t>SOLLEFTEÅ</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9097-2023</t>
        </is>
      </c>
      <c r="B1837" s="1" t="n">
        <v>44979</v>
      </c>
      <c r="C1837" s="1" t="n">
        <v>45669</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9095-2023</t>
        </is>
      </c>
      <c r="B1838" s="1" t="n">
        <v>44979</v>
      </c>
      <c r="C1838" s="1" t="n">
        <v>45669</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9099-2023</t>
        </is>
      </c>
      <c r="B1839" s="1" t="n">
        <v>44979</v>
      </c>
      <c r="C1839" s="1" t="n">
        <v>45669</v>
      </c>
      <c r="D1839" t="inlineStr">
        <is>
          <t>VÄSTERNORRLANDS LÄN</t>
        </is>
      </c>
      <c r="E1839" t="inlineStr">
        <is>
          <t>SOLLEFTEÅ</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9096-2023</t>
        </is>
      </c>
      <c r="B1840" s="1" t="n">
        <v>44979</v>
      </c>
      <c r="C1840" s="1" t="n">
        <v>45669</v>
      </c>
      <c r="D1840" t="inlineStr">
        <is>
          <t>VÄSTERNORRLANDS LÄN</t>
        </is>
      </c>
      <c r="E1840" t="inlineStr">
        <is>
          <t>SOLLEFTEÅ</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9104-2023</t>
        </is>
      </c>
      <c r="B1841" s="1" t="n">
        <v>44979</v>
      </c>
      <c r="C1841" s="1" t="n">
        <v>45669</v>
      </c>
      <c r="D1841" t="inlineStr">
        <is>
          <t>VÄSTERNORRLANDS LÄN</t>
        </is>
      </c>
      <c r="E1841" t="inlineStr">
        <is>
          <t>SOLLEFTEÅ</t>
        </is>
      </c>
      <c r="F1841" t="inlineStr">
        <is>
          <t>SCA</t>
        </is>
      </c>
      <c r="G1841" t="n">
        <v>22.1</v>
      </c>
      <c r="H1841" t="n">
        <v>0</v>
      </c>
      <c r="I1841" t="n">
        <v>0</v>
      </c>
      <c r="J1841" t="n">
        <v>0</v>
      </c>
      <c r="K1841" t="n">
        <v>0</v>
      </c>
      <c r="L1841" t="n">
        <v>0</v>
      </c>
      <c r="M1841" t="n">
        <v>0</v>
      </c>
      <c r="N1841" t="n">
        <v>0</v>
      </c>
      <c r="O1841" t="n">
        <v>0</v>
      </c>
      <c r="P1841" t="n">
        <v>0</v>
      </c>
      <c r="Q1841" t="n">
        <v>0</v>
      </c>
      <c r="R1841" s="2" t="inlineStr"/>
    </row>
    <row r="1842" ht="15" customHeight="1">
      <c r="A1842" t="inlineStr">
        <is>
          <t>A 9098-2023</t>
        </is>
      </c>
      <c r="B1842" s="1" t="n">
        <v>44979</v>
      </c>
      <c r="C1842" s="1" t="n">
        <v>45669</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9105-2023</t>
        </is>
      </c>
      <c r="B1843" s="1" t="n">
        <v>44979</v>
      </c>
      <c r="C1843" s="1" t="n">
        <v>45669</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9358-2023</t>
        </is>
      </c>
      <c r="B1844" s="1" t="n">
        <v>44980</v>
      </c>
      <c r="C1844" s="1" t="n">
        <v>45669</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10256-2023</t>
        </is>
      </c>
      <c r="B1845" s="1" t="n">
        <v>44980</v>
      </c>
      <c r="C1845" s="1" t="n">
        <v>45669</v>
      </c>
      <c r="D1845" t="inlineStr">
        <is>
          <t>VÄSTERNORRLANDS LÄN</t>
        </is>
      </c>
      <c r="E1845" t="inlineStr">
        <is>
          <t>SOLLEFTEÅ</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9362-2023</t>
        </is>
      </c>
      <c r="B1846" s="1" t="n">
        <v>44980</v>
      </c>
      <c r="C1846" s="1" t="n">
        <v>45669</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9549-2023</t>
        </is>
      </c>
      <c r="B1847" s="1" t="n">
        <v>44981</v>
      </c>
      <c r="C1847" s="1" t="n">
        <v>45669</v>
      </c>
      <c r="D1847" t="inlineStr">
        <is>
          <t>VÄSTERNORRLANDS LÄN</t>
        </is>
      </c>
      <c r="E1847" t="inlineStr">
        <is>
          <t>SOLLEFTEÅ</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10428-2023</t>
        </is>
      </c>
      <c r="B1848" s="1" t="n">
        <v>44981</v>
      </c>
      <c r="C1848" s="1" t="n">
        <v>45669</v>
      </c>
      <c r="D1848" t="inlineStr">
        <is>
          <t>VÄSTERNORRLANDS LÄN</t>
        </is>
      </c>
      <c r="E1848" t="inlineStr">
        <is>
          <t>SOLLEFTEÅ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9617-2023</t>
        </is>
      </c>
      <c r="B1849" s="1" t="n">
        <v>44983</v>
      </c>
      <c r="C1849" s="1" t="n">
        <v>45669</v>
      </c>
      <c r="D1849" t="inlineStr">
        <is>
          <t>VÄSTERNORRLANDS LÄN</t>
        </is>
      </c>
      <c r="E1849" t="inlineStr">
        <is>
          <t>SOLLEFTEÅ</t>
        </is>
      </c>
      <c r="F1849" t="inlineStr">
        <is>
          <t>SCA</t>
        </is>
      </c>
      <c r="G1849" t="n">
        <v>39.6</v>
      </c>
      <c r="H1849" t="n">
        <v>0</v>
      </c>
      <c r="I1849" t="n">
        <v>0</v>
      </c>
      <c r="J1849" t="n">
        <v>0</v>
      </c>
      <c r="K1849" t="n">
        <v>0</v>
      </c>
      <c r="L1849" t="n">
        <v>0</v>
      </c>
      <c r="M1849" t="n">
        <v>0</v>
      </c>
      <c r="N1849" t="n">
        <v>0</v>
      </c>
      <c r="O1849" t="n">
        <v>0</v>
      </c>
      <c r="P1849" t="n">
        <v>0</v>
      </c>
      <c r="Q1849" t="n">
        <v>0</v>
      </c>
      <c r="R1849" s="2" t="inlineStr"/>
    </row>
    <row r="1850" ht="15" customHeight="1">
      <c r="A1850" t="inlineStr">
        <is>
          <t>A 9616-2023</t>
        </is>
      </c>
      <c r="B1850" s="1" t="n">
        <v>44983</v>
      </c>
      <c r="C1850" s="1" t="n">
        <v>45669</v>
      </c>
      <c r="D1850" t="inlineStr">
        <is>
          <t>VÄSTERNORRLANDS LÄN</t>
        </is>
      </c>
      <c r="E1850" t="inlineStr">
        <is>
          <t>SOLLEFTEÅ</t>
        </is>
      </c>
      <c r="F1850" t="inlineStr">
        <is>
          <t>SCA</t>
        </is>
      </c>
      <c r="G1850" t="n">
        <v>45.9</v>
      </c>
      <c r="H1850" t="n">
        <v>0</v>
      </c>
      <c r="I1850" t="n">
        <v>0</v>
      </c>
      <c r="J1850" t="n">
        <v>0</v>
      </c>
      <c r="K1850" t="n">
        <v>0</v>
      </c>
      <c r="L1850" t="n">
        <v>0</v>
      </c>
      <c r="M1850" t="n">
        <v>0</v>
      </c>
      <c r="N1850" t="n">
        <v>0</v>
      </c>
      <c r="O1850" t="n">
        <v>0</v>
      </c>
      <c r="P1850" t="n">
        <v>0</v>
      </c>
      <c r="Q1850" t="n">
        <v>0</v>
      </c>
      <c r="R1850" s="2" t="inlineStr"/>
    </row>
    <row r="1851" ht="15" customHeight="1">
      <c r="A1851" t="inlineStr">
        <is>
          <t>A 9614-2023</t>
        </is>
      </c>
      <c r="B1851" s="1" t="n">
        <v>44983</v>
      </c>
      <c r="C1851" s="1" t="n">
        <v>45669</v>
      </c>
      <c r="D1851" t="inlineStr">
        <is>
          <t>VÄSTERNORRLANDS LÄN</t>
        </is>
      </c>
      <c r="E1851" t="inlineStr">
        <is>
          <t>SOLLEFTEÅ</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9741-2023</t>
        </is>
      </c>
      <c r="B1852" s="1" t="n">
        <v>44984</v>
      </c>
      <c r="C1852" s="1" t="n">
        <v>45669</v>
      </c>
      <c r="D1852" t="inlineStr">
        <is>
          <t>VÄSTERNORRLANDS LÄN</t>
        </is>
      </c>
      <c r="E1852" t="inlineStr">
        <is>
          <t>SOLLEFTEÅ</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9829-2023</t>
        </is>
      </c>
      <c r="B1853" s="1" t="n">
        <v>44984</v>
      </c>
      <c r="C1853" s="1" t="n">
        <v>45669</v>
      </c>
      <c r="D1853" t="inlineStr">
        <is>
          <t>VÄSTERNORRLANDS LÄN</t>
        </is>
      </c>
      <c r="E1853" t="inlineStr">
        <is>
          <t>SOLLEFTEÅ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9858-2023</t>
        </is>
      </c>
      <c r="B1854" s="1" t="n">
        <v>44984</v>
      </c>
      <c r="C1854" s="1" t="n">
        <v>45669</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9879-2023</t>
        </is>
      </c>
      <c r="B1855" s="1" t="n">
        <v>44984</v>
      </c>
      <c r="C1855" s="1" t="n">
        <v>45669</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9871-2023</t>
        </is>
      </c>
      <c r="B1856" s="1" t="n">
        <v>44984</v>
      </c>
      <c r="C1856" s="1" t="n">
        <v>45669</v>
      </c>
      <c r="D1856" t="inlineStr">
        <is>
          <t>VÄSTERNORRLANDS LÄN</t>
        </is>
      </c>
      <c r="E1856" t="inlineStr">
        <is>
          <t>SOLLEFTEÅ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10079-2023</t>
        </is>
      </c>
      <c r="B1857" s="1" t="n">
        <v>44985</v>
      </c>
      <c r="C1857" s="1" t="n">
        <v>45669</v>
      </c>
      <c r="D1857" t="inlineStr">
        <is>
          <t>VÄSTERNORRLANDS LÄN</t>
        </is>
      </c>
      <c r="E1857" t="inlineStr">
        <is>
          <t>SOLLEFTEÅ</t>
        </is>
      </c>
      <c r="F1857" t="inlineStr">
        <is>
          <t>SCA</t>
        </is>
      </c>
      <c r="G1857" t="n">
        <v>32.7</v>
      </c>
      <c r="H1857" t="n">
        <v>0</v>
      </c>
      <c r="I1857" t="n">
        <v>0</v>
      </c>
      <c r="J1857" t="n">
        <v>0</v>
      </c>
      <c r="K1857" t="n">
        <v>0</v>
      </c>
      <c r="L1857" t="n">
        <v>0</v>
      </c>
      <c r="M1857" t="n">
        <v>0</v>
      </c>
      <c r="N1857" t="n">
        <v>0</v>
      </c>
      <c r="O1857" t="n">
        <v>0</v>
      </c>
      <c r="P1857" t="n">
        <v>0</v>
      </c>
      <c r="Q1857" t="n">
        <v>0</v>
      </c>
      <c r="R1857" s="2" t="inlineStr"/>
    </row>
    <row r="1858" ht="15" customHeight="1">
      <c r="A1858" t="inlineStr">
        <is>
          <t>A 10094-2023</t>
        </is>
      </c>
      <c r="B1858" s="1" t="n">
        <v>44985</v>
      </c>
      <c r="C1858" s="1" t="n">
        <v>45669</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10095-2023</t>
        </is>
      </c>
      <c r="B1859" s="1" t="n">
        <v>44985</v>
      </c>
      <c r="C1859" s="1" t="n">
        <v>45669</v>
      </c>
      <c r="D1859" t="inlineStr">
        <is>
          <t>VÄSTERNORRLANDS LÄN</t>
        </is>
      </c>
      <c r="E1859" t="inlineStr">
        <is>
          <t>SOLLEFTEÅ</t>
        </is>
      </c>
      <c r="F1859" t="inlineStr">
        <is>
          <t>SCA</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10077-2023</t>
        </is>
      </c>
      <c r="B1860" s="1" t="n">
        <v>44985</v>
      </c>
      <c r="C1860" s="1" t="n">
        <v>45669</v>
      </c>
      <c r="D1860" t="inlineStr">
        <is>
          <t>VÄSTERNORRLANDS LÄN</t>
        </is>
      </c>
      <c r="E1860" t="inlineStr">
        <is>
          <t>SOLLEFTEÅ</t>
        </is>
      </c>
      <c r="F1860" t="inlineStr">
        <is>
          <t>SCA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10099-2023</t>
        </is>
      </c>
      <c r="B1861" s="1" t="n">
        <v>44985</v>
      </c>
      <c r="C1861" s="1" t="n">
        <v>45669</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10078-2023</t>
        </is>
      </c>
      <c r="B1862" s="1" t="n">
        <v>44985</v>
      </c>
      <c r="C1862" s="1" t="n">
        <v>45669</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10093-2023</t>
        </is>
      </c>
      <c r="B1863" s="1" t="n">
        <v>44985</v>
      </c>
      <c r="C1863" s="1" t="n">
        <v>45669</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10294-2023</t>
        </is>
      </c>
      <c r="B1864" s="1" t="n">
        <v>44986</v>
      </c>
      <c r="C1864" s="1" t="n">
        <v>45669</v>
      </c>
      <c r="D1864" t="inlineStr">
        <is>
          <t>VÄSTERNORRLANDS LÄN</t>
        </is>
      </c>
      <c r="E1864" t="inlineStr">
        <is>
          <t>SOLLEFTEÅ</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10311-2023</t>
        </is>
      </c>
      <c r="B1865" s="1" t="n">
        <v>44986</v>
      </c>
      <c r="C1865" s="1" t="n">
        <v>45669</v>
      </c>
      <c r="D1865" t="inlineStr">
        <is>
          <t>VÄSTERNORRLANDS LÄN</t>
        </is>
      </c>
      <c r="E1865" t="inlineStr">
        <is>
          <t>SOLLEFTEÅ</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11094-2023</t>
        </is>
      </c>
      <c r="B1866" s="1" t="n">
        <v>44986</v>
      </c>
      <c r="C1866" s="1" t="n">
        <v>45669</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10526-2023</t>
        </is>
      </c>
      <c r="B1867" s="1" t="n">
        <v>44987</v>
      </c>
      <c r="C1867" s="1" t="n">
        <v>45669</v>
      </c>
      <c r="D1867" t="inlineStr">
        <is>
          <t>VÄSTERNORRLANDS LÄN</t>
        </is>
      </c>
      <c r="E1867" t="inlineStr">
        <is>
          <t>SOLLEFTEÅ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10541-2023</t>
        </is>
      </c>
      <c r="B1868" s="1" t="n">
        <v>44987</v>
      </c>
      <c r="C1868" s="1" t="n">
        <v>45669</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10549-2023</t>
        </is>
      </c>
      <c r="B1869" s="1" t="n">
        <v>44987</v>
      </c>
      <c r="C1869" s="1" t="n">
        <v>45669</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10777-2023</t>
        </is>
      </c>
      <c r="B1870" s="1" t="n">
        <v>44988</v>
      </c>
      <c r="C1870" s="1" t="n">
        <v>45669</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10771-2023</t>
        </is>
      </c>
      <c r="B1871" s="1" t="n">
        <v>44988</v>
      </c>
      <c r="C1871" s="1" t="n">
        <v>45669</v>
      </c>
      <c r="D1871" t="inlineStr">
        <is>
          <t>VÄSTERNORRLANDS LÄN</t>
        </is>
      </c>
      <c r="E1871" t="inlineStr">
        <is>
          <t>SOLLEFTEÅ</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10783-2023</t>
        </is>
      </c>
      <c r="B1872" s="1" t="n">
        <v>44988</v>
      </c>
      <c r="C1872" s="1" t="n">
        <v>45669</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10768-2023</t>
        </is>
      </c>
      <c r="B1873" s="1" t="n">
        <v>44988</v>
      </c>
      <c r="C1873" s="1" t="n">
        <v>45669</v>
      </c>
      <c r="D1873" t="inlineStr">
        <is>
          <t>VÄSTERNORRLANDS LÄN</t>
        </is>
      </c>
      <c r="E1873" t="inlineStr">
        <is>
          <t>SOLLEFTEÅ</t>
        </is>
      </c>
      <c r="F1873" t="inlineStr">
        <is>
          <t>SCA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10785-2023</t>
        </is>
      </c>
      <c r="B1874" s="1" t="n">
        <v>44988</v>
      </c>
      <c r="C1874" s="1" t="n">
        <v>45669</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11038-2023</t>
        </is>
      </c>
      <c r="B1875" s="1" t="n">
        <v>44991</v>
      </c>
      <c r="C1875" s="1" t="n">
        <v>45669</v>
      </c>
      <c r="D1875" t="inlineStr">
        <is>
          <t>VÄSTERNORRLANDS LÄN</t>
        </is>
      </c>
      <c r="E1875" t="inlineStr">
        <is>
          <t>SOLLEFTEÅ</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11052-2023</t>
        </is>
      </c>
      <c r="B1876" s="1" t="n">
        <v>44991</v>
      </c>
      <c r="C1876" s="1" t="n">
        <v>45669</v>
      </c>
      <c r="D1876" t="inlineStr">
        <is>
          <t>VÄSTERNORRLANDS LÄN</t>
        </is>
      </c>
      <c r="E1876" t="inlineStr">
        <is>
          <t>SOLLEFTEÅ</t>
        </is>
      </c>
      <c r="F1876" t="inlineStr">
        <is>
          <t>SCA</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11039-2023</t>
        </is>
      </c>
      <c r="B1877" s="1" t="n">
        <v>44991</v>
      </c>
      <c r="C1877" s="1" t="n">
        <v>45669</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11301-2023</t>
        </is>
      </c>
      <c r="B1878" s="1" t="n">
        <v>44993</v>
      </c>
      <c r="C1878" s="1" t="n">
        <v>45669</v>
      </c>
      <c r="D1878" t="inlineStr">
        <is>
          <t>VÄSTERNORRLANDS LÄN</t>
        </is>
      </c>
      <c r="E1878" t="inlineStr">
        <is>
          <t>SOLLEFTEÅ</t>
        </is>
      </c>
      <c r="F1878" t="inlineStr">
        <is>
          <t>SCA</t>
        </is>
      </c>
      <c r="G1878" t="n">
        <v>19.9</v>
      </c>
      <c r="H1878" t="n">
        <v>0</v>
      </c>
      <c r="I1878" t="n">
        <v>0</v>
      </c>
      <c r="J1878" t="n">
        <v>0</v>
      </c>
      <c r="K1878" t="n">
        <v>0</v>
      </c>
      <c r="L1878" t="n">
        <v>0</v>
      </c>
      <c r="M1878" t="n">
        <v>0</v>
      </c>
      <c r="N1878" t="n">
        <v>0</v>
      </c>
      <c r="O1878" t="n">
        <v>0</v>
      </c>
      <c r="P1878" t="n">
        <v>0</v>
      </c>
      <c r="Q1878" t="n">
        <v>0</v>
      </c>
      <c r="R1878" s="2" t="inlineStr"/>
    </row>
    <row r="1879" ht="15" customHeight="1">
      <c r="A1879" t="inlineStr">
        <is>
          <t>A 11306-2023</t>
        </is>
      </c>
      <c r="B1879" s="1" t="n">
        <v>44993</v>
      </c>
      <c r="C1879" s="1" t="n">
        <v>45669</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11551-2023</t>
        </is>
      </c>
      <c r="B1880" s="1" t="n">
        <v>44993</v>
      </c>
      <c r="C1880" s="1" t="n">
        <v>45669</v>
      </c>
      <c r="D1880" t="inlineStr">
        <is>
          <t>VÄSTERNORRLANDS LÄN</t>
        </is>
      </c>
      <c r="E1880" t="inlineStr">
        <is>
          <t>SOLLEFTEÅ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11555-2023</t>
        </is>
      </c>
      <c r="B1881" s="1" t="n">
        <v>44993</v>
      </c>
      <c r="C1881" s="1" t="n">
        <v>45669</v>
      </c>
      <c r="D1881" t="inlineStr">
        <is>
          <t>VÄSTERNORRLANDS LÄN</t>
        </is>
      </c>
      <c r="E1881" t="inlineStr">
        <is>
          <t>SOLLEFTEÅ</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11554-2023</t>
        </is>
      </c>
      <c r="B1882" s="1" t="n">
        <v>44993</v>
      </c>
      <c r="C1882" s="1" t="n">
        <v>45669</v>
      </c>
      <c r="D1882" t="inlineStr">
        <is>
          <t>VÄSTERNORRLANDS LÄN</t>
        </is>
      </c>
      <c r="E1882" t="inlineStr">
        <is>
          <t>SOLLEFTEÅ</t>
        </is>
      </c>
      <c r="F1882" t="inlineStr">
        <is>
          <t>SCA</t>
        </is>
      </c>
      <c r="G1882" t="n">
        <v>23.1</v>
      </c>
      <c r="H1882" t="n">
        <v>0</v>
      </c>
      <c r="I1882" t="n">
        <v>0</v>
      </c>
      <c r="J1882" t="n">
        <v>0</v>
      </c>
      <c r="K1882" t="n">
        <v>0</v>
      </c>
      <c r="L1882" t="n">
        <v>0</v>
      </c>
      <c r="M1882" t="n">
        <v>0</v>
      </c>
      <c r="N1882" t="n">
        <v>0</v>
      </c>
      <c r="O1882" t="n">
        <v>0</v>
      </c>
      <c r="P1882" t="n">
        <v>0</v>
      </c>
      <c r="Q1882" t="n">
        <v>0</v>
      </c>
      <c r="R1882" s="2" t="inlineStr"/>
    </row>
    <row r="1883" ht="15" customHeight="1">
      <c r="A1883" t="inlineStr">
        <is>
          <t>A 11831-2023</t>
        </is>
      </c>
      <c r="B1883" s="1" t="n">
        <v>44994</v>
      </c>
      <c r="C1883" s="1" t="n">
        <v>45669</v>
      </c>
      <c r="D1883" t="inlineStr">
        <is>
          <t>VÄSTERNORRLANDS LÄN</t>
        </is>
      </c>
      <c r="E1883" t="inlineStr">
        <is>
          <t>SOLLEFTEÅ</t>
        </is>
      </c>
      <c r="F1883" t="inlineStr">
        <is>
          <t>SCA</t>
        </is>
      </c>
      <c r="G1883" t="n">
        <v>14.8</v>
      </c>
      <c r="H1883" t="n">
        <v>0</v>
      </c>
      <c r="I1883" t="n">
        <v>0</v>
      </c>
      <c r="J1883" t="n">
        <v>0</v>
      </c>
      <c r="K1883" t="n">
        <v>0</v>
      </c>
      <c r="L1883" t="n">
        <v>0</v>
      </c>
      <c r="M1883" t="n">
        <v>0</v>
      </c>
      <c r="N1883" t="n">
        <v>0</v>
      </c>
      <c r="O1883" t="n">
        <v>0</v>
      </c>
      <c r="P1883" t="n">
        <v>0</v>
      </c>
      <c r="Q1883" t="n">
        <v>0</v>
      </c>
      <c r="R1883" s="2" t="inlineStr"/>
    </row>
    <row r="1884" ht="15" customHeight="1">
      <c r="A1884" t="inlineStr">
        <is>
          <t>A 12107-2023</t>
        </is>
      </c>
      <c r="B1884" s="1" t="n">
        <v>44995</v>
      </c>
      <c r="C1884" s="1" t="n">
        <v>45669</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12135-2023</t>
        </is>
      </c>
      <c r="B1885" s="1" t="n">
        <v>44995</v>
      </c>
      <c r="C1885" s="1" t="n">
        <v>45669</v>
      </c>
      <c r="D1885" t="inlineStr">
        <is>
          <t>VÄSTERNORRLANDS LÄN</t>
        </is>
      </c>
      <c r="E1885" t="inlineStr">
        <is>
          <t>SOLLEFTEÅ</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12038-2023</t>
        </is>
      </c>
      <c r="B1886" s="1" t="n">
        <v>44996</v>
      </c>
      <c r="C1886" s="1" t="n">
        <v>45669</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12053-2023</t>
        </is>
      </c>
      <c r="B1887" s="1" t="n">
        <v>44996</v>
      </c>
      <c r="C1887" s="1" t="n">
        <v>45669</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12129-2023</t>
        </is>
      </c>
      <c r="B1888" s="1" t="n">
        <v>44995</v>
      </c>
      <c r="C1888" s="1" t="n">
        <v>45669</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12164-2023</t>
        </is>
      </c>
      <c r="B1889" s="1" t="n">
        <v>44995</v>
      </c>
      <c r="C1889" s="1" t="n">
        <v>45669</v>
      </c>
      <c r="D1889" t="inlineStr">
        <is>
          <t>VÄSTERNORRLANDS LÄN</t>
        </is>
      </c>
      <c r="E1889" t="inlineStr">
        <is>
          <t>SOLLEFTEÅ</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12311-2023</t>
        </is>
      </c>
      <c r="B1890" s="1" t="n">
        <v>44995</v>
      </c>
      <c r="C1890" s="1" t="n">
        <v>45669</v>
      </c>
      <c r="D1890" t="inlineStr">
        <is>
          <t>VÄSTERNORRLANDS LÄN</t>
        </is>
      </c>
      <c r="E1890" t="inlineStr">
        <is>
          <t>SOLLEFTEÅ</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12054-2023</t>
        </is>
      </c>
      <c r="B1891" s="1" t="n">
        <v>44996</v>
      </c>
      <c r="C1891" s="1" t="n">
        <v>45669</v>
      </c>
      <c r="D1891" t="inlineStr">
        <is>
          <t>VÄSTERNORRLANDS LÄN</t>
        </is>
      </c>
      <c r="E1891" t="inlineStr">
        <is>
          <t>SOLLEFTEÅ</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12045-2023</t>
        </is>
      </c>
      <c r="B1892" s="1" t="n">
        <v>44996</v>
      </c>
      <c r="C1892" s="1" t="n">
        <v>45669</v>
      </c>
      <c r="D1892" t="inlineStr">
        <is>
          <t>VÄSTERNORRLANDS LÄN</t>
        </is>
      </c>
      <c r="E1892" t="inlineStr">
        <is>
          <t>SOLLEFTEÅ</t>
        </is>
      </c>
      <c r="F1892" t="inlineStr">
        <is>
          <t>SCA</t>
        </is>
      </c>
      <c r="G1892" t="n">
        <v>16.4</v>
      </c>
      <c r="H1892" t="n">
        <v>0</v>
      </c>
      <c r="I1892" t="n">
        <v>0</v>
      </c>
      <c r="J1892" t="n">
        <v>0</v>
      </c>
      <c r="K1892" t="n">
        <v>0</v>
      </c>
      <c r="L1892" t="n">
        <v>0</v>
      </c>
      <c r="M1892" t="n">
        <v>0</v>
      </c>
      <c r="N1892" t="n">
        <v>0</v>
      </c>
      <c r="O1892" t="n">
        <v>0</v>
      </c>
      <c r="P1892" t="n">
        <v>0</v>
      </c>
      <c r="Q1892" t="n">
        <v>0</v>
      </c>
      <c r="R1892" s="2" t="inlineStr"/>
    </row>
    <row r="1893" ht="15" customHeight="1">
      <c r="A1893" t="inlineStr">
        <is>
          <t>A 12429-2023</t>
        </is>
      </c>
      <c r="B1893" s="1" t="n">
        <v>44998</v>
      </c>
      <c r="C1893" s="1" t="n">
        <v>45669</v>
      </c>
      <c r="D1893" t="inlineStr">
        <is>
          <t>VÄSTERNORRLANDS LÄN</t>
        </is>
      </c>
      <c r="E1893" t="inlineStr">
        <is>
          <t>SOLLEFTEÅ</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12515-2023</t>
        </is>
      </c>
      <c r="B1894" s="1" t="n">
        <v>45000</v>
      </c>
      <c r="C1894" s="1" t="n">
        <v>45669</v>
      </c>
      <c r="D1894" t="inlineStr">
        <is>
          <t>VÄSTERNORRLANDS LÄN</t>
        </is>
      </c>
      <c r="E1894" t="inlineStr">
        <is>
          <t>SOLLEFTEÅ</t>
        </is>
      </c>
      <c r="F1894" t="inlineStr">
        <is>
          <t>SCA</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12726-2023</t>
        </is>
      </c>
      <c r="B1895" s="1" t="n">
        <v>45000</v>
      </c>
      <c r="C1895" s="1" t="n">
        <v>45669</v>
      </c>
      <c r="D1895" t="inlineStr">
        <is>
          <t>VÄSTERNORRLANDS LÄN</t>
        </is>
      </c>
      <c r="E1895" t="inlineStr">
        <is>
          <t>SOLLEFTEÅ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12512-2023</t>
        </is>
      </c>
      <c r="B1896" s="1" t="n">
        <v>45000</v>
      </c>
      <c r="C1896" s="1" t="n">
        <v>45669</v>
      </c>
      <c r="D1896" t="inlineStr">
        <is>
          <t>VÄSTERNORRLANDS LÄN</t>
        </is>
      </c>
      <c r="E1896" t="inlineStr">
        <is>
          <t>SOLLEFTEÅ</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12536-2023</t>
        </is>
      </c>
      <c r="B1897" s="1" t="n">
        <v>45000</v>
      </c>
      <c r="C1897" s="1" t="n">
        <v>45669</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12540-2023</t>
        </is>
      </c>
      <c r="B1898" s="1" t="n">
        <v>45000</v>
      </c>
      <c r="C1898" s="1" t="n">
        <v>45669</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12730-2023</t>
        </is>
      </c>
      <c r="B1899" s="1" t="n">
        <v>45000</v>
      </c>
      <c r="C1899" s="1" t="n">
        <v>45669</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12735-2023</t>
        </is>
      </c>
      <c r="B1900" s="1" t="n">
        <v>45000</v>
      </c>
      <c r="C1900" s="1" t="n">
        <v>45669</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12539-2023</t>
        </is>
      </c>
      <c r="B1901" s="1" t="n">
        <v>45000</v>
      </c>
      <c r="C1901" s="1" t="n">
        <v>45669</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12727-2023</t>
        </is>
      </c>
      <c r="B1902" s="1" t="n">
        <v>45000</v>
      </c>
      <c r="C1902" s="1" t="n">
        <v>45669</v>
      </c>
      <c r="D1902" t="inlineStr">
        <is>
          <t>VÄSTERNORRLANDS LÄN</t>
        </is>
      </c>
      <c r="E1902" t="inlineStr">
        <is>
          <t>SOLLEFTEÅ</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12733-2023</t>
        </is>
      </c>
      <c r="B1903" s="1" t="n">
        <v>45000</v>
      </c>
      <c r="C1903" s="1" t="n">
        <v>45669</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12747-2023</t>
        </is>
      </c>
      <c r="B1904" s="1" t="n">
        <v>45000</v>
      </c>
      <c r="C1904" s="1" t="n">
        <v>45669</v>
      </c>
      <c r="D1904" t="inlineStr">
        <is>
          <t>VÄSTERNORRLANDS LÄN</t>
        </is>
      </c>
      <c r="E1904" t="inlineStr">
        <is>
          <t>SOLLEFTEÅ</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12734-2023</t>
        </is>
      </c>
      <c r="B1905" s="1" t="n">
        <v>45000</v>
      </c>
      <c r="C1905" s="1" t="n">
        <v>45669</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12752-2023</t>
        </is>
      </c>
      <c r="B1906" s="1" t="n">
        <v>45000</v>
      </c>
      <c r="C1906" s="1" t="n">
        <v>45669</v>
      </c>
      <c r="D1906" t="inlineStr">
        <is>
          <t>VÄSTERNORRLANDS LÄN</t>
        </is>
      </c>
      <c r="E1906" t="inlineStr">
        <is>
          <t>SOLLEFTEÅ</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12746-2023</t>
        </is>
      </c>
      <c r="B1907" s="1" t="n">
        <v>45000</v>
      </c>
      <c r="C1907" s="1" t="n">
        <v>45669</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12755-2023</t>
        </is>
      </c>
      <c r="B1908" s="1" t="n">
        <v>45000</v>
      </c>
      <c r="C1908" s="1" t="n">
        <v>45669</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12820-2023</t>
        </is>
      </c>
      <c r="B1909" s="1" t="n">
        <v>45000</v>
      </c>
      <c r="C1909" s="1" t="n">
        <v>45669</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12972-2023</t>
        </is>
      </c>
      <c r="B1910" s="1" t="n">
        <v>45001</v>
      </c>
      <c r="C1910" s="1" t="n">
        <v>45669</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13066-2023</t>
        </is>
      </c>
      <c r="B1911" s="1" t="n">
        <v>45001</v>
      </c>
      <c r="C1911" s="1" t="n">
        <v>45669</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13050-2023</t>
        </is>
      </c>
      <c r="B1912" s="1" t="n">
        <v>45001</v>
      </c>
      <c r="C1912" s="1" t="n">
        <v>45669</v>
      </c>
      <c r="D1912" t="inlineStr">
        <is>
          <t>VÄSTERNORRLANDS LÄN</t>
        </is>
      </c>
      <c r="E1912" t="inlineStr">
        <is>
          <t>SOLLEFTEÅ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12996-2023</t>
        </is>
      </c>
      <c r="B1913" s="1" t="n">
        <v>45002</v>
      </c>
      <c r="C1913" s="1" t="n">
        <v>45669</v>
      </c>
      <c r="D1913" t="inlineStr">
        <is>
          <t>VÄSTERNORRLANDS LÄN</t>
        </is>
      </c>
      <c r="E1913" t="inlineStr">
        <is>
          <t>SOLLEFTEÅ</t>
        </is>
      </c>
      <c r="F1913" t="inlineStr">
        <is>
          <t>SCA</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13009-2023</t>
        </is>
      </c>
      <c r="B1914" s="1" t="n">
        <v>45002</v>
      </c>
      <c r="C1914" s="1" t="n">
        <v>45669</v>
      </c>
      <c r="D1914" t="inlineStr">
        <is>
          <t>VÄSTERNORRLANDS LÄN</t>
        </is>
      </c>
      <c r="E1914" t="inlineStr">
        <is>
          <t>SOLLEFTEÅ</t>
        </is>
      </c>
      <c r="F1914" t="inlineStr">
        <is>
          <t>SCA</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13006-2023</t>
        </is>
      </c>
      <c r="B1915" s="1" t="n">
        <v>45002</v>
      </c>
      <c r="C1915" s="1" t="n">
        <v>45669</v>
      </c>
      <c r="D1915" t="inlineStr">
        <is>
          <t>VÄSTERNORRLANDS LÄN</t>
        </is>
      </c>
      <c r="E1915" t="inlineStr">
        <is>
          <t>SOLLEFTEÅ</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12983-2023</t>
        </is>
      </c>
      <c r="B1916" s="1" t="n">
        <v>45002</v>
      </c>
      <c r="C1916" s="1" t="n">
        <v>45669</v>
      </c>
      <c r="D1916" t="inlineStr">
        <is>
          <t>VÄSTERNORRLANDS LÄN</t>
        </is>
      </c>
      <c r="E1916" t="inlineStr">
        <is>
          <t>SOLLEFTEÅ</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13008-2023</t>
        </is>
      </c>
      <c r="B1917" s="1" t="n">
        <v>45002</v>
      </c>
      <c r="C1917" s="1" t="n">
        <v>45669</v>
      </c>
      <c r="D1917" t="inlineStr">
        <is>
          <t>VÄSTERNORRLANDS LÄN</t>
        </is>
      </c>
      <c r="E1917" t="inlineStr">
        <is>
          <t>SOLLEFTEÅ</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13007-2023</t>
        </is>
      </c>
      <c r="B1918" s="1" t="n">
        <v>45002</v>
      </c>
      <c r="C1918" s="1" t="n">
        <v>45669</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13252-2023</t>
        </is>
      </c>
      <c r="B1919" s="1" t="n">
        <v>45002</v>
      </c>
      <c r="C1919" s="1" t="n">
        <v>45669</v>
      </c>
      <c r="D1919" t="inlineStr">
        <is>
          <t>VÄSTERNORRLANDS LÄN</t>
        </is>
      </c>
      <c r="E1919" t="inlineStr">
        <is>
          <t>SOLLEFTEÅ</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13264-2023</t>
        </is>
      </c>
      <c r="B1920" s="1" t="n">
        <v>45002</v>
      </c>
      <c r="C1920" s="1" t="n">
        <v>45669</v>
      </c>
      <c r="D1920" t="inlineStr">
        <is>
          <t>VÄSTERNORRLANDS LÄN</t>
        </is>
      </c>
      <c r="E1920" t="inlineStr">
        <is>
          <t>SOLLEFTEÅ</t>
        </is>
      </c>
      <c r="F1920" t="inlineStr">
        <is>
          <t>SCA</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13292-2023</t>
        </is>
      </c>
      <c r="B1921" s="1" t="n">
        <v>45004</v>
      </c>
      <c r="C1921" s="1" t="n">
        <v>45669</v>
      </c>
      <c r="D1921" t="inlineStr">
        <is>
          <t>VÄSTERNORRLANDS LÄN</t>
        </is>
      </c>
      <c r="E1921" t="inlineStr">
        <is>
          <t>SOLLEFTEÅ</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13489-2023</t>
        </is>
      </c>
      <c r="B1922" s="1" t="n">
        <v>45005</v>
      </c>
      <c r="C1922" s="1" t="n">
        <v>45669</v>
      </c>
      <c r="D1922" t="inlineStr">
        <is>
          <t>VÄSTERNORRLANDS LÄN</t>
        </is>
      </c>
      <c r="E1922" t="inlineStr">
        <is>
          <t>SOLLEFTEÅ</t>
        </is>
      </c>
      <c r="F1922" t="inlineStr">
        <is>
          <t>SCA</t>
        </is>
      </c>
      <c r="G1922" t="n">
        <v>26.3</v>
      </c>
      <c r="H1922" t="n">
        <v>0</v>
      </c>
      <c r="I1922" t="n">
        <v>0</v>
      </c>
      <c r="J1922" t="n">
        <v>0</v>
      </c>
      <c r="K1922" t="n">
        <v>0</v>
      </c>
      <c r="L1922" t="n">
        <v>0</v>
      </c>
      <c r="M1922" t="n">
        <v>0</v>
      </c>
      <c r="N1922" t="n">
        <v>0</v>
      </c>
      <c r="O1922" t="n">
        <v>0</v>
      </c>
      <c r="P1922" t="n">
        <v>0</v>
      </c>
      <c r="Q1922" t="n">
        <v>0</v>
      </c>
      <c r="R1922" s="2" t="inlineStr"/>
    </row>
    <row r="1923" ht="15" customHeight="1">
      <c r="A1923" t="inlineStr">
        <is>
          <t>A 13487-2023</t>
        </is>
      </c>
      <c r="B1923" s="1" t="n">
        <v>45005</v>
      </c>
      <c r="C1923" s="1" t="n">
        <v>45669</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13521-2023</t>
        </is>
      </c>
      <c r="B1924" s="1" t="n">
        <v>45005</v>
      </c>
      <c r="C1924" s="1" t="n">
        <v>45669</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13567-2023</t>
        </is>
      </c>
      <c r="B1925" s="1" t="n">
        <v>45005</v>
      </c>
      <c r="C1925" s="1" t="n">
        <v>45669</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13570-2023</t>
        </is>
      </c>
      <c r="B1926" s="1" t="n">
        <v>45005</v>
      </c>
      <c r="C1926" s="1" t="n">
        <v>45669</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13499-2023</t>
        </is>
      </c>
      <c r="B1927" s="1" t="n">
        <v>45005</v>
      </c>
      <c r="C1927" s="1" t="n">
        <v>45669</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13565-2023</t>
        </is>
      </c>
      <c r="B1928" s="1" t="n">
        <v>45005</v>
      </c>
      <c r="C1928" s="1" t="n">
        <v>45669</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13689-2023</t>
        </is>
      </c>
      <c r="B1929" s="1" t="n">
        <v>45006</v>
      </c>
      <c r="C1929" s="1" t="n">
        <v>45669</v>
      </c>
      <c r="D1929" t="inlineStr">
        <is>
          <t>VÄSTERNORRLANDS LÄN</t>
        </is>
      </c>
      <c r="E1929" t="inlineStr">
        <is>
          <t>SOLLEFTEÅ</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13695-2023</t>
        </is>
      </c>
      <c r="B1930" s="1" t="n">
        <v>45006</v>
      </c>
      <c r="C1930" s="1" t="n">
        <v>45669</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13697-2023</t>
        </is>
      </c>
      <c r="B1931" s="1" t="n">
        <v>45006</v>
      </c>
      <c r="C1931" s="1" t="n">
        <v>45669</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14109-2023</t>
        </is>
      </c>
      <c r="B1932" s="1" t="n">
        <v>45008</v>
      </c>
      <c r="C1932" s="1" t="n">
        <v>45669</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14134-2023</t>
        </is>
      </c>
      <c r="B1933" s="1" t="n">
        <v>45008</v>
      </c>
      <c r="C1933" s="1" t="n">
        <v>45669</v>
      </c>
      <c r="D1933" t="inlineStr">
        <is>
          <t>VÄSTERNORRLANDS LÄN</t>
        </is>
      </c>
      <c r="E1933" t="inlineStr">
        <is>
          <t>SOLLEFTEÅ</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14718-2023</t>
        </is>
      </c>
      <c r="B1934" s="1" t="n">
        <v>45012</v>
      </c>
      <c r="C1934" s="1" t="n">
        <v>45669</v>
      </c>
      <c r="D1934" t="inlineStr">
        <is>
          <t>VÄSTERNORRLANDS LÄN</t>
        </is>
      </c>
      <c r="E1934" t="inlineStr">
        <is>
          <t>SOLLEFTEÅ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14675-2023</t>
        </is>
      </c>
      <c r="B1935" s="1" t="n">
        <v>45014</v>
      </c>
      <c r="C1935" s="1" t="n">
        <v>45669</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14668-2023</t>
        </is>
      </c>
      <c r="B1936" s="1" t="n">
        <v>45014</v>
      </c>
      <c r="C1936" s="1" t="n">
        <v>45669</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14937-2023</t>
        </is>
      </c>
      <c r="B1937" s="1" t="n">
        <v>45014</v>
      </c>
      <c r="C1937" s="1" t="n">
        <v>45669</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14859-2023</t>
        </is>
      </c>
      <c r="B1938" s="1" t="n">
        <v>45015</v>
      </c>
      <c r="C1938" s="1" t="n">
        <v>45669</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14875-2023</t>
        </is>
      </c>
      <c r="B1939" s="1" t="n">
        <v>45015</v>
      </c>
      <c r="C1939" s="1" t="n">
        <v>45669</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15080-2023</t>
        </is>
      </c>
      <c r="B1940" s="1" t="n">
        <v>45016</v>
      </c>
      <c r="C1940" s="1" t="n">
        <v>45669</v>
      </c>
      <c r="D1940" t="inlineStr">
        <is>
          <t>VÄSTERNORRLANDS LÄN</t>
        </is>
      </c>
      <c r="E1940" t="inlineStr">
        <is>
          <t>SOLLEFTEÅ</t>
        </is>
      </c>
      <c r="F1940" t="inlineStr">
        <is>
          <t>SCA</t>
        </is>
      </c>
      <c r="G1940" t="n">
        <v>33.6</v>
      </c>
      <c r="H1940" t="n">
        <v>0</v>
      </c>
      <c r="I1940" t="n">
        <v>0</v>
      </c>
      <c r="J1940" t="n">
        <v>0</v>
      </c>
      <c r="K1940" t="n">
        <v>0</v>
      </c>
      <c r="L1940" t="n">
        <v>0</v>
      </c>
      <c r="M1940" t="n">
        <v>0</v>
      </c>
      <c r="N1940" t="n">
        <v>0</v>
      </c>
      <c r="O1940" t="n">
        <v>0</v>
      </c>
      <c r="P1940" t="n">
        <v>0</v>
      </c>
      <c r="Q1940" t="n">
        <v>0</v>
      </c>
      <c r="R1940" s="2" t="inlineStr"/>
    </row>
    <row r="1941" ht="15" customHeight="1">
      <c r="A1941" t="inlineStr">
        <is>
          <t>A 15632-2023</t>
        </is>
      </c>
      <c r="B1941" s="1" t="n">
        <v>45019</v>
      </c>
      <c r="C1941" s="1" t="n">
        <v>45669</v>
      </c>
      <c r="D1941" t="inlineStr">
        <is>
          <t>VÄSTERNORRLANDS LÄN</t>
        </is>
      </c>
      <c r="E1941" t="inlineStr">
        <is>
          <t>SOLLEFTEÅ</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15723-2023</t>
        </is>
      </c>
      <c r="B1942" s="1" t="n">
        <v>45020</v>
      </c>
      <c r="C1942" s="1" t="n">
        <v>45669</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15978-2023</t>
        </is>
      </c>
      <c r="B1943" s="1" t="n">
        <v>45023</v>
      </c>
      <c r="C1943" s="1" t="n">
        <v>45669</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15987-2023</t>
        </is>
      </c>
      <c r="B1944" s="1" t="n">
        <v>45023</v>
      </c>
      <c r="C1944" s="1" t="n">
        <v>45669</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15998-2023</t>
        </is>
      </c>
      <c r="B1945" s="1" t="n">
        <v>45024</v>
      </c>
      <c r="C1945" s="1" t="n">
        <v>45669</v>
      </c>
      <c r="D1945" t="inlineStr">
        <is>
          <t>VÄSTERNORRLANDS LÄN</t>
        </is>
      </c>
      <c r="E1945" t="inlineStr">
        <is>
          <t>SOLLEFTEÅ</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16189-2023</t>
        </is>
      </c>
      <c r="B1946" s="1" t="n">
        <v>45028</v>
      </c>
      <c r="C1946" s="1" t="n">
        <v>45669</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16190-2023</t>
        </is>
      </c>
      <c r="B1947" s="1" t="n">
        <v>45028</v>
      </c>
      <c r="C1947" s="1" t="n">
        <v>45669</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16196-2023</t>
        </is>
      </c>
      <c r="B1948" s="1" t="n">
        <v>45028</v>
      </c>
      <c r="C1948" s="1" t="n">
        <v>45669</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16370-2023</t>
        </is>
      </c>
      <c r="B1949" s="1" t="n">
        <v>45029</v>
      </c>
      <c r="C1949" s="1" t="n">
        <v>45669</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16376-2023</t>
        </is>
      </c>
      <c r="B1950" s="1" t="n">
        <v>45029</v>
      </c>
      <c r="C1950" s="1" t="n">
        <v>45669</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16562-2023</t>
        </is>
      </c>
      <c r="B1951" s="1" t="n">
        <v>45029</v>
      </c>
      <c r="C1951" s="1" t="n">
        <v>45669</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16760-2023</t>
        </is>
      </c>
      <c r="B1952" s="1" t="n">
        <v>45030</v>
      </c>
      <c r="C1952" s="1" t="n">
        <v>45669</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17007-2023</t>
        </is>
      </c>
      <c r="B1953" s="1" t="n">
        <v>45034</v>
      </c>
      <c r="C1953" s="1" t="n">
        <v>45669</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17064-2023</t>
        </is>
      </c>
      <c r="B1954" s="1" t="n">
        <v>45034</v>
      </c>
      <c r="C1954" s="1" t="n">
        <v>45669</v>
      </c>
      <c r="D1954" t="inlineStr">
        <is>
          <t>VÄSTERNORRLANDS LÄN</t>
        </is>
      </c>
      <c r="E1954" t="inlineStr">
        <is>
          <t>SOLLEFTEÅ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17218-2023</t>
        </is>
      </c>
      <c r="B1955" s="1" t="n">
        <v>45035</v>
      </c>
      <c r="C1955" s="1" t="n">
        <v>45669</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17219-2023</t>
        </is>
      </c>
      <c r="B1956" s="1" t="n">
        <v>45034</v>
      </c>
      <c r="C1956" s="1" t="n">
        <v>45669</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17416-2023</t>
        </is>
      </c>
      <c r="B1957" s="1" t="n">
        <v>45036</v>
      </c>
      <c r="C1957" s="1" t="n">
        <v>45669</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17683-2023</t>
        </is>
      </c>
      <c r="B1958" s="1" t="n">
        <v>45035</v>
      </c>
      <c r="C1958" s="1" t="n">
        <v>45669</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45037</v>
      </c>
      <c r="C1959" s="1" t="n">
        <v>45669</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18149-2023</t>
        </is>
      </c>
      <c r="B1960" s="1" t="n">
        <v>45040</v>
      </c>
      <c r="C1960" s="1" t="n">
        <v>45669</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18160-2023</t>
        </is>
      </c>
      <c r="B1961" s="1" t="n">
        <v>45040</v>
      </c>
      <c r="C1961" s="1" t="n">
        <v>45669</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18167-2023</t>
        </is>
      </c>
      <c r="B1962" s="1" t="n">
        <v>45040</v>
      </c>
      <c r="C1962" s="1" t="n">
        <v>45669</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18459-2023</t>
        </is>
      </c>
      <c r="B1963" s="1" t="n">
        <v>45041</v>
      </c>
      <c r="C1963" s="1" t="n">
        <v>45669</v>
      </c>
      <c r="D1963" t="inlineStr">
        <is>
          <t>VÄSTERNORRLANDS LÄN</t>
        </is>
      </c>
      <c r="E1963" t="inlineStr">
        <is>
          <t>SOLLEFTEÅ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18378-2023</t>
        </is>
      </c>
      <c r="B1964" s="1" t="n">
        <v>45041</v>
      </c>
      <c r="C1964" s="1" t="n">
        <v>45669</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18456-2023</t>
        </is>
      </c>
      <c r="B1965" s="1" t="n">
        <v>45041</v>
      </c>
      <c r="C1965" s="1" t="n">
        <v>45669</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18861-2023</t>
        </is>
      </c>
      <c r="B1966" s="1" t="n">
        <v>45042</v>
      </c>
      <c r="C1966" s="1" t="n">
        <v>45669</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18762-2023</t>
        </is>
      </c>
      <c r="B1967" s="1" t="n">
        <v>45043</v>
      </c>
      <c r="C1967" s="1" t="n">
        <v>45669</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18781-2023</t>
        </is>
      </c>
      <c r="B1968" s="1" t="n">
        <v>45043</v>
      </c>
      <c r="C1968" s="1" t="n">
        <v>45669</v>
      </c>
      <c r="D1968" t="inlineStr">
        <is>
          <t>VÄSTERNORRLANDS LÄN</t>
        </is>
      </c>
      <c r="E1968" t="inlineStr">
        <is>
          <t>SOLLEFTEÅ</t>
        </is>
      </c>
      <c r="F1968" t="inlineStr">
        <is>
          <t>SCA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18785-2023</t>
        </is>
      </c>
      <c r="B1969" s="1" t="n">
        <v>45043</v>
      </c>
      <c r="C1969" s="1" t="n">
        <v>45669</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18753-2023</t>
        </is>
      </c>
      <c r="B1970" s="1" t="n">
        <v>45044</v>
      </c>
      <c r="C1970" s="1" t="n">
        <v>45669</v>
      </c>
      <c r="D1970" t="inlineStr">
        <is>
          <t>VÄSTERNORRLANDS LÄN</t>
        </is>
      </c>
      <c r="E1970" t="inlineStr">
        <is>
          <t>SOLLEFTEÅ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18761-2023</t>
        </is>
      </c>
      <c r="B1971" s="1" t="n">
        <v>45043</v>
      </c>
      <c r="C1971" s="1" t="n">
        <v>45669</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18782-2023</t>
        </is>
      </c>
      <c r="B1972" s="1" t="n">
        <v>45044</v>
      </c>
      <c r="C1972" s="1" t="n">
        <v>45669</v>
      </c>
      <c r="D1972" t="inlineStr">
        <is>
          <t>VÄSTERNORRLANDS LÄN</t>
        </is>
      </c>
      <c r="E1972" t="inlineStr">
        <is>
          <t>SOLLEFTEÅ</t>
        </is>
      </c>
      <c r="F1972" t="inlineStr">
        <is>
          <t>SCA</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18786-2023</t>
        </is>
      </c>
      <c r="B1973" s="1" t="n">
        <v>45043</v>
      </c>
      <c r="C1973" s="1" t="n">
        <v>45669</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18755-2023</t>
        </is>
      </c>
      <c r="B1974" s="1" t="n">
        <v>45043</v>
      </c>
      <c r="C1974" s="1" t="n">
        <v>45669</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18780-2023</t>
        </is>
      </c>
      <c r="B1975" s="1" t="n">
        <v>45044</v>
      </c>
      <c r="C1975" s="1" t="n">
        <v>45669</v>
      </c>
      <c r="D1975" t="inlineStr">
        <is>
          <t>VÄSTERNORRLANDS LÄN</t>
        </is>
      </c>
      <c r="E1975" t="inlineStr">
        <is>
          <t>SOLLEFTEÅ</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18784-2023</t>
        </is>
      </c>
      <c r="B1976" s="1" t="n">
        <v>45044</v>
      </c>
      <c r="C1976" s="1" t="n">
        <v>45669</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18980-2023</t>
        </is>
      </c>
      <c r="B1977" s="1" t="n">
        <v>45044</v>
      </c>
      <c r="C1977" s="1" t="n">
        <v>45669</v>
      </c>
      <c r="D1977" t="inlineStr">
        <is>
          <t>VÄSTERNORRLANDS LÄN</t>
        </is>
      </c>
      <c r="E1977" t="inlineStr">
        <is>
          <t>SOLLEFTEÅ</t>
        </is>
      </c>
      <c r="F1977" t="inlineStr">
        <is>
          <t>Övriga statliga verk och myndigheter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18989-2023</t>
        </is>
      </c>
      <c r="B1978" s="1" t="n">
        <v>45044</v>
      </c>
      <c r="C1978" s="1" t="n">
        <v>45669</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19154-2023</t>
        </is>
      </c>
      <c r="B1979" s="1" t="n">
        <v>45044</v>
      </c>
      <c r="C1979" s="1" t="n">
        <v>45669</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19433-2023</t>
        </is>
      </c>
      <c r="B1980" s="1" t="n">
        <v>45049</v>
      </c>
      <c r="C1980" s="1" t="n">
        <v>45669</v>
      </c>
      <c r="D1980" t="inlineStr">
        <is>
          <t>VÄSTERNORRLANDS LÄN</t>
        </is>
      </c>
      <c r="E1980" t="inlineStr">
        <is>
          <t>SOLLEFTEÅ</t>
        </is>
      </c>
      <c r="F1980" t="inlineStr">
        <is>
          <t>SCA</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19434-2023</t>
        </is>
      </c>
      <c r="B1981" s="1" t="n">
        <v>45049</v>
      </c>
      <c r="C1981" s="1" t="n">
        <v>45669</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19609-2023</t>
        </is>
      </c>
      <c r="B1982" s="1" t="n">
        <v>45050</v>
      </c>
      <c r="C1982" s="1" t="n">
        <v>45669</v>
      </c>
      <c r="D1982" t="inlineStr">
        <is>
          <t>VÄSTERNORRLANDS LÄN</t>
        </is>
      </c>
      <c r="E1982" t="inlineStr">
        <is>
          <t>SOLLEFTEÅ</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19610-2023</t>
        </is>
      </c>
      <c r="B1983" s="1" t="n">
        <v>45050</v>
      </c>
      <c r="C1983" s="1" t="n">
        <v>45669</v>
      </c>
      <c r="D1983" t="inlineStr">
        <is>
          <t>VÄSTERNORRLANDS LÄN</t>
        </is>
      </c>
      <c r="E1983" t="inlineStr">
        <is>
          <t>SOLLEFTEÅ</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19615-2023</t>
        </is>
      </c>
      <c r="B1984" s="1" t="n">
        <v>45051</v>
      </c>
      <c r="C1984" s="1" t="n">
        <v>45669</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19625-2023</t>
        </is>
      </c>
      <c r="B1985" s="1" t="n">
        <v>45050</v>
      </c>
      <c r="C1985" s="1" t="n">
        <v>45669</v>
      </c>
      <c r="D1985" t="inlineStr">
        <is>
          <t>VÄSTERNORRLANDS LÄN</t>
        </is>
      </c>
      <c r="E1985" t="inlineStr">
        <is>
          <t>SOLLEFTEÅ</t>
        </is>
      </c>
      <c r="F1985" t="inlineStr">
        <is>
          <t>SCA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19614-2023</t>
        </is>
      </c>
      <c r="B1986" s="1" t="n">
        <v>45050</v>
      </c>
      <c r="C1986" s="1" t="n">
        <v>45669</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19816-2023</t>
        </is>
      </c>
      <c r="B1987" s="1" t="n">
        <v>45052</v>
      </c>
      <c r="C1987" s="1" t="n">
        <v>45669</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19829-2023</t>
        </is>
      </c>
      <c r="B1988" s="1" t="n">
        <v>45052</v>
      </c>
      <c r="C1988" s="1" t="n">
        <v>45669</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19830-2023</t>
        </is>
      </c>
      <c r="B1989" s="1" t="n">
        <v>45052</v>
      </c>
      <c r="C1989" s="1" t="n">
        <v>45669</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20089-2023</t>
        </is>
      </c>
      <c r="B1990" s="1" t="n">
        <v>45055</v>
      </c>
      <c r="C1990" s="1" t="n">
        <v>45669</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20269-2023</t>
        </is>
      </c>
      <c r="B1991" s="1" t="n">
        <v>45055</v>
      </c>
      <c r="C1991" s="1" t="n">
        <v>45669</v>
      </c>
      <c r="D1991" t="inlineStr">
        <is>
          <t>VÄSTERNORRLANDS LÄN</t>
        </is>
      </c>
      <c r="E1991" t="inlineStr">
        <is>
          <t>SOLLEFTEÅ</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20268-2023</t>
        </is>
      </c>
      <c r="B1992" s="1" t="n">
        <v>45055</v>
      </c>
      <c r="C1992" s="1" t="n">
        <v>45669</v>
      </c>
      <c r="D1992" t="inlineStr">
        <is>
          <t>VÄSTERNORRLANDS LÄN</t>
        </is>
      </c>
      <c r="E1992" t="inlineStr">
        <is>
          <t>SOLLEFTEÅ</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20266-2023</t>
        </is>
      </c>
      <c r="B1993" s="1" t="n">
        <v>45055</v>
      </c>
      <c r="C1993" s="1" t="n">
        <v>45669</v>
      </c>
      <c r="D1993" t="inlineStr">
        <is>
          <t>VÄSTERNORRLANDS LÄN</t>
        </is>
      </c>
      <c r="E1993" t="inlineStr">
        <is>
          <t>SOLLEFTEÅ</t>
        </is>
      </c>
      <c r="F1993" t="inlineStr">
        <is>
          <t>SCA</t>
        </is>
      </c>
      <c r="G1993" t="n">
        <v>21.3</v>
      </c>
      <c r="H1993" t="n">
        <v>0</v>
      </c>
      <c r="I1993" t="n">
        <v>0</v>
      </c>
      <c r="J1993" t="n">
        <v>0</v>
      </c>
      <c r="K1993" t="n">
        <v>0</v>
      </c>
      <c r="L1993" t="n">
        <v>0</v>
      </c>
      <c r="M1993" t="n">
        <v>0</v>
      </c>
      <c r="N1993" t="n">
        <v>0</v>
      </c>
      <c r="O1993" t="n">
        <v>0</v>
      </c>
      <c r="P1993" t="n">
        <v>0</v>
      </c>
      <c r="Q1993" t="n">
        <v>0</v>
      </c>
      <c r="R1993" s="2" t="inlineStr"/>
    </row>
    <row r="1994" ht="15" customHeight="1">
      <c r="A1994" t="inlineStr">
        <is>
          <t>A 20271-2023</t>
        </is>
      </c>
      <c r="B1994" s="1" t="n">
        <v>45056</v>
      </c>
      <c r="C1994" s="1" t="n">
        <v>45669</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20461-2023</t>
        </is>
      </c>
      <c r="B1995" s="1" t="n">
        <v>45057</v>
      </c>
      <c r="C1995" s="1" t="n">
        <v>45669</v>
      </c>
      <c r="D1995" t="inlineStr">
        <is>
          <t>VÄSTERNORRLANDS LÄN</t>
        </is>
      </c>
      <c r="E1995" t="inlineStr">
        <is>
          <t>SOLLEFTEÅ</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20460-2023</t>
        </is>
      </c>
      <c r="B1996" s="1" t="n">
        <v>45057</v>
      </c>
      <c r="C1996" s="1" t="n">
        <v>45669</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20599-2023</t>
        </is>
      </c>
      <c r="B1997" s="1" t="n">
        <v>45058</v>
      </c>
      <c r="C1997" s="1" t="n">
        <v>45669</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20598-2023</t>
        </is>
      </c>
      <c r="B1998" s="1" t="n">
        <v>45058</v>
      </c>
      <c r="C1998" s="1" t="n">
        <v>45669</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21195-2023</t>
        </is>
      </c>
      <c r="B1999" s="1" t="n">
        <v>45057</v>
      </c>
      <c r="C1999" s="1" t="n">
        <v>45669</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20629-2023</t>
        </is>
      </c>
      <c r="B2000" s="1" t="n">
        <v>45058</v>
      </c>
      <c r="C2000" s="1" t="n">
        <v>45669</v>
      </c>
      <c r="D2000" t="inlineStr">
        <is>
          <t>VÄSTERNORRLANDS LÄN</t>
        </is>
      </c>
      <c r="E2000" t="inlineStr">
        <is>
          <t>SOLLEFTEÅ</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20628-2023</t>
        </is>
      </c>
      <c r="B2001" s="1" t="n">
        <v>45058</v>
      </c>
      <c r="C2001" s="1" t="n">
        <v>45669</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21230-2023</t>
        </is>
      </c>
      <c r="B2002" s="1" t="n">
        <v>45057</v>
      </c>
      <c r="C2002" s="1" t="n">
        <v>45669</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20754-2023</t>
        </is>
      </c>
      <c r="B2003" s="1" t="n">
        <v>45058</v>
      </c>
      <c r="C2003" s="1" t="n">
        <v>45669</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20859-2023</t>
        </is>
      </c>
      <c r="B2004" s="1" t="n">
        <v>45059</v>
      </c>
      <c r="C2004" s="1" t="n">
        <v>45669</v>
      </c>
      <c r="D2004" t="inlineStr">
        <is>
          <t>VÄSTERNORRLANDS LÄN</t>
        </is>
      </c>
      <c r="E2004" t="inlineStr">
        <is>
          <t>SOLLEFTEÅ</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20862-2023</t>
        </is>
      </c>
      <c r="B2005" s="1" t="n">
        <v>45059</v>
      </c>
      <c r="C2005" s="1" t="n">
        <v>45669</v>
      </c>
      <c r="D2005" t="inlineStr">
        <is>
          <t>VÄSTERNORRLANDS LÄN</t>
        </is>
      </c>
      <c r="E2005" t="inlineStr">
        <is>
          <t>SOLLEFTEÅ</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20817-2023</t>
        </is>
      </c>
      <c r="B2006" s="1" t="n">
        <v>45058</v>
      </c>
      <c r="C2006" s="1" t="n">
        <v>45669</v>
      </c>
      <c r="D2006" t="inlineStr">
        <is>
          <t>VÄSTERNORRLANDS LÄN</t>
        </is>
      </c>
      <c r="E2006" t="inlineStr">
        <is>
          <t>SOLLEFTEÅ</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20873-2023</t>
        </is>
      </c>
      <c r="B2007" s="1" t="n">
        <v>45059</v>
      </c>
      <c r="C2007" s="1" t="n">
        <v>45669</v>
      </c>
      <c r="D2007" t="inlineStr">
        <is>
          <t>VÄSTERNORRLANDS LÄN</t>
        </is>
      </c>
      <c r="E2007" t="inlineStr">
        <is>
          <t>SOLLEFTEÅ</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20878-2023</t>
        </is>
      </c>
      <c r="B2008" s="1" t="n">
        <v>45059</v>
      </c>
      <c r="C2008" s="1" t="n">
        <v>45669</v>
      </c>
      <c r="D2008" t="inlineStr">
        <is>
          <t>VÄSTERNORRLANDS LÄN</t>
        </is>
      </c>
      <c r="E2008" t="inlineStr">
        <is>
          <t>SOLLEFTEÅ</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20872-2023</t>
        </is>
      </c>
      <c r="B2009" s="1" t="n">
        <v>45058</v>
      </c>
      <c r="C2009" s="1" t="n">
        <v>45669</v>
      </c>
      <c r="D2009" t="inlineStr">
        <is>
          <t>VÄSTERNORRLANDS LÄN</t>
        </is>
      </c>
      <c r="E2009" t="inlineStr">
        <is>
          <t>SOLLEFTEÅ</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21513-2023</t>
        </is>
      </c>
      <c r="B2010" s="1" t="n">
        <v>45061</v>
      </c>
      <c r="C2010" s="1" t="n">
        <v>45669</v>
      </c>
      <c r="D2010" t="inlineStr">
        <is>
          <t>VÄSTERNORRLANDS LÄN</t>
        </is>
      </c>
      <c r="E2010" t="inlineStr">
        <is>
          <t>SOLLEFTEÅ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21349-2023</t>
        </is>
      </c>
      <c r="B2011" s="1" t="n">
        <v>45063</v>
      </c>
      <c r="C2011" s="1" t="n">
        <v>45669</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21346-2023</t>
        </is>
      </c>
      <c r="B2012" s="1" t="n">
        <v>45063</v>
      </c>
      <c r="C2012" s="1" t="n">
        <v>45669</v>
      </c>
      <c r="D2012" t="inlineStr">
        <is>
          <t>VÄSTERNORRLANDS LÄN</t>
        </is>
      </c>
      <c r="E2012" t="inlineStr">
        <is>
          <t>SOLLEFTEÅ</t>
        </is>
      </c>
      <c r="F2012" t="inlineStr">
        <is>
          <t>SCA</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21340-2023</t>
        </is>
      </c>
      <c r="B2013" s="1" t="n">
        <v>45062</v>
      </c>
      <c r="C2013" s="1" t="n">
        <v>45669</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21344-2023</t>
        </is>
      </c>
      <c r="B2014" s="1" t="n">
        <v>45062</v>
      </c>
      <c r="C2014" s="1" t="n">
        <v>45669</v>
      </c>
      <c r="D2014" t="inlineStr">
        <is>
          <t>VÄSTERNORRLANDS LÄN</t>
        </is>
      </c>
      <c r="E2014" t="inlineStr">
        <is>
          <t>SOLLEFTEÅ</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21361-2023</t>
        </is>
      </c>
      <c r="B2015" s="1" t="n">
        <v>45063</v>
      </c>
      <c r="C2015" s="1" t="n">
        <v>45669</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21690-2023</t>
        </is>
      </c>
      <c r="B2016" s="1" t="n">
        <v>45064</v>
      </c>
      <c r="C2016" s="1" t="n">
        <v>45669</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21674-2023</t>
        </is>
      </c>
      <c r="B2017" s="1" t="n">
        <v>45064</v>
      </c>
      <c r="C2017" s="1" t="n">
        <v>45669</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22008-2023</t>
        </is>
      </c>
      <c r="B2018" s="1" t="n">
        <v>45068</v>
      </c>
      <c r="C2018" s="1" t="n">
        <v>45669</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22220-2023</t>
        </is>
      </c>
      <c r="B2019" s="1" t="n">
        <v>45070</v>
      </c>
      <c r="C2019" s="1" t="n">
        <v>45669</v>
      </c>
      <c r="D2019" t="inlineStr">
        <is>
          <t>VÄSTERNORRLANDS LÄN</t>
        </is>
      </c>
      <c r="E2019" t="inlineStr">
        <is>
          <t>SOLLEFTEÅ</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22229-2023</t>
        </is>
      </c>
      <c r="B2020" s="1" t="n">
        <v>45070</v>
      </c>
      <c r="C2020" s="1" t="n">
        <v>45669</v>
      </c>
      <c r="D2020" t="inlineStr">
        <is>
          <t>VÄSTERNORRLANDS LÄN</t>
        </is>
      </c>
      <c r="E2020" t="inlineStr">
        <is>
          <t>SOLLEFTEÅ</t>
        </is>
      </c>
      <c r="F2020" t="inlineStr">
        <is>
          <t>SCA</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22750-2023</t>
        </is>
      </c>
      <c r="B2021" s="1" t="n">
        <v>45072</v>
      </c>
      <c r="C2021" s="1" t="n">
        <v>45669</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22994-2023</t>
        </is>
      </c>
      <c r="B2022" s="1" t="n">
        <v>45072</v>
      </c>
      <c r="C2022" s="1" t="n">
        <v>45669</v>
      </c>
      <c r="D2022" t="inlineStr">
        <is>
          <t>VÄSTERNORRLANDS LÄN</t>
        </is>
      </c>
      <c r="E2022" t="inlineStr">
        <is>
          <t>SOLLEFTEÅ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22992-2023</t>
        </is>
      </c>
      <c r="B2023" s="1" t="n">
        <v>45072</v>
      </c>
      <c r="C2023" s="1" t="n">
        <v>45669</v>
      </c>
      <c r="D2023" t="inlineStr">
        <is>
          <t>VÄSTERNORRLANDS LÄN</t>
        </is>
      </c>
      <c r="E2023" t="inlineStr">
        <is>
          <t>SOLLEFTEÅ</t>
        </is>
      </c>
      <c r="F2023" t="inlineStr">
        <is>
          <t>SCA</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22995-2023</t>
        </is>
      </c>
      <c r="B2024" s="1" t="n">
        <v>45073</v>
      </c>
      <c r="C2024" s="1" t="n">
        <v>45669</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23488-2023</t>
        </is>
      </c>
      <c r="B2025" s="1" t="n">
        <v>45072</v>
      </c>
      <c r="C2025" s="1" t="n">
        <v>45669</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23016-2023</t>
        </is>
      </c>
      <c r="B2026" s="1" t="n">
        <v>45073</v>
      </c>
      <c r="C2026" s="1" t="n">
        <v>45669</v>
      </c>
      <c r="D2026" t="inlineStr">
        <is>
          <t>VÄSTERNORRLANDS LÄN</t>
        </is>
      </c>
      <c r="E2026" t="inlineStr">
        <is>
          <t>SOLLEFTEÅ</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23286-2023</t>
        </is>
      </c>
      <c r="B2027" s="1" t="n">
        <v>45075</v>
      </c>
      <c r="C2027" s="1" t="n">
        <v>45669</v>
      </c>
      <c r="D2027" t="inlineStr">
        <is>
          <t>VÄSTERNORRLANDS LÄN</t>
        </is>
      </c>
      <c r="E2027" t="inlineStr">
        <is>
          <t>SOLLEFTEÅ</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23277-2023</t>
        </is>
      </c>
      <c r="B2028" s="1" t="n">
        <v>45075</v>
      </c>
      <c r="C2028" s="1" t="n">
        <v>45669</v>
      </c>
      <c r="D2028" t="inlineStr">
        <is>
          <t>VÄSTERNORRLANDS LÄN</t>
        </is>
      </c>
      <c r="E2028" t="inlineStr">
        <is>
          <t>SOLLEFTEÅ</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23285-2023</t>
        </is>
      </c>
      <c r="B2029" s="1" t="n">
        <v>45075</v>
      </c>
      <c r="C2029" s="1" t="n">
        <v>45669</v>
      </c>
      <c r="D2029" t="inlineStr">
        <is>
          <t>VÄSTERNORRLANDS LÄN</t>
        </is>
      </c>
      <c r="E2029" t="inlineStr">
        <is>
          <t>SOLLEFTEÅ</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23289-2023</t>
        </is>
      </c>
      <c r="B2030" s="1" t="n">
        <v>45075</v>
      </c>
      <c r="C2030" s="1" t="n">
        <v>45669</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23287-2023</t>
        </is>
      </c>
      <c r="B2031" s="1" t="n">
        <v>45075</v>
      </c>
      <c r="C2031" s="1" t="n">
        <v>45669</v>
      </c>
      <c r="D2031" t="inlineStr">
        <is>
          <t>VÄSTERNORRLANDS LÄN</t>
        </is>
      </c>
      <c r="E2031" t="inlineStr">
        <is>
          <t>SOLLEFTEÅ</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23288-2023</t>
        </is>
      </c>
      <c r="B2032" s="1" t="n">
        <v>45075</v>
      </c>
      <c r="C2032" s="1" t="n">
        <v>45669</v>
      </c>
      <c r="D2032" t="inlineStr">
        <is>
          <t>VÄSTERNORRLANDS LÄN</t>
        </is>
      </c>
      <c r="E2032" t="inlineStr">
        <is>
          <t>SOLLEFTEÅ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23523-2023</t>
        </is>
      </c>
      <c r="B2033" s="1" t="n">
        <v>45076</v>
      </c>
      <c r="C2033" s="1" t="n">
        <v>45669</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23527-2023</t>
        </is>
      </c>
      <c r="B2034" s="1" t="n">
        <v>45076</v>
      </c>
      <c r="C2034" s="1" t="n">
        <v>45669</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24306-2023</t>
        </is>
      </c>
      <c r="B2035" s="1" t="n">
        <v>45080</v>
      </c>
      <c r="C2035" s="1" t="n">
        <v>45669</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24314-2023</t>
        </is>
      </c>
      <c r="B2036" s="1" t="n">
        <v>45079</v>
      </c>
      <c r="C2036" s="1" t="n">
        <v>45669</v>
      </c>
      <c r="D2036" t="inlineStr">
        <is>
          <t>VÄSTERNORRLANDS LÄN</t>
        </is>
      </c>
      <c r="E2036" t="inlineStr">
        <is>
          <t>SOLLEFTEÅ</t>
        </is>
      </c>
      <c r="F2036" t="inlineStr">
        <is>
          <t>SCA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25259-2023</t>
        </is>
      </c>
      <c r="B2037" s="1" t="n">
        <v>45079</v>
      </c>
      <c r="C2037" s="1" t="n">
        <v>45669</v>
      </c>
      <c r="D2037" t="inlineStr">
        <is>
          <t>VÄSTERNORRLANDS LÄN</t>
        </is>
      </c>
      <c r="E2037" t="inlineStr">
        <is>
          <t>SOLLEFTEÅ</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25267-2023</t>
        </is>
      </c>
      <c r="B2038" s="1" t="n">
        <v>45079</v>
      </c>
      <c r="C2038" s="1" t="n">
        <v>45669</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25550-2023</t>
        </is>
      </c>
      <c r="B2039" s="1" t="n">
        <v>45082</v>
      </c>
      <c r="C2039" s="1" t="n">
        <v>45669</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24595-2023</t>
        </is>
      </c>
      <c r="B2040" s="1" t="n">
        <v>45084</v>
      </c>
      <c r="C2040" s="1" t="n">
        <v>45669</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24597-2023</t>
        </is>
      </c>
      <c r="B2041" s="1" t="n">
        <v>45083</v>
      </c>
      <c r="C2041" s="1" t="n">
        <v>45669</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24596-2023</t>
        </is>
      </c>
      <c r="B2042" s="1" t="n">
        <v>45084</v>
      </c>
      <c r="C2042" s="1" t="n">
        <v>45669</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25795-2023</t>
        </is>
      </c>
      <c r="B2043" s="1" t="n">
        <v>45085</v>
      </c>
      <c r="C2043" s="1" t="n">
        <v>45669</v>
      </c>
      <c r="D2043" t="inlineStr">
        <is>
          <t>VÄSTERNORRLANDS LÄN</t>
        </is>
      </c>
      <c r="E2043" t="inlineStr">
        <is>
          <t>SOLLEFTEÅ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25848-2023</t>
        </is>
      </c>
      <c r="B2044" s="1" t="n">
        <v>45085</v>
      </c>
      <c r="C2044" s="1" t="n">
        <v>45669</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25079-2023</t>
        </is>
      </c>
      <c r="B2045" s="1" t="n">
        <v>45086</v>
      </c>
      <c r="C2045" s="1" t="n">
        <v>45669</v>
      </c>
      <c r="D2045" t="inlineStr">
        <is>
          <t>VÄSTERNORRLANDS LÄN</t>
        </is>
      </c>
      <c r="E2045" t="inlineStr">
        <is>
          <t>SOLLEFTEÅ</t>
        </is>
      </c>
      <c r="F2045" t="inlineStr">
        <is>
          <t>Kommuner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25314-2023</t>
        </is>
      </c>
      <c r="B2046" s="1" t="n">
        <v>45086</v>
      </c>
      <c r="C2046" s="1" t="n">
        <v>45669</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25392-2023</t>
        </is>
      </c>
      <c r="B2047" s="1" t="n">
        <v>45089</v>
      </c>
      <c r="C2047" s="1" t="n">
        <v>45669</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25987-2023</t>
        </is>
      </c>
      <c r="B2048" s="1" t="n">
        <v>45091</v>
      </c>
      <c r="C2048" s="1" t="n">
        <v>45669</v>
      </c>
      <c r="D2048" t="inlineStr">
        <is>
          <t>VÄSTERNORRLANDS LÄN</t>
        </is>
      </c>
      <c r="E2048" t="inlineStr">
        <is>
          <t>SOLLEFTEÅ</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26210-2023</t>
        </is>
      </c>
      <c r="B2049" s="1" t="n">
        <v>45090</v>
      </c>
      <c r="C2049" s="1" t="n">
        <v>45669</v>
      </c>
      <c r="D2049" t="inlineStr">
        <is>
          <t>VÄSTERNORRLANDS LÄN</t>
        </is>
      </c>
      <c r="E2049" t="inlineStr">
        <is>
          <t>SOLLEFTEÅ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25986-2023</t>
        </is>
      </c>
      <c r="B2050" s="1" t="n">
        <v>45090</v>
      </c>
      <c r="C2050" s="1" t="n">
        <v>45669</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26373-2023</t>
        </is>
      </c>
      <c r="B2051" s="1" t="n">
        <v>45092</v>
      </c>
      <c r="C2051" s="1" t="n">
        <v>45669</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27544-2023</t>
        </is>
      </c>
      <c r="B2052" s="1" t="n">
        <v>45092</v>
      </c>
      <c r="C2052" s="1" t="n">
        <v>45669</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27534-2023</t>
        </is>
      </c>
      <c r="B2053" s="1" t="n">
        <v>45092</v>
      </c>
      <c r="C2053" s="1" t="n">
        <v>45669</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27381-2023</t>
        </is>
      </c>
      <c r="B2054" s="1" t="n">
        <v>45097</v>
      </c>
      <c r="C2054" s="1" t="n">
        <v>45669</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27382-2023</t>
        </is>
      </c>
      <c r="B2055" s="1" t="n">
        <v>45097</v>
      </c>
      <c r="C2055" s="1" t="n">
        <v>45669</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27384-2023</t>
        </is>
      </c>
      <c r="B2056" s="1" t="n">
        <v>45097</v>
      </c>
      <c r="C2056" s="1" t="n">
        <v>45669</v>
      </c>
      <c r="D2056" t="inlineStr">
        <is>
          <t>VÄSTERNORRLANDS LÄN</t>
        </is>
      </c>
      <c r="E2056" t="inlineStr">
        <is>
          <t>SOLLEFTEÅ</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27392-2023</t>
        </is>
      </c>
      <c r="B2057" s="1" t="n">
        <v>45097</v>
      </c>
      <c r="C2057" s="1" t="n">
        <v>45669</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28653-2023</t>
        </is>
      </c>
      <c r="B2058" s="1" t="n">
        <v>45096</v>
      </c>
      <c r="C2058" s="1" t="n">
        <v>45669</v>
      </c>
      <c r="D2058" t="inlineStr">
        <is>
          <t>VÄSTERNORRLANDS LÄN</t>
        </is>
      </c>
      <c r="E2058" t="inlineStr">
        <is>
          <t>SOLLEFTEÅ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27383-2023</t>
        </is>
      </c>
      <c r="B2059" s="1" t="n">
        <v>45097</v>
      </c>
      <c r="C2059" s="1" t="n">
        <v>45669</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27391-2023</t>
        </is>
      </c>
      <c r="B2060" s="1" t="n">
        <v>45097</v>
      </c>
      <c r="C2060" s="1" t="n">
        <v>45669</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27674-2023</t>
        </is>
      </c>
      <c r="B2061" s="1" t="n">
        <v>45097</v>
      </c>
      <c r="C2061" s="1" t="n">
        <v>45669</v>
      </c>
      <c r="D2061" t="inlineStr">
        <is>
          <t>VÄSTERNORRLANDS LÄN</t>
        </is>
      </c>
      <c r="E2061" t="inlineStr">
        <is>
          <t>SOLLEFTEÅ</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29210-2023</t>
        </is>
      </c>
      <c r="B2062" s="1" t="n">
        <v>45097</v>
      </c>
      <c r="C2062" s="1" t="n">
        <v>45669</v>
      </c>
      <c r="D2062" t="inlineStr">
        <is>
          <t>VÄSTERNORRLANDS LÄN</t>
        </is>
      </c>
      <c r="E2062" t="inlineStr">
        <is>
          <t>SOLLEFTEÅ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29197-2023</t>
        </is>
      </c>
      <c r="B2063" s="1" t="n">
        <v>45097</v>
      </c>
      <c r="C2063" s="1" t="n">
        <v>45669</v>
      </c>
      <c r="D2063" t="inlineStr">
        <is>
          <t>VÄSTERNORRLANDS LÄN</t>
        </is>
      </c>
      <c r="E2063" t="inlineStr">
        <is>
          <t>SOLLEFTEÅ</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28384-2023</t>
        </is>
      </c>
      <c r="B2064" s="1" t="n">
        <v>45100</v>
      </c>
      <c r="C2064" s="1" t="n">
        <v>45669</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28385-2023</t>
        </is>
      </c>
      <c r="B2065" s="1" t="n">
        <v>45099</v>
      </c>
      <c r="C2065" s="1" t="n">
        <v>45669</v>
      </c>
      <c r="D2065" t="inlineStr">
        <is>
          <t>VÄSTERNORRLANDS LÄN</t>
        </is>
      </c>
      <c r="E2065" t="inlineStr">
        <is>
          <t>SOLLEFTEÅ</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28374-2023</t>
        </is>
      </c>
      <c r="B2066" s="1" t="n">
        <v>45099</v>
      </c>
      <c r="C2066" s="1" t="n">
        <v>45669</v>
      </c>
      <c r="D2066" t="inlineStr">
        <is>
          <t>VÄSTERNORRLANDS LÄN</t>
        </is>
      </c>
      <c r="E2066" t="inlineStr">
        <is>
          <t>SOLLEFTEÅ</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28366-2023</t>
        </is>
      </c>
      <c r="B2067" s="1" t="n">
        <v>45099</v>
      </c>
      <c r="C2067" s="1" t="n">
        <v>45669</v>
      </c>
      <c r="D2067" t="inlineStr">
        <is>
          <t>VÄSTERNORRLANDS LÄN</t>
        </is>
      </c>
      <c r="E2067" t="inlineStr">
        <is>
          <t>SOLLEFTEÅ</t>
        </is>
      </c>
      <c r="F2067" t="inlineStr">
        <is>
          <t>SCA</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28383-2023</t>
        </is>
      </c>
      <c r="B2068" s="1" t="n">
        <v>45099</v>
      </c>
      <c r="C2068" s="1" t="n">
        <v>45669</v>
      </c>
      <c r="D2068" t="inlineStr">
        <is>
          <t>VÄSTERNORRLANDS LÄN</t>
        </is>
      </c>
      <c r="E2068" t="inlineStr">
        <is>
          <t>SOLLEFTEÅ</t>
        </is>
      </c>
      <c r="F2068" t="inlineStr">
        <is>
          <t>SCA</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28375-2023</t>
        </is>
      </c>
      <c r="B2069" s="1" t="n">
        <v>45100</v>
      </c>
      <c r="C2069" s="1" t="n">
        <v>45669</v>
      </c>
      <c r="D2069" t="inlineStr">
        <is>
          <t>VÄSTERNORRLANDS LÄN</t>
        </is>
      </c>
      <c r="E2069" t="inlineStr">
        <is>
          <t>SOLLEFTEÅ</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30163-2023</t>
        </is>
      </c>
      <c r="B2070" s="1" t="n">
        <v>45099</v>
      </c>
      <c r="C2070" s="1" t="n">
        <v>45669</v>
      </c>
      <c r="D2070" t="inlineStr">
        <is>
          <t>VÄSTERNORRLANDS LÄN</t>
        </is>
      </c>
      <c r="E2070" t="inlineStr">
        <is>
          <t>SOLLEFTEÅ</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28736-2023</t>
        </is>
      </c>
      <c r="B2071" s="1" t="n">
        <v>45104</v>
      </c>
      <c r="C2071" s="1" t="n">
        <v>45669</v>
      </c>
      <c r="D2071" t="inlineStr">
        <is>
          <t>VÄSTERNORRLANDS LÄN</t>
        </is>
      </c>
      <c r="E2071" t="inlineStr">
        <is>
          <t>SOLLEFTEÅ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28749-2023</t>
        </is>
      </c>
      <c r="B2072" s="1" t="n">
        <v>45103</v>
      </c>
      <c r="C2072" s="1" t="n">
        <v>45669</v>
      </c>
      <c r="D2072" t="inlineStr">
        <is>
          <t>VÄSTERNORRLANDS LÄN</t>
        </is>
      </c>
      <c r="E2072" t="inlineStr">
        <is>
          <t>SOLLEFTEÅ</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29065-2023</t>
        </is>
      </c>
      <c r="B2073" s="1" t="n">
        <v>45105</v>
      </c>
      <c r="C2073" s="1" t="n">
        <v>45669</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29062-2023</t>
        </is>
      </c>
      <c r="B2074" s="1" t="n">
        <v>45104</v>
      </c>
      <c r="C2074" s="1" t="n">
        <v>45669</v>
      </c>
      <c r="D2074" t="inlineStr">
        <is>
          <t>VÄSTERNORRLANDS LÄN</t>
        </is>
      </c>
      <c r="E2074" t="inlineStr">
        <is>
          <t>SOLLEFTEÅ</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29064-2023</t>
        </is>
      </c>
      <c r="B2075" s="1" t="n">
        <v>45105</v>
      </c>
      <c r="C2075" s="1" t="n">
        <v>45669</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29070-2023</t>
        </is>
      </c>
      <c r="B2076" s="1" t="n">
        <v>45105</v>
      </c>
      <c r="C2076" s="1" t="n">
        <v>45669</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29306-2023</t>
        </is>
      </c>
      <c r="B2077" s="1" t="n">
        <v>45106</v>
      </c>
      <c r="C2077" s="1" t="n">
        <v>45669</v>
      </c>
      <c r="D2077" t="inlineStr">
        <is>
          <t>VÄSTERNORRLANDS LÄN</t>
        </is>
      </c>
      <c r="E2077" t="inlineStr">
        <is>
          <t>SOLLEFTEÅ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29337-2023</t>
        </is>
      </c>
      <c r="B2078" s="1" t="n">
        <v>45105</v>
      </c>
      <c r="C2078" s="1" t="n">
        <v>45669</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29336-2023</t>
        </is>
      </c>
      <c r="B2079" s="1" t="n">
        <v>45105</v>
      </c>
      <c r="C2079" s="1" t="n">
        <v>45669</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29614-2023</t>
        </is>
      </c>
      <c r="B2080" s="1" t="n">
        <v>45107</v>
      </c>
      <c r="C2080" s="1" t="n">
        <v>45669</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29446-2023</t>
        </is>
      </c>
      <c r="B2081" s="1" t="n">
        <v>45106</v>
      </c>
      <c r="C2081" s="1" t="n">
        <v>45669</v>
      </c>
      <c r="D2081" t="inlineStr">
        <is>
          <t>VÄSTERNORRLANDS LÄN</t>
        </is>
      </c>
      <c r="E2081" t="inlineStr">
        <is>
          <t>SOLLEFTEÅ</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29612-2023</t>
        </is>
      </c>
      <c r="B2082" s="1" t="n">
        <v>45106</v>
      </c>
      <c r="C2082" s="1" t="n">
        <v>45669</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29619-2023</t>
        </is>
      </c>
      <c r="B2083" s="1" t="n">
        <v>45106</v>
      </c>
      <c r="C2083" s="1" t="n">
        <v>45669</v>
      </c>
      <c r="D2083" t="inlineStr">
        <is>
          <t>VÄSTERNORRLANDS LÄN</t>
        </is>
      </c>
      <c r="E2083" t="inlineStr">
        <is>
          <t>SOLLEFTEÅ</t>
        </is>
      </c>
      <c r="F2083" t="inlineStr">
        <is>
          <t>SCA</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29611-2023</t>
        </is>
      </c>
      <c r="B2084" s="1" t="n">
        <v>45106</v>
      </c>
      <c r="C2084" s="1" t="n">
        <v>45669</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29832-2023</t>
        </is>
      </c>
      <c r="B2085" s="1" t="n">
        <v>45107</v>
      </c>
      <c r="C2085" s="1" t="n">
        <v>45669</v>
      </c>
      <c r="D2085" t="inlineStr">
        <is>
          <t>VÄSTERNORRLANDS LÄN</t>
        </is>
      </c>
      <c r="E2085" t="inlineStr">
        <is>
          <t>SOLLEFTEÅ</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29952-2023</t>
        </is>
      </c>
      <c r="B2086" s="1" t="n">
        <v>45107</v>
      </c>
      <c r="C2086" s="1" t="n">
        <v>45669</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29944-2023</t>
        </is>
      </c>
      <c r="B2087" s="1" t="n">
        <v>45108</v>
      </c>
      <c r="C2087" s="1" t="n">
        <v>45669</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29956-2023</t>
        </is>
      </c>
      <c r="B2088" s="1" t="n">
        <v>45107</v>
      </c>
      <c r="C2088" s="1" t="n">
        <v>45669</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29949-2023</t>
        </is>
      </c>
      <c r="B2089" s="1" t="n">
        <v>45107</v>
      </c>
      <c r="C2089" s="1" t="n">
        <v>45669</v>
      </c>
      <c r="D2089" t="inlineStr">
        <is>
          <t>VÄSTERNORRLANDS LÄN</t>
        </is>
      </c>
      <c r="E2089" t="inlineStr">
        <is>
          <t>SOLLEFTEÅ</t>
        </is>
      </c>
      <c r="F2089" t="inlineStr">
        <is>
          <t>SCA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29957-2023</t>
        </is>
      </c>
      <c r="B2090" s="1" t="n">
        <v>45107</v>
      </c>
      <c r="C2090" s="1" t="n">
        <v>45669</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29946-2023</t>
        </is>
      </c>
      <c r="B2091" s="1" t="n">
        <v>45108</v>
      </c>
      <c r="C2091" s="1" t="n">
        <v>45669</v>
      </c>
      <c r="D2091" t="inlineStr">
        <is>
          <t>VÄSTERNORRLANDS LÄN</t>
        </is>
      </c>
      <c r="E2091" t="inlineStr">
        <is>
          <t>SOLLEFTEÅ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29964-2023</t>
        </is>
      </c>
      <c r="B2092" s="1" t="n">
        <v>45108</v>
      </c>
      <c r="C2092" s="1" t="n">
        <v>45669</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30295-2023</t>
        </is>
      </c>
      <c r="B2093" s="1" t="n">
        <v>45110</v>
      </c>
      <c r="C2093" s="1" t="n">
        <v>45669</v>
      </c>
      <c r="D2093" t="inlineStr">
        <is>
          <t>VÄSTERNORRLANDS LÄN</t>
        </is>
      </c>
      <c r="E2093" t="inlineStr">
        <is>
          <t>SOLLEFTEÅ</t>
        </is>
      </c>
      <c r="F2093" t="inlineStr">
        <is>
          <t>SCA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30567-2023</t>
        </is>
      </c>
      <c r="B2094" s="1" t="n">
        <v>45112</v>
      </c>
      <c r="C2094" s="1" t="n">
        <v>45669</v>
      </c>
      <c r="D2094" t="inlineStr">
        <is>
          <t>VÄSTERNORRLANDS LÄN</t>
        </is>
      </c>
      <c r="E2094" t="inlineStr">
        <is>
          <t>SOLLEFTEÅ</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30822-2023</t>
        </is>
      </c>
      <c r="B2095" s="1" t="n">
        <v>45113</v>
      </c>
      <c r="C2095" s="1" t="n">
        <v>45669</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30829-2023</t>
        </is>
      </c>
      <c r="B2096" s="1" t="n">
        <v>45113</v>
      </c>
      <c r="C2096" s="1" t="n">
        <v>45669</v>
      </c>
      <c r="D2096" t="inlineStr">
        <is>
          <t>VÄSTERNORRLANDS LÄN</t>
        </is>
      </c>
      <c r="E2096" t="inlineStr">
        <is>
          <t>SOLLEFTEÅ</t>
        </is>
      </c>
      <c r="F2096" t="inlineStr">
        <is>
          <t>SCA</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31177-2023</t>
        </is>
      </c>
      <c r="B2097" s="1" t="n">
        <v>45113</v>
      </c>
      <c r="C2097" s="1" t="n">
        <v>45669</v>
      </c>
      <c r="D2097" t="inlineStr">
        <is>
          <t>VÄSTERNORRLANDS LÄN</t>
        </is>
      </c>
      <c r="E2097" t="inlineStr">
        <is>
          <t>SOLLEFTEÅ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31179-2023</t>
        </is>
      </c>
      <c r="B2098" s="1" t="n">
        <v>45114</v>
      </c>
      <c r="C2098" s="1" t="n">
        <v>45669</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31178-2023</t>
        </is>
      </c>
      <c r="B2099" s="1" t="n">
        <v>45114</v>
      </c>
      <c r="C2099" s="1" t="n">
        <v>45669</v>
      </c>
      <c r="D2099" t="inlineStr">
        <is>
          <t>VÄSTERNORRLANDS LÄN</t>
        </is>
      </c>
      <c r="E2099" t="inlineStr">
        <is>
          <t>SOLLEFTEÅ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31387-2023</t>
        </is>
      </c>
      <c r="B2100" s="1" t="n">
        <v>45114</v>
      </c>
      <c r="C2100" s="1" t="n">
        <v>45669</v>
      </c>
      <c r="D2100" t="inlineStr">
        <is>
          <t>VÄSTERNORRLANDS LÄN</t>
        </is>
      </c>
      <c r="E2100" t="inlineStr">
        <is>
          <t>SOLLEFTEÅ</t>
        </is>
      </c>
      <c r="F2100" t="inlineStr">
        <is>
          <t>Övriga statliga verk och myndigheter</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33203-2023</t>
        </is>
      </c>
      <c r="B2101" s="1" t="n">
        <v>45114</v>
      </c>
      <c r="C2101" s="1" t="n">
        <v>45669</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31913-2023</t>
        </is>
      </c>
      <c r="B2102" s="1" t="n">
        <v>45118</v>
      </c>
      <c r="C2102" s="1" t="n">
        <v>45669</v>
      </c>
      <c r="D2102" t="inlineStr">
        <is>
          <t>VÄSTERNORRLANDS LÄN</t>
        </is>
      </c>
      <c r="E2102" t="inlineStr">
        <is>
          <t>SOLLEFTEÅ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31917-2023</t>
        </is>
      </c>
      <c r="B2103" s="1" t="n">
        <v>45119</v>
      </c>
      <c r="C2103" s="1" t="n">
        <v>45669</v>
      </c>
      <c r="D2103" t="inlineStr">
        <is>
          <t>VÄSTERNORRLANDS LÄN</t>
        </is>
      </c>
      <c r="E2103" t="inlineStr">
        <is>
          <t>SOLLEFTEÅ</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31915-2023</t>
        </is>
      </c>
      <c r="B2104" s="1" t="n">
        <v>45119</v>
      </c>
      <c r="C2104" s="1" t="n">
        <v>45669</v>
      </c>
      <c r="D2104" t="inlineStr">
        <is>
          <t>VÄSTERNORRLANDS LÄN</t>
        </is>
      </c>
      <c r="E2104" t="inlineStr">
        <is>
          <t>SOLLEFTEÅ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31919-2023</t>
        </is>
      </c>
      <c r="B2105" s="1" t="n">
        <v>45118</v>
      </c>
      <c r="C2105" s="1" t="n">
        <v>45669</v>
      </c>
      <c r="D2105" t="inlineStr">
        <is>
          <t>VÄSTERNORRLANDS LÄN</t>
        </is>
      </c>
      <c r="E2105" t="inlineStr">
        <is>
          <t>SOLLEFTEÅ</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31923-2023</t>
        </is>
      </c>
      <c r="B2106" s="1" t="n">
        <v>45118</v>
      </c>
      <c r="C2106" s="1" t="n">
        <v>45669</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31914-2023</t>
        </is>
      </c>
      <c r="B2107" s="1" t="n">
        <v>45118</v>
      </c>
      <c r="C2107" s="1" t="n">
        <v>45669</v>
      </c>
      <c r="D2107" t="inlineStr">
        <is>
          <t>VÄSTERNORRLANDS LÄN</t>
        </is>
      </c>
      <c r="E2107" t="inlineStr">
        <is>
          <t>SOLLEFTEÅ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31918-2023</t>
        </is>
      </c>
      <c r="B2108" s="1" t="n">
        <v>45118</v>
      </c>
      <c r="C2108" s="1" t="n">
        <v>45669</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31922-2023</t>
        </is>
      </c>
      <c r="B2109" s="1" t="n">
        <v>45119</v>
      </c>
      <c r="C2109" s="1" t="n">
        <v>45669</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31916-2023</t>
        </is>
      </c>
      <c r="B2110" s="1" t="n">
        <v>45119</v>
      </c>
      <c r="C2110" s="1" t="n">
        <v>45669</v>
      </c>
      <c r="D2110" t="inlineStr">
        <is>
          <t>VÄSTERNORRLANDS LÄN</t>
        </is>
      </c>
      <c r="E2110" t="inlineStr">
        <is>
          <t>SOLLEFTEÅ</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31924-2023</t>
        </is>
      </c>
      <c r="B2111" s="1" t="n">
        <v>45118</v>
      </c>
      <c r="C2111" s="1" t="n">
        <v>45669</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31921-2023</t>
        </is>
      </c>
      <c r="B2112" s="1" t="n">
        <v>45119</v>
      </c>
      <c r="C2112" s="1" t="n">
        <v>45669</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31925-2023</t>
        </is>
      </c>
      <c r="B2113" s="1" t="n">
        <v>45118</v>
      </c>
      <c r="C2113" s="1" t="n">
        <v>45669</v>
      </c>
      <c r="D2113" t="inlineStr">
        <is>
          <t>VÄSTERNORRLANDS LÄN</t>
        </is>
      </c>
      <c r="E2113" t="inlineStr">
        <is>
          <t>SOLLEFTEÅ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33642-2023</t>
        </is>
      </c>
      <c r="B2114" s="1" t="n">
        <v>45119</v>
      </c>
      <c r="C2114" s="1" t="n">
        <v>45669</v>
      </c>
      <c r="D2114" t="inlineStr">
        <is>
          <t>VÄSTERNORRLANDS LÄN</t>
        </is>
      </c>
      <c r="E2114" t="inlineStr">
        <is>
          <t>SOLLEFTEÅ</t>
        </is>
      </c>
      <c r="F2114" t="inlineStr">
        <is>
          <t>SCA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32466-2023</t>
        </is>
      </c>
      <c r="B2115" s="1" t="n">
        <v>45120</v>
      </c>
      <c r="C2115" s="1" t="n">
        <v>45669</v>
      </c>
      <c r="D2115" t="inlineStr">
        <is>
          <t>VÄSTERNORRLANDS LÄN</t>
        </is>
      </c>
      <c r="E2115" t="inlineStr">
        <is>
          <t>SOLLEFTEÅ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32726-2023</t>
        </is>
      </c>
      <c r="B2116" s="1" t="n">
        <v>45121</v>
      </c>
      <c r="C2116" s="1" t="n">
        <v>45669</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32728-2023</t>
        </is>
      </c>
      <c r="B2117" s="1" t="n">
        <v>45121</v>
      </c>
      <c r="C2117" s="1" t="n">
        <v>45669</v>
      </c>
      <c r="D2117" t="inlineStr">
        <is>
          <t>VÄSTERNORRLANDS LÄN</t>
        </is>
      </c>
      <c r="E2117" t="inlineStr">
        <is>
          <t>SOLLEFTEÅ</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32733-2023</t>
        </is>
      </c>
      <c r="B2118" s="1" t="n">
        <v>45121</v>
      </c>
      <c r="C2118" s="1" t="n">
        <v>45669</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32727-2023</t>
        </is>
      </c>
      <c r="B2119" s="1" t="n">
        <v>45121</v>
      </c>
      <c r="C2119" s="1" t="n">
        <v>45669</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32735-2023</t>
        </is>
      </c>
      <c r="B2120" s="1" t="n">
        <v>45121</v>
      </c>
      <c r="C2120" s="1" t="n">
        <v>45669</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32780-2023</t>
        </is>
      </c>
      <c r="B2121" s="1" t="n">
        <v>45123</v>
      </c>
      <c r="C2121" s="1" t="n">
        <v>45669</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33964-2023</t>
        </is>
      </c>
      <c r="B2122" s="1" t="n">
        <v>45124</v>
      </c>
      <c r="C2122" s="1" t="n">
        <v>45669</v>
      </c>
      <c r="D2122" t="inlineStr">
        <is>
          <t>VÄSTERNORRLANDS LÄN</t>
        </is>
      </c>
      <c r="E2122" t="inlineStr">
        <is>
          <t>SOLLEFTEÅ</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33037-2023</t>
        </is>
      </c>
      <c r="B2123" s="1" t="n">
        <v>45126</v>
      </c>
      <c r="C2123" s="1" t="n">
        <v>45669</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34100-2023</t>
        </is>
      </c>
      <c r="B2124" s="1" t="n">
        <v>45125</v>
      </c>
      <c r="C2124" s="1" t="n">
        <v>45669</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33175-2023</t>
        </is>
      </c>
      <c r="B2125" s="1" t="n">
        <v>45126</v>
      </c>
      <c r="C2125" s="1" t="n">
        <v>45669</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33328-2023</t>
        </is>
      </c>
      <c r="B2126" s="1" t="n">
        <v>45127</v>
      </c>
      <c r="C2126" s="1" t="n">
        <v>45669</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34284-2023</t>
        </is>
      </c>
      <c r="B2127" s="1" t="n">
        <v>45128</v>
      </c>
      <c r="C2127" s="1" t="n">
        <v>45669</v>
      </c>
      <c r="D2127" t="inlineStr">
        <is>
          <t>VÄSTERNORRLANDS LÄN</t>
        </is>
      </c>
      <c r="E2127" t="inlineStr">
        <is>
          <t>SOLLEFTEÅ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33591-2023</t>
        </is>
      </c>
      <c r="B2128" s="1" t="n">
        <v>45131</v>
      </c>
      <c r="C2128" s="1" t="n">
        <v>45669</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33709-2023</t>
        </is>
      </c>
      <c r="B2129" s="1" t="n">
        <v>45133</v>
      </c>
      <c r="C2129" s="1" t="n">
        <v>45669</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33713-2023</t>
        </is>
      </c>
      <c r="B2130" s="1" t="n">
        <v>45133</v>
      </c>
      <c r="C2130" s="1" t="n">
        <v>45669</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33999-2023</t>
        </is>
      </c>
      <c r="B2131" s="1" t="n">
        <v>45134</v>
      </c>
      <c r="C2131" s="1" t="n">
        <v>45669</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34309-2023</t>
        </is>
      </c>
      <c r="B2132" s="1" t="n">
        <v>45139</v>
      </c>
      <c r="C2132" s="1" t="n">
        <v>45669</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34306-2023</t>
        </is>
      </c>
      <c r="B2133" s="1" t="n">
        <v>45138</v>
      </c>
      <c r="C2133" s="1" t="n">
        <v>45669</v>
      </c>
      <c r="D2133" t="inlineStr">
        <is>
          <t>VÄSTERNORRLANDS LÄN</t>
        </is>
      </c>
      <c r="E2133" t="inlineStr">
        <is>
          <t>SOLLEFTEÅ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34310-2023</t>
        </is>
      </c>
      <c r="B2134" s="1" t="n">
        <v>45139</v>
      </c>
      <c r="C2134" s="1" t="n">
        <v>45669</v>
      </c>
      <c r="D2134" t="inlineStr">
        <is>
          <t>VÄSTERNORRLANDS LÄN</t>
        </is>
      </c>
      <c r="E2134" t="inlineStr">
        <is>
          <t>SOLLEFTEÅ</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34308-2023</t>
        </is>
      </c>
      <c r="B2135" s="1" t="n">
        <v>45138</v>
      </c>
      <c r="C2135" s="1" t="n">
        <v>45669</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34329-2023</t>
        </is>
      </c>
      <c r="B2136" s="1" t="n">
        <v>45139</v>
      </c>
      <c r="C2136" s="1" t="n">
        <v>45669</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34330-2023</t>
        </is>
      </c>
      <c r="B2137" s="1" t="n">
        <v>45138</v>
      </c>
      <c r="C2137" s="1" t="n">
        <v>45669</v>
      </c>
      <c r="D2137" t="inlineStr">
        <is>
          <t>VÄSTERNORRLANDS LÄN</t>
        </is>
      </c>
      <c r="E2137" t="inlineStr">
        <is>
          <t>SOLLEFTEÅ</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34328-2023</t>
        </is>
      </c>
      <c r="B2138" s="1" t="n">
        <v>45139</v>
      </c>
      <c r="C2138" s="1" t="n">
        <v>45669</v>
      </c>
      <c r="D2138" t="inlineStr">
        <is>
          <t>VÄSTERNORRLANDS LÄN</t>
        </is>
      </c>
      <c r="E2138" t="inlineStr">
        <is>
          <t>SOLLEFTEÅ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34307-2023</t>
        </is>
      </c>
      <c r="B2139" s="1" t="n">
        <v>45138</v>
      </c>
      <c r="C2139" s="1" t="n">
        <v>45669</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34311-2023</t>
        </is>
      </c>
      <c r="B2140" s="1" t="n">
        <v>45139</v>
      </c>
      <c r="C2140" s="1" t="n">
        <v>45669</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34327-2023</t>
        </is>
      </c>
      <c r="B2141" s="1" t="n">
        <v>45139</v>
      </c>
      <c r="C2141" s="1" t="n">
        <v>45669</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34487-2023</t>
        </is>
      </c>
      <c r="B2142" s="1" t="n">
        <v>45140</v>
      </c>
      <c r="C2142" s="1" t="n">
        <v>45669</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34741-2023</t>
        </is>
      </c>
      <c r="B2143" s="1" t="n">
        <v>45139</v>
      </c>
      <c r="C2143" s="1" t="n">
        <v>45669</v>
      </c>
      <c r="D2143" t="inlineStr">
        <is>
          <t>VÄSTERNORRLANDS LÄN</t>
        </is>
      </c>
      <c r="E2143" t="inlineStr">
        <is>
          <t>SOLLEFTEÅ</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34737-2023</t>
        </is>
      </c>
      <c r="B2144" s="1" t="n">
        <v>45139</v>
      </c>
      <c r="C2144" s="1" t="n">
        <v>45669</v>
      </c>
      <c r="D2144" t="inlineStr">
        <is>
          <t>VÄSTERNORRLANDS LÄN</t>
        </is>
      </c>
      <c r="E2144" t="inlineStr">
        <is>
          <t>SOLLEFTEÅ</t>
        </is>
      </c>
      <c r="F2144" t="inlineStr">
        <is>
          <t>SCA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34687-2023</t>
        </is>
      </c>
      <c r="B2145" s="1" t="n">
        <v>45141</v>
      </c>
      <c r="C2145" s="1" t="n">
        <v>45669</v>
      </c>
      <c r="D2145" t="inlineStr">
        <is>
          <t>VÄSTERNORRLANDS LÄN</t>
        </is>
      </c>
      <c r="E2145" t="inlineStr">
        <is>
          <t>SOLLEFTEÅ</t>
        </is>
      </c>
      <c r="F2145" t="inlineStr">
        <is>
          <t>SCA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34686-2023</t>
        </is>
      </c>
      <c r="B2146" s="1" t="n">
        <v>45141</v>
      </c>
      <c r="C2146" s="1" t="n">
        <v>45669</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34696-2023</t>
        </is>
      </c>
      <c r="B2147" s="1" t="n">
        <v>45141</v>
      </c>
      <c r="C2147" s="1" t="n">
        <v>45669</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34983-2023</t>
        </is>
      </c>
      <c r="B2148" s="1" t="n">
        <v>45141</v>
      </c>
      <c r="C2148" s="1" t="n">
        <v>45669</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34848-2023</t>
        </is>
      </c>
      <c r="B2149" s="1" t="n">
        <v>45142</v>
      </c>
      <c r="C2149" s="1" t="n">
        <v>45669</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35147-2023</t>
        </is>
      </c>
      <c r="B2150" s="1" t="n">
        <v>45142</v>
      </c>
      <c r="C2150" s="1" t="n">
        <v>45669</v>
      </c>
      <c r="D2150" t="inlineStr">
        <is>
          <t>VÄSTERNORRLANDS LÄN</t>
        </is>
      </c>
      <c r="E2150" t="inlineStr">
        <is>
          <t>SOLLEFTEÅ</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35276-2023</t>
        </is>
      </c>
      <c r="B2151" s="1" t="n">
        <v>45146</v>
      </c>
      <c r="C2151" s="1" t="n">
        <v>45669</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35277-2023</t>
        </is>
      </c>
      <c r="B2152" s="1" t="n">
        <v>45145</v>
      </c>
      <c r="C2152" s="1" t="n">
        <v>45669</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35352-2023</t>
        </is>
      </c>
      <c r="B2153" s="1" t="n">
        <v>45145</v>
      </c>
      <c r="C2153" s="1" t="n">
        <v>45669</v>
      </c>
      <c r="D2153" t="inlineStr">
        <is>
          <t>VÄSTERNORRLANDS LÄN</t>
        </is>
      </c>
      <c r="E2153" t="inlineStr">
        <is>
          <t>SOLLEFTEÅ</t>
        </is>
      </c>
      <c r="F2153" t="inlineStr">
        <is>
          <t>SCA</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35470-2023</t>
        </is>
      </c>
      <c r="B2154" s="1" t="n">
        <v>45146</v>
      </c>
      <c r="C2154" s="1" t="n">
        <v>45669</v>
      </c>
      <c r="D2154" t="inlineStr">
        <is>
          <t>VÄSTERNORRLANDS LÄN</t>
        </is>
      </c>
      <c r="E2154" t="inlineStr">
        <is>
          <t>SOLLEFTEÅ</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35511-2023</t>
        </is>
      </c>
      <c r="B2155" s="1" t="n">
        <v>45146</v>
      </c>
      <c r="C2155" s="1" t="n">
        <v>45669</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35509-2023</t>
        </is>
      </c>
      <c r="B2156" s="1" t="n">
        <v>45147</v>
      </c>
      <c r="C2156" s="1" t="n">
        <v>45669</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35569-2023</t>
        </is>
      </c>
      <c r="B2157" s="1" t="n">
        <v>45147</v>
      </c>
      <c r="C2157" s="1" t="n">
        <v>45669</v>
      </c>
      <c r="D2157" t="inlineStr">
        <is>
          <t>VÄSTERNORRLANDS LÄN</t>
        </is>
      </c>
      <c r="E2157" t="inlineStr">
        <is>
          <t>SOLLEFTEÅ</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35746-2023</t>
        </is>
      </c>
      <c r="B2158" s="1" t="n">
        <v>45148</v>
      </c>
      <c r="C2158" s="1" t="n">
        <v>45669</v>
      </c>
      <c r="D2158" t="inlineStr">
        <is>
          <t>VÄSTERNORRLANDS LÄN</t>
        </is>
      </c>
      <c r="E2158" t="inlineStr">
        <is>
          <t>SOLLEFTEÅ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35556-2023</t>
        </is>
      </c>
      <c r="B2159" s="1" t="n">
        <v>45147</v>
      </c>
      <c r="C2159" s="1" t="n">
        <v>45669</v>
      </c>
      <c r="D2159" t="inlineStr">
        <is>
          <t>VÄSTERNORRLANDS LÄN</t>
        </is>
      </c>
      <c r="E2159" t="inlineStr">
        <is>
          <t>SOLLEFTEÅ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35764-2023</t>
        </is>
      </c>
      <c r="B2160" s="1" t="n">
        <v>45147</v>
      </c>
      <c r="C2160" s="1" t="n">
        <v>45669</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35745-2023</t>
        </is>
      </c>
      <c r="B2161" s="1" t="n">
        <v>45148</v>
      </c>
      <c r="C2161" s="1" t="n">
        <v>45669</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35761-2023</t>
        </is>
      </c>
      <c r="B2162" s="1" t="n">
        <v>45148</v>
      </c>
      <c r="C2162" s="1" t="n">
        <v>45669</v>
      </c>
      <c r="D2162" t="inlineStr">
        <is>
          <t>VÄSTERNORRLANDS LÄN</t>
        </is>
      </c>
      <c r="E2162" t="inlineStr">
        <is>
          <t>SOLLEFTEÅ</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35945-2023</t>
        </is>
      </c>
      <c r="B2163" s="1" t="n">
        <v>45148</v>
      </c>
      <c r="C2163" s="1" t="n">
        <v>45669</v>
      </c>
      <c r="D2163" t="inlineStr">
        <is>
          <t>VÄSTERNORRLANDS LÄN</t>
        </is>
      </c>
      <c r="E2163" t="inlineStr">
        <is>
          <t>SOLLEFTEÅ</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35980-2023</t>
        </is>
      </c>
      <c r="B2164" s="1" t="n">
        <v>45149</v>
      </c>
      <c r="C2164" s="1" t="n">
        <v>45669</v>
      </c>
      <c r="D2164" t="inlineStr">
        <is>
          <t>VÄSTERNORRLANDS LÄN</t>
        </is>
      </c>
      <c r="E2164" t="inlineStr">
        <is>
          <t>SOLLEFTEÅ</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35975-2023</t>
        </is>
      </c>
      <c r="B2165" s="1" t="n">
        <v>45148</v>
      </c>
      <c r="C2165" s="1" t="n">
        <v>45669</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35974-2023</t>
        </is>
      </c>
      <c r="B2166" s="1" t="n">
        <v>45148</v>
      </c>
      <c r="C2166" s="1" t="n">
        <v>45669</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35978-2023</t>
        </is>
      </c>
      <c r="B2167" s="1" t="n">
        <v>45148</v>
      </c>
      <c r="C2167" s="1" t="n">
        <v>45669</v>
      </c>
      <c r="D2167" t="inlineStr">
        <is>
          <t>VÄSTERNORRLANDS LÄN</t>
        </is>
      </c>
      <c r="E2167" t="inlineStr">
        <is>
          <t>SOLLEFTEÅ</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35977-2023</t>
        </is>
      </c>
      <c r="B2168" s="1" t="n">
        <v>45149</v>
      </c>
      <c r="C2168" s="1" t="n">
        <v>45669</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36211-2023</t>
        </is>
      </c>
      <c r="B2169" s="1" t="n">
        <v>45150</v>
      </c>
      <c r="C2169" s="1" t="n">
        <v>45669</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36222-2023</t>
        </is>
      </c>
      <c r="B2170" s="1" t="n">
        <v>45150</v>
      </c>
      <c r="C2170" s="1" t="n">
        <v>45669</v>
      </c>
      <c r="D2170" t="inlineStr">
        <is>
          <t>VÄSTERNORRLANDS LÄN</t>
        </is>
      </c>
      <c r="E2170" t="inlineStr">
        <is>
          <t>SOLLEFTEÅ</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36511-2023</t>
        </is>
      </c>
      <c r="B2171" s="1" t="n">
        <v>45153</v>
      </c>
      <c r="C2171" s="1" t="n">
        <v>45669</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36514-2023</t>
        </is>
      </c>
      <c r="B2172" s="1" t="n">
        <v>45153</v>
      </c>
      <c r="C2172" s="1" t="n">
        <v>45669</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36508-2023</t>
        </is>
      </c>
      <c r="B2173" s="1" t="n">
        <v>45153</v>
      </c>
      <c r="C2173" s="1" t="n">
        <v>45669</v>
      </c>
      <c r="D2173" t="inlineStr">
        <is>
          <t>VÄSTERNORRLANDS LÄN</t>
        </is>
      </c>
      <c r="E2173" t="inlineStr">
        <is>
          <t>SOLLEFTEÅ</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36512-2023</t>
        </is>
      </c>
      <c r="B2174" s="1" t="n">
        <v>45152</v>
      </c>
      <c r="C2174" s="1" t="n">
        <v>45669</v>
      </c>
      <c r="D2174" t="inlineStr">
        <is>
          <t>VÄSTERNORRLANDS LÄN</t>
        </is>
      </c>
      <c r="E2174" t="inlineStr">
        <is>
          <t>SOLLEFTEÅ</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36513-2023</t>
        </is>
      </c>
      <c r="B2175" s="1" t="n">
        <v>45153</v>
      </c>
      <c r="C2175" s="1" t="n">
        <v>45669</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36770-2023</t>
        </is>
      </c>
      <c r="B2176" s="1" t="n">
        <v>45153</v>
      </c>
      <c r="C2176" s="1" t="n">
        <v>45669</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36771-2023</t>
        </is>
      </c>
      <c r="B2177" s="1" t="n">
        <v>45153</v>
      </c>
      <c r="C2177" s="1" t="n">
        <v>45669</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36944-2023</t>
        </is>
      </c>
      <c r="B2178" s="1" t="n">
        <v>45154</v>
      </c>
      <c r="C2178" s="1" t="n">
        <v>45669</v>
      </c>
      <c r="D2178" t="inlineStr">
        <is>
          <t>VÄSTERNORRLANDS LÄN</t>
        </is>
      </c>
      <c r="E2178" t="inlineStr">
        <is>
          <t>SOLLEFTEÅ</t>
        </is>
      </c>
      <c r="F2178" t="inlineStr">
        <is>
          <t>Övriga Aktiebolag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36976-2023</t>
        </is>
      </c>
      <c r="B2179" s="1" t="n">
        <v>45155</v>
      </c>
      <c r="C2179" s="1" t="n">
        <v>45669</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36977-2023</t>
        </is>
      </c>
      <c r="B2180" s="1" t="n">
        <v>45155</v>
      </c>
      <c r="C2180" s="1" t="n">
        <v>45669</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36967-2023</t>
        </is>
      </c>
      <c r="B2181" s="1" t="n">
        <v>45155</v>
      </c>
      <c r="C2181" s="1" t="n">
        <v>45669</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37269-2023</t>
        </is>
      </c>
      <c r="B2182" s="1" t="n">
        <v>45155</v>
      </c>
      <c r="C2182" s="1" t="n">
        <v>45669</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37412-2023</t>
        </is>
      </c>
      <c r="B2183" s="1" t="n">
        <v>45155</v>
      </c>
      <c r="C2183" s="1" t="n">
        <v>45669</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37381-2023</t>
        </is>
      </c>
      <c r="B2184" s="1" t="n">
        <v>45155</v>
      </c>
      <c r="C2184" s="1" t="n">
        <v>45669</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37484-2023</t>
        </is>
      </c>
      <c r="B2185" s="1" t="n">
        <v>45156</v>
      </c>
      <c r="C2185" s="1" t="n">
        <v>45669</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37615-2023</t>
        </is>
      </c>
      <c r="B2186" s="1" t="n">
        <v>45156</v>
      </c>
      <c r="C2186" s="1" t="n">
        <v>45669</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37711-2023</t>
        </is>
      </c>
      <c r="B2187" s="1" t="n">
        <v>45156</v>
      </c>
      <c r="C2187" s="1" t="n">
        <v>45669</v>
      </c>
      <c r="D2187" t="inlineStr">
        <is>
          <t>VÄSTERNORRLANDS LÄN</t>
        </is>
      </c>
      <c r="E2187" t="inlineStr">
        <is>
          <t>SOLLEFTEÅ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37735-2023</t>
        </is>
      </c>
      <c r="B2188" s="1" t="n">
        <v>45156</v>
      </c>
      <c r="C2188" s="1" t="n">
        <v>45669</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37486-2023</t>
        </is>
      </c>
      <c r="B2189" s="1" t="n">
        <v>45157</v>
      </c>
      <c r="C2189" s="1" t="n">
        <v>45669</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37691-2023</t>
        </is>
      </c>
      <c r="B2190" s="1" t="n">
        <v>45156</v>
      </c>
      <c r="C2190" s="1" t="n">
        <v>45669</v>
      </c>
      <c r="D2190" t="inlineStr">
        <is>
          <t>VÄSTERNORRLANDS LÄN</t>
        </is>
      </c>
      <c r="E2190" t="inlineStr">
        <is>
          <t>SOLLEFTEÅ</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37722-2023</t>
        </is>
      </c>
      <c r="B2191" s="1" t="n">
        <v>45156</v>
      </c>
      <c r="C2191" s="1" t="n">
        <v>45669</v>
      </c>
      <c r="D2191" t="inlineStr">
        <is>
          <t>VÄSTERNORRLANDS LÄN</t>
        </is>
      </c>
      <c r="E2191" t="inlineStr">
        <is>
          <t>SOLLEFTEÅ</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37611-2023</t>
        </is>
      </c>
      <c r="B2192" s="1" t="n">
        <v>45156</v>
      </c>
      <c r="C2192" s="1" t="n">
        <v>45669</v>
      </c>
      <c r="D2192" t="inlineStr">
        <is>
          <t>VÄSTERNORRLANDS LÄN</t>
        </is>
      </c>
      <c r="E2192" t="inlineStr">
        <is>
          <t>SOLLEFTEÅ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45669</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37696-2023</t>
        </is>
      </c>
      <c r="B2194" s="1" t="n">
        <v>45156</v>
      </c>
      <c r="C2194" s="1" t="n">
        <v>45669</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37726-2023</t>
        </is>
      </c>
      <c r="B2195" s="1" t="n">
        <v>45156</v>
      </c>
      <c r="C2195" s="1" t="n">
        <v>45669</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37483-2023</t>
        </is>
      </c>
      <c r="B2196" s="1" t="n">
        <v>45157</v>
      </c>
      <c r="C2196" s="1" t="n">
        <v>45669</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37487-2023</t>
        </is>
      </c>
      <c r="B2197" s="1" t="n">
        <v>45157</v>
      </c>
      <c r="C2197" s="1" t="n">
        <v>45669</v>
      </c>
      <c r="D2197" t="inlineStr">
        <is>
          <t>VÄSTERNORRLANDS LÄN</t>
        </is>
      </c>
      <c r="E2197" t="inlineStr">
        <is>
          <t>SOLLEFTEÅ</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37699-2023</t>
        </is>
      </c>
      <c r="B2198" s="1" t="n">
        <v>45156</v>
      </c>
      <c r="C2198" s="1" t="n">
        <v>45669</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37731-2023</t>
        </is>
      </c>
      <c r="B2199" s="1" t="n">
        <v>45156</v>
      </c>
      <c r="C2199" s="1" t="n">
        <v>45669</v>
      </c>
      <c r="D2199" t="inlineStr">
        <is>
          <t>VÄSTERNORRLANDS LÄN</t>
        </is>
      </c>
      <c r="E2199" t="inlineStr">
        <is>
          <t>SOLLEFTEÅ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37807-2023</t>
        </is>
      </c>
      <c r="B2200" s="1" t="n">
        <v>45160</v>
      </c>
      <c r="C2200" s="1" t="n">
        <v>45669</v>
      </c>
      <c r="D2200" t="inlineStr">
        <is>
          <t>VÄSTERNORRLANDS LÄN</t>
        </is>
      </c>
      <c r="E2200" t="inlineStr">
        <is>
          <t>SOLLEFTEÅ</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38093-2023</t>
        </is>
      </c>
      <c r="B2201" s="1" t="n">
        <v>45160</v>
      </c>
      <c r="C2201" s="1" t="n">
        <v>45669</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38097-2023</t>
        </is>
      </c>
      <c r="B2202" s="1" t="n">
        <v>45160</v>
      </c>
      <c r="C2202" s="1" t="n">
        <v>45669</v>
      </c>
      <c r="D2202" t="inlineStr">
        <is>
          <t>VÄSTERNORRLANDS LÄN</t>
        </is>
      </c>
      <c r="E2202" t="inlineStr">
        <is>
          <t>SOLLEFTEÅ</t>
        </is>
      </c>
      <c r="F2202" t="inlineStr">
        <is>
          <t>SCA</t>
        </is>
      </c>
      <c r="G2202" t="n">
        <v>47.1</v>
      </c>
      <c r="H2202" t="n">
        <v>0</v>
      </c>
      <c r="I2202" t="n">
        <v>0</v>
      </c>
      <c r="J2202" t="n">
        <v>0</v>
      </c>
      <c r="K2202" t="n">
        <v>0</v>
      </c>
      <c r="L2202" t="n">
        <v>0</v>
      </c>
      <c r="M2202" t="n">
        <v>0</v>
      </c>
      <c r="N2202" t="n">
        <v>0</v>
      </c>
      <c r="O2202" t="n">
        <v>0</v>
      </c>
      <c r="P2202" t="n">
        <v>0</v>
      </c>
      <c r="Q2202" t="n">
        <v>0</v>
      </c>
      <c r="R2202" s="2" t="inlineStr"/>
    </row>
    <row r="2203" ht="15" customHeight="1">
      <c r="A2203" t="inlineStr">
        <is>
          <t>A 38092-2023</t>
        </is>
      </c>
      <c r="B2203" s="1" t="n">
        <v>45161</v>
      </c>
      <c r="C2203" s="1" t="n">
        <v>45669</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38100-2023</t>
        </is>
      </c>
      <c r="B2204" s="1" t="n">
        <v>45161</v>
      </c>
      <c r="C2204" s="1" t="n">
        <v>45669</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39077-2023</t>
        </is>
      </c>
      <c r="B2205" s="1" t="n">
        <v>45164</v>
      </c>
      <c r="C2205" s="1" t="n">
        <v>45669</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39399-2023</t>
        </is>
      </c>
      <c r="B2206" s="1" t="n">
        <v>45163</v>
      </c>
      <c r="C2206" s="1" t="n">
        <v>45669</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39058-2023</t>
        </is>
      </c>
      <c r="B2207" s="1" t="n">
        <v>45164</v>
      </c>
      <c r="C2207" s="1" t="n">
        <v>45669</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39379-2023</t>
        </is>
      </c>
      <c r="B2208" s="1" t="n">
        <v>45163</v>
      </c>
      <c r="C2208" s="1" t="n">
        <v>45669</v>
      </c>
      <c r="D2208" t="inlineStr">
        <is>
          <t>VÄSTERNORRLANDS LÄN</t>
        </is>
      </c>
      <c r="E2208" t="inlineStr">
        <is>
          <t>SOLLEFTEÅ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39496-2023</t>
        </is>
      </c>
      <c r="B2209" s="1" t="n">
        <v>45167</v>
      </c>
      <c r="C2209" s="1" t="n">
        <v>45669</v>
      </c>
      <c r="D2209" t="inlineStr">
        <is>
          <t>VÄSTERNORRLANDS LÄN</t>
        </is>
      </c>
      <c r="E2209" t="inlineStr">
        <is>
          <t>SOLLEFTEÅ</t>
        </is>
      </c>
      <c r="F2209" t="inlineStr">
        <is>
          <t>SCA</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39497-2023</t>
        </is>
      </c>
      <c r="B2210" s="1" t="n">
        <v>45167</v>
      </c>
      <c r="C2210" s="1" t="n">
        <v>45669</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39727-2023</t>
        </is>
      </c>
      <c r="B2211" s="1" t="n">
        <v>45166</v>
      </c>
      <c r="C2211" s="1" t="n">
        <v>45669</v>
      </c>
      <c r="D2211" t="inlineStr">
        <is>
          <t>VÄSTERNORRLANDS LÄN</t>
        </is>
      </c>
      <c r="E2211" t="inlineStr">
        <is>
          <t>SOLLEFTEÅ</t>
        </is>
      </c>
      <c r="F2211" t="inlineStr">
        <is>
          <t>SCA</t>
        </is>
      </c>
      <c r="G2211" t="n">
        <v>45.3</v>
      </c>
      <c r="H2211" t="n">
        <v>0</v>
      </c>
      <c r="I2211" t="n">
        <v>0</v>
      </c>
      <c r="J2211" t="n">
        <v>0</v>
      </c>
      <c r="K2211" t="n">
        <v>0</v>
      </c>
      <c r="L2211" t="n">
        <v>0</v>
      </c>
      <c r="M2211" t="n">
        <v>0</v>
      </c>
      <c r="N2211" t="n">
        <v>0</v>
      </c>
      <c r="O2211" t="n">
        <v>0</v>
      </c>
      <c r="P2211" t="n">
        <v>0</v>
      </c>
      <c r="Q2211" t="n">
        <v>0</v>
      </c>
      <c r="R2211" s="2" t="inlineStr"/>
    </row>
    <row r="2212" ht="15" customHeight="1">
      <c r="A2212" t="inlineStr">
        <is>
          <t>A 39495-2023</t>
        </is>
      </c>
      <c r="B2212" s="1" t="n">
        <v>45167</v>
      </c>
      <c r="C2212" s="1" t="n">
        <v>45669</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40098-2023</t>
        </is>
      </c>
      <c r="B2213" s="1" t="n">
        <v>45169</v>
      </c>
      <c r="C2213" s="1" t="n">
        <v>45669</v>
      </c>
      <c r="D2213" t="inlineStr">
        <is>
          <t>VÄSTERNORRLANDS LÄN</t>
        </is>
      </c>
      <c r="E2213" t="inlineStr">
        <is>
          <t>SOLLEFTEÅ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40099-2023</t>
        </is>
      </c>
      <c r="B2214" s="1" t="n">
        <v>45169</v>
      </c>
      <c r="C2214" s="1" t="n">
        <v>45669</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40115-2023</t>
        </is>
      </c>
      <c r="B2215" s="1" t="n">
        <v>45169</v>
      </c>
      <c r="C2215" s="1" t="n">
        <v>45669</v>
      </c>
      <c r="D2215" t="inlineStr">
        <is>
          <t>VÄSTERNORRLANDS LÄN</t>
        </is>
      </c>
      <c r="E2215" t="inlineStr">
        <is>
          <t>SOLLEFTEÅ</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40202-2023</t>
        </is>
      </c>
      <c r="B2216" s="1" t="n">
        <v>45169</v>
      </c>
      <c r="C2216" s="1" t="n">
        <v>45669</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40403-2023</t>
        </is>
      </c>
      <c r="B2217" s="1" t="n">
        <v>45170</v>
      </c>
      <c r="C2217" s="1" t="n">
        <v>45669</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40404-2023</t>
        </is>
      </c>
      <c r="B2218" s="1" t="n">
        <v>45170</v>
      </c>
      <c r="C2218" s="1" t="n">
        <v>45669</v>
      </c>
      <c r="D2218" t="inlineStr">
        <is>
          <t>VÄSTERNORRLANDS LÄN</t>
        </is>
      </c>
      <c r="E2218" t="inlineStr">
        <is>
          <t>SOLLEFTEÅ</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40429-2023</t>
        </is>
      </c>
      <c r="B2219" s="1" t="n">
        <v>45169</v>
      </c>
      <c r="C2219" s="1" t="n">
        <v>45669</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40421-2023</t>
        </is>
      </c>
      <c r="B2220" s="1" t="n">
        <v>45170</v>
      </c>
      <c r="C2220" s="1" t="n">
        <v>45669</v>
      </c>
      <c r="D2220" t="inlineStr">
        <is>
          <t>VÄSTERNORRLANDS LÄN</t>
        </is>
      </c>
      <c r="E2220" t="inlineStr">
        <is>
          <t>SOLLEFTEÅ</t>
        </is>
      </c>
      <c r="F2220" t="inlineStr">
        <is>
          <t>SCA</t>
        </is>
      </c>
      <c r="G2220" t="n">
        <v>10.2</v>
      </c>
      <c r="H2220" t="n">
        <v>0</v>
      </c>
      <c r="I2220" t="n">
        <v>0</v>
      </c>
      <c r="J2220" t="n">
        <v>0</v>
      </c>
      <c r="K2220" t="n">
        <v>0</v>
      </c>
      <c r="L2220" t="n">
        <v>0</v>
      </c>
      <c r="M2220" t="n">
        <v>0</v>
      </c>
      <c r="N2220" t="n">
        <v>0</v>
      </c>
      <c r="O2220" t="n">
        <v>0</v>
      </c>
      <c r="P2220" t="n">
        <v>0</v>
      </c>
      <c r="Q2220" t="n">
        <v>0</v>
      </c>
      <c r="R2220" s="2" t="inlineStr"/>
    </row>
    <row r="2221" ht="15" customHeight="1">
      <c r="A2221" t="inlineStr">
        <is>
          <t>A 40766-2023</t>
        </is>
      </c>
      <c r="B2221" s="1" t="n">
        <v>45170</v>
      </c>
      <c r="C2221" s="1" t="n">
        <v>45669</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40764-2023</t>
        </is>
      </c>
      <c r="B2222" s="1" t="n">
        <v>45170</v>
      </c>
      <c r="C2222" s="1" t="n">
        <v>45669</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41145-2023</t>
        </is>
      </c>
      <c r="B2223" s="1" t="n">
        <v>45174</v>
      </c>
      <c r="C2223" s="1" t="n">
        <v>45669</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41146-2023</t>
        </is>
      </c>
      <c r="B2224" s="1" t="n">
        <v>45174</v>
      </c>
      <c r="C2224" s="1" t="n">
        <v>45669</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41143-2023</t>
        </is>
      </c>
      <c r="B2225" s="1" t="n">
        <v>45174</v>
      </c>
      <c r="C2225" s="1" t="n">
        <v>45669</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41257-2023</t>
        </is>
      </c>
      <c r="B2226" s="1" t="n">
        <v>45174</v>
      </c>
      <c r="C2226" s="1" t="n">
        <v>45669</v>
      </c>
      <c r="D2226" t="inlineStr">
        <is>
          <t>VÄSTERNORRLANDS LÄN</t>
        </is>
      </c>
      <c r="E2226" t="inlineStr">
        <is>
          <t>SOLLEFTEÅ</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41655-2023</t>
        </is>
      </c>
      <c r="B2227" s="1" t="n">
        <v>45176</v>
      </c>
      <c r="C2227" s="1" t="n">
        <v>45669</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41933-2023</t>
        </is>
      </c>
      <c r="B2228" s="1" t="n">
        <v>45177</v>
      </c>
      <c r="C2228" s="1" t="n">
        <v>45669</v>
      </c>
      <c r="D2228" t="inlineStr">
        <is>
          <t>VÄSTERNORRLANDS LÄN</t>
        </is>
      </c>
      <c r="E2228" t="inlineStr">
        <is>
          <t>SOLLEFTEÅ</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41924-2023</t>
        </is>
      </c>
      <c r="B2229" s="1" t="n">
        <v>45176</v>
      </c>
      <c r="C2229" s="1" t="n">
        <v>45669</v>
      </c>
      <c r="D2229" t="inlineStr">
        <is>
          <t>VÄSTERNORRLANDS LÄN</t>
        </is>
      </c>
      <c r="E2229" t="inlineStr">
        <is>
          <t>SOLLEFTEÅ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42150-2023</t>
        </is>
      </c>
      <c r="B2230" s="1" t="n">
        <v>45178</v>
      </c>
      <c r="C2230" s="1" t="n">
        <v>45669</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42162-2023</t>
        </is>
      </c>
      <c r="B2231" s="1" t="n">
        <v>45178</v>
      </c>
      <c r="C2231" s="1" t="n">
        <v>45669</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42140-2023</t>
        </is>
      </c>
      <c r="B2232" s="1" t="n">
        <v>45178</v>
      </c>
      <c r="C2232" s="1" t="n">
        <v>45669</v>
      </c>
      <c r="D2232" t="inlineStr">
        <is>
          <t>VÄSTERNORRLANDS LÄN</t>
        </is>
      </c>
      <c r="E2232" t="inlineStr">
        <is>
          <t>SOLLEFTEÅ</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42160-2023</t>
        </is>
      </c>
      <c r="B2233" s="1" t="n">
        <v>45177</v>
      </c>
      <c r="C2233" s="1" t="n">
        <v>45669</v>
      </c>
      <c r="D2233" t="inlineStr">
        <is>
          <t>VÄSTERNORRLANDS LÄN</t>
        </is>
      </c>
      <c r="E2233" t="inlineStr">
        <is>
          <t>SOLLEFTEÅ</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42164-2023</t>
        </is>
      </c>
      <c r="B2234" s="1" t="n">
        <v>45178</v>
      </c>
      <c r="C2234" s="1" t="n">
        <v>45669</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42147-2023</t>
        </is>
      </c>
      <c r="B2235" s="1" t="n">
        <v>45177</v>
      </c>
      <c r="C2235" s="1" t="n">
        <v>45669</v>
      </c>
      <c r="D2235" t="inlineStr">
        <is>
          <t>VÄSTERNORRLANDS LÄN</t>
        </is>
      </c>
      <c r="E2235" t="inlineStr">
        <is>
          <t>SOLLEFTEÅ</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42440-2023</t>
        </is>
      </c>
      <c r="B2236" s="1" t="n">
        <v>45180</v>
      </c>
      <c r="C2236" s="1" t="n">
        <v>45669</v>
      </c>
      <c r="D2236" t="inlineStr">
        <is>
          <t>VÄSTERNORRLANDS LÄN</t>
        </is>
      </c>
      <c r="E2236" t="inlineStr">
        <is>
          <t>SOLLEFTEÅ</t>
        </is>
      </c>
      <c r="F2236" t="inlineStr">
        <is>
          <t>Holmen skog AB</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42514-2023</t>
        </is>
      </c>
      <c r="B2237" s="1" t="n">
        <v>45181</v>
      </c>
      <c r="C2237" s="1" t="n">
        <v>45669</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42512-2023</t>
        </is>
      </c>
      <c r="B2238" s="1" t="n">
        <v>45181</v>
      </c>
      <c r="C2238" s="1" t="n">
        <v>45669</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43487-2023</t>
        </is>
      </c>
      <c r="B2239" s="1" t="n">
        <v>45181</v>
      </c>
      <c r="C2239" s="1" t="n">
        <v>45669</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43177-2023</t>
        </is>
      </c>
      <c r="B2240" s="1" t="n">
        <v>45181</v>
      </c>
      <c r="C2240" s="1" t="n">
        <v>45669</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43512-2023</t>
        </is>
      </c>
      <c r="B2241" s="1" t="n">
        <v>45181</v>
      </c>
      <c r="C2241" s="1" t="n">
        <v>45669</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44533-2023</t>
        </is>
      </c>
      <c r="B2242" s="1" t="n">
        <v>45183</v>
      </c>
      <c r="C2242" s="1" t="n">
        <v>45669</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43531-2023</t>
        </is>
      </c>
      <c r="B2243" s="1" t="n">
        <v>45184</v>
      </c>
      <c r="C2243" s="1" t="n">
        <v>45669</v>
      </c>
      <c r="D2243" t="inlineStr">
        <is>
          <t>VÄSTERNORRLANDS LÄN</t>
        </is>
      </c>
      <c r="E2243" t="inlineStr">
        <is>
          <t>SOLLEFTEÅ</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43504-2023</t>
        </is>
      </c>
      <c r="B2244" s="1" t="n">
        <v>45184</v>
      </c>
      <c r="C2244" s="1" t="n">
        <v>45669</v>
      </c>
      <c r="D2244" t="inlineStr">
        <is>
          <t>VÄSTERNORRLANDS LÄN</t>
        </is>
      </c>
      <c r="E2244" t="inlineStr">
        <is>
          <t>SOLLEFTEÅ</t>
        </is>
      </c>
      <c r="F2244" t="inlineStr">
        <is>
          <t>Holmen skog AB</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45193-2023</t>
        </is>
      </c>
      <c r="B2245" s="1" t="n">
        <v>45187</v>
      </c>
      <c r="C2245" s="1" t="n">
        <v>45669</v>
      </c>
      <c r="D2245" t="inlineStr">
        <is>
          <t>VÄSTERNORRLANDS LÄN</t>
        </is>
      </c>
      <c r="E2245" t="inlineStr">
        <is>
          <t>SOLLEFTEÅ</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44389-2023</t>
        </is>
      </c>
      <c r="B2246" s="1" t="n">
        <v>45189</v>
      </c>
      <c r="C2246" s="1" t="n">
        <v>45669</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44393-2023</t>
        </is>
      </c>
      <c r="B2247" s="1" t="n">
        <v>45189</v>
      </c>
      <c r="C2247" s="1" t="n">
        <v>45669</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44388-2023</t>
        </is>
      </c>
      <c r="B2248" s="1" t="n">
        <v>45189</v>
      </c>
      <c r="C2248" s="1" t="n">
        <v>45669</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44392-2023</t>
        </is>
      </c>
      <c r="B2249" s="1" t="n">
        <v>45189</v>
      </c>
      <c r="C2249" s="1" t="n">
        <v>45669</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44408-2023</t>
        </is>
      </c>
      <c r="B2250" s="1" t="n">
        <v>45189</v>
      </c>
      <c r="C2250" s="1" t="n">
        <v>45669</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44391-2023</t>
        </is>
      </c>
      <c r="B2251" s="1" t="n">
        <v>45189</v>
      </c>
      <c r="C2251" s="1" t="n">
        <v>45669</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44407-2023</t>
        </is>
      </c>
      <c r="B2252" s="1" t="n">
        <v>45189</v>
      </c>
      <c r="C2252" s="1" t="n">
        <v>45669</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45644-2023</t>
        </is>
      </c>
      <c r="B2253" s="1" t="n">
        <v>45188</v>
      </c>
      <c r="C2253" s="1" t="n">
        <v>45669</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c r="U2253">
        <f>HYPERLINK("https://klasma.github.io/Logging_2283/knärot/A 45644-2023 karta knärot.png", "A 45644-2023")</f>
        <v/>
      </c>
      <c r="V2253">
        <f>HYPERLINK("https://klasma.github.io/Logging_2283/klagomål/A 45644-2023 FSC-klagomål.docx", "A 45644-2023")</f>
        <v/>
      </c>
      <c r="W2253">
        <f>HYPERLINK("https://klasma.github.io/Logging_2283/klagomålsmail/A 45644-2023 FSC-klagomål mail.docx", "A 45644-2023")</f>
        <v/>
      </c>
      <c r="X2253">
        <f>HYPERLINK("https://klasma.github.io/Logging_2283/tillsyn/A 45644-2023 tillsynsbegäran.docx", "A 45644-2023")</f>
        <v/>
      </c>
      <c r="Y2253">
        <f>HYPERLINK("https://klasma.github.io/Logging_2283/tillsynsmail/A 45644-2023 tillsynsbegäran mail.docx", "A 45644-2023")</f>
        <v/>
      </c>
    </row>
    <row r="2254" ht="15" customHeight="1">
      <c r="A2254" t="inlineStr">
        <is>
          <t>A 44410-2023</t>
        </is>
      </c>
      <c r="B2254" s="1" t="n">
        <v>45189</v>
      </c>
      <c r="C2254" s="1" t="n">
        <v>45669</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44905-2023</t>
        </is>
      </c>
      <c r="B2255" s="1" t="n">
        <v>45189</v>
      </c>
      <c r="C2255" s="1" t="n">
        <v>45669</v>
      </c>
      <c r="D2255" t="inlineStr">
        <is>
          <t>VÄSTERNORRLANDS LÄN</t>
        </is>
      </c>
      <c r="E2255" t="inlineStr">
        <is>
          <t>SOLLEFTEÅ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44781-2023</t>
        </is>
      </c>
      <c r="B2256" s="1" t="n">
        <v>45190</v>
      </c>
      <c r="C2256" s="1" t="n">
        <v>45669</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45007-2023</t>
        </is>
      </c>
      <c r="B2257" s="1" t="n">
        <v>45190</v>
      </c>
      <c r="C2257" s="1" t="n">
        <v>45669</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45015-2023</t>
        </is>
      </c>
      <c r="B2258" s="1" t="n">
        <v>45191</v>
      </c>
      <c r="C2258" s="1" t="n">
        <v>45669</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44984-2023</t>
        </is>
      </c>
      <c r="B2259" s="1" t="n">
        <v>45191</v>
      </c>
      <c r="C2259" s="1" t="n">
        <v>45669</v>
      </c>
      <c r="D2259" t="inlineStr">
        <is>
          <t>VÄSTERNORRLANDS LÄN</t>
        </is>
      </c>
      <c r="E2259" t="inlineStr">
        <is>
          <t>SOLLEFTEÅ</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45016-2023</t>
        </is>
      </c>
      <c r="B2260" s="1" t="n">
        <v>45191</v>
      </c>
      <c r="C2260" s="1" t="n">
        <v>45669</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44986-2023</t>
        </is>
      </c>
      <c r="B2261" s="1" t="n">
        <v>45190</v>
      </c>
      <c r="C2261" s="1" t="n">
        <v>45669</v>
      </c>
      <c r="D2261" t="inlineStr">
        <is>
          <t>VÄSTERNORRLANDS LÄN</t>
        </is>
      </c>
      <c r="E2261" t="inlineStr">
        <is>
          <t>SOLLEFTEÅ</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44994-2023</t>
        </is>
      </c>
      <c r="B2262" s="1" t="n">
        <v>45190</v>
      </c>
      <c r="C2262" s="1" t="n">
        <v>45669</v>
      </c>
      <c r="D2262" t="inlineStr">
        <is>
          <t>VÄSTERNORRLANDS LÄN</t>
        </is>
      </c>
      <c r="E2262" t="inlineStr">
        <is>
          <t>SOLLEFTEÅ</t>
        </is>
      </c>
      <c r="F2262" t="inlineStr">
        <is>
          <t>SCA</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44998-2023</t>
        </is>
      </c>
      <c r="B2263" s="1" t="n">
        <v>45191</v>
      </c>
      <c r="C2263" s="1" t="n">
        <v>45669</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45014-2023</t>
        </is>
      </c>
      <c r="B2264" s="1" t="n">
        <v>45191</v>
      </c>
      <c r="C2264" s="1" t="n">
        <v>45669</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45017-2023</t>
        </is>
      </c>
      <c r="B2265" s="1" t="n">
        <v>45190</v>
      </c>
      <c r="C2265" s="1" t="n">
        <v>45669</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46212-2023</t>
        </is>
      </c>
      <c r="B2266" s="1" t="n">
        <v>45190</v>
      </c>
      <c r="C2266" s="1" t="n">
        <v>45669</v>
      </c>
      <c r="D2266" t="inlineStr">
        <is>
          <t>VÄSTERNORRLANDS LÄN</t>
        </is>
      </c>
      <c r="E2266" t="inlineStr">
        <is>
          <t>SOLLEFTEÅ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46207-2023</t>
        </is>
      </c>
      <c r="B2267" s="1" t="n">
        <v>45190</v>
      </c>
      <c r="C2267" s="1" t="n">
        <v>45669</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46357-2023</t>
        </is>
      </c>
      <c r="B2268" s="1" t="n">
        <v>45191</v>
      </c>
      <c r="C2268" s="1" t="n">
        <v>45669</v>
      </c>
      <c r="D2268" t="inlineStr">
        <is>
          <t>VÄSTERNORRLANDS LÄN</t>
        </is>
      </c>
      <c r="E2268" t="inlineStr">
        <is>
          <t>SOLLEFTEÅ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46344-2023</t>
        </is>
      </c>
      <c r="B2269" s="1" t="n">
        <v>45191</v>
      </c>
      <c r="C2269" s="1" t="n">
        <v>45669</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45570-2023</t>
        </is>
      </c>
      <c r="B2270" s="1" t="n">
        <v>45194</v>
      </c>
      <c r="C2270" s="1" t="n">
        <v>45669</v>
      </c>
      <c r="D2270" t="inlineStr">
        <is>
          <t>VÄSTERNORRLANDS LÄN</t>
        </is>
      </c>
      <c r="E2270" t="inlineStr">
        <is>
          <t>SOLLEFTEÅ</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45958-2023</t>
        </is>
      </c>
      <c r="B2271" s="1" t="n">
        <v>45195</v>
      </c>
      <c r="C2271" s="1" t="n">
        <v>45669</v>
      </c>
      <c r="D2271" t="inlineStr">
        <is>
          <t>VÄSTERNORRLANDS LÄN</t>
        </is>
      </c>
      <c r="E2271" t="inlineStr">
        <is>
          <t>SOLLEFTEÅ</t>
        </is>
      </c>
      <c r="F2271" t="inlineStr">
        <is>
          <t>SCA</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45973-2023</t>
        </is>
      </c>
      <c r="B2272" s="1" t="n">
        <v>45195</v>
      </c>
      <c r="C2272" s="1" t="n">
        <v>45669</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46256-2023</t>
        </is>
      </c>
      <c r="B2273" s="1" t="n">
        <v>45197</v>
      </c>
      <c r="C2273" s="1" t="n">
        <v>45669</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47329-2023</t>
        </is>
      </c>
      <c r="B2274" s="1" t="n">
        <v>45196</v>
      </c>
      <c r="C2274" s="1" t="n">
        <v>45669</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47327-2023</t>
        </is>
      </c>
      <c r="B2275" s="1" t="n">
        <v>45196</v>
      </c>
      <c r="C2275" s="1" t="n">
        <v>45669</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46553-2023</t>
        </is>
      </c>
      <c r="B2276" s="1" t="n">
        <v>45198</v>
      </c>
      <c r="C2276" s="1" t="n">
        <v>45669</v>
      </c>
      <c r="D2276" t="inlineStr">
        <is>
          <t>VÄSTERNORRLANDS LÄN</t>
        </is>
      </c>
      <c r="E2276" t="inlineStr">
        <is>
          <t>SOLLEFTEÅ</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46550-2023</t>
        </is>
      </c>
      <c r="B2277" s="1" t="n">
        <v>45198</v>
      </c>
      <c r="C2277" s="1" t="n">
        <v>45669</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46554-2023</t>
        </is>
      </c>
      <c r="B2278" s="1" t="n">
        <v>45198</v>
      </c>
      <c r="C2278" s="1" t="n">
        <v>45669</v>
      </c>
      <c r="D2278" t="inlineStr">
        <is>
          <t>VÄSTERNORRLANDS LÄN</t>
        </is>
      </c>
      <c r="E2278" t="inlineStr">
        <is>
          <t>SOLLEFTEÅ</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46555-2023</t>
        </is>
      </c>
      <c r="B2279" s="1" t="n">
        <v>45198</v>
      </c>
      <c r="C2279" s="1" t="n">
        <v>45669</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46804-2023</t>
        </is>
      </c>
      <c r="B2280" s="1" t="n">
        <v>45198</v>
      </c>
      <c r="C2280" s="1" t="n">
        <v>45669</v>
      </c>
      <c r="D2280" t="inlineStr">
        <is>
          <t>VÄSTERNORRLANDS LÄN</t>
        </is>
      </c>
      <c r="E2280" t="inlineStr">
        <is>
          <t>SOLLEFTEÅ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47741-2023</t>
        </is>
      </c>
      <c r="B2281" s="1" t="n">
        <v>45198</v>
      </c>
      <c r="C2281" s="1" t="n">
        <v>45669</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47159-2023</t>
        </is>
      </c>
      <c r="B2282" s="1" t="n">
        <v>45201</v>
      </c>
      <c r="C2282" s="1" t="n">
        <v>45669</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47167-2023</t>
        </is>
      </c>
      <c r="B2283" s="1" t="n">
        <v>45202</v>
      </c>
      <c r="C2283" s="1" t="n">
        <v>45669</v>
      </c>
      <c r="D2283" t="inlineStr">
        <is>
          <t>VÄSTERNORRLANDS LÄN</t>
        </is>
      </c>
      <c r="E2283" t="inlineStr">
        <is>
          <t>SOLLEFTEÅ</t>
        </is>
      </c>
      <c r="F2283" t="inlineStr">
        <is>
          <t>SCA</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47175-2023</t>
        </is>
      </c>
      <c r="B2284" s="1" t="n">
        <v>45202</v>
      </c>
      <c r="C2284" s="1" t="n">
        <v>45669</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47170-2023</t>
        </is>
      </c>
      <c r="B2285" s="1" t="n">
        <v>45202</v>
      </c>
      <c r="C2285" s="1" t="n">
        <v>45669</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47174-2023</t>
        </is>
      </c>
      <c r="B2286" s="1" t="n">
        <v>45202</v>
      </c>
      <c r="C2286" s="1" t="n">
        <v>45669</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47177-2023</t>
        </is>
      </c>
      <c r="B2287" s="1" t="n">
        <v>45201</v>
      </c>
      <c r="C2287" s="1" t="n">
        <v>45669</v>
      </c>
      <c r="D2287" t="inlineStr">
        <is>
          <t>VÄSTERNORRLANDS LÄN</t>
        </is>
      </c>
      <c r="E2287" t="inlineStr">
        <is>
          <t>SOLLEFTEÅ</t>
        </is>
      </c>
      <c r="F2287" t="inlineStr">
        <is>
          <t>SCA</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47181-2023</t>
        </is>
      </c>
      <c r="B2288" s="1" t="n">
        <v>45202</v>
      </c>
      <c r="C2288" s="1" t="n">
        <v>45669</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47185-2023</t>
        </is>
      </c>
      <c r="B2289" s="1" t="n">
        <v>45201</v>
      </c>
      <c r="C2289" s="1" t="n">
        <v>45669</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47490-2023</t>
        </is>
      </c>
      <c r="B2290" s="1" t="n">
        <v>45203</v>
      </c>
      <c r="C2290" s="1" t="n">
        <v>45669</v>
      </c>
      <c r="D2290" t="inlineStr">
        <is>
          <t>VÄSTERNORRLANDS LÄN</t>
        </is>
      </c>
      <c r="E2290" t="inlineStr">
        <is>
          <t>SOLLEFTEÅ</t>
        </is>
      </c>
      <c r="F2290" t="inlineStr">
        <is>
          <t>SCA</t>
        </is>
      </c>
      <c r="G2290" t="n">
        <v>12.6</v>
      </c>
      <c r="H2290" t="n">
        <v>0</v>
      </c>
      <c r="I2290" t="n">
        <v>0</v>
      </c>
      <c r="J2290" t="n">
        <v>0</v>
      </c>
      <c r="K2290" t="n">
        <v>0</v>
      </c>
      <c r="L2290" t="n">
        <v>0</v>
      </c>
      <c r="M2290" t="n">
        <v>0</v>
      </c>
      <c r="N2290" t="n">
        <v>0</v>
      </c>
      <c r="O2290" t="n">
        <v>0</v>
      </c>
      <c r="P2290" t="n">
        <v>0</v>
      </c>
      <c r="Q2290" t="n">
        <v>0</v>
      </c>
      <c r="R2290" s="2" t="inlineStr"/>
    </row>
    <row r="2291" ht="15" customHeight="1">
      <c r="A2291" t="inlineStr">
        <is>
          <t>A 47457-2023</t>
        </is>
      </c>
      <c r="B2291" s="1" t="n">
        <v>45202</v>
      </c>
      <c r="C2291" s="1" t="n">
        <v>45669</v>
      </c>
      <c r="D2291" t="inlineStr">
        <is>
          <t>VÄSTERNORRLANDS LÄN</t>
        </is>
      </c>
      <c r="E2291" t="inlineStr">
        <is>
          <t>SOLLEFTEÅ</t>
        </is>
      </c>
      <c r="F2291" t="inlineStr">
        <is>
          <t>Holmen skog AB</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47477-2023</t>
        </is>
      </c>
      <c r="B2292" s="1" t="n">
        <v>45203</v>
      </c>
      <c r="C2292" s="1" t="n">
        <v>45669</v>
      </c>
      <c r="D2292" t="inlineStr">
        <is>
          <t>VÄSTERNORRLANDS LÄN</t>
        </is>
      </c>
      <c r="E2292" t="inlineStr">
        <is>
          <t>SOLLEFTEÅ</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47794-2023</t>
        </is>
      </c>
      <c r="B2293" s="1" t="n">
        <v>45204</v>
      </c>
      <c r="C2293" s="1" t="n">
        <v>45669</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48077-2023</t>
        </is>
      </c>
      <c r="B2294" s="1" t="n">
        <v>45205</v>
      </c>
      <c r="C2294" s="1" t="n">
        <v>45669</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48085-2023</t>
        </is>
      </c>
      <c r="B2295" s="1" t="n">
        <v>45205</v>
      </c>
      <c r="C2295" s="1" t="n">
        <v>45669</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48089-2023</t>
        </is>
      </c>
      <c r="B2296" s="1" t="n">
        <v>45204</v>
      </c>
      <c r="C2296" s="1" t="n">
        <v>45669</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48083-2023</t>
        </is>
      </c>
      <c r="B2297" s="1" t="n">
        <v>45204</v>
      </c>
      <c r="C2297" s="1" t="n">
        <v>45669</v>
      </c>
      <c r="D2297" t="inlineStr">
        <is>
          <t>VÄSTERNORRLANDS LÄN</t>
        </is>
      </c>
      <c r="E2297" t="inlineStr">
        <is>
          <t>SOLLEFTEÅ</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48086-2023</t>
        </is>
      </c>
      <c r="B2298" s="1" t="n">
        <v>45205</v>
      </c>
      <c r="C2298" s="1" t="n">
        <v>45669</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48090-2023</t>
        </is>
      </c>
      <c r="B2299" s="1" t="n">
        <v>45205</v>
      </c>
      <c r="C2299" s="1" t="n">
        <v>45669</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48072-2023</t>
        </is>
      </c>
      <c r="B2300" s="1" t="n">
        <v>45205</v>
      </c>
      <c r="C2300" s="1" t="n">
        <v>45669</v>
      </c>
      <c r="D2300" t="inlineStr">
        <is>
          <t>VÄSTERNORRLANDS LÄN</t>
        </is>
      </c>
      <c r="E2300" t="inlineStr">
        <is>
          <t>SOLLEFTEÅ</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48088-2023</t>
        </is>
      </c>
      <c r="B2301" s="1" t="n">
        <v>45205</v>
      </c>
      <c r="C2301" s="1" t="n">
        <v>45669</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48964-2023</t>
        </is>
      </c>
      <c r="B2302" s="1" t="n">
        <v>45204</v>
      </c>
      <c r="C2302" s="1" t="n">
        <v>45669</v>
      </c>
      <c r="D2302" t="inlineStr">
        <is>
          <t>VÄSTERNORRLANDS LÄN</t>
        </is>
      </c>
      <c r="E2302" t="inlineStr">
        <is>
          <t>SOLLEFTEÅ</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49417-2023</t>
        </is>
      </c>
      <c r="B2303" s="1" t="n">
        <v>45205</v>
      </c>
      <c r="C2303" s="1" t="n">
        <v>45669</v>
      </c>
      <c r="D2303" t="inlineStr">
        <is>
          <t>VÄSTERNORRLANDS LÄN</t>
        </is>
      </c>
      <c r="E2303" t="inlineStr">
        <is>
          <t>SOLLEFTEÅ</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48767-2023</t>
        </is>
      </c>
      <c r="B2304" s="1" t="n">
        <v>45208</v>
      </c>
      <c r="C2304" s="1" t="n">
        <v>45669</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48528-2023</t>
        </is>
      </c>
      <c r="B2305" s="1" t="n">
        <v>45208</v>
      </c>
      <c r="C2305" s="1" t="n">
        <v>45669</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48570-2023</t>
        </is>
      </c>
      <c r="B2306" s="1" t="n">
        <v>45208</v>
      </c>
      <c r="C2306" s="1" t="n">
        <v>45669</v>
      </c>
      <c r="D2306" t="inlineStr">
        <is>
          <t>VÄSTERNORRLANDS LÄN</t>
        </is>
      </c>
      <c r="E2306" t="inlineStr">
        <is>
          <t>SOLLEFTEÅ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48999-2023</t>
        </is>
      </c>
      <c r="B2307" s="1" t="n">
        <v>45209</v>
      </c>
      <c r="C2307" s="1" t="n">
        <v>45669</v>
      </c>
      <c r="D2307" t="inlineStr">
        <is>
          <t>VÄSTERNORRLANDS LÄN</t>
        </is>
      </c>
      <c r="E2307" t="inlineStr">
        <is>
          <t>SOLLEFTEÅ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49036-2023</t>
        </is>
      </c>
      <c r="B2308" s="1" t="n">
        <v>45210</v>
      </c>
      <c r="C2308" s="1" t="n">
        <v>45669</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50313-2023</t>
        </is>
      </c>
      <c r="B2309" s="1" t="n">
        <v>45209</v>
      </c>
      <c r="C2309" s="1" t="n">
        <v>45669</v>
      </c>
      <c r="D2309" t="inlineStr">
        <is>
          <t>VÄSTERNORRLANDS LÄN</t>
        </is>
      </c>
      <c r="E2309" t="inlineStr">
        <is>
          <t>SOLLEFTEÅ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49313-2023</t>
        </is>
      </c>
      <c r="B2310" s="1" t="n">
        <v>45211</v>
      </c>
      <c r="C2310" s="1" t="n">
        <v>45669</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49317-2023</t>
        </is>
      </c>
      <c r="B2311" s="1" t="n">
        <v>45210</v>
      </c>
      <c r="C2311" s="1" t="n">
        <v>45669</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49323-2023</t>
        </is>
      </c>
      <c r="B2312" s="1" t="n">
        <v>45211</v>
      </c>
      <c r="C2312" s="1" t="n">
        <v>45669</v>
      </c>
      <c r="D2312" t="inlineStr">
        <is>
          <t>VÄSTERNORRLANDS LÄN</t>
        </is>
      </c>
      <c r="E2312" t="inlineStr">
        <is>
          <t>SOLLEFTEÅ</t>
        </is>
      </c>
      <c r="F2312" t="inlineStr">
        <is>
          <t>SCA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49324-2023</t>
        </is>
      </c>
      <c r="B2313" s="1" t="n">
        <v>45210</v>
      </c>
      <c r="C2313" s="1" t="n">
        <v>45669</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50698-2023</t>
        </is>
      </c>
      <c r="B2314" s="1" t="n">
        <v>45210</v>
      </c>
      <c r="C2314" s="1" t="n">
        <v>45669</v>
      </c>
      <c r="D2314" t="inlineStr">
        <is>
          <t>VÄSTERNORRLANDS LÄN</t>
        </is>
      </c>
      <c r="E2314" t="inlineStr">
        <is>
          <t>SOLLEFTEÅ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50745-2023</t>
        </is>
      </c>
      <c r="B2315" s="1" t="n">
        <v>45210</v>
      </c>
      <c r="C2315" s="1" t="n">
        <v>45669</v>
      </c>
      <c r="D2315" t="inlineStr">
        <is>
          <t>VÄSTERNORRLANDS LÄN</t>
        </is>
      </c>
      <c r="E2315" t="inlineStr">
        <is>
          <t>SOLLEFTEÅ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50716-2023</t>
        </is>
      </c>
      <c r="B2316" s="1" t="n">
        <v>45210</v>
      </c>
      <c r="C2316" s="1" t="n">
        <v>45669</v>
      </c>
      <c r="D2316" t="inlineStr">
        <is>
          <t>VÄSTERNORRLANDS LÄN</t>
        </is>
      </c>
      <c r="E2316" t="inlineStr">
        <is>
          <t>SOLLEFTEÅ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50674-2023</t>
        </is>
      </c>
      <c r="B2317" s="1" t="n">
        <v>45210</v>
      </c>
      <c r="C2317" s="1" t="n">
        <v>45669</v>
      </c>
      <c r="D2317" t="inlineStr">
        <is>
          <t>VÄSTERNORRLANDS LÄN</t>
        </is>
      </c>
      <c r="E2317" t="inlineStr">
        <is>
          <t>SOLLEFTEÅ</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50688-2023</t>
        </is>
      </c>
      <c r="B2318" s="1" t="n">
        <v>45210</v>
      </c>
      <c r="C2318" s="1" t="n">
        <v>45669</v>
      </c>
      <c r="D2318" t="inlineStr">
        <is>
          <t>VÄSTERNORRLANDS LÄN</t>
        </is>
      </c>
      <c r="E2318" t="inlineStr">
        <is>
          <t>SOLLEFTEÅ</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50708-2023</t>
        </is>
      </c>
      <c r="B2319" s="1" t="n">
        <v>45210</v>
      </c>
      <c r="C2319" s="1" t="n">
        <v>45669</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49649-2023</t>
        </is>
      </c>
      <c r="B2320" s="1" t="n">
        <v>45212</v>
      </c>
      <c r="C2320" s="1" t="n">
        <v>45669</v>
      </c>
      <c r="D2320" t="inlineStr">
        <is>
          <t>VÄSTERNORRLANDS LÄN</t>
        </is>
      </c>
      <c r="E2320" t="inlineStr">
        <is>
          <t>SOLLEFTEÅ</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49810-2023</t>
        </is>
      </c>
      <c r="B2321" s="1" t="n">
        <v>45212</v>
      </c>
      <c r="C2321" s="1" t="n">
        <v>45669</v>
      </c>
      <c r="D2321" t="inlineStr">
        <is>
          <t>VÄSTERNORRLANDS LÄN</t>
        </is>
      </c>
      <c r="E2321" t="inlineStr">
        <is>
          <t>SOLLEFTEÅ</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50226-2023</t>
        </is>
      </c>
      <c r="B2322" s="1" t="n">
        <v>45216</v>
      </c>
      <c r="C2322" s="1" t="n">
        <v>45669</v>
      </c>
      <c r="D2322" t="inlineStr">
        <is>
          <t>VÄSTERNORRLANDS LÄN</t>
        </is>
      </c>
      <c r="E2322" t="inlineStr">
        <is>
          <t>SOLLEFTEÅ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51522-2023</t>
        </is>
      </c>
      <c r="B2323" s="1" t="n">
        <v>45215</v>
      </c>
      <c r="C2323" s="1" t="n">
        <v>45669</v>
      </c>
      <c r="D2323" t="inlineStr">
        <is>
          <t>VÄSTERNORRLANDS LÄN</t>
        </is>
      </c>
      <c r="E2323" t="inlineStr">
        <is>
          <t>SOLLEFTEÅ</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51515-2023</t>
        </is>
      </c>
      <c r="B2324" s="1" t="n">
        <v>45215</v>
      </c>
      <c r="C2324" s="1" t="n">
        <v>45669</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51681-2023</t>
        </is>
      </c>
      <c r="B2325" s="1" t="n">
        <v>45215</v>
      </c>
      <c r="C2325" s="1" t="n">
        <v>45669</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51677-2023</t>
        </is>
      </c>
      <c r="B2326" s="1" t="n">
        <v>45215</v>
      </c>
      <c r="C2326" s="1" t="n">
        <v>45669</v>
      </c>
      <c r="D2326" t="inlineStr">
        <is>
          <t>VÄSTERNORRLANDS LÄN</t>
        </is>
      </c>
      <c r="E2326" t="inlineStr">
        <is>
          <t>SOLLEFTEÅ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51690-2023</t>
        </is>
      </c>
      <c r="B2327" s="1" t="n">
        <v>45215</v>
      </c>
      <c r="C2327" s="1" t="n">
        <v>45669</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50507-2023</t>
        </is>
      </c>
      <c r="B2328" s="1" t="n">
        <v>45217</v>
      </c>
      <c r="C2328" s="1" t="n">
        <v>45669</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50767-2023</t>
        </is>
      </c>
      <c r="B2329" s="1" t="n">
        <v>45217</v>
      </c>
      <c r="C2329" s="1" t="n">
        <v>45669</v>
      </c>
      <c r="D2329" t="inlineStr">
        <is>
          <t>VÄSTERNORRLANDS LÄN</t>
        </is>
      </c>
      <c r="E2329" t="inlineStr">
        <is>
          <t>SOLLEFTEÅ</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50841-2023</t>
        </is>
      </c>
      <c r="B2330" s="1" t="n">
        <v>45217</v>
      </c>
      <c r="C2330" s="1" t="n">
        <v>45669</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50615-2023</t>
        </is>
      </c>
      <c r="B2331" s="1" t="n">
        <v>45217</v>
      </c>
      <c r="C2331" s="1" t="n">
        <v>45669</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50757-2023</t>
        </is>
      </c>
      <c r="B2332" s="1" t="n">
        <v>45217</v>
      </c>
      <c r="C2332" s="1" t="n">
        <v>45669</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50844-2023</t>
        </is>
      </c>
      <c r="B2333" s="1" t="n">
        <v>45217</v>
      </c>
      <c r="C2333" s="1" t="n">
        <v>45669</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52266-2023</t>
        </is>
      </c>
      <c r="B2334" s="1" t="n">
        <v>45217</v>
      </c>
      <c r="C2334" s="1" t="n">
        <v>45669</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52267-2023</t>
        </is>
      </c>
      <c r="B2335" s="1" t="n">
        <v>45217</v>
      </c>
      <c r="C2335" s="1" t="n">
        <v>45669</v>
      </c>
      <c r="D2335" t="inlineStr">
        <is>
          <t>VÄSTERNORRLANDS LÄN</t>
        </is>
      </c>
      <c r="E2335" t="inlineStr">
        <is>
          <t>SOLLEFTEÅ</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51107-2023</t>
        </is>
      </c>
      <c r="B2336" s="1" t="n">
        <v>45219</v>
      </c>
      <c r="C2336" s="1" t="n">
        <v>45669</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51106-2023</t>
        </is>
      </c>
      <c r="B2337" s="1" t="n">
        <v>45219</v>
      </c>
      <c r="C2337" s="1" t="n">
        <v>45669</v>
      </c>
      <c r="D2337" t="inlineStr">
        <is>
          <t>VÄSTERNORRLANDS LÄN</t>
        </is>
      </c>
      <c r="E2337" t="inlineStr">
        <is>
          <t>SOLLEFTEÅ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51800-2023</t>
        </is>
      </c>
      <c r="B2338" s="1" t="n">
        <v>45222</v>
      </c>
      <c r="C2338" s="1" t="n">
        <v>45669</v>
      </c>
      <c r="D2338" t="inlineStr">
        <is>
          <t>VÄSTERNORRLANDS LÄN</t>
        </is>
      </c>
      <c r="E2338" t="inlineStr">
        <is>
          <t>SOLLEFTEÅ</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51801-2023</t>
        </is>
      </c>
      <c r="B2339" s="1" t="n">
        <v>45222</v>
      </c>
      <c r="C2339" s="1" t="n">
        <v>45669</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53375-2023</t>
        </is>
      </c>
      <c r="B2340" s="1" t="n">
        <v>45222</v>
      </c>
      <c r="C2340" s="1" t="n">
        <v>45669</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53224-2023</t>
        </is>
      </c>
      <c r="B2341" s="1" t="n">
        <v>45222</v>
      </c>
      <c r="C2341" s="1" t="n">
        <v>45669</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53231-2023</t>
        </is>
      </c>
      <c r="B2342" s="1" t="n">
        <v>45222</v>
      </c>
      <c r="C2342" s="1" t="n">
        <v>45669</v>
      </c>
      <c r="D2342" t="inlineStr">
        <is>
          <t>VÄSTERNORRLANDS LÄN</t>
        </is>
      </c>
      <c r="E2342" t="inlineStr">
        <is>
          <t>SOLLEFTEÅ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53379-2023</t>
        </is>
      </c>
      <c r="B2343" s="1" t="n">
        <v>45222</v>
      </c>
      <c r="C2343" s="1" t="n">
        <v>45669</v>
      </c>
      <c r="D2343" t="inlineStr">
        <is>
          <t>VÄSTERNORRLANDS LÄN</t>
        </is>
      </c>
      <c r="E2343" t="inlineStr">
        <is>
          <t>SOLLEFTEÅ</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51802-2023</t>
        </is>
      </c>
      <c r="B2344" s="1" t="n">
        <v>45223</v>
      </c>
      <c r="C2344" s="1" t="n">
        <v>45669</v>
      </c>
      <c r="D2344" t="inlineStr">
        <is>
          <t>VÄSTERNORRLANDS LÄN</t>
        </is>
      </c>
      <c r="E2344" t="inlineStr">
        <is>
          <t>SOLLEFTEÅ</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53394-2023</t>
        </is>
      </c>
      <c r="B2345" s="1" t="n">
        <v>45222</v>
      </c>
      <c r="C2345" s="1" t="n">
        <v>45669</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52136-2023</t>
        </is>
      </c>
      <c r="B2346" s="1" t="n">
        <v>45224</v>
      </c>
      <c r="C2346" s="1" t="n">
        <v>45669</v>
      </c>
      <c r="D2346" t="inlineStr">
        <is>
          <t>VÄSTERNORRLANDS LÄN</t>
        </is>
      </c>
      <c r="E2346" t="inlineStr">
        <is>
          <t>SOLLEFTEÅ</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52087-2023</t>
        </is>
      </c>
      <c r="B2347" s="1" t="n">
        <v>45223</v>
      </c>
      <c r="C2347" s="1" t="n">
        <v>45669</v>
      </c>
      <c r="D2347" t="inlineStr">
        <is>
          <t>VÄSTERNORRLANDS LÄN</t>
        </is>
      </c>
      <c r="E2347" t="inlineStr">
        <is>
          <t>SOLLEFTEÅ</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53550-2023</t>
        </is>
      </c>
      <c r="B2348" s="1" t="n">
        <v>45223</v>
      </c>
      <c r="C2348" s="1" t="n">
        <v>45669</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53855-2023</t>
        </is>
      </c>
      <c r="B2349" s="1" t="n">
        <v>45224</v>
      </c>
      <c r="C2349" s="1" t="n">
        <v>45669</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53850-2023</t>
        </is>
      </c>
      <c r="B2350" s="1" t="n">
        <v>45224</v>
      </c>
      <c r="C2350" s="1" t="n">
        <v>45669</v>
      </c>
      <c r="D2350" t="inlineStr">
        <is>
          <t>VÄSTERNORRLANDS LÄN</t>
        </is>
      </c>
      <c r="E2350" t="inlineStr">
        <is>
          <t>SOLLEFTEÅ</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53939-2023</t>
        </is>
      </c>
      <c r="B2351" s="1" t="n">
        <v>45224</v>
      </c>
      <c r="C2351" s="1" t="n">
        <v>45669</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52445-2023</t>
        </is>
      </c>
      <c r="B2352" s="1" t="n">
        <v>45225</v>
      </c>
      <c r="C2352" s="1" t="n">
        <v>45669</v>
      </c>
      <c r="D2352" t="inlineStr">
        <is>
          <t>VÄSTERNORRLANDS LÄN</t>
        </is>
      </c>
      <c r="E2352" t="inlineStr">
        <is>
          <t>SOLLEFTEÅ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54307-2023</t>
        </is>
      </c>
      <c r="B2353" s="1" t="n">
        <v>45225</v>
      </c>
      <c r="C2353" s="1" t="n">
        <v>45669</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53040-2023</t>
        </is>
      </c>
      <c r="B2354" s="1" t="n">
        <v>45226</v>
      </c>
      <c r="C2354" s="1" t="n">
        <v>45669</v>
      </c>
      <c r="D2354" t="inlineStr">
        <is>
          <t>VÄSTERNORRLANDS LÄN</t>
        </is>
      </c>
      <c r="E2354" t="inlineStr">
        <is>
          <t>SOLLEFTEÅ</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54526-2023</t>
        </is>
      </c>
      <c r="B2355" s="1" t="n">
        <v>45226</v>
      </c>
      <c r="C2355" s="1" t="n">
        <v>45669</v>
      </c>
      <c r="D2355" t="inlineStr">
        <is>
          <t>VÄSTERNORRLANDS LÄN</t>
        </is>
      </c>
      <c r="E2355" t="inlineStr">
        <is>
          <t>SOLLEFTEÅ</t>
        </is>
      </c>
      <c r="G2355" t="n">
        <v>23.8</v>
      </c>
      <c r="H2355" t="n">
        <v>0</v>
      </c>
      <c r="I2355" t="n">
        <v>0</v>
      </c>
      <c r="J2355" t="n">
        <v>0</v>
      </c>
      <c r="K2355" t="n">
        <v>0</v>
      </c>
      <c r="L2355" t="n">
        <v>0</v>
      </c>
      <c r="M2355" t="n">
        <v>0</v>
      </c>
      <c r="N2355" t="n">
        <v>0</v>
      </c>
      <c r="O2355" t="n">
        <v>0</v>
      </c>
      <c r="P2355" t="n">
        <v>0</v>
      </c>
      <c r="Q2355" t="n">
        <v>0</v>
      </c>
      <c r="R2355" s="2" t="inlineStr"/>
    </row>
    <row r="2356" ht="15" customHeight="1">
      <c r="A2356" t="inlineStr">
        <is>
          <t>A 53057-2023</t>
        </is>
      </c>
      <c r="B2356" s="1" t="n">
        <v>45226</v>
      </c>
      <c r="C2356" s="1" t="n">
        <v>45669</v>
      </c>
      <c r="D2356" t="inlineStr">
        <is>
          <t>VÄSTERNORRLANDS LÄN</t>
        </is>
      </c>
      <c r="E2356" t="inlineStr">
        <is>
          <t>SOLLEFTEÅ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53041-2023</t>
        </is>
      </c>
      <c r="B2357" s="1" t="n">
        <v>45226</v>
      </c>
      <c r="C2357" s="1" t="n">
        <v>45669</v>
      </c>
      <c r="D2357" t="inlineStr">
        <is>
          <t>VÄSTERNORRLANDS LÄN</t>
        </is>
      </c>
      <c r="E2357" t="inlineStr">
        <is>
          <t>SOLLEFTEÅ</t>
        </is>
      </c>
      <c r="F2357" t="inlineStr">
        <is>
          <t>SCA</t>
        </is>
      </c>
      <c r="G2357" t="n">
        <v>50.2</v>
      </c>
      <c r="H2357" t="n">
        <v>0</v>
      </c>
      <c r="I2357" t="n">
        <v>0</v>
      </c>
      <c r="J2357" t="n">
        <v>0</v>
      </c>
      <c r="K2357" t="n">
        <v>0</v>
      </c>
      <c r="L2357" t="n">
        <v>0</v>
      </c>
      <c r="M2357" t="n">
        <v>0</v>
      </c>
      <c r="N2357" t="n">
        <v>0</v>
      </c>
      <c r="O2357" t="n">
        <v>0</v>
      </c>
      <c r="P2357" t="n">
        <v>0</v>
      </c>
      <c r="Q2357" t="n">
        <v>0</v>
      </c>
      <c r="R2357" s="2" t="inlineStr"/>
    </row>
    <row r="2358" ht="15" customHeight="1">
      <c r="A2358" t="inlineStr">
        <is>
          <t>A 53048-2023</t>
        </is>
      </c>
      <c r="B2358" s="1" t="n">
        <v>45226</v>
      </c>
      <c r="C2358" s="1" t="n">
        <v>45669</v>
      </c>
      <c r="D2358" t="inlineStr">
        <is>
          <t>VÄSTERNORRLANDS LÄN</t>
        </is>
      </c>
      <c r="E2358" t="inlineStr">
        <is>
          <t>SOLLEFTEÅ</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53452-2023</t>
        </is>
      </c>
      <c r="B2359" s="1" t="n">
        <v>45229</v>
      </c>
      <c r="C2359" s="1" t="n">
        <v>45669</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53453-2023</t>
        </is>
      </c>
      <c r="B2360" s="1" t="n">
        <v>45230</v>
      </c>
      <c r="C2360" s="1" t="n">
        <v>45669</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53669-2023</t>
        </is>
      </c>
      <c r="B2361" s="1" t="n">
        <v>45230</v>
      </c>
      <c r="C2361" s="1" t="n">
        <v>45669</v>
      </c>
      <c r="D2361" t="inlineStr">
        <is>
          <t>VÄSTERNORRLANDS LÄN</t>
        </is>
      </c>
      <c r="E2361" t="inlineStr">
        <is>
          <t>SOLLEFTEÅ</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54016-2023</t>
        </is>
      </c>
      <c r="B2362" s="1" t="n">
        <v>45231</v>
      </c>
      <c r="C2362" s="1" t="n">
        <v>45669</v>
      </c>
      <c r="D2362" t="inlineStr">
        <is>
          <t>VÄSTERNORRLANDS LÄN</t>
        </is>
      </c>
      <c r="E2362" t="inlineStr">
        <is>
          <t>SOLLEFTEÅ</t>
        </is>
      </c>
      <c r="F2362" t="inlineStr">
        <is>
          <t>Holmen skog AB</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54020-2023</t>
        </is>
      </c>
      <c r="B2363" s="1" t="n">
        <v>45231</v>
      </c>
      <c r="C2363" s="1" t="n">
        <v>45669</v>
      </c>
      <c r="D2363" t="inlineStr">
        <is>
          <t>VÄSTERNORRLANDS LÄN</t>
        </is>
      </c>
      <c r="E2363" t="inlineStr">
        <is>
          <t>SOLLEFTEÅ</t>
        </is>
      </c>
      <c r="F2363" t="inlineStr">
        <is>
          <t>Holmen skog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54034-2023</t>
        </is>
      </c>
      <c r="B2364" s="1" t="n">
        <v>45231</v>
      </c>
      <c r="C2364" s="1" t="n">
        <v>45669</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54033-2023</t>
        </is>
      </c>
      <c r="B2365" s="1" t="n">
        <v>45231</v>
      </c>
      <c r="C2365" s="1" t="n">
        <v>45669</v>
      </c>
      <c r="D2365" t="inlineStr">
        <is>
          <t>VÄSTERNORRLANDS LÄN</t>
        </is>
      </c>
      <c r="E2365" t="inlineStr">
        <is>
          <t>SOLLEFTEÅ</t>
        </is>
      </c>
      <c r="G2365" t="n">
        <v>13.2</v>
      </c>
      <c r="H2365" t="n">
        <v>0</v>
      </c>
      <c r="I2365" t="n">
        <v>0</v>
      </c>
      <c r="J2365" t="n">
        <v>0</v>
      </c>
      <c r="K2365" t="n">
        <v>0</v>
      </c>
      <c r="L2365" t="n">
        <v>0</v>
      </c>
      <c r="M2365" t="n">
        <v>0</v>
      </c>
      <c r="N2365" t="n">
        <v>0</v>
      </c>
      <c r="O2365" t="n">
        <v>0</v>
      </c>
      <c r="P2365" t="n">
        <v>0</v>
      </c>
      <c r="Q2365" t="n">
        <v>0</v>
      </c>
      <c r="R2365" s="2" t="inlineStr"/>
    </row>
    <row r="2366" ht="15" customHeight="1">
      <c r="A2366" t="inlineStr">
        <is>
          <t>A 54035-2023</t>
        </is>
      </c>
      <c r="B2366" s="1" t="n">
        <v>45231</v>
      </c>
      <c r="C2366" s="1" t="n">
        <v>45669</v>
      </c>
      <c r="D2366" t="inlineStr">
        <is>
          <t>VÄSTERNORRLANDS LÄN</t>
        </is>
      </c>
      <c r="E2366" t="inlineStr">
        <is>
          <t>SOLLEFTEÅ</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54048-2023</t>
        </is>
      </c>
      <c r="B2367" s="1" t="n">
        <v>45232</v>
      </c>
      <c r="C2367" s="1" t="n">
        <v>45669</v>
      </c>
      <c r="D2367" t="inlineStr">
        <is>
          <t>VÄSTERNORRLANDS LÄN</t>
        </is>
      </c>
      <c r="E2367" t="inlineStr">
        <is>
          <t>SOLLEFTEÅ</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54036-2023</t>
        </is>
      </c>
      <c r="B2368" s="1" t="n">
        <v>45231</v>
      </c>
      <c r="C2368" s="1" t="n">
        <v>45669</v>
      </c>
      <c r="D2368" t="inlineStr">
        <is>
          <t>VÄSTERNORRLANDS LÄN</t>
        </is>
      </c>
      <c r="E2368" t="inlineStr">
        <is>
          <t>SOLLEFTEÅ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54045-2023</t>
        </is>
      </c>
      <c r="B2369" s="1" t="n">
        <v>45232</v>
      </c>
      <c r="C2369" s="1" t="n">
        <v>45669</v>
      </c>
      <c r="D2369" t="inlineStr">
        <is>
          <t>VÄSTERNORRLANDS LÄN</t>
        </is>
      </c>
      <c r="E2369" t="inlineStr">
        <is>
          <t>SOLLEFTEÅ</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54092-2023</t>
        </is>
      </c>
      <c r="B2370" s="1" t="n">
        <v>45232</v>
      </c>
      <c r="C2370" s="1" t="n">
        <v>45669</v>
      </c>
      <c r="D2370" t="inlineStr">
        <is>
          <t>VÄSTERNORRLANDS LÄN</t>
        </is>
      </c>
      <c r="E2370" t="inlineStr">
        <is>
          <t>SOLLEFTEÅ</t>
        </is>
      </c>
      <c r="F2370" t="inlineStr">
        <is>
          <t>Holmen skog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54088-2023</t>
        </is>
      </c>
      <c r="B2371" s="1" t="n">
        <v>45232</v>
      </c>
      <c r="C2371" s="1" t="n">
        <v>45669</v>
      </c>
      <c r="D2371" t="inlineStr">
        <is>
          <t>VÄSTERNORRLANDS LÄN</t>
        </is>
      </c>
      <c r="E2371" t="inlineStr">
        <is>
          <t>SOLLEFTEÅ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54198-2023</t>
        </is>
      </c>
      <c r="B2372" s="1" t="n">
        <v>45232</v>
      </c>
      <c r="C2372" s="1" t="n">
        <v>45669</v>
      </c>
      <c r="D2372" t="inlineStr">
        <is>
          <t>VÄSTERNORRLANDS LÄN</t>
        </is>
      </c>
      <c r="E2372" t="inlineStr">
        <is>
          <t>SOLLEFTEÅ</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54330-2023</t>
        </is>
      </c>
      <c r="B2373" s="1" t="n">
        <v>45232</v>
      </c>
      <c r="C2373" s="1" t="n">
        <v>45669</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54351-2023</t>
        </is>
      </c>
      <c r="B2374" s="1" t="n">
        <v>45232</v>
      </c>
      <c r="C2374" s="1" t="n">
        <v>45669</v>
      </c>
      <c r="D2374" t="inlineStr">
        <is>
          <t>VÄSTERNORRLANDS LÄN</t>
        </is>
      </c>
      <c r="E2374" t="inlineStr">
        <is>
          <t>SOLLEFTEÅ</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54195-2023</t>
        </is>
      </c>
      <c r="B2375" s="1" t="n">
        <v>45232</v>
      </c>
      <c r="C2375" s="1" t="n">
        <v>45669</v>
      </c>
      <c r="D2375" t="inlineStr">
        <is>
          <t>VÄSTERNORRLANDS LÄN</t>
        </is>
      </c>
      <c r="E2375" t="inlineStr">
        <is>
          <t>SOLLEFTEÅ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54620-2023</t>
        </is>
      </c>
      <c r="B2376" s="1" t="n">
        <v>45233</v>
      </c>
      <c r="C2376" s="1" t="n">
        <v>45669</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54617-2023</t>
        </is>
      </c>
      <c r="B2377" s="1" t="n">
        <v>45234</v>
      </c>
      <c r="C2377" s="1" t="n">
        <v>45669</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54607-2023</t>
        </is>
      </c>
      <c r="B2378" s="1" t="n">
        <v>45233</v>
      </c>
      <c r="C2378" s="1" t="n">
        <v>45669</v>
      </c>
      <c r="D2378" t="inlineStr">
        <is>
          <t>VÄSTERNORRLANDS LÄN</t>
        </is>
      </c>
      <c r="E2378" t="inlineStr">
        <is>
          <t>SOLLEFTEÅ</t>
        </is>
      </c>
      <c r="F2378" t="inlineStr">
        <is>
          <t>SCA</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54622-2023</t>
        </is>
      </c>
      <c r="B2379" s="1" t="n">
        <v>45233</v>
      </c>
      <c r="C2379" s="1" t="n">
        <v>45669</v>
      </c>
      <c r="D2379" t="inlineStr">
        <is>
          <t>VÄSTERNORRLANDS LÄN</t>
        </is>
      </c>
      <c r="E2379" t="inlineStr">
        <is>
          <t>SOLLEFTEÅ</t>
        </is>
      </c>
      <c r="F2379" t="inlineStr">
        <is>
          <t>SCA</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54618-2023</t>
        </is>
      </c>
      <c r="B2380" s="1" t="n">
        <v>45233</v>
      </c>
      <c r="C2380" s="1" t="n">
        <v>45669</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54642-2023</t>
        </is>
      </c>
      <c r="B2381" s="1" t="n">
        <v>45234</v>
      </c>
      <c r="C2381" s="1" t="n">
        <v>45669</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54641-2023</t>
        </is>
      </c>
      <c r="B2382" s="1" t="n">
        <v>45234</v>
      </c>
      <c r="C2382" s="1" t="n">
        <v>45669</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54979-2023</t>
        </is>
      </c>
      <c r="B2383" s="1" t="n">
        <v>45236</v>
      </c>
      <c r="C2383" s="1" t="n">
        <v>45669</v>
      </c>
      <c r="D2383" t="inlineStr">
        <is>
          <t>VÄSTERNORRLANDS LÄN</t>
        </is>
      </c>
      <c r="E2383" t="inlineStr">
        <is>
          <t>SOLLEFTEÅ</t>
        </is>
      </c>
      <c r="F2383" t="inlineStr">
        <is>
          <t>SCA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56148-2023</t>
        </is>
      </c>
      <c r="B2384" s="1" t="n">
        <v>45236</v>
      </c>
      <c r="C2384" s="1" t="n">
        <v>45669</v>
      </c>
      <c r="D2384" t="inlineStr">
        <is>
          <t>VÄSTERNORRLANDS LÄN</t>
        </is>
      </c>
      <c r="E2384" t="inlineStr">
        <is>
          <t>SOLLEFTEÅ</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54978-2023</t>
        </is>
      </c>
      <c r="B2385" s="1" t="n">
        <v>45237</v>
      </c>
      <c r="C2385" s="1" t="n">
        <v>45669</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55005-2023</t>
        </is>
      </c>
      <c r="B2386" s="1" t="n">
        <v>45236</v>
      </c>
      <c r="C2386" s="1" t="n">
        <v>45669</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56356-2023</t>
        </is>
      </c>
      <c r="B2387" s="1" t="n">
        <v>45236</v>
      </c>
      <c r="C2387" s="1" t="n">
        <v>45669</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56416-2023</t>
        </is>
      </c>
      <c r="B2388" s="1" t="n">
        <v>45237</v>
      </c>
      <c r="C2388" s="1" t="n">
        <v>45669</v>
      </c>
      <c r="D2388" t="inlineStr">
        <is>
          <t>VÄSTERNORRLANDS LÄN</t>
        </is>
      </c>
      <c r="E2388" t="inlineStr">
        <is>
          <t>SOLLEFTEÅ</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56431-2023</t>
        </is>
      </c>
      <c r="B2389" s="1" t="n">
        <v>45237</v>
      </c>
      <c r="C2389" s="1" t="n">
        <v>45669</v>
      </c>
      <c r="D2389" t="inlineStr">
        <is>
          <t>VÄSTERNORRLANDS LÄN</t>
        </is>
      </c>
      <c r="E2389" t="inlineStr">
        <is>
          <t>SOLLEFTEÅ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55338-2023</t>
        </is>
      </c>
      <c r="B2390" s="1" t="n">
        <v>45238</v>
      </c>
      <c r="C2390" s="1" t="n">
        <v>45669</v>
      </c>
      <c r="D2390" t="inlineStr">
        <is>
          <t>VÄSTERNORRLANDS LÄN</t>
        </is>
      </c>
      <c r="E2390" t="inlineStr">
        <is>
          <t>SOLLEFTEÅ</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56424-2023</t>
        </is>
      </c>
      <c r="B2391" s="1" t="n">
        <v>45237</v>
      </c>
      <c r="C2391" s="1" t="n">
        <v>45669</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55637-2023</t>
        </is>
      </c>
      <c r="B2392" s="1" t="n">
        <v>45238</v>
      </c>
      <c r="C2392" s="1" t="n">
        <v>45669</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55653-2023</t>
        </is>
      </c>
      <c r="B2393" s="1" t="n">
        <v>45239</v>
      </c>
      <c r="C2393" s="1" t="n">
        <v>45669</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55622-2023</t>
        </is>
      </c>
      <c r="B2394" s="1" t="n">
        <v>45238</v>
      </c>
      <c r="C2394" s="1" t="n">
        <v>45669</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55638-2023</t>
        </is>
      </c>
      <c r="B2395" s="1" t="n">
        <v>45238</v>
      </c>
      <c r="C2395" s="1" t="n">
        <v>45669</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55650-2023</t>
        </is>
      </c>
      <c r="B2396" s="1" t="n">
        <v>45239</v>
      </c>
      <c r="C2396" s="1" t="n">
        <v>45669</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55654-2023</t>
        </is>
      </c>
      <c r="B2397" s="1" t="n">
        <v>45239</v>
      </c>
      <c r="C2397" s="1" t="n">
        <v>45669</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55652-2023</t>
        </is>
      </c>
      <c r="B2398" s="1" t="n">
        <v>45238</v>
      </c>
      <c r="C2398" s="1" t="n">
        <v>45669</v>
      </c>
      <c r="D2398" t="inlineStr">
        <is>
          <t>VÄSTERNORRLANDS LÄN</t>
        </is>
      </c>
      <c r="E2398" t="inlineStr">
        <is>
          <t>SOLLEFTEÅ</t>
        </is>
      </c>
      <c r="F2398" t="inlineStr">
        <is>
          <t>SCA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55651-2023</t>
        </is>
      </c>
      <c r="B2399" s="1" t="n">
        <v>45238</v>
      </c>
      <c r="C2399" s="1" t="n">
        <v>45669</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55687-2023</t>
        </is>
      </c>
      <c r="B2400" s="1" t="n">
        <v>45239</v>
      </c>
      <c r="C2400" s="1" t="n">
        <v>45669</v>
      </c>
      <c r="D2400" t="inlineStr">
        <is>
          <t>VÄSTERNORRLANDS LÄN</t>
        </is>
      </c>
      <c r="E2400" t="inlineStr">
        <is>
          <t>SOLLEFTEÅ</t>
        </is>
      </c>
      <c r="F2400" t="inlineStr">
        <is>
          <t>Holmen skog AB</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55859-2023</t>
        </is>
      </c>
      <c r="B2401" s="1" t="n">
        <v>45239</v>
      </c>
      <c r="C2401" s="1" t="n">
        <v>45669</v>
      </c>
      <c r="D2401" t="inlineStr">
        <is>
          <t>VÄSTERNORRLANDS LÄN</t>
        </is>
      </c>
      <c r="E2401" t="inlineStr">
        <is>
          <t>SOLLEFTEÅ</t>
        </is>
      </c>
      <c r="F2401" t="inlineStr">
        <is>
          <t>Kommuner</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55910-2023</t>
        </is>
      </c>
      <c r="B2402" s="1" t="n">
        <v>45239</v>
      </c>
      <c r="C2402" s="1" t="n">
        <v>45669</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v>
      </c>
      <c r="C2403" s="1" t="n">
        <v>45669</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55929-2023</t>
        </is>
      </c>
      <c r="B2404" s="1" t="n">
        <v>45239</v>
      </c>
      <c r="C2404" s="1" t="n">
        <v>45669</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57010-2023</t>
        </is>
      </c>
      <c r="B2405" s="1" t="n">
        <v>45239</v>
      </c>
      <c r="C2405" s="1" t="n">
        <v>45669</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56261-2023</t>
        </is>
      </c>
      <c r="B2406" s="1" t="n">
        <v>45240</v>
      </c>
      <c r="C2406" s="1" t="n">
        <v>45669</v>
      </c>
      <c r="D2406" t="inlineStr">
        <is>
          <t>VÄSTERNORRLANDS LÄN</t>
        </is>
      </c>
      <c r="E2406" t="inlineStr">
        <is>
          <t>SOLLEFTEÅ</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56249-2023</t>
        </is>
      </c>
      <c r="B2407" s="1" t="n">
        <v>45240</v>
      </c>
      <c r="C2407" s="1" t="n">
        <v>45669</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56201-2023</t>
        </is>
      </c>
      <c r="B2408" s="1" t="n">
        <v>45240</v>
      </c>
      <c r="C2408" s="1" t="n">
        <v>45669</v>
      </c>
      <c r="D2408" t="inlineStr">
        <is>
          <t>VÄSTERNORRLANDS LÄN</t>
        </is>
      </c>
      <c r="E2408" t="inlineStr">
        <is>
          <t>SOLLEFTEÅ</t>
        </is>
      </c>
      <c r="G2408" t="n">
        <v>43.3</v>
      </c>
      <c r="H2408" t="n">
        <v>0</v>
      </c>
      <c r="I2408" t="n">
        <v>0</v>
      </c>
      <c r="J2408" t="n">
        <v>0</v>
      </c>
      <c r="K2408" t="n">
        <v>0</v>
      </c>
      <c r="L2408" t="n">
        <v>0</v>
      </c>
      <c r="M2408" t="n">
        <v>0</v>
      </c>
      <c r="N2408" t="n">
        <v>0</v>
      </c>
      <c r="O2408" t="n">
        <v>0</v>
      </c>
      <c r="P2408" t="n">
        <v>0</v>
      </c>
      <c r="Q2408" t="n">
        <v>0</v>
      </c>
      <c r="R2408" s="2" t="inlineStr"/>
    </row>
    <row r="2409" ht="15" customHeight="1">
      <c r="A2409" t="inlineStr">
        <is>
          <t>A 56262-2023</t>
        </is>
      </c>
      <c r="B2409" s="1" t="n">
        <v>45240</v>
      </c>
      <c r="C2409" s="1" t="n">
        <v>45669</v>
      </c>
      <c r="D2409" t="inlineStr">
        <is>
          <t>VÄSTERNORRLANDS LÄN</t>
        </is>
      </c>
      <c r="E2409" t="inlineStr">
        <is>
          <t>SOLLEFTEÅ</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56234-2023</t>
        </is>
      </c>
      <c r="B2410" s="1" t="n">
        <v>45240</v>
      </c>
      <c r="C2410" s="1" t="n">
        <v>45669</v>
      </c>
      <c r="D2410" t="inlineStr">
        <is>
          <t>VÄSTERNORRLANDS LÄN</t>
        </is>
      </c>
      <c r="E2410" t="inlineStr">
        <is>
          <t>SOLLEFTEÅ</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56260-2023</t>
        </is>
      </c>
      <c r="B2411" s="1" t="n">
        <v>45240</v>
      </c>
      <c r="C2411" s="1" t="n">
        <v>45669</v>
      </c>
      <c r="D2411" t="inlineStr">
        <is>
          <t>VÄSTERNORRLANDS LÄN</t>
        </is>
      </c>
      <c r="E2411" t="inlineStr">
        <is>
          <t>SOLLEFTEÅ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56256-2023</t>
        </is>
      </c>
      <c r="B2412" s="1" t="n">
        <v>45240</v>
      </c>
      <c r="C2412" s="1" t="n">
        <v>45669</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56244-2023</t>
        </is>
      </c>
      <c r="B2413" s="1" t="n">
        <v>45240</v>
      </c>
      <c r="C2413" s="1" t="n">
        <v>45669</v>
      </c>
      <c r="D2413" t="inlineStr">
        <is>
          <t>VÄSTERNORRLANDS LÄN</t>
        </is>
      </c>
      <c r="E2413" t="inlineStr">
        <is>
          <t>SOLLEFTEÅ</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56134-2023</t>
        </is>
      </c>
      <c r="B2414" s="1" t="n">
        <v>45240</v>
      </c>
      <c r="C2414" s="1" t="n">
        <v>45669</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56137-2023</t>
        </is>
      </c>
      <c r="B2415" s="1" t="n">
        <v>45240</v>
      </c>
      <c r="C2415" s="1" t="n">
        <v>45669</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56139-2023</t>
        </is>
      </c>
      <c r="B2416" s="1" t="n">
        <v>45240</v>
      </c>
      <c r="C2416" s="1" t="n">
        <v>45669</v>
      </c>
      <c r="D2416" t="inlineStr">
        <is>
          <t>VÄSTERNORRLANDS LÄN</t>
        </is>
      </c>
      <c r="E2416" t="inlineStr">
        <is>
          <t>SOLLEFTEÅ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56310-2023</t>
        </is>
      </c>
      <c r="B2417" s="1" t="n">
        <v>45242</v>
      </c>
      <c r="C2417" s="1" t="n">
        <v>45669</v>
      </c>
      <c r="D2417" t="inlineStr">
        <is>
          <t>VÄSTERNORRLANDS LÄN</t>
        </is>
      </c>
      <c r="E2417" t="inlineStr">
        <is>
          <t>SOLLEFTEÅ</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57518-2023</t>
        </is>
      </c>
      <c r="B2418" s="1" t="n">
        <v>45242</v>
      </c>
      <c r="C2418" s="1" t="n">
        <v>45669</v>
      </c>
      <c r="D2418" t="inlineStr">
        <is>
          <t>VÄSTERNORRLANDS LÄN</t>
        </is>
      </c>
      <c r="E2418" t="inlineStr">
        <is>
          <t>SOLLEFTEÅ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56311-2023</t>
        </is>
      </c>
      <c r="B2419" s="1" t="n">
        <v>45242</v>
      </c>
      <c r="C2419" s="1" t="n">
        <v>45669</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56684-2023</t>
        </is>
      </c>
      <c r="B2420" s="1" t="n">
        <v>45244</v>
      </c>
      <c r="C2420" s="1" t="n">
        <v>45669</v>
      </c>
      <c r="D2420" t="inlineStr">
        <is>
          <t>VÄSTERNORRLANDS LÄN</t>
        </is>
      </c>
      <c r="E2420" t="inlineStr">
        <is>
          <t>SOLLEFTEÅ</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56685-2023</t>
        </is>
      </c>
      <c r="B2421" s="1" t="n">
        <v>45244</v>
      </c>
      <c r="C2421" s="1" t="n">
        <v>45669</v>
      </c>
      <c r="D2421" t="inlineStr">
        <is>
          <t>VÄSTERNORRLANDS LÄN</t>
        </is>
      </c>
      <c r="E2421" t="inlineStr">
        <is>
          <t>SOLLEFTEÅ</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57080-2023</t>
        </is>
      </c>
      <c r="B2422" s="1" t="n">
        <v>45244</v>
      </c>
      <c r="C2422" s="1" t="n">
        <v>45669</v>
      </c>
      <c r="D2422" t="inlineStr">
        <is>
          <t>VÄSTERNORRLANDS LÄN</t>
        </is>
      </c>
      <c r="E2422" t="inlineStr">
        <is>
          <t>SOLLEFTEÅ</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57066-2023</t>
        </is>
      </c>
      <c r="B2423" s="1" t="n">
        <v>45245</v>
      </c>
      <c r="C2423" s="1" t="n">
        <v>45669</v>
      </c>
      <c r="D2423" t="inlineStr">
        <is>
          <t>VÄSTERNORRLANDS LÄN</t>
        </is>
      </c>
      <c r="E2423" t="inlineStr">
        <is>
          <t>SOLLEFTEÅ</t>
        </is>
      </c>
      <c r="F2423" t="inlineStr">
        <is>
          <t>SCA</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57837-2023</t>
        </is>
      </c>
      <c r="B2424" s="1" t="n">
        <v>45244</v>
      </c>
      <c r="C2424" s="1" t="n">
        <v>45669</v>
      </c>
      <c r="D2424" t="inlineStr">
        <is>
          <t>VÄSTERNORRLANDS LÄN</t>
        </is>
      </c>
      <c r="E2424" t="inlineStr">
        <is>
          <t>SOLLEFTEÅ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57384-2023</t>
        </is>
      </c>
      <c r="B2425" s="1" t="n">
        <v>45245</v>
      </c>
      <c r="C2425" s="1" t="n">
        <v>45669</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57394-2023</t>
        </is>
      </c>
      <c r="B2426" s="1" t="n">
        <v>45246</v>
      </c>
      <c r="C2426" s="1" t="n">
        <v>45669</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57395-2023</t>
        </is>
      </c>
      <c r="B2427" s="1" t="n">
        <v>45246</v>
      </c>
      <c r="C2427" s="1" t="n">
        <v>45669</v>
      </c>
      <c r="D2427" t="inlineStr">
        <is>
          <t>VÄSTERNORRLANDS LÄN</t>
        </is>
      </c>
      <c r="E2427" t="inlineStr">
        <is>
          <t>SOLLEFTEÅ</t>
        </is>
      </c>
      <c r="F2427" t="inlineStr">
        <is>
          <t>SCA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57411-2023</t>
        </is>
      </c>
      <c r="B2428" s="1" t="n">
        <v>45245</v>
      </c>
      <c r="C2428" s="1" t="n">
        <v>45669</v>
      </c>
      <c r="D2428" t="inlineStr">
        <is>
          <t>VÄSTERNORRLANDS LÄN</t>
        </is>
      </c>
      <c r="E2428" t="inlineStr">
        <is>
          <t>SOLLEFTEÅ</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58298-2023</t>
        </is>
      </c>
      <c r="B2429" s="1" t="n">
        <v>45245</v>
      </c>
      <c r="C2429" s="1" t="n">
        <v>45669</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57655-2023</t>
        </is>
      </c>
      <c r="B2430" s="1" t="n">
        <v>45246</v>
      </c>
      <c r="C2430" s="1" t="n">
        <v>45669</v>
      </c>
      <c r="D2430" t="inlineStr">
        <is>
          <t>VÄSTERNORRLANDS LÄN</t>
        </is>
      </c>
      <c r="E2430" t="inlineStr">
        <is>
          <t>SOLLEFTEÅ</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58085-2023</t>
        </is>
      </c>
      <c r="B2431" s="1" t="n">
        <v>45247</v>
      </c>
      <c r="C2431" s="1" t="n">
        <v>45669</v>
      </c>
      <c r="D2431" t="inlineStr">
        <is>
          <t>VÄSTERNORRLANDS LÄN</t>
        </is>
      </c>
      <c r="E2431" t="inlineStr">
        <is>
          <t>SOLLEFTEÅ</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58155-2023</t>
        </is>
      </c>
      <c r="B2432" s="1" t="n">
        <v>45250</v>
      </c>
      <c r="C2432" s="1" t="n">
        <v>45669</v>
      </c>
      <c r="D2432" t="inlineStr">
        <is>
          <t>VÄSTERNORRLANDS LÄN</t>
        </is>
      </c>
      <c r="E2432" t="inlineStr">
        <is>
          <t>SOLLEFTEÅ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58923-2023</t>
        </is>
      </c>
      <c r="B2433" s="1" t="n">
        <v>45250</v>
      </c>
      <c r="C2433" s="1" t="n">
        <v>45669</v>
      </c>
      <c r="D2433" t="inlineStr">
        <is>
          <t>VÄSTERNORRLANDS LÄN</t>
        </is>
      </c>
      <c r="E2433" t="inlineStr">
        <is>
          <t>SOLLEFTEÅ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58938-2023</t>
        </is>
      </c>
      <c r="B2434" s="1" t="n">
        <v>45250</v>
      </c>
      <c r="C2434" s="1" t="n">
        <v>45669</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58427-2023</t>
        </is>
      </c>
      <c r="B2435" s="1" t="n">
        <v>45250</v>
      </c>
      <c r="C2435" s="1" t="n">
        <v>45669</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58891-2023</t>
        </is>
      </c>
      <c r="B2436" s="1" t="n">
        <v>45250</v>
      </c>
      <c r="C2436" s="1" t="n">
        <v>45669</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58933-2023</t>
        </is>
      </c>
      <c r="B2437" s="1" t="n">
        <v>45250</v>
      </c>
      <c r="C2437" s="1" t="n">
        <v>45669</v>
      </c>
      <c r="D2437" t="inlineStr">
        <is>
          <t>VÄSTERNORRLANDS LÄN</t>
        </is>
      </c>
      <c r="E2437" t="inlineStr">
        <is>
          <t>SOLLEFTEÅ</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59098-2023</t>
        </is>
      </c>
      <c r="B2438" s="1" t="n">
        <v>45253</v>
      </c>
      <c r="C2438" s="1" t="n">
        <v>45669</v>
      </c>
      <c r="D2438" t="inlineStr">
        <is>
          <t>VÄSTERNORRLANDS LÄN</t>
        </is>
      </c>
      <c r="E2438" t="inlineStr">
        <is>
          <t>SOLLEFTEÅ</t>
        </is>
      </c>
      <c r="F2438" t="inlineStr">
        <is>
          <t>SCA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59339-2023</t>
        </is>
      </c>
      <c r="B2439" s="1" t="n">
        <v>45253</v>
      </c>
      <c r="C2439" s="1" t="n">
        <v>45669</v>
      </c>
      <c r="D2439" t="inlineStr">
        <is>
          <t>VÄSTERNORRLANDS LÄN</t>
        </is>
      </c>
      <c r="E2439" t="inlineStr">
        <is>
          <t>SOLLEFTEÅ</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59346-2023</t>
        </is>
      </c>
      <c r="B2440" s="1" t="n">
        <v>45253</v>
      </c>
      <c r="C2440" s="1" t="n">
        <v>45669</v>
      </c>
      <c r="D2440" t="inlineStr">
        <is>
          <t>VÄSTERNORRLANDS LÄN</t>
        </is>
      </c>
      <c r="E2440" t="inlineStr">
        <is>
          <t>SOLLEFTEÅ</t>
        </is>
      </c>
      <c r="F2440" t="inlineStr">
        <is>
          <t>Holmen skog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59461-2023</t>
        </is>
      </c>
      <c r="B2441" s="1" t="n">
        <v>45253</v>
      </c>
      <c r="C2441" s="1" t="n">
        <v>45669</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59579-2023</t>
        </is>
      </c>
      <c r="B2442" s="1" t="n">
        <v>45253</v>
      </c>
      <c r="C2442" s="1" t="n">
        <v>45669</v>
      </c>
      <c r="D2442" t="inlineStr">
        <is>
          <t>VÄSTERNORRLANDS LÄN</t>
        </is>
      </c>
      <c r="E2442" t="inlineStr">
        <is>
          <t>SOLLEFTEÅ</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59501-2023</t>
        </is>
      </c>
      <c r="B2443" s="1" t="n">
        <v>45254</v>
      </c>
      <c r="C2443" s="1" t="n">
        <v>45669</v>
      </c>
      <c r="D2443" t="inlineStr">
        <is>
          <t>VÄSTERNORRLANDS LÄN</t>
        </is>
      </c>
      <c r="E2443" t="inlineStr">
        <is>
          <t>SOLLEFTEÅ</t>
        </is>
      </c>
      <c r="F2443" t="inlineStr">
        <is>
          <t>Holmen skog AB</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59583-2023</t>
        </is>
      </c>
      <c r="B2444" s="1" t="n">
        <v>45254</v>
      </c>
      <c r="C2444" s="1" t="n">
        <v>45669</v>
      </c>
      <c r="D2444" t="inlineStr">
        <is>
          <t>VÄSTERNORRLANDS LÄN</t>
        </is>
      </c>
      <c r="E2444" t="inlineStr">
        <is>
          <t>SOLLEFTEÅ</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59657-2023</t>
        </is>
      </c>
      <c r="B2445" s="1" t="n">
        <v>45255</v>
      </c>
      <c r="C2445" s="1" t="n">
        <v>45669</v>
      </c>
      <c r="D2445" t="inlineStr">
        <is>
          <t>VÄSTERNORRLANDS LÄN</t>
        </is>
      </c>
      <c r="E2445" t="inlineStr">
        <is>
          <t>SOLLEFTEÅ</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59593-2023</t>
        </is>
      </c>
      <c r="B2446" s="1" t="n">
        <v>45254</v>
      </c>
      <c r="C2446" s="1" t="n">
        <v>45669</v>
      </c>
      <c r="D2446" t="inlineStr">
        <is>
          <t>VÄSTERNORRLANDS LÄN</t>
        </is>
      </c>
      <c r="E2446" t="inlineStr">
        <is>
          <t>SOLLEFTEÅ</t>
        </is>
      </c>
      <c r="F2446" t="inlineStr">
        <is>
          <t>Holmen skog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59879-2023</t>
        </is>
      </c>
      <c r="B2447" s="1" t="n">
        <v>45254</v>
      </c>
      <c r="C2447" s="1" t="n">
        <v>45669</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60039-2023</t>
        </is>
      </c>
      <c r="B2448" s="1" t="n">
        <v>45254</v>
      </c>
      <c r="C2448" s="1" t="n">
        <v>45669</v>
      </c>
      <c r="D2448" t="inlineStr">
        <is>
          <t>VÄSTERNORRLANDS LÄN</t>
        </is>
      </c>
      <c r="E2448" t="inlineStr">
        <is>
          <t>SOLLEFTEÅ</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59794-2023</t>
        </is>
      </c>
      <c r="B2449" s="1" t="n">
        <v>45257</v>
      </c>
      <c r="C2449" s="1" t="n">
        <v>45669</v>
      </c>
      <c r="D2449" t="inlineStr">
        <is>
          <t>VÄSTERNORRLANDS LÄN</t>
        </is>
      </c>
      <c r="E2449" t="inlineStr">
        <is>
          <t>SOLLEFTEÅ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60099-2023</t>
        </is>
      </c>
      <c r="B2450" s="1" t="n">
        <v>45257</v>
      </c>
      <c r="C2450" s="1" t="n">
        <v>45669</v>
      </c>
      <c r="D2450" t="inlineStr">
        <is>
          <t>VÄSTERNORRLANDS LÄN</t>
        </is>
      </c>
      <c r="E2450" t="inlineStr">
        <is>
          <t>SOLLEFTEÅ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60329-2023</t>
        </is>
      </c>
      <c r="B2451" s="1" t="n">
        <v>45258</v>
      </c>
      <c r="C2451" s="1" t="n">
        <v>45669</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60328-2023</t>
        </is>
      </c>
      <c r="B2452" s="1" t="n">
        <v>45258</v>
      </c>
      <c r="C2452" s="1" t="n">
        <v>45669</v>
      </c>
      <c r="D2452" t="inlineStr">
        <is>
          <t>VÄSTERNORRLANDS LÄN</t>
        </is>
      </c>
      <c r="E2452" t="inlineStr">
        <is>
          <t>SOLLEFTEÅ</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60462-2023</t>
        </is>
      </c>
      <c r="B2453" s="1" t="n">
        <v>45258</v>
      </c>
      <c r="C2453" s="1" t="n">
        <v>45669</v>
      </c>
      <c r="D2453" t="inlineStr">
        <is>
          <t>VÄSTERNORRLANDS LÄN</t>
        </is>
      </c>
      <c r="E2453" t="inlineStr">
        <is>
          <t>SOLLEFTEÅ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60480-2023</t>
        </is>
      </c>
      <c r="B2454" s="1" t="n">
        <v>45258</v>
      </c>
      <c r="C2454" s="1" t="n">
        <v>45669</v>
      </c>
      <c r="D2454" t="inlineStr">
        <is>
          <t>VÄSTERNORRLANDS LÄN</t>
        </is>
      </c>
      <c r="E2454" t="inlineStr">
        <is>
          <t>SOLLEFTEÅ</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60883-2023</t>
        </is>
      </c>
      <c r="B2455" s="1" t="n">
        <v>45259</v>
      </c>
      <c r="C2455" s="1" t="n">
        <v>45669</v>
      </c>
      <c r="D2455" t="inlineStr">
        <is>
          <t>VÄSTERNORRLANDS LÄN</t>
        </is>
      </c>
      <c r="E2455" t="inlineStr">
        <is>
          <t>SOLLEFTEÅ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61028-2023</t>
        </is>
      </c>
      <c r="B2456" s="1" t="n">
        <v>45259</v>
      </c>
      <c r="C2456" s="1" t="n">
        <v>45669</v>
      </c>
      <c r="D2456" t="inlineStr">
        <is>
          <t>VÄSTERNORRLANDS LÄN</t>
        </is>
      </c>
      <c r="E2456" t="inlineStr">
        <is>
          <t>SOLLEFTEÅ</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61034-2023</t>
        </is>
      </c>
      <c r="B2457" s="1" t="n">
        <v>45259</v>
      </c>
      <c r="C2457" s="1" t="n">
        <v>45669</v>
      </c>
      <c r="D2457" t="inlineStr">
        <is>
          <t>VÄSTERNORRLANDS LÄN</t>
        </is>
      </c>
      <c r="E2457" t="inlineStr">
        <is>
          <t>SOLLEFTEÅ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60861-2023</t>
        </is>
      </c>
      <c r="B2458" s="1" t="n">
        <v>45260</v>
      </c>
      <c r="C2458" s="1" t="n">
        <v>45669</v>
      </c>
      <c r="D2458" t="inlineStr">
        <is>
          <t>VÄSTERNORRLANDS LÄN</t>
        </is>
      </c>
      <c r="E2458" t="inlineStr">
        <is>
          <t>SOLLEFTEÅ</t>
        </is>
      </c>
      <c r="F2458" t="inlineStr">
        <is>
          <t>SCA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61213-2023</t>
        </is>
      </c>
      <c r="B2459" s="1" t="n">
        <v>45260</v>
      </c>
      <c r="C2459" s="1" t="n">
        <v>45669</v>
      </c>
      <c r="D2459" t="inlineStr">
        <is>
          <t>VÄSTERNORRLANDS LÄN</t>
        </is>
      </c>
      <c r="E2459" t="inlineStr">
        <is>
          <t>SOLLEFTEÅ</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61081-2023</t>
        </is>
      </c>
      <c r="B2460" s="1" t="n">
        <v>45261</v>
      </c>
      <c r="C2460" s="1" t="n">
        <v>45669</v>
      </c>
      <c r="D2460" t="inlineStr">
        <is>
          <t>VÄSTERNORRLANDS LÄN</t>
        </is>
      </c>
      <c r="E2460" t="inlineStr">
        <is>
          <t>SOLLEFTEÅ</t>
        </is>
      </c>
      <c r="F2460" t="inlineStr">
        <is>
          <t>Holmen skog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61137-2023</t>
        </is>
      </c>
      <c r="B2461" s="1" t="n">
        <v>45261</v>
      </c>
      <c r="C2461" s="1" t="n">
        <v>45669</v>
      </c>
      <c r="D2461" t="inlineStr">
        <is>
          <t>VÄSTERNORRLANDS LÄN</t>
        </is>
      </c>
      <c r="E2461" t="inlineStr">
        <is>
          <t>SOLLEFTEÅ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61138-2023</t>
        </is>
      </c>
      <c r="B2462" s="1" t="n">
        <v>45261</v>
      </c>
      <c r="C2462" s="1" t="n">
        <v>45669</v>
      </c>
      <c r="D2462" t="inlineStr">
        <is>
          <t>VÄSTERNORRLANDS LÄN</t>
        </is>
      </c>
      <c r="E2462" t="inlineStr">
        <is>
          <t>SOLLEFTEÅ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61469-2023</t>
        </is>
      </c>
      <c r="B2463" s="1" t="n">
        <v>45264</v>
      </c>
      <c r="C2463" s="1" t="n">
        <v>45669</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61473-2023</t>
        </is>
      </c>
      <c r="B2464" s="1" t="n">
        <v>45264</v>
      </c>
      <c r="C2464" s="1" t="n">
        <v>45669</v>
      </c>
      <c r="D2464" t="inlineStr">
        <is>
          <t>VÄSTERNORRLANDS LÄN</t>
        </is>
      </c>
      <c r="E2464" t="inlineStr">
        <is>
          <t>SOLLEFTEÅ</t>
        </is>
      </c>
      <c r="G2464" t="n">
        <v>18.8</v>
      </c>
      <c r="H2464" t="n">
        <v>0</v>
      </c>
      <c r="I2464" t="n">
        <v>0</v>
      </c>
      <c r="J2464" t="n">
        <v>0</v>
      </c>
      <c r="K2464" t="n">
        <v>0</v>
      </c>
      <c r="L2464" t="n">
        <v>0</v>
      </c>
      <c r="M2464" t="n">
        <v>0</v>
      </c>
      <c r="N2464" t="n">
        <v>0</v>
      </c>
      <c r="O2464" t="n">
        <v>0</v>
      </c>
      <c r="P2464" t="n">
        <v>0</v>
      </c>
      <c r="Q2464" t="n">
        <v>0</v>
      </c>
      <c r="R2464" s="2" t="inlineStr"/>
    </row>
    <row r="2465" ht="15" customHeight="1">
      <c r="A2465" t="inlineStr">
        <is>
          <t>A 61462-2023</t>
        </is>
      </c>
      <c r="B2465" s="1" t="n">
        <v>45264</v>
      </c>
      <c r="C2465" s="1" t="n">
        <v>45669</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61470-2023</t>
        </is>
      </c>
      <c r="B2466" s="1" t="n">
        <v>45264</v>
      </c>
      <c r="C2466" s="1" t="n">
        <v>45669</v>
      </c>
      <c r="D2466" t="inlineStr">
        <is>
          <t>VÄSTERNORRLANDS LÄN</t>
        </is>
      </c>
      <c r="E2466" t="inlineStr">
        <is>
          <t>SOLLEFTEÅ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61809-2023</t>
        </is>
      </c>
      <c r="B2467" s="1" t="n">
        <v>45264</v>
      </c>
      <c r="C2467" s="1" t="n">
        <v>45669</v>
      </c>
      <c r="D2467" t="inlineStr">
        <is>
          <t>VÄSTERNORRLANDS LÄN</t>
        </is>
      </c>
      <c r="E2467" t="inlineStr">
        <is>
          <t>SOLLEFTEÅ</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61805-2023</t>
        </is>
      </c>
      <c r="B2468" s="1" t="n">
        <v>45264</v>
      </c>
      <c r="C2468" s="1" t="n">
        <v>45669</v>
      </c>
      <c r="D2468" t="inlineStr">
        <is>
          <t>VÄSTERNORRLANDS LÄN</t>
        </is>
      </c>
      <c r="E2468" t="inlineStr">
        <is>
          <t>SOLLEFTEÅ</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61485-2023</t>
        </is>
      </c>
      <c r="B2469" s="1" t="n">
        <v>45264</v>
      </c>
      <c r="C2469" s="1" t="n">
        <v>45669</v>
      </c>
      <c r="D2469" t="inlineStr">
        <is>
          <t>VÄSTERNORRLANDS LÄN</t>
        </is>
      </c>
      <c r="E2469" t="inlineStr">
        <is>
          <t>SOLLEFTEÅ</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61784-2023</t>
        </is>
      </c>
      <c r="B2470" s="1" t="n">
        <v>45265</v>
      </c>
      <c r="C2470" s="1" t="n">
        <v>45669</v>
      </c>
      <c r="D2470" t="inlineStr">
        <is>
          <t>VÄSTERNORRLANDS LÄN</t>
        </is>
      </c>
      <c r="E2470" t="inlineStr">
        <is>
          <t>SOLLEFTEÅ</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62099-2023</t>
        </is>
      </c>
      <c r="B2471" s="1" t="n">
        <v>45266</v>
      </c>
      <c r="C2471" s="1" t="n">
        <v>45669</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62098-2023</t>
        </is>
      </c>
      <c r="B2472" s="1" t="n">
        <v>45266</v>
      </c>
      <c r="C2472" s="1" t="n">
        <v>45669</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62096-2023</t>
        </is>
      </c>
      <c r="B2473" s="1" t="n">
        <v>45266</v>
      </c>
      <c r="C2473" s="1" t="n">
        <v>45669</v>
      </c>
      <c r="D2473" t="inlineStr">
        <is>
          <t>VÄSTERNORRLANDS LÄN</t>
        </is>
      </c>
      <c r="E2473" t="inlineStr">
        <is>
          <t>SOLLEFTEÅ</t>
        </is>
      </c>
      <c r="F2473" t="inlineStr">
        <is>
          <t>Kyrkan</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62100-2023</t>
        </is>
      </c>
      <c r="B2474" s="1" t="n">
        <v>45266</v>
      </c>
      <c r="C2474" s="1" t="n">
        <v>45669</v>
      </c>
      <c r="D2474" t="inlineStr">
        <is>
          <t>VÄSTERNORRLANDS LÄN</t>
        </is>
      </c>
      <c r="E2474" t="inlineStr">
        <is>
          <t>SOLLEFTEÅ</t>
        </is>
      </c>
      <c r="G2474" t="n">
        <v>16.6</v>
      </c>
      <c r="H2474" t="n">
        <v>0</v>
      </c>
      <c r="I2474" t="n">
        <v>0</v>
      </c>
      <c r="J2474" t="n">
        <v>0</v>
      </c>
      <c r="K2474" t="n">
        <v>0</v>
      </c>
      <c r="L2474" t="n">
        <v>0</v>
      </c>
      <c r="M2474" t="n">
        <v>0</v>
      </c>
      <c r="N2474" t="n">
        <v>0</v>
      </c>
      <c r="O2474" t="n">
        <v>0</v>
      </c>
      <c r="P2474" t="n">
        <v>0</v>
      </c>
      <c r="Q2474" t="n">
        <v>0</v>
      </c>
      <c r="R2474" s="2" t="inlineStr"/>
    </row>
    <row r="2475" ht="15" customHeight="1">
      <c r="A2475" t="inlineStr">
        <is>
          <t>A 62115-2023</t>
        </is>
      </c>
      <c r="B2475" s="1" t="n">
        <v>45266</v>
      </c>
      <c r="C2475" s="1" t="n">
        <v>45669</v>
      </c>
      <c r="D2475" t="inlineStr">
        <is>
          <t>VÄSTERNORRLANDS LÄN</t>
        </is>
      </c>
      <c r="E2475" t="inlineStr">
        <is>
          <t>SOLLEFTEÅ</t>
        </is>
      </c>
      <c r="F2475" t="inlineStr">
        <is>
          <t>SCA</t>
        </is>
      </c>
      <c r="G2475" t="n">
        <v>43.1</v>
      </c>
      <c r="H2475" t="n">
        <v>0</v>
      </c>
      <c r="I2475" t="n">
        <v>0</v>
      </c>
      <c r="J2475" t="n">
        <v>0</v>
      </c>
      <c r="K2475" t="n">
        <v>0</v>
      </c>
      <c r="L2475" t="n">
        <v>0</v>
      </c>
      <c r="M2475" t="n">
        <v>0</v>
      </c>
      <c r="N2475" t="n">
        <v>0</v>
      </c>
      <c r="O2475" t="n">
        <v>0</v>
      </c>
      <c r="P2475" t="n">
        <v>0</v>
      </c>
      <c r="Q2475" t="n">
        <v>0</v>
      </c>
      <c r="R2475" s="2" t="inlineStr"/>
    </row>
    <row r="2476" ht="15" customHeight="1">
      <c r="A2476" t="inlineStr">
        <is>
          <t>A 62097-2023</t>
        </is>
      </c>
      <c r="B2476" s="1" t="n">
        <v>45266</v>
      </c>
      <c r="C2476" s="1" t="n">
        <v>45669</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62093-2023</t>
        </is>
      </c>
      <c r="B2477" s="1" t="n">
        <v>45266</v>
      </c>
      <c r="C2477" s="1" t="n">
        <v>45669</v>
      </c>
      <c r="D2477" t="inlineStr">
        <is>
          <t>VÄSTERNORRLANDS LÄN</t>
        </is>
      </c>
      <c r="E2477" t="inlineStr">
        <is>
          <t>SOLLEFTEÅ</t>
        </is>
      </c>
      <c r="G2477" t="n">
        <v>18.1</v>
      </c>
      <c r="H2477" t="n">
        <v>0</v>
      </c>
      <c r="I2477" t="n">
        <v>0</v>
      </c>
      <c r="J2477" t="n">
        <v>0</v>
      </c>
      <c r="K2477" t="n">
        <v>0</v>
      </c>
      <c r="L2477" t="n">
        <v>0</v>
      </c>
      <c r="M2477" t="n">
        <v>0</v>
      </c>
      <c r="N2477" t="n">
        <v>0</v>
      </c>
      <c r="O2477" t="n">
        <v>0</v>
      </c>
      <c r="P2477" t="n">
        <v>0</v>
      </c>
      <c r="Q2477" t="n">
        <v>0</v>
      </c>
      <c r="R2477" s="2" t="inlineStr"/>
    </row>
    <row r="2478" ht="15" customHeight="1">
      <c r="A2478" t="inlineStr">
        <is>
          <t>A 62343-2023</t>
        </is>
      </c>
      <c r="B2478" s="1" t="n">
        <v>45267</v>
      </c>
      <c r="C2478" s="1" t="n">
        <v>45669</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62363-2023</t>
        </is>
      </c>
      <c r="B2479" s="1" t="n">
        <v>45267</v>
      </c>
      <c r="C2479" s="1" t="n">
        <v>45669</v>
      </c>
      <c r="D2479" t="inlineStr">
        <is>
          <t>VÄSTERNORRLANDS LÄN</t>
        </is>
      </c>
      <c r="E2479" t="inlineStr">
        <is>
          <t>SOLLEFTEÅ</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62364-2023</t>
        </is>
      </c>
      <c r="B2480" s="1" t="n">
        <v>45267</v>
      </c>
      <c r="C2480" s="1" t="n">
        <v>45669</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62523-2023</t>
        </is>
      </c>
      <c r="B2481" s="1" t="n">
        <v>45267</v>
      </c>
      <c r="C2481" s="1" t="n">
        <v>45669</v>
      </c>
      <c r="D2481" t="inlineStr">
        <is>
          <t>VÄSTERNORRLANDS LÄN</t>
        </is>
      </c>
      <c r="E2481" t="inlineStr">
        <is>
          <t>SOLLEFTEÅ</t>
        </is>
      </c>
      <c r="G2481" t="n">
        <v>33.6</v>
      </c>
      <c r="H2481" t="n">
        <v>0</v>
      </c>
      <c r="I2481" t="n">
        <v>0</v>
      </c>
      <c r="J2481" t="n">
        <v>0</v>
      </c>
      <c r="K2481" t="n">
        <v>0</v>
      </c>
      <c r="L2481" t="n">
        <v>0</v>
      </c>
      <c r="M2481" t="n">
        <v>0</v>
      </c>
      <c r="N2481" t="n">
        <v>0</v>
      </c>
      <c r="O2481" t="n">
        <v>0</v>
      </c>
      <c r="P2481" t="n">
        <v>0</v>
      </c>
      <c r="Q2481" t="n">
        <v>0</v>
      </c>
      <c r="R2481" s="2" t="inlineStr"/>
    </row>
    <row r="2482" ht="15" customHeight="1">
      <c r="A2482" t="inlineStr">
        <is>
          <t>A 62357-2023</t>
        </is>
      </c>
      <c r="B2482" s="1" t="n">
        <v>45267</v>
      </c>
      <c r="C2482" s="1" t="n">
        <v>45669</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62527-2023</t>
        </is>
      </c>
      <c r="B2483" s="1" t="n">
        <v>45267</v>
      </c>
      <c r="C2483" s="1" t="n">
        <v>45669</v>
      </c>
      <c r="D2483" t="inlineStr">
        <is>
          <t>VÄSTERNORRLANDS LÄN</t>
        </is>
      </c>
      <c r="E2483" t="inlineStr">
        <is>
          <t>SOLLEFTEÅ</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62827-2023</t>
        </is>
      </c>
      <c r="B2484" s="1" t="n">
        <v>45271</v>
      </c>
      <c r="C2484" s="1" t="n">
        <v>45669</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63138-2023</t>
        </is>
      </c>
      <c r="B2485" s="1" t="n">
        <v>45272</v>
      </c>
      <c r="C2485" s="1" t="n">
        <v>45669</v>
      </c>
      <c r="D2485" t="inlineStr">
        <is>
          <t>VÄSTERNORRLANDS LÄN</t>
        </is>
      </c>
      <c r="E2485" t="inlineStr">
        <is>
          <t>SOLLEFTEÅ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63144-2023</t>
        </is>
      </c>
      <c r="B2486" s="1" t="n">
        <v>45272</v>
      </c>
      <c r="C2486" s="1" t="n">
        <v>45669</v>
      </c>
      <c r="D2486" t="inlineStr">
        <is>
          <t>VÄSTERNORRLANDS LÄN</t>
        </is>
      </c>
      <c r="E2486" t="inlineStr">
        <is>
          <t>SOLLEFTEÅ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63261-2023</t>
        </is>
      </c>
      <c r="B2487" s="1" t="n">
        <v>45273</v>
      </c>
      <c r="C2487" s="1" t="n">
        <v>45669</v>
      </c>
      <c r="D2487" t="inlineStr">
        <is>
          <t>VÄSTERNORRLANDS LÄN</t>
        </is>
      </c>
      <c r="E2487" t="inlineStr">
        <is>
          <t>SOLLEFTEÅ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63259-2023</t>
        </is>
      </c>
      <c r="B2488" s="1" t="n">
        <v>45273</v>
      </c>
      <c r="C2488" s="1" t="n">
        <v>45669</v>
      </c>
      <c r="D2488" t="inlineStr">
        <is>
          <t>VÄSTERNORRLANDS LÄN</t>
        </is>
      </c>
      <c r="E2488" t="inlineStr">
        <is>
          <t>SOLLEFTEÅ</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63529-2023</t>
        </is>
      </c>
      <c r="B2489" s="1" t="n">
        <v>45274</v>
      </c>
      <c r="C2489" s="1" t="n">
        <v>45669</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63422-2023</t>
        </is>
      </c>
      <c r="B2490" s="1" t="n">
        <v>45274</v>
      </c>
      <c r="C2490" s="1" t="n">
        <v>45669</v>
      </c>
      <c r="D2490" t="inlineStr">
        <is>
          <t>VÄSTERNORRLANDS LÄN</t>
        </is>
      </c>
      <c r="E2490" t="inlineStr">
        <is>
          <t>SOLLEFTEÅ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63462-2023</t>
        </is>
      </c>
      <c r="B2491" s="1" t="n">
        <v>45274</v>
      </c>
      <c r="C2491" s="1" t="n">
        <v>45669</v>
      </c>
      <c r="D2491" t="inlineStr">
        <is>
          <t>VÄSTERNORRLANDS LÄN</t>
        </is>
      </c>
      <c r="E2491" t="inlineStr">
        <is>
          <t>SOLLEFTEÅ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63413-2023</t>
        </is>
      </c>
      <c r="B2492" s="1" t="n">
        <v>45274</v>
      </c>
      <c r="C2492" s="1" t="n">
        <v>45669</v>
      </c>
      <c r="D2492" t="inlineStr">
        <is>
          <t>VÄSTERNORRLANDS LÄN</t>
        </is>
      </c>
      <c r="E2492" t="inlineStr">
        <is>
          <t>SOLLEFTEÅ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63547-2023</t>
        </is>
      </c>
      <c r="B2493" s="1" t="n">
        <v>45274</v>
      </c>
      <c r="C2493" s="1" t="n">
        <v>45669</v>
      </c>
      <c r="D2493" t="inlineStr">
        <is>
          <t>VÄSTERNORRLANDS LÄN</t>
        </is>
      </c>
      <c r="E2493" t="inlineStr">
        <is>
          <t>SOLLEFTEÅ</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63652-2023</t>
        </is>
      </c>
      <c r="B2494" s="1" t="n">
        <v>45275</v>
      </c>
      <c r="C2494" s="1" t="n">
        <v>45669</v>
      </c>
      <c r="D2494" t="inlineStr">
        <is>
          <t>VÄSTERNORRLANDS LÄN</t>
        </is>
      </c>
      <c r="E2494" t="inlineStr">
        <is>
          <t>SOLLEFTEÅ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63712-2023</t>
        </is>
      </c>
      <c r="B2495" s="1" t="n">
        <v>45275</v>
      </c>
      <c r="C2495" s="1" t="n">
        <v>45669</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63707-2023</t>
        </is>
      </c>
      <c r="B2496" s="1" t="n">
        <v>45275</v>
      </c>
      <c r="C2496" s="1" t="n">
        <v>45669</v>
      </c>
      <c r="D2496" t="inlineStr">
        <is>
          <t>VÄSTERNORRLANDS LÄN</t>
        </is>
      </c>
      <c r="E2496" t="inlineStr">
        <is>
          <t>SOLLEFTEÅ</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64013-2023</t>
        </is>
      </c>
      <c r="B2497" s="1" t="n">
        <v>45278</v>
      </c>
      <c r="C2497" s="1" t="n">
        <v>45669</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64014-2023</t>
        </is>
      </c>
      <c r="B2498" s="1" t="n">
        <v>45278</v>
      </c>
      <c r="C2498" s="1" t="n">
        <v>45669</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63979-2023</t>
        </is>
      </c>
      <c r="B2499" s="1" t="n">
        <v>45278</v>
      </c>
      <c r="C2499" s="1" t="n">
        <v>45669</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64111-2023</t>
        </is>
      </c>
      <c r="B2500" s="1" t="n">
        <v>45279</v>
      </c>
      <c r="C2500" s="1" t="n">
        <v>45669</v>
      </c>
      <c r="D2500" t="inlineStr">
        <is>
          <t>VÄSTERNORRLANDS LÄN</t>
        </is>
      </c>
      <c r="E2500" t="inlineStr">
        <is>
          <t>SOLLEFTEÅ</t>
        </is>
      </c>
      <c r="G2500" t="n">
        <v>19.9</v>
      </c>
      <c r="H2500" t="n">
        <v>0</v>
      </c>
      <c r="I2500" t="n">
        <v>0</v>
      </c>
      <c r="J2500" t="n">
        <v>0</v>
      </c>
      <c r="K2500" t="n">
        <v>0</v>
      </c>
      <c r="L2500" t="n">
        <v>0</v>
      </c>
      <c r="M2500" t="n">
        <v>0</v>
      </c>
      <c r="N2500" t="n">
        <v>0</v>
      </c>
      <c r="O2500" t="n">
        <v>0</v>
      </c>
      <c r="P2500" t="n">
        <v>0</v>
      </c>
      <c r="Q2500" t="n">
        <v>0</v>
      </c>
      <c r="R2500" s="2" t="inlineStr"/>
    </row>
    <row r="2501" ht="15" customHeight="1">
      <c r="A2501" t="inlineStr">
        <is>
          <t>A 64115-2023</t>
        </is>
      </c>
      <c r="B2501" s="1" t="n">
        <v>45279</v>
      </c>
      <c r="C2501" s="1" t="n">
        <v>45669</v>
      </c>
      <c r="D2501" t="inlineStr">
        <is>
          <t>VÄSTERNORRLANDS LÄN</t>
        </is>
      </c>
      <c r="E2501" t="inlineStr">
        <is>
          <t>SOLLEFTEÅ</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64120-2023</t>
        </is>
      </c>
      <c r="B2502" s="1" t="n">
        <v>45279</v>
      </c>
      <c r="C2502" s="1" t="n">
        <v>45669</v>
      </c>
      <c r="D2502" t="inlineStr">
        <is>
          <t>VÄSTERNORRLANDS LÄN</t>
        </is>
      </c>
      <c r="E2502" t="inlineStr">
        <is>
          <t>SOLLEFTEÅ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64133-2023</t>
        </is>
      </c>
      <c r="B2503" s="1" t="n">
        <v>45279</v>
      </c>
      <c r="C2503" s="1" t="n">
        <v>45669</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64502-2023</t>
        </is>
      </c>
      <c r="B2504" s="1" t="n">
        <v>45280</v>
      </c>
      <c r="C2504" s="1" t="n">
        <v>45669</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64617-2023</t>
        </is>
      </c>
      <c r="B2505" s="1" t="n">
        <v>45281</v>
      </c>
      <c r="C2505" s="1" t="n">
        <v>45669</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64891-2023</t>
        </is>
      </c>
      <c r="B2506" s="1" t="n">
        <v>45282</v>
      </c>
      <c r="C2506" s="1" t="n">
        <v>45669</v>
      </c>
      <c r="D2506" t="inlineStr">
        <is>
          <t>VÄSTERNORRLANDS LÄN</t>
        </is>
      </c>
      <c r="E2506" t="inlineStr">
        <is>
          <t>SOLLEFTEÅ</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64961-2023</t>
        </is>
      </c>
      <c r="B2507" s="1" t="n">
        <v>45282</v>
      </c>
      <c r="C2507" s="1" t="n">
        <v>45669</v>
      </c>
      <c r="D2507" t="inlineStr">
        <is>
          <t>VÄSTERNORRLANDS LÄN</t>
        </is>
      </c>
      <c r="E2507" t="inlineStr">
        <is>
          <t>SOLLEFTEÅ</t>
        </is>
      </c>
      <c r="F2507" t="inlineStr">
        <is>
          <t>SCA</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64959-2023</t>
        </is>
      </c>
      <c r="B2508" s="1" t="n">
        <v>45282</v>
      </c>
      <c r="C2508" s="1" t="n">
        <v>45669</v>
      </c>
      <c r="D2508" t="inlineStr">
        <is>
          <t>VÄSTERNORRLANDS LÄN</t>
        </is>
      </c>
      <c r="E2508" t="inlineStr">
        <is>
          <t>SOLLEFTEÅ</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65148-2023</t>
        </is>
      </c>
      <c r="B2509" s="1" t="n">
        <v>45288</v>
      </c>
      <c r="C2509" s="1" t="n">
        <v>45669</v>
      </c>
      <c r="D2509" t="inlineStr">
        <is>
          <t>VÄSTERNORRLANDS LÄN</t>
        </is>
      </c>
      <c r="E2509" t="inlineStr">
        <is>
          <t>SOLLEFTEÅ</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388-2024</t>
        </is>
      </c>
      <c r="B2510" s="1" t="n">
        <v>45296</v>
      </c>
      <c r="C2510" s="1" t="n">
        <v>45669</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394-2024</t>
        </is>
      </c>
      <c r="B2511" s="1" t="n">
        <v>45296</v>
      </c>
      <c r="C2511" s="1" t="n">
        <v>45669</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457-2024</t>
        </is>
      </c>
      <c r="B2512" s="1" t="n">
        <v>45297</v>
      </c>
      <c r="C2512" s="1" t="n">
        <v>45669</v>
      </c>
      <c r="D2512" t="inlineStr">
        <is>
          <t>VÄSTERNORRLANDS LÄN</t>
        </is>
      </c>
      <c r="E2512" t="inlineStr">
        <is>
          <t>SOLLEFTEÅ</t>
        </is>
      </c>
      <c r="F2512" t="inlineStr">
        <is>
          <t>SCA</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656-2024</t>
        </is>
      </c>
      <c r="B2513" s="1" t="n">
        <v>45299</v>
      </c>
      <c r="C2513" s="1" t="n">
        <v>45669</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858-2024</t>
        </is>
      </c>
      <c r="B2514" s="1" t="n">
        <v>45301</v>
      </c>
      <c r="C2514" s="1" t="n">
        <v>45669</v>
      </c>
      <c r="D2514" t="inlineStr">
        <is>
          <t>VÄSTERNORRLANDS LÄN</t>
        </is>
      </c>
      <c r="E2514" t="inlineStr">
        <is>
          <t>SOLLEFTEÅ</t>
        </is>
      </c>
      <c r="F2514" t="inlineStr">
        <is>
          <t>SCA</t>
        </is>
      </c>
      <c r="G2514" t="n">
        <v>56.2</v>
      </c>
      <c r="H2514" t="n">
        <v>0</v>
      </c>
      <c r="I2514" t="n">
        <v>0</v>
      </c>
      <c r="J2514" t="n">
        <v>0</v>
      </c>
      <c r="K2514" t="n">
        <v>0</v>
      </c>
      <c r="L2514" t="n">
        <v>0</v>
      </c>
      <c r="M2514" t="n">
        <v>0</v>
      </c>
      <c r="N2514" t="n">
        <v>0</v>
      </c>
      <c r="O2514" t="n">
        <v>0</v>
      </c>
      <c r="P2514" t="n">
        <v>0</v>
      </c>
      <c r="Q2514" t="n">
        <v>0</v>
      </c>
      <c r="R2514" s="2" t="inlineStr"/>
    </row>
    <row r="2515" ht="15" customHeight="1">
      <c r="A2515" t="inlineStr">
        <is>
          <t>A 1006-2024</t>
        </is>
      </c>
      <c r="B2515" s="1" t="n">
        <v>45301</v>
      </c>
      <c r="C2515" s="1" t="n">
        <v>45669</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1047-2024</t>
        </is>
      </c>
      <c r="B2516" s="1" t="n">
        <v>45301</v>
      </c>
      <c r="C2516" s="1" t="n">
        <v>45669</v>
      </c>
      <c r="D2516" t="inlineStr">
        <is>
          <t>VÄSTERNORRLANDS LÄN</t>
        </is>
      </c>
      <c r="E2516" t="inlineStr">
        <is>
          <t>SOLLEFTEÅ</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1054-2024</t>
        </is>
      </c>
      <c r="B2517" s="1" t="n">
        <v>45302</v>
      </c>
      <c r="C2517" s="1" t="n">
        <v>45669</v>
      </c>
      <c r="D2517" t="inlineStr">
        <is>
          <t>VÄSTERNORRLANDS LÄN</t>
        </is>
      </c>
      <c r="E2517" t="inlineStr">
        <is>
          <t>SOLLEFTEÅ</t>
        </is>
      </c>
      <c r="F2517" t="inlineStr">
        <is>
          <t>SCA</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1269-2024</t>
        </is>
      </c>
      <c r="B2518" s="1" t="n">
        <v>45302</v>
      </c>
      <c r="C2518" s="1" t="n">
        <v>45669</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1173-2024</t>
        </is>
      </c>
      <c r="B2519" s="1" t="n">
        <v>45302</v>
      </c>
      <c r="C2519" s="1" t="n">
        <v>45669</v>
      </c>
      <c r="D2519" t="inlineStr">
        <is>
          <t>VÄSTERNORRLANDS LÄN</t>
        </is>
      </c>
      <c r="E2519" t="inlineStr">
        <is>
          <t>SOLLEFTEÅ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1268-2024</t>
        </is>
      </c>
      <c r="B2520" s="1" t="n">
        <v>45302</v>
      </c>
      <c r="C2520" s="1" t="n">
        <v>45669</v>
      </c>
      <c r="D2520" t="inlineStr">
        <is>
          <t>VÄSTERNORRLANDS LÄN</t>
        </is>
      </c>
      <c r="E2520" t="inlineStr">
        <is>
          <t>SOLLEFTEÅ</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1459-2024</t>
        </is>
      </c>
      <c r="B2521" s="1" t="n">
        <v>45303</v>
      </c>
      <c r="C2521" s="1" t="n">
        <v>45669</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1678-2024</t>
        </is>
      </c>
      <c r="B2522" s="1" t="n">
        <v>45307</v>
      </c>
      <c r="C2522" s="1" t="n">
        <v>45669</v>
      </c>
      <c r="D2522" t="inlineStr">
        <is>
          <t>VÄSTERNORRLANDS LÄN</t>
        </is>
      </c>
      <c r="E2522" t="inlineStr">
        <is>
          <t>SOLLEFTEÅ</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1679-2024</t>
        </is>
      </c>
      <c r="B2523" s="1" t="n">
        <v>45306</v>
      </c>
      <c r="C2523" s="1" t="n">
        <v>45669</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1840-2024</t>
        </is>
      </c>
      <c r="B2524" s="1" t="n">
        <v>45307</v>
      </c>
      <c r="C2524" s="1" t="n">
        <v>45669</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1844-2024</t>
        </is>
      </c>
      <c r="B2525" s="1" t="n">
        <v>45307</v>
      </c>
      <c r="C2525" s="1" t="n">
        <v>45669</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1848-2024</t>
        </is>
      </c>
      <c r="B2526" s="1" t="n">
        <v>45307</v>
      </c>
      <c r="C2526" s="1" t="n">
        <v>45669</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1880-2024</t>
        </is>
      </c>
      <c r="B2527" s="1" t="n">
        <v>45307</v>
      </c>
      <c r="C2527" s="1" t="n">
        <v>45669</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1878-2024</t>
        </is>
      </c>
      <c r="B2528" s="1" t="n">
        <v>45307</v>
      </c>
      <c r="C2528" s="1" t="n">
        <v>45669</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2223-2024</t>
        </is>
      </c>
      <c r="B2529" s="1" t="n">
        <v>45309</v>
      </c>
      <c r="C2529" s="1" t="n">
        <v>45669</v>
      </c>
      <c r="D2529" t="inlineStr">
        <is>
          <t>VÄSTERNORRLANDS LÄN</t>
        </is>
      </c>
      <c r="E2529" t="inlineStr">
        <is>
          <t>SOLLEFTEÅ</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2232-2024</t>
        </is>
      </c>
      <c r="B2530" s="1" t="n">
        <v>45309</v>
      </c>
      <c r="C2530" s="1" t="n">
        <v>45669</v>
      </c>
      <c r="D2530" t="inlineStr">
        <is>
          <t>VÄSTERNORRLANDS LÄN</t>
        </is>
      </c>
      <c r="E2530" t="inlineStr">
        <is>
          <t>SOLLEFTEÅ</t>
        </is>
      </c>
      <c r="F2530" t="inlineStr">
        <is>
          <t>SCA</t>
        </is>
      </c>
      <c r="G2530" t="n">
        <v>58.3</v>
      </c>
      <c r="H2530" t="n">
        <v>0</v>
      </c>
      <c r="I2530" t="n">
        <v>0</v>
      </c>
      <c r="J2530" t="n">
        <v>0</v>
      </c>
      <c r="K2530" t="n">
        <v>0</v>
      </c>
      <c r="L2530" t="n">
        <v>0</v>
      </c>
      <c r="M2530" t="n">
        <v>0</v>
      </c>
      <c r="N2530" t="n">
        <v>0</v>
      </c>
      <c r="O2530" t="n">
        <v>0</v>
      </c>
      <c r="P2530" t="n">
        <v>0</v>
      </c>
      <c r="Q2530" t="n">
        <v>0</v>
      </c>
      <c r="R2530" s="2" t="inlineStr"/>
    </row>
    <row r="2531" ht="15" customHeight="1">
      <c r="A2531" t="inlineStr">
        <is>
          <t>A 2229-2024</t>
        </is>
      </c>
      <c r="B2531" s="1" t="n">
        <v>45309</v>
      </c>
      <c r="C2531" s="1" t="n">
        <v>45669</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2233-2024</t>
        </is>
      </c>
      <c r="B2532" s="1" t="n">
        <v>45309</v>
      </c>
      <c r="C2532" s="1" t="n">
        <v>45669</v>
      </c>
      <c r="D2532" t="inlineStr">
        <is>
          <t>VÄSTERNORRLANDS LÄN</t>
        </is>
      </c>
      <c r="E2532" t="inlineStr">
        <is>
          <t>SOLLEFTEÅ</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2425-2024</t>
        </is>
      </c>
      <c r="B2533" s="1" t="n">
        <v>45310</v>
      </c>
      <c r="C2533" s="1" t="n">
        <v>45669</v>
      </c>
      <c r="D2533" t="inlineStr">
        <is>
          <t>VÄSTERNORRLANDS LÄN</t>
        </is>
      </c>
      <c r="E2533" t="inlineStr">
        <is>
          <t>SOLLEFTEÅ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2703-2024</t>
        </is>
      </c>
      <c r="B2534" s="1" t="n">
        <v>45314</v>
      </c>
      <c r="C2534" s="1" t="n">
        <v>45669</v>
      </c>
      <c r="D2534" t="inlineStr">
        <is>
          <t>VÄSTERNORRLANDS LÄN</t>
        </is>
      </c>
      <c r="E2534" t="inlineStr">
        <is>
          <t>SOLLEFTEÅ</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2816-2024</t>
        </is>
      </c>
      <c r="B2535" s="1" t="n">
        <v>45314</v>
      </c>
      <c r="C2535" s="1" t="n">
        <v>45669</v>
      </c>
      <c r="D2535" t="inlineStr">
        <is>
          <t>VÄSTERNORRLANDS LÄN</t>
        </is>
      </c>
      <c r="E2535" t="inlineStr">
        <is>
          <t>SOLLEFTEÅ</t>
        </is>
      </c>
      <c r="F2535" t="inlineStr">
        <is>
          <t>Holmen skog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2850-2024</t>
        </is>
      </c>
      <c r="B2536" s="1" t="n">
        <v>45315</v>
      </c>
      <c r="C2536" s="1" t="n">
        <v>45669</v>
      </c>
      <c r="D2536" t="inlineStr">
        <is>
          <t>VÄSTERNORRLANDS LÄN</t>
        </is>
      </c>
      <c r="E2536" t="inlineStr">
        <is>
          <t>SOLLEFTEÅ</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45669</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45669</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3234-2024</t>
        </is>
      </c>
      <c r="B2539" s="1" t="n">
        <v>45316</v>
      </c>
      <c r="C2539" s="1" t="n">
        <v>45669</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3241-2024</t>
        </is>
      </c>
      <c r="B2540" s="1" t="n">
        <v>45316</v>
      </c>
      <c r="C2540" s="1" t="n">
        <v>45669</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3252-2024</t>
        </is>
      </c>
      <c r="B2541" s="1" t="n">
        <v>45316</v>
      </c>
      <c r="C2541" s="1" t="n">
        <v>45669</v>
      </c>
      <c r="D2541" t="inlineStr">
        <is>
          <t>VÄSTERNORRLANDS LÄN</t>
        </is>
      </c>
      <c r="E2541" t="inlineStr">
        <is>
          <t>SOLLEFTEÅ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3388-2024</t>
        </is>
      </c>
      <c r="B2542" s="1" t="n">
        <v>45317</v>
      </c>
      <c r="C2542" s="1" t="n">
        <v>45669</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3621-2024</t>
        </is>
      </c>
      <c r="B2543" s="1" t="n">
        <v>45320</v>
      </c>
      <c r="C2543" s="1" t="n">
        <v>45669</v>
      </c>
      <c r="D2543" t="inlineStr">
        <is>
          <t>VÄSTERNORRLANDS LÄN</t>
        </is>
      </c>
      <c r="E2543" t="inlineStr">
        <is>
          <t>SOLLEFTEÅ</t>
        </is>
      </c>
      <c r="F2543" t="inlineStr">
        <is>
          <t>SCA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3633-2024</t>
        </is>
      </c>
      <c r="B2544" s="1" t="n">
        <v>45320</v>
      </c>
      <c r="C2544" s="1" t="n">
        <v>45669</v>
      </c>
      <c r="D2544" t="inlineStr">
        <is>
          <t>VÄSTERNORRLANDS LÄN</t>
        </is>
      </c>
      <c r="E2544" t="inlineStr">
        <is>
          <t>SOLLEFTEÅ</t>
        </is>
      </c>
      <c r="F2544" t="inlineStr">
        <is>
          <t>SCA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3832-2024</t>
        </is>
      </c>
      <c r="B2545" s="1" t="n">
        <v>45321</v>
      </c>
      <c r="C2545" s="1" t="n">
        <v>45669</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3847-2024</t>
        </is>
      </c>
      <c r="B2546" s="1" t="n">
        <v>45322</v>
      </c>
      <c r="C2546" s="1" t="n">
        <v>45669</v>
      </c>
      <c r="D2546" t="inlineStr">
        <is>
          <t>VÄSTERNORRLANDS LÄN</t>
        </is>
      </c>
      <c r="E2546" t="inlineStr">
        <is>
          <t>SOLLEFTEÅ</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3990-2024</t>
        </is>
      </c>
      <c r="B2547" s="1" t="n">
        <v>45322</v>
      </c>
      <c r="C2547" s="1" t="n">
        <v>45669</v>
      </c>
      <c r="D2547" t="inlineStr">
        <is>
          <t>VÄSTERNORRLANDS LÄN</t>
        </is>
      </c>
      <c r="E2547" t="inlineStr">
        <is>
          <t>SOLLEFTEÅ</t>
        </is>
      </c>
      <c r="F2547" t="inlineStr">
        <is>
          <t>SCA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3998-2024</t>
        </is>
      </c>
      <c r="B2548" s="1" t="n">
        <v>45322</v>
      </c>
      <c r="C2548" s="1" t="n">
        <v>45669</v>
      </c>
      <c r="D2548" t="inlineStr">
        <is>
          <t>VÄSTERNORRLANDS LÄN</t>
        </is>
      </c>
      <c r="E2548" t="inlineStr">
        <is>
          <t>SOLLEFTEÅ</t>
        </is>
      </c>
      <c r="F2548" t="inlineStr">
        <is>
          <t>SCA</t>
        </is>
      </c>
      <c r="G2548" t="n">
        <v>23.9</v>
      </c>
      <c r="H2548" t="n">
        <v>0</v>
      </c>
      <c r="I2548" t="n">
        <v>0</v>
      </c>
      <c r="J2548" t="n">
        <v>0</v>
      </c>
      <c r="K2548" t="n">
        <v>0</v>
      </c>
      <c r="L2548" t="n">
        <v>0</v>
      </c>
      <c r="M2548" t="n">
        <v>0</v>
      </c>
      <c r="N2548" t="n">
        <v>0</v>
      </c>
      <c r="O2548" t="n">
        <v>0</v>
      </c>
      <c r="P2548" t="n">
        <v>0</v>
      </c>
      <c r="Q2548" t="n">
        <v>0</v>
      </c>
      <c r="R2548" s="2" t="inlineStr"/>
    </row>
    <row r="2549" ht="15" customHeight="1">
      <c r="A2549" t="inlineStr">
        <is>
          <t>A 3991-2024</t>
        </is>
      </c>
      <c r="B2549" s="1" t="n">
        <v>45322</v>
      </c>
      <c r="C2549" s="1" t="n">
        <v>45669</v>
      </c>
      <c r="D2549" t="inlineStr">
        <is>
          <t>VÄSTERNORRLANDS LÄN</t>
        </is>
      </c>
      <c r="E2549" t="inlineStr">
        <is>
          <t>SOLLEFTEÅ</t>
        </is>
      </c>
      <c r="F2549" t="inlineStr">
        <is>
          <t>SCA</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4061-2024</t>
        </is>
      </c>
      <c r="B2550" s="1" t="n">
        <v>45323</v>
      </c>
      <c r="C2550" s="1" t="n">
        <v>45669</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4064-2024</t>
        </is>
      </c>
      <c r="B2551" s="1" t="n">
        <v>45323</v>
      </c>
      <c r="C2551" s="1" t="n">
        <v>45669</v>
      </c>
      <c r="D2551" t="inlineStr">
        <is>
          <t>VÄSTERNORRLANDS LÄN</t>
        </is>
      </c>
      <c r="E2551" t="inlineStr">
        <is>
          <t>SOLLEFTEÅ</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4167-2024</t>
        </is>
      </c>
      <c r="B2552" s="1" t="n">
        <v>45323</v>
      </c>
      <c r="C2552" s="1" t="n">
        <v>45669</v>
      </c>
      <c r="D2552" t="inlineStr">
        <is>
          <t>VÄSTERNORRLANDS LÄN</t>
        </is>
      </c>
      <c r="E2552" t="inlineStr">
        <is>
          <t>SOLLEFTEÅ</t>
        </is>
      </c>
      <c r="F2552" t="inlineStr">
        <is>
          <t>SCA</t>
        </is>
      </c>
      <c r="G2552" t="n">
        <v>13.7</v>
      </c>
      <c r="H2552" t="n">
        <v>0</v>
      </c>
      <c r="I2552" t="n">
        <v>0</v>
      </c>
      <c r="J2552" t="n">
        <v>0</v>
      </c>
      <c r="K2552" t="n">
        <v>0</v>
      </c>
      <c r="L2552" t="n">
        <v>0</v>
      </c>
      <c r="M2552" t="n">
        <v>0</v>
      </c>
      <c r="N2552" t="n">
        <v>0</v>
      </c>
      <c r="O2552" t="n">
        <v>0</v>
      </c>
      <c r="P2552" t="n">
        <v>0</v>
      </c>
      <c r="Q2552" t="n">
        <v>0</v>
      </c>
      <c r="R2552" s="2" t="inlineStr"/>
    </row>
    <row r="2553" ht="15" customHeight="1">
      <c r="A2553" t="inlineStr">
        <is>
          <t>A 4168-2024</t>
        </is>
      </c>
      <c r="B2553" s="1" t="n">
        <v>45323</v>
      </c>
      <c r="C2553" s="1" t="n">
        <v>45669</v>
      </c>
      <c r="D2553" t="inlineStr">
        <is>
          <t>VÄSTERNORRLANDS LÄN</t>
        </is>
      </c>
      <c r="E2553" t="inlineStr">
        <is>
          <t>SOLLEFTEÅ</t>
        </is>
      </c>
      <c r="F2553" t="inlineStr">
        <is>
          <t>SCA</t>
        </is>
      </c>
      <c r="G2553" t="n">
        <v>22.1</v>
      </c>
      <c r="H2553" t="n">
        <v>0</v>
      </c>
      <c r="I2553" t="n">
        <v>0</v>
      </c>
      <c r="J2553" t="n">
        <v>0</v>
      </c>
      <c r="K2553" t="n">
        <v>0</v>
      </c>
      <c r="L2553" t="n">
        <v>0</v>
      </c>
      <c r="M2553" t="n">
        <v>0</v>
      </c>
      <c r="N2553" t="n">
        <v>0</v>
      </c>
      <c r="O2553" t="n">
        <v>0</v>
      </c>
      <c r="P2553" t="n">
        <v>0</v>
      </c>
      <c r="Q2553" t="n">
        <v>0</v>
      </c>
      <c r="R2553" s="2" t="inlineStr"/>
    </row>
    <row r="2554" ht="15" customHeight="1">
      <c r="A2554" t="inlineStr">
        <is>
          <t>A 4348-2024</t>
        </is>
      </c>
      <c r="B2554" s="1" t="n">
        <v>45324</v>
      </c>
      <c r="C2554" s="1" t="n">
        <v>45669</v>
      </c>
      <c r="D2554" t="inlineStr">
        <is>
          <t>VÄSTERNORRLANDS LÄN</t>
        </is>
      </c>
      <c r="E2554" t="inlineStr">
        <is>
          <t>SOLLEFTEÅ</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4352-2024</t>
        </is>
      </c>
      <c r="B2555" s="1" t="n">
        <v>45324</v>
      </c>
      <c r="C2555" s="1" t="n">
        <v>45669</v>
      </c>
      <c r="D2555" t="inlineStr">
        <is>
          <t>VÄSTERNORRLANDS LÄN</t>
        </is>
      </c>
      <c r="E2555" t="inlineStr">
        <is>
          <t>SOLLEFTEÅ</t>
        </is>
      </c>
      <c r="F2555" t="inlineStr">
        <is>
          <t>SCA</t>
        </is>
      </c>
      <c r="G2555" t="n">
        <v>24.7</v>
      </c>
      <c r="H2555" t="n">
        <v>0</v>
      </c>
      <c r="I2555" t="n">
        <v>0</v>
      </c>
      <c r="J2555" t="n">
        <v>0</v>
      </c>
      <c r="K2555" t="n">
        <v>0</v>
      </c>
      <c r="L2555" t="n">
        <v>0</v>
      </c>
      <c r="M2555" t="n">
        <v>0</v>
      </c>
      <c r="N2555" t="n">
        <v>0</v>
      </c>
      <c r="O2555" t="n">
        <v>0</v>
      </c>
      <c r="P2555" t="n">
        <v>0</v>
      </c>
      <c r="Q2555" t="n">
        <v>0</v>
      </c>
      <c r="R2555" s="2" t="inlineStr"/>
    </row>
    <row r="2556" ht="15" customHeight="1">
      <c r="A2556" t="inlineStr">
        <is>
          <t>A 4347-2024</t>
        </is>
      </c>
      <c r="B2556" s="1" t="n">
        <v>45324</v>
      </c>
      <c r="C2556" s="1" t="n">
        <v>45669</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4349-2024</t>
        </is>
      </c>
      <c r="B2557" s="1" t="n">
        <v>45324</v>
      </c>
      <c r="C2557" s="1" t="n">
        <v>45669</v>
      </c>
      <c r="D2557" t="inlineStr">
        <is>
          <t>VÄSTERNORRLANDS LÄN</t>
        </is>
      </c>
      <c r="E2557" t="inlineStr">
        <is>
          <t>SOLLEFTEÅ</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4546-2024</t>
        </is>
      </c>
      <c r="B2558" s="1" t="n">
        <v>45327</v>
      </c>
      <c r="C2558" s="1" t="n">
        <v>45669</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4595-2024</t>
        </is>
      </c>
      <c r="B2559" s="1" t="n">
        <v>45327</v>
      </c>
      <c r="C2559" s="1" t="n">
        <v>45669</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4809-2024</t>
        </is>
      </c>
      <c r="B2560" s="1" t="n">
        <v>45328</v>
      </c>
      <c r="C2560" s="1" t="n">
        <v>45669</v>
      </c>
      <c r="D2560" t="inlineStr">
        <is>
          <t>VÄSTERNORRLANDS LÄN</t>
        </is>
      </c>
      <c r="E2560" t="inlineStr">
        <is>
          <t>SOLLEFTEÅ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4813-2024</t>
        </is>
      </c>
      <c r="B2561" s="1" t="n">
        <v>45328</v>
      </c>
      <c r="C2561" s="1" t="n">
        <v>45669</v>
      </c>
      <c r="D2561" t="inlineStr">
        <is>
          <t>VÄSTERNORRLANDS LÄN</t>
        </is>
      </c>
      <c r="E2561" t="inlineStr">
        <is>
          <t>SOLLEFTEÅ</t>
        </is>
      </c>
      <c r="F2561" t="inlineStr">
        <is>
          <t>SCA</t>
        </is>
      </c>
      <c r="G2561" t="n">
        <v>26.6</v>
      </c>
      <c r="H2561" t="n">
        <v>0</v>
      </c>
      <c r="I2561" t="n">
        <v>0</v>
      </c>
      <c r="J2561" t="n">
        <v>0</v>
      </c>
      <c r="K2561" t="n">
        <v>0</v>
      </c>
      <c r="L2561" t="n">
        <v>0</v>
      </c>
      <c r="M2561" t="n">
        <v>0</v>
      </c>
      <c r="N2561" t="n">
        <v>0</v>
      </c>
      <c r="O2561" t="n">
        <v>0</v>
      </c>
      <c r="P2561" t="n">
        <v>0</v>
      </c>
      <c r="Q2561" t="n">
        <v>0</v>
      </c>
      <c r="R2561" s="2" t="inlineStr"/>
    </row>
    <row r="2562" ht="15" customHeight="1">
      <c r="A2562" t="inlineStr">
        <is>
          <t>A 4808-2024</t>
        </is>
      </c>
      <c r="B2562" s="1" t="n">
        <v>45328</v>
      </c>
      <c r="C2562" s="1" t="n">
        <v>45669</v>
      </c>
      <c r="D2562" t="inlineStr">
        <is>
          <t>VÄSTERNORRLANDS LÄN</t>
        </is>
      </c>
      <c r="E2562" t="inlineStr">
        <is>
          <t>SOLLEFTEÅ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4812-2024</t>
        </is>
      </c>
      <c r="B2563" s="1" t="n">
        <v>45328</v>
      </c>
      <c r="C2563" s="1" t="n">
        <v>45669</v>
      </c>
      <c r="D2563" t="inlineStr">
        <is>
          <t>VÄSTERNORRLANDS LÄN</t>
        </is>
      </c>
      <c r="E2563" t="inlineStr">
        <is>
          <t>SOLLEFTEÅ</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4857-2024</t>
        </is>
      </c>
      <c r="B2564" s="1" t="n">
        <v>45329</v>
      </c>
      <c r="C2564" s="1" t="n">
        <v>45669</v>
      </c>
      <c r="D2564" t="inlineStr">
        <is>
          <t>VÄSTERNORRLANDS LÄN</t>
        </is>
      </c>
      <c r="E2564" t="inlineStr">
        <is>
          <t>SOLLEFTEÅ</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5035-2024</t>
        </is>
      </c>
      <c r="B2565" s="1" t="n">
        <v>45329</v>
      </c>
      <c r="C2565" s="1" t="n">
        <v>45669</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5057-2024</t>
        </is>
      </c>
      <c r="B2566" s="1" t="n">
        <v>45329</v>
      </c>
      <c r="C2566" s="1" t="n">
        <v>45669</v>
      </c>
      <c r="D2566" t="inlineStr">
        <is>
          <t>VÄSTERNORRLANDS LÄN</t>
        </is>
      </c>
      <c r="E2566" t="inlineStr">
        <is>
          <t>SOLLEFTEÅ</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5036-2024</t>
        </is>
      </c>
      <c r="B2567" s="1" t="n">
        <v>45329</v>
      </c>
      <c r="C2567" s="1" t="n">
        <v>45669</v>
      </c>
      <c r="D2567" t="inlineStr">
        <is>
          <t>VÄSTERNORRLANDS LÄN</t>
        </is>
      </c>
      <c r="E2567" t="inlineStr">
        <is>
          <t>SOLLEFTEÅ</t>
        </is>
      </c>
      <c r="F2567" t="inlineStr">
        <is>
          <t>Övriga Aktiebolag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5040-2024</t>
        </is>
      </c>
      <c r="B2568" s="1" t="n">
        <v>45329</v>
      </c>
      <c r="C2568" s="1" t="n">
        <v>45669</v>
      </c>
      <c r="D2568" t="inlineStr">
        <is>
          <t>VÄSTERNORRLANDS LÄN</t>
        </is>
      </c>
      <c r="E2568" t="inlineStr">
        <is>
          <t>SOLLEFTEÅ</t>
        </is>
      </c>
      <c r="F2568" t="inlineStr">
        <is>
          <t>Övriga Aktiebolag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5072-2024</t>
        </is>
      </c>
      <c r="B2569" s="1" t="n">
        <v>45330</v>
      </c>
      <c r="C2569" s="1" t="n">
        <v>45669</v>
      </c>
      <c r="D2569" t="inlineStr">
        <is>
          <t>VÄSTERNORRLANDS LÄN</t>
        </is>
      </c>
      <c r="E2569" t="inlineStr">
        <is>
          <t>SOLLEFTEÅ</t>
        </is>
      </c>
      <c r="F2569" t="inlineStr">
        <is>
          <t>Övriga Aktiebolag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5064-2024</t>
        </is>
      </c>
      <c r="B2570" s="1" t="n">
        <v>45329</v>
      </c>
      <c r="C2570" s="1" t="n">
        <v>45669</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5061-2024</t>
        </is>
      </c>
      <c r="B2571" s="1" t="n">
        <v>45329</v>
      </c>
      <c r="C2571" s="1" t="n">
        <v>45669</v>
      </c>
      <c r="D2571" t="inlineStr">
        <is>
          <t>VÄSTERNORRLANDS LÄN</t>
        </is>
      </c>
      <c r="E2571" t="inlineStr">
        <is>
          <t>SOLLEFTEÅ</t>
        </is>
      </c>
      <c r="F2571" t="inlineStr">
        <is>
          <t>SCA</t>
        </is>
      </c>
      <c r="G2571" t="n">
        <v>34.1</v>
      </c>
      <c r="H2571" t="n">
        <v>0</v>
      </c>
      <c r="I2571" t="n">
        <v>0</v>
      </c>
      <c r="J2571" t="n">
        <v>0</v>
      </c>
      <c r="K2571" t="n">
        <v>0</v>
      </c>
      <c r="L2571" t="n">
        <v>0</v>
      </c>
      <c r="M2571" t="n">
        <v>0</v>
      </c>
      <c r="N2571" t="n">
        <v>0</v>
      </c>
      <c r="O2571" t="n">
        <v>0</v>
      </c>
      <c r="P2571" t="n">
        <v>0</v>
      </c>
      <c r="Q2571" t="n">
        <v>0</v>
      </c>
      <c r="R2571" s="2" t="inlineStr"/>
    </row>
    <row r="2572" ht="15" customHeight="1">
      <c r="A2572" t="inlineStr">
        <is>
          <t>A 5073-2024</t>
        </is>
      </c>
      <c r="B2572" s="1" t="n">
        <v>45330</v>
      </c>
      <c r="C2572" s="1" t="n">
        <v>45669</v>
      </c>
      <c r="D2572" t="inlineStr">
        <is>
          <t>VÄSTERNORRLANDS LÄN</t>
        </is>
      </c>
      <c r="E2572" t="inlineStr">
        <is>
          <t>SOLLEFTEÅ</t>
        </is>
      </c>
      <c r="F2572" t="inlineStr">
        <is>
          <t>Övriga Aktiebolag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5034-2024</t>
        </is>
      </c>
      <c r="B2573" s="1" t="n">
        <v>45329</v>
      </c>
      <c r="C2573" s="1" t="n">
        <v>45669</v>
      </c>
      <c r="D2573" t="inlineStr">
        <is>
          <t>VÄSTERNORRLANDS LÄN</t>
        </is>
      </c>
      <c r="E2573" t="inlineStr">
        <is>
          <t>SOLLEFTEÅ</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5038-2024</t>
        </is>
      </c>
      <c r="B2574" s="1" t="n">
        <v>45329</v>
      </c>
      <c r="C2574" s="1" t="n">
        <v>45669</v>
      </c>
      <c r="D2574" t="inlineStr">
        <is>
          <t>VÄSTERNORRLANDS LÄN</t>
        </is>
      </c>
      <c r="E2574" t="inlineStr">
        <is>
          <t>SOLLEFTEÅ</t>
        </is>
      </c>
      <c r="F2574" t="inlineStr">
        <is>
          <t>Övriga Aktiebolag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5062-2024</t>
        </is>
      </c>
      <c r="B2575" s="1" t="n">
        <v>45329</v>
      </c>
      <c r="C2575" s="1" t="n">
        <v>45669</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5058-2024</t>
        </is>
      </c>
      <c r="B2576" s="1" t="n">
        <v>45329</v>
      </c>
      <c r="C2576" s="1" t="n">
        <v>45669</v>
      </c>
      <c r="D2576" t="inlineStr">
        <is>
          <t>VÄSTERNORRLANDS LÄN</t>
        </is>
      </c>
      <c r="E2576" t="inlineStr">
        <is>
          <t>SOLLEFTEÅ</t>
        </is>
      </c>
      <c r="F2576" t="inlineStr">
        <is>
          <t>SCA</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5074-2024</t>
        </is>
      </c>
      <c r="B2577" s="1" t="n">
        <v>45330</v>
      </c>
      <c r="C2577" s="1" t="n">
        <v>45669</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5059-2024</t>
        </is>
      </c>
      <c r="B2578" s="1" t="n">
        <v>45329</v>
      </c>
      <c r="C2578" s="1" t="n">
        <v>45669</v>
      </c>
      <c r="D2578" t="inlineStr">
        <is>
          <t>VÄSTERNORRLANDS LÄN</t>
        </is>
      </c>
      <c r="E2578" t="inlineStr">
        <is>
          <t>SOLLEFTEÅ</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5075-2024</t>
        </is>
      </c>
      <c r="B2579" s="1" t="n">
        <v>45329</v>
      </c>
      <c r="C2579" s="1" t="n">
        <v>45669</v>
      </c>
      <c r="D2579" t="inlineStr">
        <is>
          <t>VÄSTERNORRLANDS LÄN</t>
        </is>
      </c>
      <c r="E2579" t="inlineStr">
        <is>
          <t>SOLLEFTEÅ</t>
        </is>
      </c>
      <c r="F2579" t="inlineStr">
        <is>
          <t>Övriga Aktiebolag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5063-2024</t>
        </is>
      </c>
      <c r="B2580" s="1" t="n">
        <v>45329</v>
      </c>
      <c r="C2580" s="1" t="n">
        <v>45669</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5256-2024</t>
        </is>
      </c>
      <c r="B2581" s="1" t="n">
        <v>45330</v>
      </c>
      <c r="C2581" s="1" t="n">
        <v>45669</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5255-2024</t>
        </is>
      </c>
      <c r="B2582" s="1" t="n">
        <v>45330</v>
      </c>
      <c r="C2582" s="1" t="n">
        <v>45669</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5254-2024</t>
        </is>
      </c>
      <c r="B2583" s="1" t="n">
        <v>45330</v>
      </c>
      <c r="C2583" s="1" t="n">
        <v>45669</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5253-2024</t>
        </is>
      </c>
      <c r="B2584" s="1" t="n">
        <v>45330</v>
      </c>
      <c r="C2584" s="1" t="n">
        <v>45669</v>
      </c>
      <c r="D2584" t="inlineStr">
        <is>
          <t>VÄSTERNORRLANDS LÄN</t>
        </is>
      </c>
      <c r="E2584" t="inlineStr">
        <is>
          <t>SOLLEFTEÅ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5446-2024</t>
        </is>
      </c>
      <c r="B2585" s="1" t="n">
        <v>45331</v>
      </c>
      <c r="C2585" s="1" t="n">
        <v>45669</v>
      </c>
      <c r="D2585" t="inlineStr">
        <is>
          <t>VÄSTERNORRLANDS LÄN</t>
        </is>
      </c>
      <c r="E2585" t="inlineStr">
        <is>
          <t>SOLLEFTEÅ</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5452-2024</t>
        </is>
      </c>
      <c r="B2586" s="1" t="n">
        <v>45331</v>
      </c>
      <c r="C2586" s="1" t="n">
        <v>45669</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5854-2024</t>
        </is>
      </c>
      <c r="B2587" s="1" t="n">
        <v>45335</v>
      </c>
      <c r="C2587" s="1" t="n">
        <v>45669</v>
      </c>
      <c r="D2587" t="inlineStr">
        <is>
          <t>VÄSTERNORRLANDS LÄN</t>
        </is>
      </c>
      <c r="E2587" t="inlineStr">
        <is>
          <t>SOLLEFTEÅ</t>
        </is>
      </c>
      <c r="F2587" t="inlineStr">
        <is>
          <t>Övriga Aktiebolag</t>
        </is>
      </c>
      <c r="G2587" t="n">
        <v>24.9</v>
      </c>
      <c r="H2587" t="n">
        <v>0</v>
      </c>
      <c r="I2587" t="n">
        <v>0</v>
      </c>
      <c r="J2587" t="n">
        <v>0</v>
      </c>
      <c r="K2587" t="n">
        <v>0</v>
      </c>
      <c r="L2587" t="n">
        <v>0</v>
      </c>
      <c r="M2587" t="n">
        <v>0</v>
      </c>
      <c r="N2587" t="n">
        <v>0</v>
      </c>
      <c r="O2587" t="n">
        <v>0</v>
      </c>
      <c r="P2587" t="n">
        <v>0</v>
      </c>
      <c r="Q2587" t="n">
        <v>0</v>
      </c>
      <c r="R2587" s="2" t="inlineStr"/>
    </row>
    <row r="2588" ht="15" customHeight="1">
      <c r="A2588" t="inlineStr">
        <is>
          <t>A 5874-2024</t>
        </is>
      </c>
      <c r="B2588" s="1" t="n">
        <v>45335</v>
      </c>
      <c r="C2588" s="1" t="n">
        <v>45669</v>
      </c>
      <c r="D2588" t="inlineStr">
        <is>
          <t>VÄSTERNORRLANDS LÄN</t>
        </is>
      </c>
      <c r="E2588" t="inlineStr">
        <is>
          <t>SOLLEFTEÅ</t>
        </is>
      </c>
      <c r="F2588" t="inlineStr">
        <is>
          <t>Övriga Aktiebolag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5867-2024</t>
        </is>
      </c>
      <c r="B2589" s="1" t="n">
        <v>45335</v>
      </c>
      <c r="C2589" s="1" t="n">
        <v>45669</v>
      </c>
      <c r="D2589" t="inlineStr">
        <is>
          <t>VÄSTERNORRLANDS LÄN</t>
        </is>
      </c>
      <c r="E2589" t="inlineStr">
        <is>
          <t>SOLLEFTEÅ</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5871-2024</t>
        </is>
      </c>
      <c r="B2590" s="1" t="n">
        <v>45335</v>
      </c>
      <c r="C2590" s="1" t="n">
        <v>45669</v>
      </c>
      <c r="D2590" t="inlineStr">
        <is>
          <t>VÄSTERNORRLANDS LÄN</t>
        </is>
      </c>
      <c r="E2590" t="inlineStr">
        <is>
          <t>SOLLEFTEÅ</t>
        </is>
      </c>
      <c r="F2590" t="inlineStr">
        <is>
          <t>Övriga Aktiebolag</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5882-2024</t>
        </is>
      </c>
      <c r="B2591" s="1" t="n">
        <v>45335</v>
      </c>
      <c r="C2591" s="1" t="n">
        <v>45669</v>
      </c>
      <c r="D2591" t="inlineStr">
        <is>
          <t>VÄSTERNORRLANDS LÄN</t>
        </is>
      </c>
      <c r="E2591" t="inlineStr">
        <is>
          <t>SOLLEFTEÅ</t>
        </is>
      </c>
      <c r="F2591" t="inlineStr">
        <is>
          <t>Övriga Aktiebolag</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5919-2024</t>
        </is>
      </c>
      <c r="B2592" s="1" t="n">
        <v>45335</v>
      </c>
      <c r="C2592" s="1" t="n">
        <v>45669</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5909-2024</t>
        </is>
      </c>
      <c r="B2593" s="1" t="n">
        <v>45335</v>
      </c>
      <c r="C2593" s="1" t="n">
        <v>45669</v>
      </c>
      <c r="D2593" t="inlineStr">
        <is>
          <t>VÄSTERNORRLANDS LÄN</t>
        </is>
      </c>
      <c r="E2593" t="inlineStr">
        <is>
          <t>SOLLEFTEÅ</t>
        </is>
      </c>
      <c r="F2593" t="inlineStr">
        <is>
          <t>SCA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5917-2024</t>
        </is>
      </c>
      <c r="B2594" s="1" t="n">
        <v>45335</v>
      </c>
      <c r="C2594" s="1" t="n">
        <v>45669</v>
      </c>
      <c r="D2594" t="inlineStr">
        <is>
          <t>VÄSTERNORRLANDS LÄN</t>
        </is>
      </c>
      <c r="E2594" t="inlineStr">
        <is>
          <t>SOLLEFTEÅ</t>
        </is>
      </c>
      <c r="F2594" t="inlineStr">
        <is>
          <t>SCA</t>
        </is>
      </c>
      <c r="G2594" t="n">
        <v>21.2</v>
      </c>
      <c r="H2594" t="n">
        <v>0</v>
      </c>
      <c r="I2594" t="n">
        <v>0</v>
      </c>
      <c r="J2594" t="n">
        <v>0</v>
      </c>
      <c r="K2594" t="n">
        <v>0</v>
      </c>
      <c r="L2594" t="n">
        <v>0</v>
      </c>
      <c r="M2594" t="n">
        <v>0</v>
      </c>
      <c r="N2594" t="n">
        <v>0</v>
      </c>
      <c r="O2594" t="n">
        <v>0</v>
      </c>
      <c r="P2594" t="n">
        <v>0</v>
      </c>
      <c r="Q2594" t="n">
        <v>0</v>
      </c>
      <c r="R2594" s="2" t="inlineStr"/>
    </row>
    <row r="2595" ht="15" customHeight="1">
      <c r="A2595" t="inlineStr">
        <is>
          <t>A 5934-2024</t>
        </is>
      </c>
      <c r="B2595" s="1" t="n">
        <v>45336</v>
      </c>
      <c r="C2595" s="1" t="n">
        <v>45669</v>
      </c>
      <c r="D2595" t="inlineStr">
        <is>
          <t>VÄSTERNORRLANDS LÄN</t>
        </is>
      </c>
      <c r="E2595" t="inlineStr">
        <is>
          <t>SOLLEFTEÅ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6059-2024</t>
        </is>
      </c>
      <c r="B2596" s="1" t="n">
        <v>45336</v>
      </c>
      <c r="C2596" s="1" t="n">
        <v>45669</v>
      </c>
      <c r="D2596" t="inlineStr">
        <is>
          <t>VÄSTERNORRLANDS LÄN</t>
        </is>
      </c>
      <c r="E2596" t="inlineStr">
        <is>
          <t>SOLLEFTEÅ</t>
        </is>
      </c>
      <c r="F2596" t="inlineStr">
        <is>
          <t>Övriga Aktiebolag</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6063-2024</t>
        </is>
      </c>
      <c r="B2597" s="1" t="n">
        <v>45336</v>
      </c>
      <c r="C2597" s="1" t="n">
        <v>45669</v>
      </c>
      <c r="D2597" t="inlineStr">
        <is>
          <t>VÄSTERNORRLANDS LÄN</t>
        </is>
      </c>
      <c r="E2597" t="inlineStr">
        <is>
          <t>SOLLEFTEÅ</t>
        </is>
      </c>
      <c r="F2597" t="inlineStr">
        <is>
          <t>Övriga Aktiebolag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6067-2024</t>
        </is>
      </c>
      <c r="B2598" s="1" t="n">
        <v>45336</v>
      </c>
      <c r="C2598" s="1" t="n">
        <v>45669</v>
      </c>
      <c r="D2598" t="inlineStr">
        <is>
          <t>VÄSTERNORRLANDS LÄN</t>
        </is>
      </c>
      <c r="E2598" t="inlineStr">
        <is>
          <t>SOLLEFTEÅ</t>
        </is>
      </c>
      <c r="F2598" t="inlineStr">
        <is>
          <t>Övriga Aktiebolag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6058-2024</t>
        </is>
      </c>
      <c r="B2599" s="1" t="n">
        <v>45336</v>
      </c>
      <c r="C2599" s="1" t="n">
        <v>45669</v>
      </c>
      <c r="D2599" t="inlineStr">
        <is>
          <t>VÄSTERNORRLANDS LÄN</t>
        </is>
      </c>
      <c r="E2599" t="inlineStr">
        <is>
          <t>SOLLEFTEÅ</t>
        </is>
      </c>
      <c r="F2599" t="inlineStr">
        <is>
          <t>Övriga Aktiebolag</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6064-2024</t>
        </is>
      </c>
      <c r="B2600" s="1" t="n">
        <v>45336</v>
      </c>
      <c r="C2600" s="1" t="n">
        <v>45669</v>
      </c>
      <c r="D2600" t="inlineStr">
        <is>
          <t>VÄSTERNORRLANDS LÄN</t>
        </is>
      </c>
      <c r="E2600" t="inlineStr">
        <is>
          <t>SOLLEFTEÅ</t>
        </is>
      </c>
      <c r="F2600" t="inlineStr">
        <is>
          <t>Övriga Aktiebolag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6066-2024</t>
        </is>
      </c>
      <c r="B2601" s="1" t="n">
        <v>45336</v>
      </c>
      <c r="C2601" s="1" t="n">
        <v>45669</v>
      </c>
      <c r="D2601" t="inlineStr">
        <is>
          <t>VÄSTERNORRLANDS LÄN</t>
        </is>
      </c>
      <c r="E2601" t="inlineStr">
        <is>
          <t>SOLLEFTEÅ</t>
        </is>
      </c>
      <c r="F2601" t="inlineStr">
        <is>
          <t>Övriga Aktiebolag</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6068-2024</t>
        </is>
      </c>
      <c r="B2602" s="1" t="n">
        <v>45336</v>
      </c>
      <c r="C2602" s="1" t="n">
        <v>45669</v>
      </c>
      <c r="D2602" t="inlineStr">
        <is>
          <t>VÄSTERNORRLANDS LÄN</t>
        </is>
      </c>
      <c r="E2602" t="inlineStr">
        <is>
          <t>SOLLEFTEÅ</t>
        </is>
      </c>
      <c r="F2602" t="inlineStr">
        <is>
          <t>Övriga Aktiebolag</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6057-2024</t>
        </is>
      </c>
      <c r="B2603" s="1" t="n">
        <v>45336</v>
      </c>
      <c r="C2603" s="1" t="n">
        <v>45669</v>
      </c>
      <c r="D2603" t="inlineStr">
        <is>
          <t>VÄSTERNORRLANDS LÄN</t>
        </is>
      </c>
      <c r="E2603" t="inlineStr">
        <is>
          <t>SOLLEFTEÅ</t>
        </is>
      </c>
      <c r="F2603" t="inlineStr">
        <is>
          <t>Övriga Aktiebolag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6065-2024</t>
        </is>
      </c>
      <c r="B2604" s="1" t="n">
        <v>45336</v>
      </c>
      <c r="C2604" s="1" t="n">
        <v>45669</v>
      </c>
      <c r="D2604" t="inlineStr">
        <is>
          <t>VÄSTERNORRLANDS LÄN</t>
        </is>
      </c>
      <c r="E2604" t="inlineStr">
        <is>
          <t>SOLLEFTEÅ</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6139-2024</t>
        </is>
      </c>
      <c r="B2605" s="1" t="n">
        <v>45337</v>
      </c>
      <c r="C2605" s="1" t="n">
        <v>45669</v>
      </c>
      <c r="D2605" t="inlineStr">
        <is>
          <t>VÄSTERNORRLANDS LÄN</t>
        </is>
      </c>
      <c r="E2605" t="inlineStr">
        <is>
          <t>SOLLEFTEÅ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6279-2024</t>
        </is>
      </c>
      <c r="B2606" s="1" t="n">
        <v>45337</v>
      </c>
      <c r="C2606" s="1" t="n">
        <v>45669</v>
      </c>
      <c r="D2606" t="inlineStr">
        <is>
          <t>VÄSTERNORRLANDS LÄN</t>
        </is>
      </c>
      <c r="E2606" t="inlineStr">
        <is>
          <t>SOLLEFTEÅ</t>
        </is>
      </c>
      <c r="F2606" t="inlineStr">
        <is>
          <t>SCA</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6125-2024</t>
        </is>
      </c>
      <c r="B2607" s="1" t="n">
        <v>45337</v>
      </c>
      <c r="C2607" s="1" t="n">
        <v>45669</v>
      </c>
      <c r="D2607" t="inlineStr">
        <is>
          <t>VÄSTERNORRLANDS LÄN</t>
        </is>
      </c>
      <c r="E2607" t="inlineStr">
        <is>
          <t>SOLLEFTEÅ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6282-2024</t>
        </is>
      </c>
      <c r="B2608" s="1" t="n">
        <v>45337</v>
      </c>
      <c r="C2608" s="1" t="n">
        <v>45669</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6352-2024</t>
        </is>
      </c>
      <c r="B2609" s="1" t="n">
        <v>45338</v>
      </c>
      <c r="C2609" s="1" t="n">
        <v>45669</v>
      </c>
      <c r="D2609" t="inlineStr">
        <is>
          <t>VÄSTERNORRLANDS LÄN</t>
        </is>
      </c>
      <c r="E2609" t="inlineStr">
        <is>
          <t>SOLLEFTEÅ</t>
        </is>
      </c>
      <c r="F2609" t="inlineStr">
        <is>
          <t>Holmen skog AB</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6480-2024</t>
        </is>
      </c>
      <c r="B2610" s="1" t="n">
        <v>45338</v>
      </c>
      <c r="C2610" s="1" t="n">
        <v>45669</v>
      </c>
      <c r="D2610" t="inlineStr">
        <is>
          <t>VÄSTERNORRLANDS LÄN</t>
        </is>
      </c>
      <c r="E2610" t="inlineStr">
        <is>
          <t>SOLLEFTEÅ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6633-2024</t>
        </is>
      </c>
      <c r="B2611" s="1" t="n">
        <v>45341</v>
      </c>
      <c r="C2611" s="1" t="n">
        <v>45669</v>
      </c>
      <c r="D2611" t="inlineStr">
        <is>
          <t>VÄSTERNORRLANDS LÄN</t>
        </is>
      </c>
      <c r="E2611" t="inlineStr">
        <is>
          <t>SOLLEFTEÅ</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6692-2024</t>
        </is>
      </c>
      <c r="B2612" s="1" t="n">
        <v>45341</v>
      </c>
      <c r="C2612" s="1" t="n">
        <v>45669</v>
      </c>
      <c r="D2612" t="inlineStr">
        <is>
          <t>VÄSTERNORRLANDS LÄN</t>
        </is>
      </c>
      <c r="E2612" t="inlineStr">
        <is>
          <t>SOLLEFTEÅ</t>
        </is>
      </c>
      <c r="F2612" t="inlineStr">
        <is>
          <t>SCA</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6700-2024</t>
        </is>
      </c>
      <c r="B2613" s="1" t="n">
        <v>45341</v>
      </c>
      <c r="C2613" s="1" t="n">
        <v>45669</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6799-2024</t>
        </is>
      </c>
      <c r="B2614" s="1" t="n">
        <v>45342</v>
      </c>
      <c r="C2614" s="1" t="n">
        <v>45669</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6857-2024</t>
        </is>
      </c>
      <c r="B2615" s="1" t="n">
        <v>45342</v>
      </c>
      <c r="C2615" s="1" t="n">
        <v>45669</v>
      </c>
      <c r="D2615" t="inlineStr">
        <is>
          <t>VÄSTERNORRLANDS LÄN</t>
        </is>
      </c>
      <c r="E2615" t="inlineStr">
        <is>
          <t>SOLLEFTEÅ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6816-2024</t>
        </is>
      </c>
      <c r="B2616" s="1" t="n">
        <v>45342</v>
      </c>
      <c r="C2616" s="1" t="n">
        <v>45669</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6891-2024</t>
        </is>
      </c>
      <c r="B2617" s="1" t="n">
        <v>45342</v>
      </c>
      <c r="C2617" s="1" t="n">
        <v>45669</v>
      </c>
      <c r="D2617" t="inlineStr">
        <is>
          <t>VÄSTERNORRLANDS LÄN</t>
        </is>
      </c>
      <c r="E2617" t="inlineStr">
        <is>
          <t>SOLLEFTEÅ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6909-2024</t>
        </is>
      </c>
      <c r="B2618" s="1" t="n">
        <v>45342</v>
      </c>
      <c r="C2618" s="1" t="n">
        <v>45669</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6932-2024</t>
        </is>
      </c>
      <c r="B2619" s="1" t="n">
        <v>45343</v>
      </c>
      <c r="C2619" s="1" t="n">
        <v>45669</v>
      </c>
      <c r="D2619" t="inlineStr">
        <is>
          <t>VÄSTERNORRLANDS LÄN</t>
        </is>
      </c>
      <c r="E2619" t="inlineStr">
        <is>
          <t>SOLLEFTEÅ</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6934-2024</t>
        </is>
      </c>
      <c r="B2620" s="1" t="n">
        <v>45343</v>
      </c>
      <c r="C2620" s="1" t="n">
        <v>45669</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7001-2024</t>
        </is>
      </c>
      <c r="B2621" s="1" t="n">
        <v>45343</v>
      </c>
      <c r="C2621" s="1" t="n">
        <v>45669</v>
      </c>
      <c r="D2621" t="inlineStr">
        <is>
          <t>VÄSTERNORRLANDS LÄN</t>
        </is>
      </c>
      <c r="E2621" t="inlineStr">
        <is>
          <t>SOLLEFTEÅ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7107-2024</t>
        </is>
      </c>
      <c r="B2622" s="1" t="n">
        <v>45343</v>
      </c>
      <c r="C2622" s="1" t="n">
        <v>45669</v>
      </c>
      <c r="D2622" t="inlineStr">
        <is>
          <t>VÄSTERNORRLANDS LÄN</t>
        </is>
      </c>
      <c r="E2622" t="inlineStr">
        <is>
          <t>SOLLEFTEÅ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7113-2024</t>
        </is>
      </c>
      <c r="B2623" s="1" t="n">
        <v>45343</v>
      </c>
      <c r="C2623" s="1" t="n">
        <v>45669</v>
      </c>
      <c r="D2623" t="inlineStr">
        <is>
          <t>VÄSTERNORRLANDS LÄN</t>
        </is>
      </c>
      <c r="E2623" t="inlineStr">
        <is>
          <t>SOLLEFTEÅ</t>
        </is>
      </c>
      <c r="F2623" t="inlineStr">
        <is>
          <t>SCA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7106-2024</t>
        </is>
      </c>
      <c r="B2624" s="1" t="n">
        <v>45343</v>
      </c>
      <c r="C2624" s="1" t="n">
        <v>45669</v>
      </c>
      <c r="D2624" t="inlineStr">
        <is>
          <t>VÄSTERNORRLANDS LÄN</t>
        </is>
      </c>
      <c r="E2624" t="inlineStr">
        <is>
          <t>SOLLEFTEÅ</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7257-2024</t>
        </is>
      </c>
      <c r="B2625" s="1" t="n">
        <v>45344</v>
      </c>
      <c r="C2625" s="1" t="n">
        <v>45669</v>
      </c>
      <c r="D2625" t="inlineStr">
        <is>
          <t>VÄSTERNORRLANDS LÄN</t>
        </is>
      </c>
      <c r="E2625" t="inlineStr">
        <is>
          <t>SOLLEFTEÅ</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7261-2024</t>
        </is>
      </c>
      <c r="B2626" s="1" t="n">
        <v>45344</v>
      </c>
      <c r="C2626" s="1" t="n">
        <v>45669</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7295-2024</t>
        </is>
      </c>
      <c r="B2627" s="1" t="n">
        <v>45344</v>
      </c>
      <c r="C2627" s="1" t="n">
        <v>45669</v>
      </c>
      <c r="D2627" t="inlineStr">
        <is>
          <t>VÄSTERNORRLANDS LÄN</t>
        </is>
      </c>
      <c r="E2627" t="inlineStr">
        <is>
          <t>SOLLEFTEÅ</t>
        </is>
      </c>
      <c r="F2627" t="inlineStr">
        <is>
          <t>SCA</t>
        </is>
      </c>
      <c r="G2627" t="n">
        <v>16.7</v>
      </c>
      <c r="H2627" t="n">
        <v>0</v>
      </c>
      <c r="I2627" t="n">
        <v>0</v>
      </c>
      <c r="J2627" t="n">
        <v>0</v>
      </c>
      <c r="K2627" t="n">
        <v>0</v>
      </c>
      <c r="L2627" t="n">
        <v>0</v>
      </c>
      <c r="M2627" t="n">
        <v>0</v>
      </c>
      <c r="N2627" t="n">
        <v>0</v>
      </c>
      <c r="O2627" t="n">
        <v>0</v>
      </c>
      <c r="P2627" t="n">
        <v>0</v>
      </c>
      <c r="Q2627" t="n">
        <v>0</v>
      </c>
      <c r="R2627" s="2" t="inlineStr"/>
    </row>
    <row r="2628" ht="15" customHeight="1">
      <c r="A2628" t="inlineStr">
        <is>
          <t>A 7234-2024</t>
        </is>
      </c>
      <c r="B2628" s="1" t="n">
        <v>45344</v>
      </c>
      <c r="C2628" s="1" t="n">
        <v>45669</v>
      </c>
      <c r="D2628" t="inlineStr">
        <is>
          <t>VÄSTERNORRLANDS LÄN</t>
        </is>
      </c>
      <c r="E2628" t="inlineStr">
        <is>
          <t>SOLLEFTEÅ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7258-2024</t>
        </is>
      </c>
      <c r="B2629" s="1" t="n">
        <v>45344</v>
      </c>
      <c r="C2629" s="1" t="n">
        <v>45669</v>
      </c>
      <c r="D2629" t="inlineStr">
        <is>
          <t>VÄSTERNORRLANDS LÄN</t>
        </is>
      </c>
      <c r="E2629" t="inlineStr">
        <is>
          <t>SOLLEFTEÅ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7294-2024</t>
        </is>
      </c>
      <c r="B2630" s="1" t="n">
        <v>45344</v>
      </c>
      <c r="C2630" s="1" t="n">
        <v>45669</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7463-2024</t>
        </is>
      </c>
      <c r="B2631" s="1" t="n">
        <v>45345</v>
      </c>
      <c r="C2631" s="1" t="n">
        <v>45669</v>
      </c>
      <c r="D2631" t="inlineStr">
        <is>
          <t>VÄSTERNORRLANDS LÄN</t>
        </is>
      </c>
      <c r="E2631" t="inlineStr">
        <is>
          <t>SOLLEFTEÅ</t>
        </is>
      </c>
      <c r="F2631" t="inlineStr">
        <is>
          <t>SCA</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7467-2024</t>
        </is>
      </c>
      <c r="B2632" s="1" t="n">
        <v>45345</v>
      </c>
      <c r="C2632" s="1" t="n">
        <v>45669</v>
      </c>
      <c r="D2632" t="inlineStr">
        <is>
          <t>VÄSTERNORRLANDS LÄN</t>
        </is>
      </c>
      <c r="E2632" t="inlineStr">
        <is>
          <t>SOLLEFTEÅ</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7464-2024</t>
        </is>
      </c>
      <c r="B2633" s="1" t="n">
        <v>45345</v>
      </c>
      <c r="C2633" s="1" t="n">
        <v>45669</v>
      </c>
      <c r="D2633" t="inlineStr">
        <is>
          <t>VÄSTERNORRLANDS LÄN</t>
        </is>
      </c>
      <c r="E2633" t="inlineStr">
        <is>
          <t>SOLLEFTEÅ</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7475-2024</t>
        </is>
      </c>
      <c r="B2634" s="1" t="n">
        <v>45345</v>
      </c>
      <c r="C2634" s="1" t="n">
        <v>45669</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7462-2024</t>
        </is>
      </c>
      <c r="B2635" s="1" t="n">
        <v>45345</v>
      </c>
      <c r="C2635" s="1" t="n">
        <v>45669</v>
      </c>
      <c r="D2635" t="inlineStr">
        <is>
          <t>VÄSTERNORRLANDS LÄN</t>
        </is>
      </c>
      <c r="E2635" t="inlineStr">
        <is>
          <t>SOLLEFTEÅ</t>
        </is>
      </c>
      <c r="F2635" t="inlineStr">
        <is>
          <t>SCA</t>
        </is>
      </c>
      <c r="G2635" t="n">
        <v>42.1</v>
      </c>
      <c r="H2635" t="n">
        <v>0</v>
      </c>
      <c r="I2635" t="n">
        <v>0</v>
      </c>
      <c r="J2635" t="n">
        <v>0</v>
      </c>
      <c r="K2635" t="n">
        <v>0</v>
      </c>
      <c r="L2635" t="n">
        <v>0</v>
      </c>
      <c r="M2635" t="n">
        <v>0</v>
      </c>
      <c r="N2635" t="n">
        <v>0</v>
      </c>
      <c r="O2635" t="n">
        <v>0</v>
      </c>
      <c r="P2635" t="n">
        <v>0</v>
      </c>
      <c r="Q2635" t="n">
        <v>0</v>
      </c>
      <c r="R2635" s="2" t="inlineStr"/>
    </row>
    <row r="2636" ht="15" customHeight="1">
      <c r="A2636" t="inlineStr">
        <is>
          <t>A 7585-2024</t>
        </is>
      </c>
      <c r="B2636" s="1" t="n">
        <v>45348</v>
      </c>
      <c r="C2636" s="1" t="n">
        <v>45669</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7704-2024</t>
        </is>
      </c>
      <c r="B2637" s="1" t="n">
        <v>45349</v>
      </c>
      <c r="C2637" s="1" t="n">
        <v>45669</v>
      </c>
      <c r="D2637" t="inlineStr">
        <is>
          <t>VÄSTERNORRLANDS LÄN</t>
        </is>
      </c>
      <c r="E2637" t="inlineStr">
        <is>
          <t>SOLLEFTEÅ</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7809-2024</t>
        </is>
      </c>
      <c r="B2638" s="1" t="n">
        <v>45349</v>
      </c>
      <c r="C2638" s="1" t="n">
        <v>45669</v>
      </c>
      <c r="D2638" t="inlineStr">
        <is>
          <t>VÄSTERNORRLANDS LÄN</t>
        </is>
      </c>
      <c r="E2638" t="inlineStr">
        <is>
          <t>SOLLEFTEÅ</t>
        </is>
      </c>
      <c r="G2638" t="n">
        <v>23.2</v>
      </c>
      <c r="H2638" t="n">
        <v>0</v>
      </c>
      <c r="I2638" t="n">
        <v>0</v>
      </c>
      <c r="J2638" t="n">
        <v>0</v>
      </c>
      <c r="K2638" t="n">
        <v>0</v>
      </c>
      <c r="L2638" t="n">
        <v>0</v>
      </c>
      <c r="M2638" t="n">
        <v>0</v>
      </c>
      <c r="N2638" t="n">
        <v>0</v>
      </c>
      <c r="O2638" t="n">
        <v>0</v>
      </c>
      <c r="P2638" t="n">
        <v>0</v>
      </c>
      <c r="Q2638" t="n">
        <v>0</v>
      </c>
      <c r="R2638" s="2" t="inlineStr"/>
    </row>
    <row r="2639" ht="15" customHeight="1">
      <c r="A2639" t="inlineStr">
        <is>
          <t>A 7825-2024</t>
        </is>
      </c>
      <c r="B2639" s="1" t="n">
        <v>45349</v>
      </c>
      <c r="C2639" s="1" t="n">
        <v>45669</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7810-2024</t>
        </is>
      </c>
      <c r="B2640" s="1" t="n">
        <v>45349</v>
      </c>
      <c r="C2640" s="1" t="n">
        <v>45669</v>
      </c>
      <c r="D2640" t="inlineStr">
        <is>
          <t>VÄSTERNORRLANDS LÄN</t>
        </is>
      </c>
      <c r="E2640" t="inlineStr">
        <is>
          <t>SOLLEFTEÅ</t>
        </is>
      </c>
      <c r="F2640" t="inlineStr">
        <is>
          <t>Övriga Aktiebolag</t>
        </is>
      </c>
      <c r="G2640" t="n">
        <v>23.6</v>
      </c>
      <c r="H2640" t="n">
        <v>0</v>
      </c>
      <c r="I2640" t="n">
        <v>0</v>
      </c>
      <c r="J2640" t="n">
        <v>0</v>
      </c>
      <c r="K2640" t="n">
        <v>0</v>
      </c>
      <c r="L2640" t="n">
        <v>0</v>
      </c>
      <c r="M2640" t="n">
        <v>0</v>
      </c>
      <c r="N2640" t="n">
        <v>0</v>
      </c>
      <c r="O2640" t="n">
        <v>0</v>
      </c>
      <c r="P2640" t="n">
        <v>0</v>
      </c>
      <c r="Q2640" t="n">
        <v>0</v>
      </c>
      <c r="R2640" s="2" t="inlineStr"/>
    </row>
    <row r="2641" ht="15" customHeight="1">
      <c r="A2641" t="inlineStr">
        <is>
          <t>A 7858-2024</t>
        </is>
      </c>
      <c r="B2641" s="1" t="n">
        <v>45350</v>
      </c>
      <c r="C2641" s="1" t="n">
        <v>45669</v>
      </c>
      <c r="D2641" t="inlineStr">
        <is>
          <t>VÄSTERNORRLANDS LÄN</t>
        </is>
      </c>
      <c r="E2641" t="inlineStr">
        <is>
          <t>SOLLEFTEÅ</t>
        </is>
      </c>
      <c r="F2641" t="inlineStr">
        <is>
          <t>SCA</t>
        </is>
      </c>
      <c r="G2641" t="n">
        <v>38.8</v>
      </c>
      <c r="H2641" t="n">
        <v>0</v>
      </c>
      <c r="I2641" t="n">
        <v>0</v>
      </c>
      <c r="J2641" t="n">
        <v>0</v>
      </c>
      <c r="K2641" t="n">
        <v>0</v>
      </c>
      <c r="L2641" t="n">
        <v>0</v>
      </c>
      <c r="M2641" t="n">
        <v>0</v>
      </c>
      <c r="N2641" t="n">
        <v>0</v>
      </c>
      <c r="O2641" t="n">
        <v>0</v>
      </c>
      <c r="P2641" t="n">
        <v>0</v>
      </c>
      <c r="Q2641" t="n">
        <v>0</v>
      </c>
      <c r="R2641" s="2" t="inlineStr"/>
    </row>
    <row r="2642" ht="15" customHeight="1">
      <c r="A2642" t="inlineStr">
        <is>
          <t>A 8033-2024</t>
        </is>
      </c>
      <c r="B2642" s="1" t="n">
        <v>45350</v>
      </c>
      <c r="C2642" s="1" t="n">
        <v>45669</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8038-2024</t>
        </is>
      </c>
      <c r="B2643" s="1" t="n">
        <v>45350</v>
      </c>
      <c r="C2643" s="1" t="n">
        <v>45669</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8039-2024</t>
        </is>
      </c>
      <c r="B2644" s="1" t="n">
        <v>45350</v>
      </c>
      <c r="C2644" s="1" t="n">
        <v>45669</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8236-2024</t>
        </is>
      </c>
      <c r="B2645" s="1" t="n">
        <v>45352</v>
      </c>
      <c r="C2645" s="1" t="n">
        <v>45669</v>
      </c>
      <c r="D2645" t="inlineStr">
        <is>
          <t>VÄSTERNORRLANDS LÄN</t>
        </is>
      </c>
      <c r="E2645" t="inlineStr">
        <is>
          <t>SOLLEFTEÅ</t>
        </is>
      </c>
      <c r="F2645" t="inlineStr">
        <is>
          <t>SCA</t>
        </is>
      </c>
      <c r="G2645" t="n">
        <v>13.6</v>
      </c>
      <c r="H2645" t="n">
        <v>0</v>
      </c>
      <c r="I2645" t="n">
        <v>0</v>
      </c>
      <c r="J2645" t="n">
        <v>0</v>
      </c>
      <c r="K2645" t="n">
        <v>0</v>
      </c>
      <c r="L2645" t="n">
        <v>0</v>
      </c>
      <c r="M2645" t="n">
        <v>0</v>
      </c>
      <c r="N2645" t="n">
        <v>0</v>
      </c>
      <c r="O2645" t="n">
        <v>0</v>
      </c>
      <c r="P2645" t="n">
        <v>0</v>
      </c>
      <c r="Q2645" t="n">
        <v>0</v>
      </c>
      <c r="R2645" s="2" t="inlineStr"/>
    </row>
    <row r="2646" ht="15" customHeight="1">
      <c r="A2646" t="inlineStr">
        <is>
          <t>A 8244-2024</t>
        </is>
      </c>
      <c r="B2646" s="1" t="n">
        <v>45351</v>
      </c>
      <c r="C2646" s="1" t="n">
        <v>45669</v>
      </c>
      <c r="D2646" t="inlineStr">
        <is>
          <t>VÄSTERNORRLANDS LÄN</t>
        </is>
      </c>
      <c r="E2646" t="inlineStr">
        <is>
          <t>SOLLEFTEÅ</t>
        </is>
      </c>
      <c r="F2646" t="inlineStr">
        <is>
          <t>SCA</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8234-2024</t>
        </is>
      </c>
      <c r="B2647" s="1" t="n">
        <v>45352</v>
      </c>
      <c r="C2647" s="1" t="n">
        <v>45669</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8235-2024</t>
        </is>
      </c>
      <c r="B2648" s="1" t="n">
        <v>45352</v>
      </c>
      <c r="C2648" s="1" t="n">
        <v>45669</v>
      </c>
      <c r="D2648" t="inlineStr">
        <is>
          <t>VÄSTERNORRLANDS LÄN</t>
        </is>
      </c>
      <c r="E2648" t="inlineStr">
        <is>
          <t>SOLLEFTEÅ</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8414-2024</t>
        </is>
      </c>
      <c r="B2649" s="1" t="n">
        <v>45352</v>
      </c>
      <c r="C2649" s="1" t="n">
        <v>45669</v>
      </c>
      <c r="D2649" t="inlineStr">
        <is>
          <t>VÄSTERNORRLANDS LÄN</t>
        </is>
      </c>
      <c r="E2649" t="inlineStr">
        <is>
          <t>SOLLEFTEÅ</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8608-2024</t>
        </is>
      </c>
      <c r="B2650" s="1" t="n">
        <v>45355</v>
      </c>
      <c r="C2650" s="1" t="n">
        <v>45669</v>
      </c>
      <c r="D2650" t="inlineStr">
        <is>
          <t>VÄSTERNORRLANDS LÄN</t>
        </is>
      </c>
      <c r="E2650" t="inlineStr">
        <is>
          <t>SOLLEFTEÅ</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8918-2024</t>
        </is>
      </c>
      <c r="B2651" s="1" t="n">
        <v>45355</v>
      </c>
      <c r="C2651" s="1" t="n">
        <v>45669</v>
      </c>
      <c r="D2651" t="inlineStr">
        <is>
          <t>VÄSTERNORRLANDS LÄN</t>
        </is>
      </c>
      <c r="E2651" t="inlineStr">
        <is>
          <t>SOLLEFTEÅ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8653-2024</t>
        </is>
      </c>
      <c r="B2652" s="1" t="n">
        <v>45356</v>
      </c>
      <c r="C2652" s="1" t="n">
        <v>45669</v>
      </c>
      <c r="D2652" t="inlineStr">
        <is>
          <t>VÄSTERNORRLANDS LÄN</t>
        </is>
      </c>
      <c r="E2652" t="inlineStr">
        <is>
          <t>SOLLEFTEÅ</t>
        </is>
      </c>
      <c r="F2652" t="inlineStr">
        <is>
          <t>SCA</t>
        </is>
      </c>
      <c r="G2652" t="n">
        <v>67.8</v>
      </c>
      <c r="H2652" t="n">
        <v>0</v>
      </c>
      <c r="I2652" t="n">
        <v>0</v>
      </c>
      <c r="J2652" t="n">
        <v>0</v>
      </c>
      <c r="K2652" t="n">
        <v>0</v>
      </c>
      <c r="L2652" t="n">
        <v>0</v>
      </c>
      <c r="M2652" t="n">
        <v>0</v>
      </c>
      <c r="N2652" t="n">
        <v>0</v>
      </c>
      <c r="O2652" t="n">
        <v>0</v>
      </c>
      <c r="P2652" t="n">
        <v>0</v>
      </c>
      <c r="Q2652" t="n">
        <v>0</v>
      </c>
      <c r="R2652" s="2" t="inlineStr"/>
    </row>
    <row r="2653" ht="15" customHeight="1">
      <c r="A2653" t="inlineStr">
        <is>
          <t>A 8636-2024</t>
        </is>
      </c>
      <c r="B2653" s="1" t="n">
        <v>45356</v>
      </c>
      <c r="C2653" s="1" t="n">
        <v>45669</v>
      </c>
      <c r="D2653" t="inlineStr">
        <is>
          <t>VÄSTERNORRLANDS LÄN</t>
        </is>
      </c>
      <c r="E2653" t="inlineStr">
        <is>
          <t>SOLLEFTEÅ</t>
        </is>
      </c>
      <c r="F2653" t="inlineStr">
        <is>
          <t>SCA</t>
        </is>
      </c>
      <c r="G2653" t="n">
        <v>31.3</v>
      </c>
      <c r="H2653" t="n">
        <v>0</v>
      </c>
      <c r="I2653" t="n">
        <v>0</v>
      </c>
      <c r="J2653" t="n">
        <v>0</v>
      </c>
      <c r="K2653" t="n">
        <v>0</v>
      </c>
      <c r="L2653" t="n">
        <v>0</v>
      </c>
      <c r="M2653" t="n">
        <v>0</v>
      </c>
      <c r="N2653" t="n">
        <v>0</v>
      </c>
      <c r="O2653" t="n">
        <v>0</v>
      </c>
      <c r="P2653" t="n">
        <v>0</v>
      </c>
      <c r="Q2653" t="n">
        <v>0</v>
      </c>
      <c r="R2653" s="2" t="inlineStr"/>
    </row>
    <row r="2654" ht="15" customHeight="1">
      <c r="A2654" t="inlineStr">
        <is>
          <t>A 8729-2024</t>
        </is>
      </c>
      <c r="B2654" s="1" t="n">
        <v>45356</v>
      </c>
      <c r="C2654" s="1" t="n">
        <v>45669</v>
      </c>
      <c r="D2654" t="inlineStr">
        <is>
          <t>VÄSTERNORRLANDS LÄN</t>
        </is>
      </c>
      <c r="E2654" t="inlineStr">
        <is>
          <t>SOLLEFTEÅ</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8652-2024</t>
        </is>
      </c>
      <c r="B2655" s="1" t="n">
        <v>45356</v>
      </c>
      <c r="C2655" s="1" t="n">
        <v>45669</v>
      </c>
      <c r="D2655" t="inlineStr">
        <is>
          <t>VÄSTERNORRLANDS LÄN</t>
        </is>
      </c>
      <c r="E2655" t="inlineStr">
        <is>
          <t>SOLLEFTEÅ</t>
        </is>
      </c>
      <c r="F2655" t="inlineStr">
        <is>
          <t>SCA</t>
        </is>
      </c>
      <c r="G2655" t="n">
        <v>38.6</v>
      </c>
      <c r="H2655" t="n">
        <v>0</v>
      </c>
      <c r="I2655" t="n">
        <v>0</v>
      </c>
      <c r="J2655" t="n">
        <v>0</v>
      </c>
      <c r="K2655" t="n">
        <v>0</v>
      </c>
      <c r="L2655" t="n">
        <v>0</v>
      </c>
      <c r="M2655" t="n">
        <v>0</v>
      </c>
      <c r="N2655" t="n">
        <v>0</v>
      </c>
      <c r="O2655" t="n">
        <v>0</v>
      </c>
      <c r="P2655" t="n">
        <v>0</v>
      </c>
      <c r="Q2655" t="n">
        <v>0</v>
      </c>
      <c r="R2655" s="2" t="inlineStr"/>
    </row>
    <row r="2656" ht="15" customHeight="1">
      <c r="A2656" t="inlineStr">
        <is>
          <t>A 8656-2024</t>
        </is>
      </c>
      <c r="B2656" s="1" t="n">
        <v>45356</v>
      </c>
      <c r="C2656" s="1" t="n">
        <v>45669</v>
      </c>
      <c r="D2656" t="inlineStr">
        <is>
          <t>VÄSTERNORRLANDS LÄN</t>
        </is>
      </c>
      <c r="E2656" t="inlineStr">
        <is>
          <t>SOLLEFTEÅ</t>
        </is>
      </c>
      <c r="F2656" t="inlineStr">
        <is>
          <t>SCA</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8885-2024</t>
        </is>
      </c>
      <c r="B2657" s="1" t="n">
        <v>45357</v>
      </c>
      <c r="C2657" s="1" t="n">
        <v>45669</v>
      </c>
      <c r="D2657" t="inlineStr">
        <is>
          <t>VÄSTERNORRLANDS LÄN</t>
        </is>
      </c>
      <c r="E2657" t="inlineStr">
        <is>
          <t>SOLLEFTEÅ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9145-2024</t>
        </is>
      </c>
      <c r="B2658" s="1" t="n">
        <v>45357</v>
      </c>
      <c r="C2658" s="1" t="n">
        <v>45669</v>
      </c>
      <c r="D2658" t="inlineStr">
        <is>
          <t>VÄSTERNORRLANDS LÄN</t>
        </is>
      </c>
      <c r="E2658" t="inlineStr">
        <is>
          <t>SOLLEFTEÅ</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9120-2024</t>
        </is>
      </c>
      <c r="B2659" s="1" t="n">
        <v>45358</v>
      </c>
      <c r="C2659" s="1" t="n">
        <v>45669</v>
      </c>
      <c r="D2659" t="inlineStr">
        <is>
          <t>VÄSTERNORRLANDS LÄN</t>
        </is>
      </c>
      <c r="E2659" t="inlineStr">
        <is>
          <t>SOLLEFTEÅ</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9121-2024</t>
        </is>
      </c>
      <c r="B2660" s="1" t="n">
        <v>45358</v>
      </c>
      <c r="C2660" s="1" t="n">
        <v>45669</v>
      </c>
      <c r="D2660" t="inlineStr">
        <is>
          <t>VÄSTERNORRLANDS LÄN</t>
        </is>
      </c>
      <c r="E2660" t="inlineStr">
        <is>
          <t>SOLLEFTEÅ</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9122-2024</t>
        </is>
      </c>
      <c r="B2661" s="1" t="n">
        <v>45358</v>
      </c>
      <c r="C2661" s="1" t="n">
        <v>45669</v>
      </c>
      <c r="D2661" t="inlineStr">
        <is>
          <t>VÄSTERNORRLANDS LÄN</t>
        </is>
      </c>
      <c r="E2661" t="inlineStr">
        <is>
          <t>SOLLEFTEÅ</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9306-2024</t>
        </is>
      </c>
      <c r="B2662" s="1" t="n">
        <v>45358</v>
      </c>
      <c r="C2662" s="1" t="n">
        <v>45669</v>
      </c>
      <c r="D2662" t="inlineStr">
        <is>
          <t>VÄSTERNORRLANDS LÄN</t>
        </is>
      </c>
      <c r="E2662" t="inlineStr">
        <is>
          <t>SOLLEFTEÅ</t>
        </is>
      </c>
      <c r="G2662" t="n">
        <v>19.6</v>
      </c>
      <c r="H2662" t="n">
        <v>0</v>
      </c>
      <c r="I2662" t="n">
        <v>0</v>
      </c>
      <c r="J2662" t="n">
        <v>0</v>
      </c>
      <c r="K2662" t="n">
        <v>0</v>
      </c>
      <c r="L2662" t="n">
        <v>0</v>
      </c>
      <c r="M2662" t="n">
        <v>0</v>
      </c>
      <c r="N2662" t="n">
        <v>0</v>
      </c>
      <c r="O2662" t="n">
        <v>0</v>
      </c>
      <c r="P2662" t="n">
        <v>0</v>
      </c>
      <c r="Q2662" t="n">
        <v>0</v>
      </c>
      <c r="R2662" s="2" t="inlineStr"/>
    </row>
    <row r="2663" ht="15" customHeight="1">
      <c r="A2663" t="inlineStr">
        <is>
          <t>A 9342-2024</t>
        </is>
      </c>
      <c r="B2663" s="1" t="n">
        <v>45359</v>
      </c>
      <c r="C2663" s="1" t="n">
        <v>45669</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9346-2024</t>
        </is>
      </c>
      <c r="B2664" s="1" t="n">
        <v>45359</v>
      </c>
      <c r="C2664" s="1" t="n">
        <v>45669</v>
      </c>
      <c r="D2664" t="inlineStr">
        <is>
          <t>VÄSTERNORRLANDS LÄN</t>
        </is>
      </c>
      <c r="E2664" t="inlineStr">
        <is>
          <t>SOLLEFTEÅ</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9304-2024</t>
        </is>
      </c>
      <c r="B2665" s="1" t="n">
        <v>45358</v>
      </c>
      <c r="C2665" s="1" t="n">
        <v>45669</v>
      </c>
      <c r="D2665" t="inlineStr">
        <is>
          <t>VÄSTERNORRLANDS LÄN</t>
        </is>
      </c>
      <c r="E2665" t="inlineStr">
        <is>
          <t>SOLLEFTEÅ</t>
        </is>
      </c>
      <c r="G2665" t="n">
        <v>30.7</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45359</v>
      </c>
      <c r="C2666" s="1" t="n">
        <v>45669</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9309-2024</t>
        </is>
      </c>
      <c r="B2667" s="1" t="n">
        <v>45358</v>
      </c>
      <c r="C2667" s="1" t="n">
        <v>45669</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9339-2024</t>
        </is>
      </c>
      <c r="B2668" s="1" t="n">
        <v>45358</v>
      </c>
      <c r="C2668" s="1" t="n">
        <v>45669</v>
      </c>
      <c r="D2668" t="inlineStr">
        <is>
          <t>VÄSTERNORRLANDS LÄN</t>
        </is>
      </c>
      <c r="E2668" t="inlineStr">
        <is>
          <t>SOLLEFTEÅ</t>
        </is>
      </c>
      <c r="F2668" t="inlineStr">
        <is>
          <t>SCA</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9341-2024</t>
        </is>
      </c>
      <c r="B2669" s="1" t="n">
        <v>45358</v>
      </c>
      <c r="C2669" s="1" t="n">
        <v>45669</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9340-2024</t>
        </is>
      </c>
      <c r="B2670" s="1" t="n">
        <v>45359</v>
      </c>
      <c r="C2670" s="1" t="n">
        <v>45669</v>
      </c>
      <c r="D2670" t="inlineStr">
        <is>
          <t>VÄSTERNORRLANDS LÄN</t>
        </is>
      </c>
      <c r="E2670" t="inlineStr">
        <is>
          <t>SOLLEFTEÅ</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9555-2024</t>
        </is>
      </c>
      <c r="B2671" s="1" t="n">
        <v>45360</v>
      </c>
      <c r="C2671" s="1" t="n">
        <v>45669</v>
      </c>
      <c r="D2671" t="inlineStr">
        <is>
          <t>VÄSTERNORRLANDS LÄN</t>
        </is>
      </c>
      <c r="E2671" t="inlineStr">
        <is>
          <t>SOLLEFTEÅ</t>
        </is>
      </c>
      <c r="F2671" t="inlineStr">
        <is>
          <t>SCA</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9557-2024</t>
        </is>
      </c>
      <c r="B2672" s="1" t="n">
        <v>45360</v>
      </c>
      <c r="C2672" s="1" t="n">
        <v>45669</v>
      </c>
      <c r="D2672" t="inlineStr">
        <is>
          <t>VÄSTERNORRLANDS LÄN</t>
        </is>
      </c>
      <c r="E2672" t="inlineStr">
        <is>
          <t>SOLLEFTEÅ</t>
        </is>
      </c>
      <c r="F2672" t="inlineStr">
        <is>
          <t>SCA</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9558-2024</t>
        </is>
      </c>
      <c r="B2673" s="1" t="n">
        <v>45360</v>
      </c>
      <c r="C2673" s="1" t="n">
        <v>45669</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9689-2024</t>
        </is>
      </c>
      <c r="B2674" s="1" t="n">
        <v>45362</v>
      </c>
      <c r="C2674" s="1" t="n">
        <v>45669</v>
      </c>
      <c r="D2674" t="inlineStr">
        <is>
          <t>VÄSTERNORRLANDS LÄN</t>
        </is>
      </c>
      <c r="E2674" t="inlineStr">
        <is>
          <t>SOLLEFTEÅ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9820-2024</t>
        </is>
      </c>
      <c r="B2675" s="1" t="n">
        <v>45363</v>
      </c>
      <c r="C2675" s="1" t="n">
        <v>45669</v>
      </c>
      <c r="D2675" t="inlineStr">
        <is>
          <t>VÄSTERNORRLANDS LÄN</t>
        </is>
      </c>
      <c r="E2675" t="inlineStr">
        <is>
          <t>SOLLEFTEÅ</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9828-2024</t>
        </is>
      </c>
      <c r="B2676" s="1" t="n">
        <v>45363</v>
      </c>
      <c r="C2676" s="1" t="n">
        <v>45669</v>
      </c>
      <c r="D2676" t="inlineStr">
        <is>
          <t>VÄSTERNORRLANDS LÄN</t>
        </is>
      </c>
      <c r="E2676" t="inlineStr">
        <is>
          <t>SOLLEFTEÅ</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9822-2024</t>
        </is>
      </c>
      <c r="B2677" s="1" t="n">
        <v>45363</v>
      </c>
      <c r="C2677" s="1" t="n">
        <v>45669</v>
      </c>
      <c r="D2677" t="inlineStr">
        <is>
          <t>VÄSTERNORRLANDS LÄN</t>
        </is>
      </c>
      <c r="E2677" t="inlineStr">
        <is>
          <t>SOLLEFTEÅ</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9831-2024</t>
        </is>
      </c>
      <c r="B2678" s="1" t="n">
        <v>45363</v>
      </c>
      <c r="C2678" s="1" t="n">
        <v>45669</v>
      </c>
      <c r="D2678" t="inlineStr">
        <is>
          <t>VÄSTERNORRLANDS LÄN</t>
        </is>
      </c>
      <c r="E2678" t="inlineStr">
        <is>
          <t>SOLLEFTEÅ</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10038-2024</t>
        </is>
      </c>
      <c r="B2679" s="1" t="n">
        <v>45364</v>
      </c>
      <c r="C2679" s="1" t="n">
        <v>45669</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10415-2024</t>
        </is>
      </c>
      <c r="B2680" s="1" t="n">
        <v>45365</v>
      </c>
      <c r="C2680" s="1" t="n">
        <v>45669</v>
      </c>
      <c r="D2680" t="inlineStr">
        <is>
          <t>VÄSTERNORRLANDS LÄN</t>
        </is>
      </c>
      <c r="E2680" t="inlineStr">
        <is>
          <t>SOLLEFTEÅ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10526-2024</t>
        </is>
      </c>
      <c r="B2681" s="1" t="n">
        <v>45366</v>
      </c>
      <c r="C2681" s="1" t="n">
        <v>45669</v>
      </c>
      <c r="D2681" t="inlineStr">
        <is>
          <t>VÄSTERNORRLANDS LÄN</t>
        </is>
      </c>
      <c r="E2681" t="inlineStr">
        <is>
          <t>SOLLEFTEÅ</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10532-2024</t>
        </is>
      </c>
      <c r="B2682" s="1" t="n">
        <v>45366</v>
      </c>
      <c r="C2682" s="1" t="n">
        <v>45669</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10539-2024</t>
        </is>
      </c>
      <c r="B2683" s="1" t="n">
        <v>45366</v>
      </c>
      <c r="C2683" s="1" t="n">
        <v>45669</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10537-2024</t>
        </is>
      </c>
      <c r="B2684" s="1" t="n">
        <v>45366</v>
      </c>
      <c r="C2684" s="1" t="n">
        <v>45669</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10569-2024</t>
        </is>
      </c>
      <c r="B2685" s="1" t="n">
        <v>45366</v>
      </c>
      <c r="C2685" s="1" t="n">
        <v>45669</v>
      </c>
      <c r="D2685" t="inlineStr">
        <is>
          <t>VÄSTERNORRLANDS LÄN</t>
        </is>
      </c>
      <c r="E2685" t="inlineStr">
        <is>
          <t>SOLLEFTEÅ</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10618-2024</t>
        </is>
      </c>
      <c r="B2686" s="1" t="n">
        <v>45367</v>
      </c>
      <c r="C2686" s="1" t="n">
        <v>45669</v>
      </c>
      <c r="D2686" t="inlineStr">
        <is>
          <t>VÄSTERNORRLANDS LÄN</t>
        </is>
      </c>
      <c r="E2686" t="inlineStr">
        <is>
          <t>SOLLEFTEÅ</t>
        </is>
      </c>
      <c r="F2686" t="inlineStr">
        <is>
          <t>SCA</t>
        </is>
      </c>
      <c r="G2686" t="n">
        <v>21.1</v>
      </c>
      <c r="H2686" t="n">
        <v>0</v>
      </c>
      <c r="I2686" t="n">
        <v>0</v>
      </c>
      <c r="J2686" t="n">
        <v>0</v>
      </c>
      <c r="K2686" t="n">
        <v>0</v>
      </c>
      <c r="L2686" t="n">
        <v>0</v>
      </c>
      <c r="M2686" t="n">
        <v>0</v>
      </c>
      <c r="N2686" t="n">
        <v>0</v>
      </c>
      <c r="O2686" t="n">
        <v>0</v>
      </c>
      <c r="P2686" t="n">
        <v>0</v>
      </c>
      <c r="Q2686" t="n">
        <v>0</v>
      </c>
      <c r="R2686" s="2" t="inlineStr"/>
    </row>
    <row r="2687" ht="15" customHeight="1">
      <c r="A2687" t="inlineStr">
        <is>
          <t>A 10687-2024</t>
        </is>
      </c>
      <c r="B2687" s="1" t="n">
        <v>45369</v>
      </c>
      <c r="C2687" s="1" t="n">
        <v>45669</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10870-2024</t>
        </is>
      </c>
      <c r="B2688" s="1" t="n">
        <v>45370</v>
      </c>
      <c r="C2688" s="1" t="n">
        <v>45669</v>
      </c>
      <c r="D2688" t="inlineStr">
        <is>
          <t>VÄSTERNORRLANDS LÄN</t>
        </is>
      </c>
      <c r="E2688" t="inlineStr">
        <is>
          <t>SOLLEFTEÅ</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10853-2024</t>
        </is>
      </c>
      <c r="B2689" s="1" t="n">
        <v>45370</v>
      </c>
      <c r="C2689" s="1" t="n">
        <v>45669</v>
      </c>
      <c r="D2689" t="inlineStr">
        <is>
          <t>VÄSTERNORRLANDS LÄN</t>
        </is>
      </c>
      <c r="E2689" t="inlineStr">
        <is>
          <t>SOLLEFTEÅ</t>
        </is>
      </c>
      <c r="F2689" t="inlineStr">
        <is>
          <t>SCA</t>
        </is>
      </c>
      <c r="G2689" t="n">
        <v>37.7</v>
      </c>
      <c r="H2689" t="n">
        <v>0</v>
      </c>
      <c r="I2689" t="n">
        <v>0</v>
      </c>
      <c r="J2689" t="n">
        <v>0</v>
      </c>
      <c r="K2689" t="n">
        <v>0</v>
      </c>
      <c r="L2689" t="n">
        <v>0</v>
      </c>
      <c r="M2689" t="n">
        <v>0</v>
      </c>
      <c r="N2689" t="n">
        <v>0</v>
      </c>
      <c r="O2689" t="n">
        <v>0</v>
      </c>
      <c r="P2689" t="n">
        <v>0</v>
      </c>
      <c r="Q2689" t="n">
        <v>0</v>
      </c>
      <c r="R2689" s="2" t="inlineStr"/>
    </row>
    <row r="2690" ht="15" customHeight="1">
      <c r="A2690" t="inlineStr">
        <is>
          <t>A 10869-2024</t>
        </is>
      </c>
      <c r="B2690" s="1" t="n">
        <v>45370</v>
      </c>
      <c r="C2690" s="1" t="n">
        <v>45669</v>
      </c>
      <c r="D2690" t="inlineStr">
        <is>
          <t>VÄSTERNORRLANDS LÄN</t>
        </is>
      </c>
      <c r="E2690" t="inlineStr">
        <is>
          <t>SOLLEFTEÅ</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11009-2024</t>
        </is>
      </c>
      <c r="B2691" s="1" t="n">
        <v>45370</v>
      </c>
      <c r="C2691" s="1" t="n">
        <v>45669</v>
      </c>
      <c r="D2691" t="inlineStr">
        <is>
          <t>VÄSTERNORRLANDS LÄN</t>
        </is>
      </c>
      <c r="E2691" t="inlineStr">
        <is>
          <t>SOLLEFTEÅ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11090-2024</t>
        </is>
      </c>
      <c r="B2692" s="1" t="n">
        <v>45370</v>
      </c>
      <c r="C2692" s="1" t="n">
        <v>45669</v>
      </c>
      <c r="D2692" t="inlineStr">
        <is>
          <t>VÄSTERNORRLANDS LÄN</t>
        </is>
      </c>
      <c r="E2692" t="inlineStr">
        <is>
          <t>SOLLEFTEÅ</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11083-2024</t>
        </is>
      </c>
      <c r="B2693" s="1" t="n">
        <v>45370</v>
      </c>
      <c r="C2693" s="1" t="n">
        <v>45669</v>
      </c>
      <c r="D2693" t="inlineStr">
        <is>
          <t>VÄSTERNORRLANDS LÄN</t>
        </is>
      </c>
      <c r="E2693" t="inlineStr">
        <is>
          <t>SOLLEFTEÅ</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11087-2024</t>
        </is>
      </c>
      <c r="B2694" s="1" t="n">
        <v>45370</v>
      </c>
      <c r="C2694" s="1" t="n">
        <v>45669</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11043-2024</t>
        </is>
      </c>
      <c r="B2695" s="1" t="n">
        <v>45370</v>
      </c>
      <c r="C2695" s="1" t="n">
        <v>45669</v>
      </c>
      <c r="D2695" t="inlineStr">
        <is>
          <t>VÄSTERNORRLANDS LÄN</t>
        </is>
      </c>
      <c r="E2695" t="inlineStr">
        <is>
          <t>SOLLEFTEÅ</t>
        </is>
      </c>
      <c r="G2695" t="n">
        <v>36.5</v>
      </c>
      <c r="H2695" t="n">
        <v>0</v>
      </c>
      <c r="I2695" t="n">
        <v>0</v>
      </c>
      <c r="J2695" t="n">
        <v>0</v>
      </c>
      <c r="K2695" t="n">
        <v>0</v>
      </c>
      <c r="L2695" t="n">
        <v>0</v>
      </c>
      <c r="M2695" t="n">
        <v>0</v>
      </c>
      <c r="N2695" t="n">
        <v>0</v>
      </c>
      <c r="O2695" t="n">
        <v>0</v>
      </c>
      <c r="P2695" t="n">
        <v>0</v>
      </c>
      <c r="Q2695" t="n">
        <v>0</v>
      </c>
      <c r="R2695" s="2" t="inlineStr"/>
    </row>
    <row r="2696" ht="15" customHeight="1">
      <c r="A2696" t="inlineStr">
        <is>
          <t>A 11089-2024</t>
        </is>
      </c>
      <c r="B2696" s="1" t="n">
        <v>45370</v>
      </c>
      <c r="C2696" s="1" t="n">
        <v>45669</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45669</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11332-2024</t>
        </is>
      </c>
      <c r="B2698" s="1" t="n">
        <v>45372</v>
      </c>
      <c r="C2698" s="1" t="n">
        <v>45669</v>
      </c>
      <c r="D2698" t="inlineStr">
        <is>
          <t>VÄSTERNORRLANDS LÄN</t>
        </is>
      </c>
      <c r="E2698" t="inlineStr">
        <is>
          <t>SOLLEFTEÅ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11333-2024</t>
        </is>
      </c>
      <c r="B2699" s="1" t="n">
        <v>45372</v>
      </c>
      <c r="C2699" s="1" t="n">
        <v>45669</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11394-2024</t>
        </is>
      </c>
      <c r="B2700" s="1" t="n">
        <v>45372</v>
      </c>
      <c r="C2700" s="1" t="n">
        <v>45669</v>
      </c>
      <c r="D2700" t="inlineStr">
        <is>
          <t>VÄSTERNORRLANDS LÄN</t>
        </is>
      </c>
      <c r="E2700" t="inlineStr">
        <is>
          <t>SOLLEFTEÅ</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11539-2024</t>
        </is>
      </c>
      <c r="B2701" s="1" t="n">
        <v>45372</v>
      </c>
      <c r="C2701" s="1" t="n">
        <v>45669</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11542-2024</t>
        </is>
      </c>
      <c r="B2702" s="1" t="n">
        <v>45372</v>
      </c>
      <c r="C2702" s="1" t="n">
        <v>45669</v>
      </c>
      <c r="D2702" t="inlineStr">
        <is>
          <t>VÄSTERNORRLANDS LÄN</t>
        </is>
      </c>
      <c r="E2702" t="inlineStr">
        <is>
          <t>SOLLEFTEÅ</t>
        </is>
      </c>
      <c r="F2702" t="inlineStr">
        <is>
          <t>SCA</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11767-2024</t>
        </is>
      </c>
      <c r="B2703" s="1" t="n">
        <v>45373</v>
      </c>
      <c r="C2703" s="1" t="n">
        <v>45669</v>
      </c>
      <c r="D2703" t="inlineStr">
        <is>
          <t>VÄSTERNORRLANDS LÄN</t>
        </is>
      </c>
      <c r="E2703" t="inlineStr">
        <is>
          <t>SOLLEFTEÅ</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11749-2024</t>
        </is>
      </c>
      <c r="B2704" s="1" t="n">
        <v>45373</v>
      </c>
      <c r="C2704" s="1" t="n">
        <v>45669</v>
      </c>
      <c r="D2704" t="inlineStr">
        <is>
          <t>VÄSTERNORRLANDS LÄN</t>
        </is>
      </c>
      <c r="E2704" t="inlineStr">
        <is>
          <t>SOLLEFTEÅ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11976-2024</t>
        </is>
      </c>
      <c r="B2705" s="1" t="n">
        <v>45376</v>
      </c>
      <c r="C2705" s="1" t="n">
        <v>45669</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11988-2024</t>
        </is>
      </c>
      <c r="B2706" s="1" t="n">
        <v>45376</v>
      </c>
      <c r="C2706" s="1" t="n">
        <v>45669</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12184-2024</t>
        </is>
      </c>
      <c r="B2707" s="1" t="n">
        <v>45377</v>
      </c>
      <c r="C2707" s="1" t="n">
        <v>45669</v>
      </c>
      <c r="D2707" t="inlineStr">
        <is>
          <t>VÄSTERNORRLANDS LÄN</t>
        </is>
      </c>
      <c r="E2707" t="inlineStr">
        <is>
          <t>SOLLEFTEÅ</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12186-2024</t>
        </is>
      </c>
      <c r="B2708" s="1" t="n">
        <v>45377</v>
      </c>
      <c r="C2708" s="1" t="n">
        <v>45669</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12187-2024</t>
        </is>
      </c>
      <c r="B2709" s="1" t="n">
        <v>45377</v>
      </c>
      <c r="C2709" s="1" t="n">
        <v>45669</v>
      </c>
      <c r="D2709" t="inlineStr">
        <is>
          <t>VÄSTERNORRLANDS LÄN</t>
        </is>
      </c>
      <c r="E2709" t="inlineStr">
        <is>
          <t>SOLLEFTEÅ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12354-2024</t>
        </is>
      </c>
      <c r="B2710" s="1" t="n">
        <v>45378</v>
      </c>
      <c r="C2710" s="1" t="n">
        <v>45669</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12368-2024</t>
        </is>
      </c>
      <c r="B2711" s="1" t="n">
        <v>45378</v>
      </c>
      <c r="C2711" s="1" t="n">
        <v>45669</v>
      </c>
      <c r="D2711" t="inlineStr">
        <is>
          <t>VÄSTERNORRLANDS LÄN</t>
        </is>
      </c>
      <c r="E2711" t="inlineStr">
        <is>
          <t>SOLLEFTEÅ</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12351-2024</t>
        </is>
      </c>
      <c r="B2712" s="1" t="n">
        <v>45378</v>
      </c>
      <c r="C2712" s="1" t="n">
        <v>45669</v>
      </c>
      <c r="D2712" t="inlineStr">
        <is>
          <t>VÄSTERNORRLANDS LÄN</t>
        </is>
      </c>
      <c r="E2712" t="inlineStr">
        <is>
          <t>SOLLEFTEÅ</t>
        </is>
      </c>
      <c r="G2712" t="n">
        <v>23.9</v>
      </c>
      <c r="H2712" t="n">
        <v>0</v>
      </c>
      <c r="I2712" t="n">
        <v>0</v>
      </c>
      <c r="J2712" t="n">
        <v>0</v>
      </c>
      <c r="K2712" t="n">
        <v>0</v>
      </c>
      <c r="L2712" t="n">
        <v>0</v>
      </c>
      <c r="M2712" t="n">
        <v>0</v>
      </c>
      <c r="N2712" t="n">
        <v>0</v>
      </c>
      <c r="O2712" t="n">
        <v>0</v>
      </c>
      <c r="P2712" t="n">
        <v>0</v>
      </c>
      <c r="Q2712" t="n">
        <v>0</v>
      </c>
      <c r="R2712" s="2" t="inlineStr"/>
    </row>
    <row r="2713" ht="15" customHeight="1">
      <c r="A2713" t="inlineStr">
        <is>
          <t>A 12355-2024</t>
        </is>
      </c>
      <c r="B2713" s="1" t="n">
        <v>45378</v>
      </c>
      <c r="C2713" s="1" t="n">
        <v>45669</v>
      </c>
      <c r="D2713" t="inlineStr">
        <is>
          <t>VÄSTERNORRLANDS LÄN</t>
        </is>
      </c>
      <c r="E2713" t="inlineStr">
        <is>
          <t>SOLLEFTEÅ</t>
        </is>
      </c>
      <c r="F2713" t="inlineStr">
        <is>
          <t>SCA</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12363-2024</t>
        </is>
      </c>
      <c r="B2714" s="1" t="n">
        <v>45378</v>
      </c>
      <c r="C2714" s="1" t="n">
        <v>45669</v>
      </c>
      <c r="D2714" t="inlineStr">
        <is>
          <t>VÄSTERNORRLANDS LÄN</t>
        </is>
      </c>
      <c r="E2714" t="inlineStr">
        <is>
          <t>SOLLEFTEÅ</t>
        </is>
      </c>
      <c r="F2714" t="inlineStr">
        <is>
          <t>SCA</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12590-2024</t>
        </is>
      </c>
      <c r="B2715" s="1" t="n">
        <v>45379</v>
      </c>
      <c r="C2715" s="1" t="n">
        <v>45669</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12582-2024</t>
        </is>
      </c>
      <c r="B2716" s="1" t="n">
        <v>45379</v>
      </c>
      <c r="C2716" s="1" t="n">
        <v>45669</v>
      </c>
      <c r="D2716" t="inlineStr">
        <is>
          <t>VÄSTERNORRLANDS LÄN</t>
        </is>
      </c>
      <c r="E2716" t="inlineStr">
        <is>
          <t>SOLLEFTEÅ</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12865-2024</t>
        </is>
      </c>
      <c r="B2717" s="1" t="n">
        <v>45384</v>
      </c>
      <c r="C2717" s="1" t="n">
        <v>45669</v>
      </c>
      <c r="D2717" t="inlineStr">
        <is>
          <t>VÄSTERNORRLANDS LÄN</t>
        </is>
      </c>
      <c r="E2717" t="inlineStr">
        <is>
          <t>SOLLEFTEÅ</t>
        </is>
      </c>
      <c r="F2717" t="inlineStr">
        <is>
          <t>SCA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13138-2024</t>
        </is>
      </c>
      <c r="B2718" s="1" t="n">
        <v>45386</v>
      </c>
      <c r="C2718" s="1" t="n">
        <v>45669</v>
      </c>
      <c r="D2718" t="inlineStr">
        <is>
          <t>VÄSTERNORRLANDS LÄN</t>
        </is>
      </c>
      <c r="E2718" t="inlineStr">
        <is>
          <t>SOLLEFTEÅ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13154-2024</t>
        </is>
      </c>
      <c r="B2719" s="1" t="n">
        <v>45386</v>
      </c>
      <c r="C2719" s="1" t="n">
        <v>45669</v>
      </c>
      <c r="D2719" t="inlineStr">
        <is>
          <t>VÄSTERNORRLANDS LÄN</t>
        </is>
      </c>
      <c r="E2719" t="inlineStr">
        <is>
          <t>SOLLEFTEÅ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13546-2024</t>
        </is>
      </c>
      <c r="B2720" s="1" t="n">
        <v>45388</v>
      </c>
      <c r="C2720" s="1" t="n">
        <v>45669</v>
      </c>
      <c r="D2720" t="inlineStr">
        <is>
          <t>VÄSTERNORRLANDS LÄN</t>
        </is>
      </c>
      <c r="E2720" t="inlineStr">
        <is>
          <t>SOLLEFTEÅ</t>
        </is>
      </c>
      <c r="F2720" t="inlineStr">
        <is>
          <t>SCA</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13539-2024</t>
        </is>
      </c>
      <c r="B2721" s="1" t="n">
        <v>45388</v>
      </c>
      <c r="C2721" s="1" t="n">
        <v>45669</v>
      </c>
      <c r="D2721" t="inlineStr">
        <is>
          <t>VÄSTERNORRLANDS LÄN</t>
        </is>
      </c>
      <c r="E2721" t="inlineStr">
        <is>
          <t>SOLLEFTEÅ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13942-2024</t>
        </is>
      </c>
      <c r="B2722" s="1" t="n">
        <v>45392</v>
      </c>
      <c r="C2722" s="1" t="n">
        <v>45669</v>
      </c>
      <c r="D2722" t="inlineStr">
        <is>
          <t>VÄSTERNORRLANDS LÄN</t>
        </is>
      </c>
      <c r="E2722" t="inlineStr">
        <is>
          <t>SOLLEFTEÅ</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14109-2024</t>
        </is>
      </c>
      <c r="B2723" s="1" t="n">
        <v>45392</v>
      </c>
      <c r="C2723" s="1" t="n">
        <v>45669</v>
      </c>
      <c r="D2723" t="inlineStr">
        <is>
          <t>VÄSTERNORRLANDS LÄN</t>
        </is>
      </c>
      <c r="E2723" t="inlineStr">
        <is>
          <t>SOLLEFTEÅ</t>
        </is>
      </c>
      <c r="F2723" t="inlineStr">
        <is>
          <t>Övriga Aktiebolag</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14110-2024</t>
        </is>
      </c>
      <c r="B2724" s="1" t="n">
        <v>45392</v>
      </c>
      <c r="C2724" s="1" t="n">
        <v>45669</v>
      </c>
      <c r="D2724" t="inlineStr">
        <is>
          <t>VÄSTERNORRLANDS LÄN</t>
        </is>
      </c>
      <c r="E2724" t="inlineStr">
        <is>
          <t>SOLLEFTEÅ</t>
        </is>
      </c>
      <c r="F2724" t="inlineStr">
        <is>
          <t>Övriga Aktiebolag</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14087-2024</t>
        </is>
      </c>
      <c r="B2725" s="1" t="n">
        <v>45392</v>
      </c>
      <c r="C2725" s="1" t="n">
        <v>45669</v>
      </c>
      <c r="D2725" t="inlineStr">
        <is>
          <t>VÄSTERNORRLANDS LÄN</t>
        </is>
      </c>
      <c r="E2725" t="inlineStr">
        <is>
          <t>SOLLEFTEÅ</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14165-2024</t>
        </is>
      </c>
      <c r="B2726" s="1" t="n">
        <v>45393</v>
      </c>
      <c r="C2726" s="1" t="n">
        <v>45669</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14169-2024</t>
        </is>
      </c>
      <c r="B2727" s="1" t="n">
        <v>45393</v>
      </c>
      <c r="C2727" s="1" t="n">
        <v>45669</v>
      </c>
      <c r="D2727" t="inlineStr">
        <is>
          <t>VÄSTERNORRLANDS LÄN</t>
        </is>
      </c>
      <c r="E2727" t="inlineStr">
        <is>
          <t>SOLLEFTEÅ</t>
        </is>
      </c>
      <c r="F2727" t="inlineStr">
        <is>
          <t>SCA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14344-2024</t>
        </is>
      </c>
      <c r="B2728" s="1" t="n">
        <v>45393</v>
      </c>
      <c r="C2728" s="1" t="n">
        <v>45669</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14365-2024</t>
        </is>
      </c>
      <c r="B2729" s="1" t="n">
        <v>45394</v>
      </c>
      <c r="C2729" s="1" t="n">
        <v>45669</v>
      </c>
      <c r="D2729" t="inlineStr">
        <is>
          <t>VÄSTERNORRLANDS LÄN</t>
        </is>
      </c>
      <c r="E2729" t="inlineStr">
        <is>
          <t>SOLLEFTEÅ</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14554-2024</t>
        </is>
      </c>
      <c r="B2730" s="1" t="n">
        <v>45394</v>
      </c>
      <c r="C2730" s="1" t="n">
        <v>45669</v>
      </c>
      <c r="D2730" t="inlineStr">
        <is>
          <t>VÄSTERNORRLANDS LÄN</t>
        </is>
      </c>
      <c r="E2730" t="inlineStr">
        <is>
          <t>SOLLEFTEÅ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14581-2024</t>
        </is>
      </c>
      <c r="B2731" s="1" t="n">
        <v>45395</v>
      </c>
      <c r="C2731" s="1" t="n">
        <v>45669</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14571-2024</t>
        </is>
      </c>
      <c r="B2732" s="1" t="n">
        <v>45394</v>
      </c>
      <c r="C2732" s="1" t="n">
        <v>45669</v>
      </c>
      <c r="D2732" t="inlineStr">
        <is>
          <t>VÄSTERNORRLANDS LÄN</t>
        </is>
      </c>
      <c r="E2732" t="inlineStr">
        <is>
          <t>SOLLEFTEÅ</t>
        </is>
      </c>
      <c r="F2732" t="inlineStr">
        <is>
          <t>SCA</t>
        </is>
      </c>
      <c r="G2732" t="n">
        <v>20.8</v>
      </c>
      <c r="H2732" t="n">
        <v>0</v>
      </c>
      <c r="I2732" t="n">
        <v>0</v>
      </c>
      <c r="J2732" t="n">
        <v>0</v>
      </c>
      <c r="K2732" t="n">
        <v>0</v>
      </c>
      <c r="L2732" t="n">
        <v>0</v>
      </c>
      <c r="M2732" t="n">
        <v>0</v>
      </c>
      <c r="N2732" t="n">
        <v>0</v>
      </c>
      <c r="O2732" t="n">
        <v>0</v>
      </c>
      <c r="P2732" t="n">
        <v>0</v>
      </c>
      <c r="Q2732" t="n">
        <v>0</v>
      </c>
      <c r="R2732" s="2" t="inlineStr"/>
    </row>
    <row r="2733" ht="15" customHeight="1">
      <c r="A2733" t="inlineStr">
        <is>
          <t>A 14577-2024</t>
        </is>
      </c>
      <c r="B2733" s="1" t="n">
        <v>45395</v>
      </c>
      <c r="C2733" s="1" t="n">
        <v>45669</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14819-2024</t>
        </is>
      </c>
      <c r="B2734" s="1" t="n">
        <v>45397</v>
      </c>
      <c r="C2734" s="1" t="n">
        <v>45669</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14970-2024</t>
        </is>
      </c>
      <c r="B2735" s="1" t="n">
        <v>45398</v>
      </c>
      <c r="C2735" s="1" t="n">
        <v>45669</v>
      </c>
      <c r="D2735" t="inlineStr">
        <is>
          <t>VÄSTERNORRLANDS LÄN</t>
        </is>
      </c>
      <c r="E2735" t="inlineStr">
        <is>
          <t>SOLLEFTEÅ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14982-2024</t>
        </is>
      </c>
      <c r="B2736" s="1" t="n">
        <v>45399</v>
      </c>
      <c r="C2736" s="1" t="n">
        <v>45669</v>
      </c>
      <c r="D2736" t="inlineStr">
        <is>
          <t>VÄSTERNORRLANDS LÄN</t>
        </is>
      </c>
      <c r="E2736" t="inlineStr">
        <is>
          <t>SOLLEFTEÅ</t>
        </is>
      </c>
      <c r="F2736" t="inlineStr">
        <is>
          <t>SCA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14971-2024</t>
        </is>
      </c>
      <c r="B2737" s="1" t="n">
        <v>45399</v>
      </c>
      <c r="C2737" s="1" t="n">
        <v>45669</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14975-2024</t>
        </is>
      </c>
      <c r="B2738" s="1" t="n">
        <v>45399</v>
      </c>
      <c r="C2738" s="1" t="n">
        <v>45669</v>
      </c>
      <c r="D2738" t="inlineStr">
        <is>
          <t>VÄSTERNORRLANDS LÄN</t>
        </is>
      </c>
      <c r="E2738" t="inlineStr">
        <is>
          <t>SOLLEFTEÅ</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14983-2024</t>
        </is>
      </c>
      <c r="B2739" s="1" t="n">
        <v>45399</v>
      </c>
      <c r="C2739" s="1" t="n">
        <v>45669</v>
      </c>
      <c r="D2739" t="inlineStr">
        <is>
          <t>VÄSTERNORRLANDS LÄN</t>
        </is>
      </c>
      <c r="E2739" t="inlineStr">
        <is>
          <t>SOLLEFTEÅ</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15154-2024</t>
        </is>
      </c>
      <c r="B2740" s="1" t="n">
        <v>45400</v>
      </c>
      <c r="C2740" s="1" t="n">
        <v>45669</v>
      </c>
      <c r="D2740" t="inlineStr">
        <is>
          <t>VÄSTERNORRLANDS LÄN</t>
        </is>
      </c>
      <c r="E2740" t="inlineStr">
        <is>
          <t>SOLLEFTEÅ</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15147-2024</t>
        </is>
      </c>
      <c r="B2741" s="1" t="n">
        <v>45400</v>
      </c>
      <c r="C2741" s="1" t="n">
        <v>45669</v>
      </c>
      <c r="D2741" t="inlineStr">
        <is>
          <t>VÄSTERNORRLANDS LÄN</t>
        </is>
      </c>
      <c r="E2741" t="inlineStr">
        <is>
          <t>SOLLEFTEÅ</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15380-2024</t>
        </is>
      </c>
      <c r="B2742" s="1" t="n">
        <v>45401</v>
      </c>
      <c r="C2742" s="1" t="n">
        <v>45669</v>
      </c>
      <c r="D2742" t="inlineStr">
        <is>
          <t>VÄSTERNORRLANDS LÄN</t>
        </is>
      </c>
      <c r="E2742" t="inlineStr">
        <is>
          <t>SOLLEFTEÅ</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15377-2024</t>
        </is>
      </c>
      <c r="B2743" s="1" t="n">
        <v>45400</v>
      </c>
      <c r="C2743" s="1" t="n">
        <v>45669</v>
      </c>
      <c r="D2743" t="inlineStr">
        <is>
          <t>VÄSTERNORRLANDS LÄN</t>
        </is>
      </c>
      <c r="E2743" t="inlineStr">
        <is>
          <t>SOLLEFTEÅ</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15616-2024</t>
        </is>
      </c>
      <c r="B2744" s="1" t="n">
        <v>45402</v>
      </c>
      <c r="C2744" s="1" t="n">
        <v>45669</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15614-2024</t>
        </is>
      </c>
      <c r="B2745" s="1" t="n">
        <v>45402</v>
      </c>
      <c r="C2745" s="1" t="n">
        <v>45669</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15613-2024</t>
        </is>
      </c>
      <c r="B2746" s="1" t="n">
        <v>45402</v>
      </c>
      <c r="C2746" s="1" t="n">
        <v>45669</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15859-2024</t>
        </is>
      </c>
      <c r="B2747" s="1" t="n">
        <v>45405</v>
      </c>
      <c r="C2747" s="1" t="n">
        <v>45669</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15863-2024</t>
        </is>
      </c>
      <c r="B2748" s="1" t="n">
        <v>45405</v>
      </c>
      <c r="C2748" s="1" t="n">
        <v>45669</v>
      </c>
      <c r="D2748" t="inlineStr">
        <is>
          <t>VÄSTERNORRLANDS LÄN</t>
        </is>
      </c>
      <c r="E2748" t="inlineStr">
        <is>
          <t>SOLLEFTEÅ</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15872-2024</t>
        </is>
      </c>
      <c r="B2749" s="1" t="n">
        <v>45405</v>
      </c>
      <c r="C2749" s="1" t="n">
        <v>45669</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15875-2024</t>
        </is>
      </c>
      <c r="B2750" s="1" t="n">
        <v>45405</v>
      </c>
      <c r="C2750" s="1" t="n">
        <v>45669</v>
      </c>
      <c r="D2750" t="inlineStr">
        <is>
          <t>VÄSTERNORRLANDS LÄN</t>
        </is>
      </c>
      <c r="E2750" t="inlineStr">
        <is>
          <t>SOLLEFTEÅ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15983-2024</t>
        </is>
      </c>
      <c r="B2751" s="1" t="n">
        <v>45405</v>
      </c>
      <c r="C2751" s="1" t="n">
        <v>45669</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16052-2024</t>
        </is>
      </c>
      <c r="B2752" s="1" t="n">
        <v>45406</v>
      </c>
      <c r="C2752" s="1" t="n">
        <v>45669</v>
      </c>
      <c r="D2752" t="inlineStr">
        <is>
          <t>VÄSTERNORRLANDS LÄN</t>
        </is>
      </c>
      <c r="E2752" t="inlineStr">
        <is>
          <t>SOLLEFTEÅ</t>
        </is>
      </c>
      <c r="F2752" t="inlineStr">
        <is>
          <t>SCA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16051-2024</t>
        </is>
      </c>
      <c r="B2753" s="1" t="n">
        <v>45406</v>
      </c>
      <c r="C2753" s="1" t="n">
        <v>45669</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16165-2024</t>
        </is>
      </c>
      <c r="B2754" s="1" t="n">
        <v>45406</v>
      </c>
      <c r="C2754" s="1" t="n">
        <v>45669</v>
      </c>
      <c r="D2754" t="inlineStr">
        <is>
          <t>VÄSTERNORRLANDS LÄN</t>
        </is>
      </c>
      <c r="E2754" t="inlineStr">
        <is>
          <t>SOLLEFTEÅ</t>
        </is>
      </c>
      <c r="G2754" t="n">
        <v>15.2</v>
      </c>
      <c r="H2754" t="n">
        <v>0</v>
      </c>
      <c r="I2754" t="n">
        <v>0</v>
      </c>
      <c r="J2754" t="n">
        <v>0</v>
      </c>
      <c r="K2754" t="n">
        <v>0</v>
      </c>
      <c r="L2754" t="n">
        <v>0</v>
      </c>
      <c r="M2754" t="n">
        <v>0</v>
      </c>
      <c r="N2754" t="n">
        <v>0</v>
      </c>
      <c r="O2754" t="n">
        <v>0</v>
      </c>
      <c r="P2754" t="n">
        <v>0</v>
      </c>
      <c r="Q2754" t="n">
        <v>0</v>
      </c>
      <c r="R2754" s="2" t="inlineStr"/>
    </row>
    <row r="2755" ht="15" customHeight="1">
      <c r="A2755" t="inlineStr">
        <is>
          <t>A 16061-2024</t>
        </is>
      </c>
      <c r="B2755" s="1" t="n">
        <v>45406</v>
      </c>
      <c r="C2755" s="1" t="n">
        <v>45669</v>
      </c>
      <c r="D2755" t="inlineStr">
        <is>
          <t>VÄSTERNORRLANDS LÄN</t>
        </is>
      </c>
      <c r="E2755" t="inlineStr">
        <is>
          <t>SOLLEFTEÅ</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16086-2024</t>
        </is>
      </c>
      <c r="B2756" s="1" t="n">
        <v>45406</v>
      </c>
      <c r="C2756" s="1" t="n">
        <v>45669</v>
      </c>
      <c r="D2756" t="inlineStr">
        <is>
          <t>VÄSTERNORRLANDS LÄN</t>
        </is>
      </c>
      <c r="E2756" t="inlineStr">
        <is>
          <t>SOLLEFTEÅ</t>
        </is>
      </c>
      <c r="G2756" t="n">
        <v>15.9</v>
      </c>
      <c r="H2756" t="n">
        <v>0</v>
      </c>
      <c r="I2756" t="n">
        <v>0</v>
      </c>
      <c r="J2756" t="n">
        <v>0</v>
      </c>
      <c r="K2756" t="n">
        <v>0</v>
      </c>
      <c r="L2756" t="n">
        <v>0</v>
      </c>
      <c r="M2756" t="n">
        <v>0</v>
      </c>
      <c r="N2756" t="n">
        <v>0</v>
      </c>
      <c r="O2756" t="n">
        <v>0</v>
      </c>
      <c r="P2756" t="n">
        <v>0</v>
      </c>
      <c r="Q2756" t="n">
        <v>0</v>
      </c>
      <c r="R2756" s="2" t="inlineStr"/>
    </row>
    <row r="2757" ht="15" customHeight="1">
      <c r="A2757" t="inlineStr">
        <is>
          <t>A 16238-2024</t>
        </is>
      </c>
      <c r="B2757" s="1" t="n">
        <v>45407</v>
      </c>
      <c r="C2757" s="1" t="n">
        <v>45669</v>
      </c>
      <c r="D2757" t="inlineStr">
        <is>
          <t>VÄSTERNORRLANDS LÄN</t>
        </is>
      </c>
      <c r="E2757" t="inlineStr">
        <is>
          <t>SOLLEFTEÅ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16239-2024</t>
        </is>
      </c>
      <c r="B2758" s="1" t="n">
        <v>45407</v>
      </c>
      <c r="C2758" s="1" t="n">
        <v>45669</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16237-2024</t>
        </is>
      </c>
      <c r="B2759" s="1" t="n">
        <v>45407</v>
      </c>
      <c r="C2759" s="1" t="n">
        <v>45669</v>
      </c>
      <c r="D2759" t="inlineStr">
        <is>
          <t>VÄSTERNORRLANDS LÄN</t>
        </is>
      </c>
      <c r="E2759" t="inlineStr">
        <is>
          <t>SOLLEFTEÅ</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16241-2024</t>
        </is>
      </c>
      <c r="B2760" s="1" t="n">
        <v>45407</v>
      </c>
      <c r="C2760" s="1" t="n">
        <v>45669</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16253-2024</t>
        </is>
      </c>
      <c r="B2761" s="1" t="n">
        <v>45407</v>
      </c>
      <c r="C2761" s="1" t="n">
        <v>45669</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16468-2024</t>
        </is>
      </c>
      <c r="B2762" s="1" t="n">
        <v>45408</v>
      </c>
      <c r="C2762" s="1" t="n">
        <v>45669</v>
      </c>
      <c r="D2762" t="inlineStr">
        <is>
          <t>VÄSTERNORRLANDS LÄN</t>
        </is>
      </c>
      <c r="E2762" t="inlineStr">
        <is>
          <t>SOLLEFTEÅ</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16463-2024</t>
        </is>
      </c>
      <c r="B2763" s="1" t="n">
        <v>45408</v>
      </c>
      <c r="C2763" s="1" t="n">
        <v>45669</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16467-2024</t>
        </is>
      </c>
      <c r="B2764" s="1" t="n">
        <v>45408</v>
      </c>
      <c r="C2764" s="1" t="n">
        <v>45669</v>
      </c>
      <c r="D2764" t="inlineStr">
        <is>
          <t>VÄSTERNORRLANDS LÄN</t>
        </is>
      </c>
      <c r="E2764" t="inlineStr">
        <is>
          <t>SOLLEFTEÅ</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16470-2024</t>
        </is>
      </c>
      <c r="B2765" s="1" t="n">
        <v>45408</v>
      </c>
      <c r="C2765" s="1" t="n">
        <v>45669</v>
      </c>
      <c r="D2765" t="inlineStr">
        <is>
          <t>VÄSTERNORRLANDS LÄN</t>
        </is>
      </c>
      <c r="E2765" t="inlineStr">
        <is>
          <t>SOLLEFTEÅ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16691-2024</t>
        </is>
      </c>
      <c r="B2766" s="1" t="n">
        <v>45408</v>
      </c>
      <c r="C2766" s="1" t="n">
        <v>45669</v>
      </c>
      <c r="D2766" t="inlineStr">
        <is>
          <t>VÄSTERNORRLANDS LÄN</t>
        </is>
      </c>
      <c r="E2766" t="inlineStr">
        <is>
          <t>SOLLEFTEÅ</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16693-2024</t>
        </is>
      </c>
      <c r="B2767" s="1" t="n">
        <v>45408</v>
      </c>
      <c r="C2767" s="1" t="n">
        <v>45669</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16710-2024</t>
        </is>
      </c>
      <c r="B2768" s="1" t="n">
        <v>45409</v>
      </c>
      <c r="C2768" s="1" t="n">
        <v>45669</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16703-2024</t>
        </is>
      </c>
      <c r="B2769" s="1" t="n">
        <v>45409</v>
      </c>
      <c r="C2769" s="1" t="n">
        <v>45669</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16701-2024</t>
        </is>
      </c>
      <c r="B2770" s="1" t="n">
        <v>45409</v>
      </c>
      <c r="C2770" s="1" t="n">
        <v>45669</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16709-2024</t>
        </is>
      </c>
      <c r="B2771" s="1" t="n">
        <v>45409</v>
      </c>
      <c r="C2771" s="1" t="n">
        <v>45669</v>
      </c>
      <c r="D2771" t="inlineStr">
        <is>
          <t>VÄSTERNORRLANDS LÄN</t>
        </is>
      </c>
      <c r="E2771" t="inlineStr">
        <is>
          <t>SOLLEFTEÅ</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16717-2024</t>
        </is>
      </c>
      <c r="B2772" s="1" t="n">
        <v>45409</v>
      </c>
      <c r="C2772" s="1" t="n">
        <v>45669</v>
      </c>
      <c r="D2772" t="inlineStr">
        <is>
          <t>VÄSTERNORRLANDS LÄN</t>
        </is>
      </c>
      <c r="E2772" t="inlineStr">
        <is>
          <t>SOLLEFTEÅ</t>
        </is>
      </c>
      <c r="F2772" t="inlineStr">
        <is>
          <t>SCA</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45410</v>
      </c>
      <c r="C2773" s="1" t="n">
        <v>45669</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17172-2024</t>
        </is>
      </c>
      <c r="B2774" s="1" t="n">
        <v>45413</v>
      </c>
      <c r="C2774" s="1" t="n">
        <v>45669</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17120-2024</t>
        </is>
      </c>
      <c r="B2775" s="1" t="n">
        <v>45412</v>
      </c>
      <c r="C2775" s="1" t="n">
        <v>45669</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17173-2024</t>
        </is>
      </c>
      <c r="B2776" s="1" t="n">
        <v>45413</v>
      </c>
      <c r="C2776" s="1" t="n">
        <v>45669</v>
      </c>
      <c r="D2776" t="inlineStr">
        <is>
          <t>VÄSTERNORRLANDS LÄN</t>
        </is>
      </c>
      <c r="E2776" t="inlineStr">
        <is>
          <t>SOLLEFTEÅ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17111-2024</t>
        </is>
      </c>
      <c r="B2777" s="1" t="n">
        <v>45412</v>
      </c>
      <c r="C2777" s="1" t="n">
        <v>45669</v>
      </c>
      <c r="D2777" t="inlineStr">
        <is>
          <t>VÄSTERNORRLANDS LÄN</t>
        </is>
      </c>
      <c r="E2777" t="inlineStr">
        <is>
          <t>SOLLEFTEÅ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17170-2024</t>
        </is>
      </c>
      <c r="B2778" s="1" t="n">
        <v>45413</v>
      </c>
      <c r="C2778" s="1" t="n">
        <v>45669</v>
      </c>
      <c r="D2778" t="inlineStr">
        <is>
          <t>VÄSTERNORRLANDS LÄN</t>
        </is>
      </c>
      <c r="E2778" t="inlineStr">
        <is>
          <t>SOLLEFTEÅ</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17209-2024</t>
        </is>
      </c>
      <c r="B2779" s="1" t="n">
        <v>45414</v>
      </c>
      <c r="C2779" s="1" t="n">
        <v>45669</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17263-2024</t>
        </is>
      </c>
      <c r="B2780" s="1" t="n">
        <v>45414</v>
      </c>
      <c r="C2780" s="1" t="n">
        <v>45669</v>
      </c>
      <c r="D2780" t="inlineStr">
        <is>
          <t>VÄSTERNORRLANDS LÄN</t>
        </is>
      </c>
      <c r="E2780" t="inlineStr">
        <is>
          <t>SOLLEFTEÅ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17585-2024</t>
        </is>
      </c>
      <c r="B2781" s="1" t="n">
        <v>45416</v>
      </c>
      <c r="C2781" s="1" t="n">
        <v>45669</v>
      </c>
      <c r="D2781" t="inlineStr">
        <is>
          <t>VÄSTERNORRLANDS LÄN</t>
        </is>
      </c>
      <c r="E2781" t="inlineStr">
        <is>
          <t>SOLLEFTEÅ</t>
        </is>
      </c>
      <c r="G2781" t="n">
        <v>18.8</v>
      </c>
      <c r="H2781" t="n">
        <v>0</v>
      </c>
      <c r="I2781" t="n">
        <v>0</v>
      </c>
      <c r="J2781" t="n">
        <v>0</v>
      </c>
      <c r="K2781" t="n">
        <v>0</v>
      </c>
      <c r="L2781" t="n">
        <v>0</v>
      </c>
      <c r="M2781" t="n">
        <v>0</v>
      </c>
      <c r="N2781" t="n">
        <v>0</v>
      </c>
      <c r="O2781" t="n">
        <v>0</v>
      </c>
      <c r="P2781" t="n">
        <v>0</v>
      </c>
      <c r="Q2781" t="n">
        <v>0</v>
      </c>
      <c r="R2781" s="2" t="inlineStr"/>
    </row>
    <row r="2782" ht="15" customHeight="1">
      <c r="A2782" t="inlineStr">
        <is>
          <t>A 17512-2024</t>
        </is>
      </c>
      <c r="B2782" s="1" t="n">
        <v>45415</v>
      </c>
      <c r="C2782" s="1" t="n">
        <v>45669</v>
      </c>
      <c r="D2782" t="inlineStr">
        <is>
          <t>VÄSTERNORRLANDS LÄN</t>
        </is>
      </c>
      <c r="E2782" t="inlineStr">
        <is>
          <t>SOLLEFTEÅ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17822-2024</t>
        </is>
      </c>
      <c r="B2783" s="1" t="n">
        <v>45419</v>
      </c>
      <c r="C2783" s="1" t="n">
        <v>45669</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17826-2024</t>
        </is>
      </c>
      <c r="B2784" s="1" t="n">
        <v>45419</v>
      </c>
      <c r="C2784" s="1" t="n">
        <v>45669</v>
      </c>
      <c r="D2784" t="inlineStr">
        <is>
          <t>VÄSTERNORRLANDS LÄN</t>
        </is>
      </c>
      <c r="E2784" t="inlineStr">
        <is>
          <t>SOLLEFTEÅ</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18003-2024</t>
        </is>
      </c>
      <c r="B2785" s="1" t="n">
        <v>45420</v>
      </c>
      <c r="C2785" s="1" t="n">
        <v>45669</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18226-2024</t>
        </is>
      </c>
      <c r="B2786" s="1" t="n">
        <v>45420</v>
      </c>
      <c r="C2786" s="1" t="n">
        <v>45669</v>
      </c>
      <c r="D2786" t="inlineStr">
        <is>
          <t>VÄSTERNORRLANDS LÄN</t>
        </is>
      </c>
      <c r="E2786" t="inlineStr">
        <is>
          <t>SOLLEFTEÅ</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18220-2024</t>
        </is>
      </c>
      <c r="B2787" s="1" t="n">
        <v>45420</v>
      </c>
      <c r="C2787" s="1" t="n">
        <v>45669</v>
      </c>
      <c r="D2787" t="inlineStr">
        <is>
          <t>VÄSTERNORRLANDS LÄN</t>
        </is>
      </c>
      <c r="E2787" t="inlineStr">
        <is>
          <t>SOLLEFTEÅ</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18224-2024</t>
        </is>
      </c>
      <c r="B2788" s="1" t="n">
        <v>45421</v>
      </c>
      <c r="C2788" s="1" t="n">
        <v>45669</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18362-2024</t>
        </is>
      </c>
      <c r="B2789" s="1" t="n">
        <v>45422</v>
      </c>
      <c r="C2789" s="1" t="n">
        <v>45669</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18366-2024</t>
        </is>
      </c>
      <c r="B2790" s="1" t="n">
        <v>45422</v>
      </c>
      <c r="C2790" s="1" t="n">
        <v>45669</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18363-2024</t>
        </is>
      </c>
      <c r="B2791" s="1" t="n">
        <v>45422</v>
      </c>
      <c r="C2791" s="1" t="n">
        <v>45669</v>
      </c>
      <c r="D2791" t="inlineStr">
        <is>
          <t>VÄSTERNORRLANDS LÄN</t>
        </is>
      </c>
      <c r="E2791" t="inlineStr">
        <is>
          <t>SOLLEFTEÅ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18299-2024</t>
        </is>
      </c>
      <c r="B2792" s="1" t="n">
        <v>45422</v>
      </c>
      <c r="C2792" s="1" t="n">
        <v>45669</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18365-2024</t>
        </is>
      </c>
      <c r="B2793" s="1" t="n">
        <v>45422</v>
      </c>
      <c r="C2793" s="1" t="n">
        <v>45669</v>
      </c>
      <c r="D2793" t="inlineStr">
        <is>
          <t>VÄSTERNORRLANDS LÄN</t>
        </is>
      </c>
      <c r="E2793" t="inlineStr">
        <is>
          <t>SOLLEFTEÅ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18364-2024</t>
        </is>
      </c>
      <c r="B2794" s="1" t="n">
        <v>45422</v>
      </c>
      <c r="C2794" s="1" t="n">
        <v>45669</v>
      </c>
      <c r="D2794" t="inlineStr">
        <is>
          <t>VÄSTERNORRLANDS LÄN</t>
        </is>
      </c>
      <c r="E2794" t="inlineStr">
        <is>
          <t>SOLLEFTEÅ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18623-2024</t>
        </is>
      </c>
      <c r="B2795" s="1" t="n">
        <v>45426</v>
      </c>
      <c r="C2795" s="1" t="n">
        <v>45669</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18436-2024</t>
        </is>
      </c>
      <c r="B2796" s="1" t="n">
        <v>45425</v>
      </c>
      <c r="C2796" s="1" t="n">
        <v>45669</v>
      </c>
      <c r="D2796" t="inlineStr">
        <is>
          <t>VÄSTERNORRLANDS LÄN</t>
        </is>
      </c>
      <c r="E2796" t="inlineStr">
        <is>
          <t>SOLLEFTEÅ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18587-2024</t>
        </is>
      </c>
      <c r="B2797" s="1" t="n">
        <v>45425</v>
      </c>
      <c r="C2797" s="1" t="n">
        <v>45669</v>
      </c>
      <c r="D2797" t="inlineStr">
        <is>
          <t>VÄSTERNORRLANDS LÄN</t>
        </is>
      </c>
      <c r="E2797" t="inlineStr">
        <is>
          <t>SOLLEFTEÅ</t>
        </is>
      </c>
      <c r="G2797" t="n">
        <v>15.7</v>
      </c>
      <c r="H2797" t="n">
        <v>0</v>
      </c>
      <c r="I2797" t="n">
        <v>0</v>
      </c>
      <c r="J2797" t="n">
        <v>0</v>
      </c>
      <c r="K2797" t="n">
        <v>0</v>
      </c>
      <c r="L2797" t="n">
        <v>0</v>
      </c>
      <c r="M2797" t="n">
        <v>0</v>
      </c>
      <c r="N2797" t="n">
        <v>0</v>
      </c>
      <c r="O2797" t="n">
        <v>0</v>
      </c>
      <c r="P2797" t="n">
        <v>0</v>
      </c>
      <c r="Q2797" t="n">
        <v>0</v>
      </c>
      <c r="R2797" s="2" t="inlineStr"/>
    </row>
    <row r="2798" ht="15" customHeight="1">
      <c r="A2798" t="inlineStr">
        <is>
          <t>A 18620-2024</t>
        </is>
      </c>
      <c r="B2798" s="1" t="n">
        <v>45425</v>
      </c>
      <c r="C2798" s="1" t="n">
        <v>45669</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18648-2024</t>
        </is>
      </c>
      <c r="B2799" s="1" t="n">
        <v>45426</v>
      </c>
      <c r="C2799" s="1" t="n">
        <v>45669</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18621-2024</t>
        </is>
      </c>
      <c r="B2800" s="1" t="n">
        <v>45425</v>
      </c>
      <c r="C2800" s="1" t="n">
        <v>45669</v>
      </c>
      <c r="D2800" t="inlineStr">
        <is>
          <t>VÄSTERNORRLANDS LÄN</t>
        </is>
      </c>
      <c r="E2800" t="inlineStr">
        <is>
          <t>SOLLEFTEÅ</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18649-2024</t>
        </is>
      </c>
      <c r="B2801" s="1" t="n">
        <v>45426</v>
      </c>
      <c r="C2801" s="1" t="n">
        <v>45669</v>
      </c>
      <c r="D2801" t="inlineStr">
        <is>
          <t>VÄSTERNORRLANDS LÄN</t>
        </is>
      </c>
      <c r="E2801" t="inlineStr">
        <is>
          <t>SOLLEFTEÅ</t>
        </is>
      </c>
      <c r="F2801" t="inlineStr">
        <is>
          <t>SCA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18622-2024</t>
        </is>
      </c>
      <c r="B2802" s="1" t="n">
        <v>45426</v>
      </c>
      <c r="C2802" s="1" t="n">
        <v>45669</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18672-2024</t>
        </is>
      </c>
      <c r="B2803" s="1" t="n">
        <v>45425</v>
      </c>
      <c r="C2803" s="1" t="n">
        <v>45669</v>
      </c>
      <c r="D2803" t="inlineStr">
        <is>
          <t>VÄSTERNORRLANDS LÄN</t>
        </is>
      </c>
      <c r="E2803" t="inlineStr">
        <is>
          <t>SOLLEFTEÅ</t>
        </is>
      </c>
      <c r="G2803" t="n">
        <v>22.8</v>
      </c>
      <c r="H2803" t="n">
        <v>0</v>
      </c>
      <c r="I2803" t="n">
        <v>0</v>
      </c>
      <c r="J2803" t="n">
        <v>0</v>
      </c>
      <c r="K2803" t="n">
        <v>0</v>
      </c>
      <c r="L2803" t="n">
        <v>0</v>
      </c>
      <c r="M2803" t="n">
        <v>0</v>
      </c>
      <c r="N2803" t="n">
        <v>0</v>
      </c>
      <c r="O2803" t="n">
        <v>0</v>
      </c>
      <c r="P2803" t="n">
        <v>0</v>
      </c>
      <c r="Q2803" t="n">
        <v>0</v>
      </c>
      <c r="R2803" s="2" t="inlineStr"/>
    </row>
    <row r="2804" ht="15" customHeight="1">
      <c r="A2804" t="inlineStr">
        <is>
          <t>A 19067-2024</t>
        </is>
      </c>
      <c r="B2804" s="1" t="n">
        <v>45427</v>
      </c>
      <c r="C2804" s="1" t="n">
        <v>45669</v>
      </c>
      <c r="D2804" t="inlineStr">
        <is>
          <t>VÄSTERNORRLANDS LÄN</t>
        </is>
      </c>
      <c r="E2804" t="inlineStr">
        <is>
          <t>SOLLEFTEÅ</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19064-2024</t>
        </is>
      </c>
      <c r="B2805" s="1" t="n">
        <v>45427</v>
      </c>
      <c r="C2805" s="1" t="n">
        <v>45669</v>
      </c>
      <c r="D2805" t="inlineStr">
        <is>
          <t>VÄSTERNORRLANDS LÄN</t>
        </is>
      </c>
      <c r="E2805" t="inlineStr">
        <is>
          <t>SOLLEFTEÅ</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19065-2024</t>
        </is>
      </c>
      <c r="B2806" s="1" t="n">
        <v>45427</v>
      </c>
      <c r="C2806" s="1" t="n">
        <v>45669</v>
      </c>
      <c r="D2806" t="inlineStr">
        <is>
          <t>VÄSTERNORRLANDS LÄN</t>
        </is>
      </c>
      <c r="E2806" t="inlineStr">
        <is>
          <t>SOLLEFTEÅ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19082-2024</t>
        </is>
      </c>
      <c r="B2807" s="1" t="n">
        <v>45428</v>
      </c>
      <c r="C2807" s="1" t="n">
        <v>45669</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19207-2024</t>
        </is>
      </c>
      <c r="B2808" s="1" t="n">
        <v>45428</v>
      </c>
      <c r="C2808" s="1" t="n">
        <v>45669</v>
      </c>
      <c r="D2808" t="inlineStr">
        <is>
          <t>VÄSTERNORRLANDS LÄN</t>
        </is>
      </c>
      <c r="E2808" t="inlineStr">
        <is>
          <t>SOLLEFTEÅ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19347-2024</t>
        </is>
      </c>
      <c r="B2809" s="1" t="n">
        <v>45429</v>
      </c>
      <c r="C2809" s="1" t="n">
        <v>45669</v>
      </c>
      <c r="D2809" t="inlineStr">
        <is>
          <t>VÄSTERNORRLANDS LÄN</t>
        </is>
      </c>
      <c r="E2809" t="inlineStr">
        <is>
          <t>SOLLEFTEÅ</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19326-2024</t>
        </is>
      </c>
      <c r="B2810" s="1" t="n">
        <v>45428</v>
      </c>
      <c r="C2810" s="1" t="n">
        <v>45669</v>
      </c>
      <c r="D2810" t="inlineStr">
        <is>
          <t>VÄSTERNORRLANDS LÄN</t>
        </is>
      </c>
      <c r="E2810" t="inlineStr">
        <is>
          <t>SOLLEFTEÅ</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19429-2024</t>
        </is>
      </c>
      <c r="B2811" s="1" t="n">
        <v>45429</v>
      </c>
      <c r="C2811" s="1" t="n">
        <v>45669</v>
      </c>
      <c r="D2811" t="inlineStr">
        <is>
          <t>VÄSTERNORRLANDS LÄN</t>
        </is>
      </c>
      <c r="E2811" t="inlineStr">
        <is>
          <t>SOLLEFTEÅ</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19577-2024</t>
        </is>
      </c>
      <c r="B2812" s="1" t="n">
        <v>45429</v>
      </c>
      <c r="C2812" s="1" t="n">
        <v>45669</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19556-2024</t>
        </is>
      </c>
      <c r="B2813" s="1" t="n">
        <v>45429</v>
      </c>
      <c r="C2813" s="1" t="n">
        <v>45669</v>
      </c>
      <c r="D2813" t="inlineStr">
        <is>
          <t>VÄSTERNORRLANDS LÄN</t>
        </is>
      </c>
      <c r="E2813" t="inlineStr">
        <is>
          <t>SOLLEFTEÅ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19580-2024</t>
        </is>
      </c>
      <c r="B2814" s="1" t="n">
        <v>45429</v>
      </c>
      <c r="C2814" s="1" t="n">
        <v>45669</v>
      </c>
      <c r="D2814" t="inlineStr">
        <is>
          <t>VÄSTERNORRLANDS LÄN</t>
        </is>
      </c>
      <c r="E2814" t="inlineStr">
        <is>
          <t>SOLLEFTEÅ</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19571-2024</t>
        </is>
      </c>
      <c r="B2815" s="1" t="n">
        <v>45429</v>
      </c>
      <c r="C2815" s="1" t="n">
        <v>45669</v>
      </c>
      <c r="D2815" t="inlineStr">
        <is>
          <t>VÄSTERNORRLANDS LÄN</t>
        </is>
      </c>
      <c r="E2815" t="inlineStr">
        <is>
          <t>SOLLEFTEÅ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19602-2024</t>
        </is>
      </c>
      <c r="B2816" s="1" t="n">
        <v>45431</v>
      </c>
      <c r="C2816" s="1" t="n">
        <v>45669</v>
      </c>
      <c r="D2816" t="inlineStr">
        <is>
          <t>VÄSTERNORRLANDS LÄN</t>
        </is>
      </c>
      <c r="E2816" t="inlineStr">
        <is>
          <t>SOLLEFTEÅ</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19994-2024</t>
        </is>
      </c>
      <c r="B2817" s="1" t="n">
        <v>45434</v>
      </c>
      <c r="C2817" s="1" t="n">
        <v>45669</v>
      </c>
      <c r="D2817" t="inlineStr">
        <is>
          <t>VÄSTERNORRLANDS LÄN</t>
        </is>
      </c>
      <c r="E2817" t="inlineStr">
        <is>
          <t>SOLLEFTEÅ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20002-2024</t>
        </is>
      </c>
      <c r="B2818" s="1" t="n">
        <v>45433</v>
      </c>
      <c r="C2818" s="1" t="n">
        <v>45669</v>
      </c>
      <c r="D2818" t="inlineStr">
        <is>
          <t>VÄSTERNORRLANDS LÄN</t>
        </is>
      </c>
      <c r="E2818" t="inlineStr">
        <is>
          <t>SOLLEFTEÅ</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20022-2024</t>
        </is>
      </c>
      <c r="B2819" s="1" t="n">
        <v>45434</v>
      </c>
      <c r="C2819" s="1" t="n">
        <v>45669</v>
      </c>
      <c r="D2819" t="inlineStr">
        <is>
          <t>VÄSTERNORRLANDS LÄN</t>
        </is>
      </c>
      <c r="E2819" t="inlineStr">
        <is>
          <t>SOLLEFTEÅ</t>
        </is>
      </c>
      <c r="F2819" t="inlineStr">
        <is>
          <t>Holmen skog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20025-2024</t>
        </is>
      </c>
      <c r="B2820" s="1" t="n">
        <v>45434</v>
      </c>
      <c r="C2820" s="1" t="n">
        <v>45669</v>
      </c>
      <c r="D2820" t="inlineStr">
        <is>
          <t>VÄSTERNORRLANDS LÄN</t>
        </is>
      </c>
      <c r="E2820" t="inlineStr">
        <is>
          <t>SOLLEFTEÅ</t>
        </is>
      </c>
      <c r="F2820" t="inlineStr">
        <is>
          <t>Holmen skog AB</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20066-2024</t>
        </is>
      </c>
      <c r="B2821" s="1" t="n">
        <v>45434</v>
      </c>
      <c r="C2821" s="1" t="n">
        <v>45669</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20223-2024</t>
        </is>
      </c>
      <c r="B2822" s="1" t="n">
        <v>45434</v>
      </c>
      <c r="C2822" s="1" t="n">
        <v>45669</v>
      </c>
      <c r="D2822" t="inlineStr">
        <is>
          <t>VÄSTERNORRLANDS LÄN</t>
        </is>
      </c>
      <c r="E2822" t="inlineStr">
        <is>
          <t>SOLLEFTEÅ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20281-2024</t>
        </is>
      </c>
      <c r="B2823" s="1" t="n">
        <v>45435</v>
      </c>
      <c r="C2823" s="1" t="n">
        <v>45669</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20280-2024</t>
        </is>
      </c>
      <c r="B2824" s="1" t="n">
        <v>45435</v>
      </c>
      <c r="C2824" s="1" t="n">
        <v>45669</v>
      </c>
      <c r="D2824" t="inlineStr">
        <is>
          <t>VÄSTERNORRLANDS LÄN</t>
        </is>
      </c>
      <c r="E2824" t="inlineStr">
        <is>
          <t>SOLLEFTEÅ</t>
        </is>
      </c>
      <c r="F2824" t="inlineStr">
        <is>
          <t>SCA</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20506-2024</t>
        </is>
      </c>
      <c r="B2825" s="1" t="n">
        <v>45436</v>
      </c>
      <c r="C2825" s="1" t="n">
        <v>45669</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20354-2024</t>
        </is>
      </c>
      <c r="B2826" s="1" t="n">
        <v>45435</v>
      </c>
      <c r="C2826" s="1" t="n">
        <v>45669</v>
      </c>
      <c r="D2826" t="inlineStr">
        <is>
          <t>VÄSTERNORRLANDS LÄN</t>
        </is>
      </c>
      <c r="E2826" t="inlineStr">
        <is>
          <t>SOLLEFTEÅ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20516-2024</t>
        </is>
      </c>
      <c r="B2827" s="1" t="n">
        <v>45435</v>
      </c>
      <c r="C2827" s="1" t="n">
        <v>45669</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20507-2024</t>
        </is>
      </c>
      <c r="B2828" s="1" t="n">
        <v>45435</v>
      </c>
      <c r="C2828" s="1" t="n">
        <v>45669</v>
      </c>
      <c r="D2828" t="inlineStr">
        <is>
          <t>VÄSTERNORRLANDS LÄN</t>
        </is>
      </c>
      <c r="E2828" t="inlineStr">
        <is>
          <t>SOLLEFTEÅ</t>
        </is>
      </c>
      <c r="F2828" t="inlineStr">
        <is>
          <t>SCA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20515-2024</t>
        </is>
      </c>
      <c r="B2829" s="1" t="n">
        <v>45435</v>
      </c>
      <c r="C2829" s="1" t="n">
        <v>45669</v>
      </c>
      <c r="D2829" t="inlineStr">
        <is>
          <t>VÄSTERNORRLANDS LÄN</t>
        </is>
      </c>
      <c r="E2829" t="inlineStr">
        <is>
          <t>SOLLEFTEÅ</t>
        </is>
      </c>
      <c r="F2829" t="inlineStr">
        <is>
          <t>SCA</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20520-2024</t>
        </is>
      </c>
      <c r="B2830" s="1" t="n">
        <v>45435</v>
      </c>
      <c r="C2830" s="1" t="n">
        <v>45669</v>
      </c>
      <c r="D2830" t="inlineStr">
        <is>
          <t>VÄSTERNORRLANDS LÄN</t>
        </is>
      </c>
      <c r="E2830" t="inlineStr">
        <is>
          <t>SOLLEFTEÅ</t>
        </is>
      </c>
      <c r="F2830" t="inlineStr">
        <is>
          <t>SCA</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20604-2024</t>
        </is>
      </c>
      <c r="B2831" s="1" t="n">
        <v>45436</v>
      </c>
      <c r="C2831" s="1" t="n">
        <v>45669</v>
      </c>
      <c r="D2831" t="inlineStr">
        <is>
          <t>VÄSTERNORRLANDS LÄN</t>
        </is>
      </c>
      <c r="E2831" t="inlineStr">
        <is>
          <t>SOLLEFTEÅ</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20764-2024</t>
        </is>
      </c>
      <c r="B2832" s="1" t="n">
        <v>45436</v>
      </c>
      <c r="C2832" s="1" t="n">
        <v>45669</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20799-2024</t>
        </is>
      </c>
      <c r="B2833" s="1" t="n">
        <v>45438</v>
      </c>
      <c r="C2833" s="1" t="n">
        <v>45669</v>
      </c>
      <c r="D2833" t="inlineStr">
        <is>
          <t>VÄSTERNORRLANDS LÄN</t>
        </is>
      </c>
      <c r="E2833" t="inlineStr">
        <is>
          <t>SOLLEFTEÅ</t>
        </is>
      </c>
      <c r="F2833" t="inlineStr">
        <is>
          <t>SCA</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21031-2024</t>
        </is>
      </c>
      <c r="B2834" s="1" t="n">
        <v>45439</v>
      </c>
      <c r="C2834" s="1" t="n">
        <v>45669</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21098-2024</t>
        </is>
      </c>
      <c r="B2835" s="1" t="n">
        <v>45440</v>
      </c>
      <c r="C2835" s="1" t="n">
        <v>45669</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21106-2024</t>
        </is>
      </c>
      <c r="B2836" s="1" t="n">
        <v>45440</v>
      </c>
      <c r="C2836" s="1" t="n">
        <v>45669</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21096-2024</t>
        </is>
      </c>
      <c r="B2837" s="1" t="n">
        <v>45440</v>
      </c>
      <c r="C2837" s="1" t="n">
        <v>45669</v>
      </c>
      <c r="D2837" t="inlineStr">
        <is>
          <t>VÄSTERNORRLANDS LÄN</t>
        </is>
      </c>
      <c r="E2837" t="inlineStr">
        <is>
          <t>SOLLEFTEÅ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21100-2024</t>
        </is>
      </c>
      <c r="B2838" s="1" t="n">
        <v>45440</v>
      </c>
      <c r="C2838" s="1" t="n">
        <v>45669</v>
      </c>
      <c r="D2838" t="inlineStr">
        <is>
          <t>VÄSTERNORRLANDS LÄN</t>
        </is>
      </c>
      <c r="E2838" t="inlineStr">
        <is>
          <t>SOLLEFTEÅ</t>
        </is>
      </c>
      <c r="F2838" t="inlineStr">
        <is>
          <t>SCA</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21092-2024</t>
        </is>
      </c>
      <c r="B2839" s="1" t="n">
        <v>45440</v>
      </c>
      <c r="C2839" s="1" t="n">
        <v>45669</v>
      </c>
      <c r="D2839" t="inlineStr">
        <is>
          <t>VÄSTERNORRLANDS LÄN</t>
        </is>
      </c>
      <c r="E2839" t="inlineStr">
        <is>
          <t>SOLLEFTEÅ</t>
        </is>
      </c>
      <c r="F2839" t="inlineStr">
        <is>
          <t>SCA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21099-2024</t>
        </is>
      </c>
      <c r="B2840" s="1" t="n">
        <v>45439</v>
      </c>
      <c r="C2840" s="1" t="n">
        <v>45669</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21095-2024</t>
        </is>
      </c>
      <c r="B2841" s="1" t="n">
        <v>45440</v>
      </c>
      <c r="C2841" s="1" t="n">
        <v>45669</v>
      </c>
      <c r="D2841" t="inlineStr">
        <is>
          <t>VÄSTERNORRLANDS LÄN</t>
        </is>
      </c>
      <c r="E2841" t="inlineStr">
        <is>
          <t>SOLLEFTEÅ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21087-2024</t>
        </is>
      </c>
      <c r="B2842" s="1" t="n">
        <v>45440</v>
      </c>
      <c r="C2842" s="1" t="n">
        <v>45669</v>
      </c>
      <c r="D2842" t="inlineStr">
        <is>
          <t>VÄSTERNORRLANDS LÄN</t>
        </is>
      </c>
      <c r="E2842" t="inlineStr">
        <is>
          <t>SOLLEFTEÅ</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21101-2024</t>
        </is>
      </c>
      <c r="B2843" s="1" t="n">
        <v>45439</v>
      </c>
      <c r="C2843" s="1" t="n">
        <v>45669</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21137-2024</t>
        </is>
      </c>
      <c r="B2844" s="1" t="n">
        <v>45440</v>
      </c>
      <c r="C2844" s="1" t="n">
        <v>45669</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21364-2024</t>
        </is>
      </c>
      <c r="B2845" s="1" t="n">
        <v>45441</v>
      </c>
      <c r="C2845" s="1" t="n">
        <v>45669</v>
      </c>
      <c r="D2845" t="inlineStr">
        <is>
          <t>VÄSTERNORRLANDS LÄN</t>
        </is>
      </c>
      <c r="E2845" t="inlineStr">
        <is>
          <t>SOLLEFTEÅ</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21363-2024</t>
        </is>
      </c>
      <c r="B2846" s="1" t="n">
        <v>45441</v>
      </c>
      <c r="C2846" s="1" t="n">
        <v>45669</v>
      </c>
      <c r="D2846" t="inlineStr">
        <is>
          <t>VÄSTERNORRLANDS LÄN</t>
        </is>
      </c>
      <c r="E2846" t="inlineStr">
        <is>
          <t>SOLLEFTEÅ</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21384-2024</t>
        </is>
      </c>
      <c r="B2847" s="1" t="n">
        <v>45440</v>
      </c>
      <c r="C2847" s="1" t="n">
        <v>45669</v>
      </c>
      <c r="D2847" t="inlineStr">
        <is>
          <t>VÄSTERNORRLANDS LÄN</t>
        </is>
      </c>
      <c r="E2847" t="inlineStr">
        <is>
          <t>SOLLEFTEÅ</t>
        </is>
      </c>
      <c r="F2847" t="inlineStr">
        <is>
          <t>SCA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21852-2024</t>
        </is>
      </c>
      <c r="B2848" s="1" t="n">
        <v>45443</v>
      </c>
      <c r="C2848" s="1" t="n">
        <v>45669</v>
      </c>
      <c r="D2848" t="inlineStr">
        <is>
          <t>VÄSTERNORRLANDS LÄN</t>
        </is>
      </c>
      <c r="E2848" t="inlineStr">
        <is>
          <t>SOLLEFTEÅ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22100-2024</t>
        </is>
      </c>
      <c r="B2849" s="1" t="n">
        <v>45444</v>
      </c>
      <c r="C2849" s="1" t="n">
        <v>45669</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22119-2024</t>
        </is>
      </c>
      <c r="B2850" s="1" t="n">
        <v>45443</v>
      </c>
      <c r="C2850" s="1" t="n">
        <v>45669</v>
      </c>
      <c r="D2850" t="inlineStr">
        <is>
          <t>VÄSTERNORRLANDS LÄN</t>
        </is>
      </c>
      <c r="E2850" t="inlineStr">
        <is>
          <t>SOLLEFTEÅ</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22118-2024</t>
        </is>
      </c>
      <c r="B2851" s="1" t="n">
        <v>45443</v>
      </c>
      <c r="C2851" s="1" t="n">
        <v>45669</v>
      </c>
      <c r="D2851" t="inlineStr">
        <is>
          <t>VÄSTERNORRLANDS LÄN</t>
        </is>
      </c>
      <c r="E2851" t="inlineStr">
        <is>
          <t>SOLLEFTEÅ</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22471-2024</t>
        </is>
      </c>
      <c r="B2852" s="1" t="n">
        <v>45446</v>
      </c>
      <c r="C2852" s="1" t="n">
        <v>45669</v>
      </c>
      <c r="D2852" t="inlineStr">
        <is>
          <t>VÄSTERNORRLANDS LÄN</t>
        </is>
      </c>
      <c r="E2852" t="inlineStr">
        <is>
          <t>SOLLEFTEÅ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22475-2024</t>
        </is>
      </c>
      <c r="B2853" s="1" t="n">
        <v>45447</v>
      </c>
      <c r="C2853" s="1" t="n">
        <v>45669</v>
      </c>
      <c r="D2853" t="inlineStr">
        <is>
          <t>VÄSTERNORRLANDS LÄN</t>
        </is>
      </c>
      <c r="E2853" t="inlineStr">
        <is>
          <t>SOLLEFTEÅ</t>
        </is>
      </c>
      <c r="F2853" t="inlineStr">
        <is>
          <t>SCA</t>
        </is>
      </c>
      <c r="G2853" t="n">
        <v>18.5</v>
      </c>
      <c r="H2853" t="n">
        <v>0</v>
      </c>
      <c r="I2853" t="n">
        <v>0</v>
      </c>
      <c r="J2853" t="n">
        <v>0</v>
      </c>
      <c r="K2853" t="n">
        <v>0</v>
      </c>
      <c r="L2853" t="n">
        <v>0</v>
      </c>
      <c r="M2853" t="n">
        <v>0</v>
      </c>
      <c r="N2853" t="n">
        <v>0</v>
      </c>
      <c r="O2853" t="n">
        <v>0</v>
      </c>
      <c r="P2853" t="n">
        <v>0</v>
      </c>
      <c r="Q2853" t="n">
        <v>0</v>
      </c>
      <c r="R2853" s="2" t="inlineStr"/>
    </row>
    <row r="2854" ht="15" customHeight="1">
      <c r="A2854" t="inlineStr">
        <is>
          <t>A 22473-2024</t>
        </is>
      </c>
      <c r="B2854" s="1" t="n">
        <v>45446</v>
      </c>
      <c r="C2854" s="1" t="n">
        <v>45669</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22457-2024</t>
        </is>
      </c>
      <c r="B2855" s="1" t="n">
        <v>45446</v>
      </c>
      <c r="C2855" s="1" t="n">
        <v>45669</v>
      </c>
      <c r="D2855" t="inlineStr">
        <is>
          <t>VÄSTERNORRLANDS LÄN</t>
        </is>
      </c>
      <c r="E2855" t="inlineStr">
        <is>
          <t>SOLLEFTEÅ</t>
        </is>
      </c>
      <c r="F2855" t="inlineStr">
        <is>
          <t>SCA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22208-2024</t>
        </is>
      </c>
      <c r="B2856" s="1" t="n">
        <v>45446</v>
      </c>
      <c r="C2856" s="1" t="n">
        <v>45669</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22456-2024</t>
        </is>
      </c>
      <c r="B2857" s="1" t="n">
        <v>45447</v>
      </c>
      <c r="C2857" s="1" t="n">
        <v>45669</v>
      </c>
      <c r="D2857" t="inlineStr">
        <is>
          <t>VÄSTERNORRLANDS LÄN</t>
        </is>
      </c>
      <c r="E2857" t="inlineStr">
        <is>
          <t>SOLLEFTEÅ</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22468-2024</t>
        </is>
      </c>
      <c r="B2858" s="1" t="n">
        <v>45447</v>
      </c>
      <c r="C2858" s="1" t="n">
        <v>45669</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22472-2024</t>
        </is>
      </c>
      <c r="B2859" s="1" t="n">
        <v>45447</v>
      </c>
      <c r="C2859" s="1" t="n">
        <v>45669</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22476-2024</t>
        </is>
      </c>
      <c r="B2860" s="1" t="n">
        <v>45446</v>
      </c>
      <c r="C2860" s="1" t="n">
        <v>45669</v>
      </c>
      <c r="D2860" t="inlineStr">
        <is>
          <t>VÄSTERNORRLANDS LÄN</t>
        </is>
      </c>
      <c r="E2860" t="inlineStr">
        <is>
          <t>SOLLEFTEÅ</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22462-2024</t>
        </is>
      </c>
      <c r="B2861" s="1" t="n">
        <v>45446</v>
      </c>
      <c r="C2861" s="1" t="n">
        <v>45669</v>
      </c>
      <c r="D2861" t="inlineStr">
        <is>
          <t>VÄSTERNORRLANDS LÄN</t>
        </is>
      </c>
      <c r="E2861" t="inlineStr">
        <is>
          <t>SOLLEFTEÅ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22243-2024</t>
        </is>
      </c>
      <c r="B2862" s="1" t="n">
        <v>45446</v>
      </c>
      <c r="C2862" s="1" t="n">
        <v>45669</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22235-2024</t>
        </is>
      </c>
      <c r="B2863" s="1" t="n">
        <v>45446</v>
      </c>
      <c r="C2863" s="1" t="n">
        <v>45669</v>
      </c>
      <c r="D2863" t="inlineStr">
        <is>
          <t>VÄSTERNORRLANDS LÄN</t>
        </is>
      </c>
      <c r="E2863" t="inlineStr">
        <is>
          <t>SOLLEFTEÅ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22671-2024</t>
        </is>
      </c>
      <c r="B2864" s="1" t="n">
        <v>45448</v>
      </c>
      <c r="C2864" s="1" t="n">
        <v>45669</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22675-2024</t>
        </is>
      </c>
      <c r="B2865" s="1" t="n">
        <v>45448</v>
      </c>
      <c r="C2865" s="1" t="n">
        <v>45669</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22666-2024</t>
        </is>
      </c>
      <c r="B2866" s="1" t="n">
        <v>45447</v>
      </c>
      <c r="C2866" s="1" t="n">
        <v>45669</v>
      </c>
      <c r="D2866" t="inlineStr">
        <is>
          <t>VÄSTERNORRLANDS LÄN</t>
        </is>
      </c>
      <c r="E2866" t="inlineStr">
        <is>
          <t>SOLLEFTEÅ</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22661-2024</t>
        </is>
      </c>
      <c r="B2867" s="1" t="n">
        <v>45448</v>
      </c>
      <c r="C2867" s="1" t="n">
        <v>45669</v>
      </c>
      <c r="D2867" t="inlineStr">
        <is>
          <t>VÄSTERNORRLANDS LÄN</t>
        </is>
      </c>
      <c r="E2867" t="inlineStr">
        <is>
          <t>SOLLEFTEÅ</t>
        </is>
      </c>
      <c r="F2867" t="inlineStr">
        <is>
          <t>SCA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22665-2024</t>
        </is>
      </c>
      <c r="B2868" s="1" t="n">
        <v>45448</v>
      </c>
      <c r="C2868" s="1" t="n">
        <v>45669</v>
      </c>
      <c r="D2868" t="inlineStr">
        <is>
          <t>VÄSTERNORRLANDS LÄN</t>
        </is>
      </c>
      <c r="E2868" t="inlineStr">
        <is>
          <t>SOLLEFTEÅ</t>
        </is>
      </c>
      <c r="F2868" t="inlineStr">
        <is>
          <t>SCA</t>
        </is>
      </c>
      <c r="G2868" t="n">
        <v>35.6</v>
      </c>
      <c r="H2868" t="n">
        <v>0</v>
      </c>
      <c r="I2868" t="n">
        <v>0</v>
      </c>
      <c r="J2868" t="n">
        <v>0</v>
      </c>
      <c r="K2868" t="n">
        <v>0</v>
      </c>
      <c r="L2868" t="n">
        <v>0</v>
      </c>
      <c r="M2868" t="n">
        <v>0</v>
      </c>
      <c r="N2868" t="n">
        <v>0</v>
      </c>
      <c r="O2868" t="n">
        <v>0</v>
      </c>
      <c r="P2868" t="n">
        <v>0</v>
      </c>
      <c r="Q2868" t="n">
        <v>0</v>
      </c>
      <c r="R2868" s="2" t="inlineStr"/>
    </row>
    <row r="2869" ht="15" customHeight="1">
      <c r="A2869" t="inlineStr">
        <is>
          <t>A 22664-2024</t>
        </is>
      </c>
      <c r="B2869" s="1" t="n">
        <v>45448</v>
      </c>
      <c r="C2869" s="1" t="n">
        <v>45669</v>
      </c>
      <c r="D2869" t="inlineStr">
        <is>
          <t>VÄSTERNORRLANDS LÄN</t>
        </is>
      </c>
      <c r="E2869" t="inlineStr">
        <is>
          <t>SOLLEFTEÅ</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22668-2024</t>
        </is>
      </c>
      <c r="B2870" s="1" t="n">
        <v>45448</v>
      </c>
      <c r="C2870" s="1" t="n">
        <v>45669</v>
      </c>
      <c r="D2870" t="inlineStr">
        <is>
          <t>VÄSTERNORRLANDS LÄN</t>
        </is>
      </c>
      <c r="E2870" t="inlineStr">
        <is>
          <t>SOLLEFTEÅ</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22673-2024</t>
        </is>
      </c>
      <c r="B2871" s="1" t="n">
        <v>45448</v>
      </c>
      <c r="C2871" s="1" t="n">
        <v>45669</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22682-2024</t>
        </is>
      </c>
      <c r="B2872" s="1" t="n">
        <v>45447</v>
      </c>
      <c r="C2872" s="1" t="n">
        <v>45669</v>
      </c>
      <c r="D2872" t="inlineStr">
        <is>
          <t>VÄSTERNORRLANDS LÄN</t>
        </is>
      </c>
      <c r="E2872" t="inlineStr">
        <is>
          <t>SOLLEFTEÅ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22672-2024</t>
        </is>
      </c>
      <c r="B2873" s="1" t="n">
        <v>45448</v>
      </c>
      <c r="C2873" s="1" t="n">
        <v>45669</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22690-2024</t>
        </is>
      </c>
      <c r="B2874" s="1" t="n">
        <v>45448</v>
      </c>
      <c r="C2874" s="1" t="n">
        <v>45669</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22938-2024</t>
        </is>
      </c>
      <c r="B2875" s="1" t="n">
        <v>45448</v>
      </c>
      <c r="C2875" s="1" t="n">
        <v>45669</v>
      </c>
      <c r="D2875" t="inlineStr">
        <is>
          <t>VÄSTERNORRLANDS LÄN</t>
        </is>
      </c>
      <c r="E2875" t="inlineStr">
        <is>
          <t>SOLLEFTEÅ</t>
        </is>
      </c>
      <c r="F2875" t="inlineStr">
        <is>
          <t>SCA</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22939-2024</t>
        </is>
      </c>
      <c r="B2876" s="1" t="n">
        <v>45449</v>
      </c>
      <c r="C2876" s="1" t="n">
        <v>45669</v>
      </c>
      <c r="D2876" t="inlineStr">
        <is>
          <t>VÄSTERNORRLANDS LÄN</t>
        </is>
      </c>
      <c r="E2876" t="inlineStr">
        <is>
          <t>SOLLEFTEÅ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23021-2024</t>
        </is>
      </c>
      <c r="B2877" s="1" t="n">
        <v>45450</v>
      </c>
      <c r="C2877" s="1" t="n">
        <v>45669</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23025-2024</t>
        </is>
      </c>
      <c r="B2878" s="1" t="n">
        <v>45450</v>
      </c>
      <c r="C2878" s="1" t="n">
        <v>45669</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23175-2024</t>
        </is>
      </c>
      <c r="B2879" s="1" t="n">
        <v>45451</v>
      </c>
      <c r="C2879" s="1" t="n">
        <v>45669</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23542-2024</t>
        </is>
      </c>
      <c r="B2880" s="1" t="n">
        <v>45454</v>
      </c>
      <c r="C2880" s="1" t="n">
        <v>45669</v>
      </c>
      <c r="D2880" t="inlineStr">
        <is>
          <t>VÄSTERNORRLANDS LÄN</t>
        </is>
      </c>
      <c r="E2880" t="inlineStr">
        <is>
          <t>SOLLEFTEÅ</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23530-2024</t>
        </is>
      </c>
      <c r="B2881" s="1" t="n">
        <v>45454</v>
      </c>
      <c r="C2881" s="1" t="n">
        <v>45669</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23540-2024</t>
        </is>
      </c>
      <c r="B2882" s="1" t="n">
        <v>45454</v>
      </c>
      <c r="C2882" s="1" t="n">
        <v>45669</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23532-2024</t>
        </is>
      </c>
      <c r="B2883" s="1" t="n">
        <v>45454</v>
      </c>
      <c r="C2883" s="1" t="n">
        <v>45669</v>
      </c>
      <c r="D2883" t="inlineStr">
        <is>
          <t>VÄSTERNORRLANDS LÄN</t>
        </is>
      </c>
      <c r="E2883" t="inlineStr">
        <is>
          <t>SOLLEFTEÅ</t>
        </is>
      </c>
      <c r="F2883" t="inlineStr">
        <is>
          <t>SCA</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23547-2024</t>
        </is>
      </c>
      <c r="B2884" s="1" t="n">
        <v>45454</v>
      </c>
      <c r="C2884" s="1" t="n">
        <v>45669</v>
      </c>
      <c r="D2884" t="inlineStr">
        <is>
          <t>VÄSTERNORRLANDS LÄN</t>
        </is>
      </c>
      <c r="E2884" t="inlineStr">
        <is>
          <t>SOLLEFTEÅ</t>
        </is>
      </c>
      <c r="F2884" t="inlineStr">
        <is>
          <t>SCA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23529-2024</t>
        </is>
      </c>
      <c r="B2885" s="1" t="n">
        <v>45454</v>
      </c>
      <c r="C2885" s="1" t="n">
        <v>45669</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23541-2024</t>
        </is>
      </c>
      <c r="B2886" s="1" t="n">
        <v>45454</v>
      </c>
      <c r="C2886" s="1" t="n">
        <v>45669</v>
      </c>
      <c r="D2886" t="inlineStr">
        <is>
          <t>VÄSTERNORRLANDS LÄN</t>
        </is>
      </c>
      <c r="E2886" t="inlineStr">
        <is>
          <t>SOLLEFTEÅ</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23731-2024</t>
        </is>
      </c>
      <c r="B2887" s="1" t="n">
        <v>45455</v>
      </c>
      <c r="C2887" s="1" t="n">
        <v>45669</v>
      </c>
      <c r="D2887" t="inlineStr">
        <is>
          <t>VÄSTERNORRLANDS LÄN</t>
        </is>
      </c>
      <c r="E2887" t="inlineStr">
        <is>
          <t>SOLLEFTEÅ</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23730-2024</t>
        </is>
      </c>
      <c r="B2888" s="1" t="n">
        <v>45455</v>
      </c>
      <c r="C2888" s="1" t="n">
        <v>45669</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23936-2024</t>
        </is>
      </c>
      <c r="B2889" s="1" t="n">
        <v>45456</v>
      </c>
      <c r="C2889" s="1" t="n">
        <v>45669</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23969-2024</t>
        </is>
      </c>
      <c r="B2890" s="1" t="n">
        <v>45456</v>
      </c>
      <c r="C2890" s="1" t="n">
        <v>45669</v>
      </c>
      <c r="D2890" t="inlineStr">
        <is>
          <t>VÄSTERNORRLANDS LÄN</t>
        </is>
      </c>
      <c r="E2890" t="inlineStr">
        <is>
          <t>SOLLEFTEÅ</t>
        </is>
      </c>
      <c r="F2890" t="inlineStr">
        <is>
          <t>SCA</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23935-2024</t>
        </is>
      </c>
      <c r="B2891" s="1" t="n">
        <v>45456</v>
      </c>
      <c r="C2891" s="1" t="n">
        <v>45669</v>
      </c>
      <c r="D2891" t="inlineStr">
        <is>
          <t>VÄSTERNORRLANDS LÄN</t>
        </is>
      </c>
      <c r="E2891" t="inlineStr">
        <is>
          <t>SOLLEFTEÅ</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23968-2024</t>
        </is>
      </c>
      <c r="B2892" s="1" t="n">
        <v>45456</v>
      </c>
      <c r="C2892" s="1" t="n">
        <v>45669</v>
      </c>
      <c r="D2892" t="inlineStr">
        <is>
          <t>VÄSTERNORRLANDS LÄN</t>
        </is>
      </c>
      <c r="E2892" t="inlineStr">
        <is>
          <t>SOLLEFTEÅ</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24199-2024</t>
        </is>
      </c>
      <c r="B2893" s="1" t="n">
        <v>45457</v>
      </c>
      <c r="C2893" s="1" t="n">
        <v>45669</v>
      </c>
      <c r="D2893" t="inlineStr">
        <is>
          <t>VÄSTERNORRLANDS LÄN</t>
        </is>
      </c>
      <c r="E2893" t="inlineStr">
        <is>
          <t>SOLLEFTEÅ</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24211-2024</t>
        </is>
      </c>
      <c r="B2894" s="1" t="n">
        <v>45457</v>
      </c>
      <c r="C2894" s="1" t="n">
        <v>45669</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24209-2024</t>
        </is>
      </c>
      <c r="B2895" s="1" t="n">
        <v>45457</v>
      </c>
      <c r="C2895" s="1" t="n">
        <v>45669</v>
      </c>
      <c r="D2895" t="inlineStr">
        <is>
          <t>VÄSTERNORRLANDS LÄN</t>
        </is>
      </c>
      <c r="E2895" t="inlineStr">
        <is>
          <t>SOLLEFTEÅ</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24210-2024</t>
        </is>
      </c>
      <c r="B2896" s="1" t="n">
        <v>45457</v>
      </c>
      <c r="C2896" s="1" t="n">
        <v>45669</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24208-2024</t>
        </is>
      </c>
      <c r="B2897" s="1" t="n">
        <v>45457</v>
      </c>
      <c r="C2897" s="1" t="n">
        <v>45669</v>
      </c>
      <c r="D2897" t="inlineStr">
        <is>
          <t>VÄSTERNORRLANDS LÄN</t>
        </is>
      </c>
      <c r="E2897" t="inlineStr">
        <is>
          <t>SOLLEFTEÅ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24461-2024</t>
        </is>
      </c>
      <c r="B2898" s="1" t="n">
        <v>45458</v>
      </c>
      <c r="C2898" s="1" t="n">
        <v>45669</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24239-2024</t>
        </is>
      </c>
      <c r="B2899" s="1" t="n">
        <v>45457</v>
      </c>
      <c r="C2899" s="1" t="n">
        <v>45669</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24777-2024</t>
        </is>
      </c>
      <c r="B2900" s="1" t="n">
        <v>45460</v>
      </c>
      <c r="C2900" s="1" t="n">
        <v>45669</v>
      </c>
      <c r="D2900" t="inlineStr">
        <is>
          <t>VÄSTERNORRLANDS LÄN</t>
        </is>
      </c>
      <c r="E2900" t="inlineStr">
        <is>
          <t>SOLLEFTEÅ</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25023-2024</t>
        </is>
      </c>
      <c r="B2901" s="1" t="n">
        <v>45462</v>
      </c>
      <c r="C2901" s="1" t="n">
        <v>45669</v>
      </c>
      <c r="D2901" t="inlineStr">
        <is>
          <t>VÄSTERNORRLANDS LÄN</t>
        </is>
      </c>
      <c r="E2901" t="inlineStr">
        <is>
          <t>SOLLEFTEÅ</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25035-2024</t>
        </is>
      </c>
      <c r="B2902" s="1" t="n">
        <v>45462</v>
      </c>
      <c r="C2902" s="1" t="n">
        <v>45669</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25026-2024</t>
        </is>
      </c>
      <c r="B2903" s="1" t="n">
        <v>45462</v>
      </c>
      <c r="C2903" s="1" t="n">
        <v>45669</v>
      </c>
      <c r="D2903" t="inlineStr">
        <is>
          <t>VÄSTERNORRLANDS LÄN</t>
        </is>
      </c>
      <c r="E2903" t="inlineStr">
        <is>
          <t>SOLLEFTEÅ</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25356-2024</t>
        </is>
      </c>
      <c r="B2904" s="1" t="n">
        <v>45463</v>
      </c>
      <c r="C2904" s="1" t="n">
        <v>45669</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25364-2024</t>
        </is>
      </c>
      <c r="B2905" s="1" t="n">
        <v>45463</v>
      </c>
      <c r="C2905" s="1" t="n">
        <v>45669</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25363-2024</t>
        </is>
      </c>
      <c r="B2906" s="1" t="n">
        <v>45463</v>
      </c>
      <c r="C2906" s="1" t="n">
        <v>45669</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25384-2024</t>
        </is>
      </c>
      <c r="B2907" s="1" t="n">
        <v>45463</v>
      </c>
      <c r="C2907" s="1" t="n">
        <v>45669</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25334-2024</t>
        </is>
      </c>
      <c r="B2908" s="1" t="n">
        <v>45462</v>
      </c>
      <c r="C2908" s="1" t="n">
        <v>45669</v>
      </c>
      <c r="D2908" t="inlineStr">
        <is>
          <t>VÄSTERNORRLANDS LÄN</t>
        </is>
      </c>
      <c r="E2908" t="inlineStr">
        <is>
          <t>SOLLEFTEÅ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25357-2024</t>
        </is>
      </c>
      <c r="B2909" s="1" t="n">
        <v>45462</v>
      </c>
      <c r="C2909" s="1" t="n">
        <v>45669</v>
      </c>
      <c r="D2909" t="inlineStr">
        <is>
          <t>VÄSTERNORRLANDS LÄN</t>
        </is>
      </c>
      <c r="E2909" t="inlineStr">
        <is>
          <t>SOLLEFTEÅ</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25139-2024</t>
        </is>
      </c>
      <c r="B2910" s="1" t="n">
        <v>45462</v>
      </c>
      <c r="C2910" s="1" t="n">
        <v>45669</v>
      </c>
      <c r="D2910" t="inlineStr">
        <is>
          <t>VÄSTERNORRLANDS LÄN</t>
        </is>
      </c>
      <c r="E2910" t="inlineStr">
        <is>
          <t>SOLLEFTEÅ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25131-2024</t>
        </is>
      </c>
      <c r="B2911" s="1" t="n">
        <v>45462</v>
      </c>
      <c r="C2911" s="1" t="n">
        <v>45669</v>
      </c>
      <c r="D2911" t="inlineStr">
        <is>
          <t>VÄSTERNORRLANDS LÄN</t>
        </is>
      </c>
      <c r="E2911" t="inlineStr">
        <is>
          <t>SOLLEFTEÅ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25703-2024</t>
        </is>
      </c>
      <c r="B2912" s="1" t="n">
        <v>45463</v>
      </c>
      <c r="C2912" s="1" t="n">
        <v>45669</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25711-2024</t>
        </is>
      </c>
      <c r="B2913" s="1" t="n">
        <v>45463</v>
      </c>
      <c r="C2913" s="1" t="n">
        <v>45669</v>
      </c>
      <c r="D2913" t="inlineStr">
        <is>
          <t>VÄSTERNORRLANDS LÄN</t>
        </is>
      </c>
      <c r="E2913" t="inlineStr">
        <is>
          <t>SOLLEFTEÅ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25704-2024</t>
        </is>
      </c>
      <c r="B2914" s="1" t="n">
        <v>45464</v>
      </c>
      <c r="C2914" s="1" t="n">
        <v>45669</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25702-2024</t>
        </is>
      </c>
      <c r="B2915" s="1" t="n">
        <v>45463</v>
      </c>
      <c r="C2915" s="1" t="n">
        <v>45669</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25514-2024</t>
        </is>
      </c>
      <c r="B2916" s="1" t="n">
        <v>45463</v>
      </c>
      <c r="C2916" s="1" t="n">
        <v>45669</v>
      </c>
      <c r="D2916" t="inlineStr">
        <is>
          <t>VÄSTERNORRLANDS LÄN</t>
        </is>
      </c>
      <c r="E2916" t="inlineStr">
        <is>
          <t>SOLLEFTEÅ</t>
        </is>
      </c>
      <c r="F2916" t="inlineStr">
        <is>
          <t>Kyrkan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25799-2024</t>
        </is>
      </c>
      <c r="B2917" s="1" t="n">
        <v>45463</v>
      </c>
      <c r="C2917" s="1" t="n">
        <v>45669</v>
      </c>
      <c r="D2917" t="inlineStr">
        <is>
          <t>VÄSTERNORRLANDS LÄN</t>
        </is>
      </c>
      <c r="E2917" t="inlineStr">
        <is>
          <t>SOLLEFTEÅ</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25847-2024</t>
        </is>
      </c>
      <c r="B2918" s="1" t="n">
        <v>45467</v>
      </c>
      <c r="C2918" s="1" t="n">
        <v>45669</v>
      </c>
      <c r="D2918" t="inlineStr">
        <is>
          <t>VÄSTERNORRLANDS LÄN</t>
        </is>
      </c>
      <c r="E2918" t="inlineStr">
        <is>
          <t>SOLLEFTEÅ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25851-2024</t>
        </is>
      </c>
      <c r="B2919" s="1" t="n">
        <v>45467</v>
      </c>
      <c r="C2919" s="1" t="n">
        <v>45669</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25907-2024</t>
        </is>
      </c>
      <c r="B2920" s="1" t="n">
        <v>45467</v>
      </c>
      <c r="C2920" s="1" t="n">
        <v>45669</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26005-2024</t>
        </is>
      </c>
      <c r="B2921" s="1" t="n">
        <v>45468</v>
      </c>
      <c r="C2921" s="1" t="n">
        <v>45669</v>
      </c>
      <c r="D2921" t="inlineStr">
        <is>
          <t>VÄSTERNORRLANDS LÄN</t>
        </is>
      </c>
      <c r="E2921" t="inlineStr">
        <is>
          <t>SOLLEFTEÅ</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26022-2024</t>
        </is>
      </c>
      <c r="B2922" s="1" t="n">
        <v>45467</v>
      </c>
      <c r="C2922" s="1" t="n">
        <v>45669</v>
      </c>
      <c r="D2922" t="inlineStr">
        <is>
          <t>VÄSTERNORRLANDS LÄN</t>
        </is>
      </c>
      <c r="E2922" t="inlineStr">
        <is>
          <t>SOLLEFTEÅ</t>
        </is>
      </c>
      <c r="F2922" t="inlineStr">
        <is>
          <t>SCA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26046-2024</t>
        </is>
      </c>
      <c r="B2923" s="1" t="n">
        <v>45467</v>
      </c>
      <c r="C2923" s="1" t="n">
        <v>45669</v>
      </c>
      <c r="D2923" t="inlineStr">
        <is>
          <t>VÄSTERNORRLANDS LÄN</t>
        </is>
      </c>
      <c r="E2923" t="inlineStr">
        <is>
          <t>SOLLEFTEÅ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26023-2024</t>
        </is>
      </c>
      <c r="B2924" s="1" t="n">
        <v>45468</v>
      </c>
      <c r="C2924" s="1" t="n">
        <v>45669</v>
      </c>
      <c r="D2924" t="inlineStr">
        <is>
          <t>VÄSTERNORRLANDS LÄN</t>
        </is>
      </c>
      <c r="E2924" t="inlineStr">
        <is>
          <t>SOLLEFTEÅ</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26391-2024</t>
        </is>
      </c>
      <c r="B2925" s="1" t="n">
        <v>45468</v>
      </c>
      <c r="C2925" s="1" t="n">
        <v>45669</v>
      </c>
      <c r="D2925" t="inlineStr">
        <is>
          <t>VÄSTERNORRLANDS LÄN</t>
        </is>
      </c>
      <c r="E2925" t="inlineStr">
        <is>
          <t>SOLLEFTEÅ</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26325-2024</t>
        </is>
      </c>
      <c r="B2926" s="1" t="n">
        <v>45468</v>
      </c>
      <c r="C2926" s="1" t="n">
        <v>45669</v>
      </c>
      <c r="D2926" t="inlineStr">
        <is>
          <t>VÄSTERNORRLANDS LÄN</t>
        </is>
      </c>
      <c r="E2926" t="inlineStr">
        <is>
          <t>SOLLEFTEÅ</t>
        </is>
      </c>
      <c r="F2926" t="inlineStr">
        <is>
          <t>SCA</t>
        </is>
      </c>
      <c r="G2926" t="n">
        <v>11.8</v>
      </c>
      <c r="H2926" t="n">
        <v>0</v>
      </c>
      <c r="I2926" t="n">
        <v>0</v>
      </c>
      <c r="J2926" t="n">
        <v>0</v>
      </c>
      <c r="K2926" t="n">
        <v>0</v>
      </c>
      <c r="L2926" t="n">
        <v>0</v>
      </c>
      <c r="M2926" t="n">
        <v>0</v>
      </c>
      <c r="N2926" t="n">
        <v>0</v>
      </c>
      <c r="O2926" t="n">
        <v>0</v>
      </c>
      <c r="P2926" t="n">
        <v>0</v>
      </c>
      <c r="Q2926" t="n">
        <v>0</v>
      </c>
      <c r="R2926" s="2" t="inlineStr"/>
    </row>
    <row r="2927" ht="15" customHeight="1">
      <c r="A2927" t="inlineStr">
        <is>
          <t>A 26323-2024</t>
        </is>
      </c>
      <c r="B2927" s="1" t="n">
        <v>45469</v>
      </c>
      <c r="C2927" s="1" t="n">
        <v>45669</v>
      </c>
      <c r="D2927" t="inlineStr">
        <is>
          <t>VÄSTERNORRLANDS LÄN</t>
        </is>
      </c>
      <c r="E2927" t="inlineStr">
        <is>
          <t>SOLLEFTEÅ</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26319-2024</t>
        </is>
      </c>
      <c r="B2928" s="1" t="n">
        <v>45469</v>
      </c>
      <c r="C2928" s="1" t="n">
        <v>45669</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26172-2024</t>
        </is>
      </c>
      <c r="B2929" s="1" t="n">
        <v>45468</v>
      </c>
      <c r="C2929" s="1" t="n">
        <v>45669</v>
      </c>
      <c r="D2929" t="inlineStr">
        <is>
          <t>VÄSTERNORRLANDS LÄN</t>
        </is>
      </c>
      <c r="E2929" t="inlineStr">
        <is>
          <t>SOLLEFTEÅ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26163-2024</t>
        </is>
      </c>
      <c r="B2930" s="1" t="n">
        <v>45468</v>
      </c>
      <c r="C2930" s="1" t="n">
        <v>45669</v>
      </c>
      <c r="D2930" t="inlineStr">
        <is>
          <t>VÄSTERNORRLANDS LÄN</t>
        </is>
      </c>
      <c r="E2930" t="inlineStr">
        <is>
          <t>SOLLEFTEÅ</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26296-2024</t>
        </is>
      </c>
      <c r="B2931" s="1" t="n">
        <v>45468</v>
      </c>
      <c r="C2931" s="1" t="n">
        <v>45669</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26444-2024</t>
        </is>
      </c>
      <c r="B2932" s="1" t="n">
        <v>45469</v>
      </c>
      <c r="C2932" s="1" t="n">
        <v>45669</v>
      </c>
      <c r="D2932" t="inlineStr">
        <is>
          <t>VÄSTERNORRLANDS LÄN</t>
        </is>
      </c>
      <c r="E2932" t="inlineStr">
        <is>
          <t>SOLLEFTEÅ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26500-2024</t>
        </is>
      </c>
      <c r="B2933" s="1" t="n">
        <v>45469</v>
      </c>
      <c r="C2933" s="1" t="n">
        <v>45669</v>
      </c>
      <c r="D2933" t="inlineStr">
        <is>
          <t>VÄSTERNORRLANDS LÄN</t>
        </is>
      </c>
      <c r="E2933" t="inlineStr">
        <is>
          <t>SOLLEFTEÅ</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26655-2024</t>
        </is>
      </c>
      <c r="B2934" s="1" t="n">
        <v>45469</v>
      </c>
      <c r="C2934" s="1" t="n">
        <v>45669</v>
      </c>
      <c r="D2934" t="inlineStr">
        <is>
          <t>VÄSTERNORRLANDS LÄN</t>
        </is>
      </c>
      <c r="E2934" t="inlineStr">
        <is>
          <t>SOLLEFTEÅ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26962-2024</t>
        </is>
      </c>
      <c r="B2935" s="1" t="n">
        <v>45471</v>
      </c>
      <c r="C2935" s="1" t="n">
        <v>45669</v>
      </c>
      <c r="D2935" t="inlineStr">
        <is>
          <t>VÄSTERNORRLANDS LÄN</t>
        </is>
      </c>
      <c r="E2935" t="inlineStr">
        <is>
          <t>SOLLEFTEÅ</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26955-2024</t>
        </is>
      </c>
      <c r="B2936" s="1" t="n">
        <v>45471</v>
      </c>
      <c r="C2936" s="1" t="n">
        <v>45669</v>
      </c>
      <c r="D2936" t="inlineStr">
        <is>
          <t>VÄSTERNORRLANDS LÄN</t>
        </is>
      </c>
      <c r="E2936" t="inlineStr">
        <is>
          <t>SOLLEFTEÅ</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26963-2024</t>
        </is>
      </c>
      <c r="B2937" s="1" t="n">
        <v>45471</v>
      </c>
      <c r="C2937" s="1" t="n">
        <v>45669</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26890-2024</t>
        </is>
      </c>
      <c r="B2938" s="1" t="n">
        <v>45470</v>
      </c>
      <c r="C2938" s="1" t="n">
        <v>45669</v>
      </c>
      <c r="D2938" t="inlineStr">
        <is>
          <t>VÄSTERNORRLANDS LÄN</t>
        </is>
      </c>
      <c r="E2938" t="inlineStr">
        <is>
          <t>SOLLEFTEÅ</t>
        </is>
      </c>
      <c r="F2938" t="inlineStr">
        <is>
          <t>Holmen skog AB</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26936-2024</t>
        </is>
      </c>
      <c r="B2939" s="1" t="n">
        <v>45470</v>
      </c>
      <c r="C2939" s="1" t="n">
        <v>45669</v>
      </c>
      <c r="D2939" t="inlineStr">
        <is>
          <t>VÄSTERNORRLANDS LÄN</t>
        </is>
      </c>
      <c r="E2939" t="inlineStr">
        <is>
          <t>SOLLEFTEÅ</t>
        </is>
      </c>
      <c r="F2939" t="inlineStr">
        <is>
          <t>SCA</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26941-2024</t>
        </is>
      </c>
      <c r="B2940" s="1" t="n">
        <v>45470</v>
      </c>
      <c r="C2940" s="1" t="n">
        <v>45669</v>
      </c>
      <c r="D2940" t="inlineStr">
        <is>
          <t>VÄSTERNORRLANDS LÄN</t>
        </is>
      </c>
      <c r="E2940" t="inlineStr">
        <is>
          <t>SOLLEFTEÅ</t>
        </is>
      </c>
      <c r="F2940" t="inlineStr">
        <is>
          <t>SCA</t>
        </is>
      </c>
      <c r="G2940" t="n">
        <v>31.9</v>
      </c>
      <c r="H2940" t="n">
        <v>0</v>
      </c>
      <c r="I2940" t="n">
        <v>0</v>
      </c>
      <c r="J2940" t="n">
        <v>0</v>
      </c>
      <c r="K2940" t="n">
        <v>0</v>
      </c>
      <c r="L2940" t="n">
        <v>0</v>
      </c>
      <c r="M2940" t="n">
        <v>0</v>
      </c>
      <c r="N2940" t="n">
        <v>0</v>
      </c>
      <c r="O2940" t="n">
        <v>0</v>
      </c>
      <c r="P2940" t="n">
        <v>0</v>
      </c>
      <c r="Q2940" t="n">
        <v>0</v>
      </c>
      <c r="R2940" s="2" t="inlineStr"/>
    </row>
    <row r="2941" ht="15" customHeight="1">
      <c r="A2941" t="inlineStr">
        <is>
          <t>A 26937-2024</t>
        </is>
      </c>
      <c r="B2941" s="1" t="n">
        <v>45471</v>
      </c>
      <c r="C2941" s="1" t="n">
        <v>45669</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27025-2024</t>
        </is>
      </c>
      <c r="B2942" s="1" t="n">
        <v>45471</v>
      </c>
      <c r="C2942" s="1" t="n">
        <v>45669</v>
      </c>
      <c r="D2942" t="inlineStr">
        <is>
          <t>VÄSTERNORRLANDS LÄN</t>
        </is>
      </c>
      <c r="E2942" t="inlineStr">
        <is>
          <t>SOLLEFTEÅ</t>
        </is>
      </c>
      <c r="F2942" t="inlineStr">
        <is>
          <t>Holmen skog AB</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27071-2024</t>
        </is>
      </c>
      <c r="B2943" s="1" t="n">
        <v>45471</v>
      </c>
      <c r="C2943" s="1" t="n">
        <v>45669</v>
      </c>
      <c r="D2943" t="inlineStr">
        <is>
          <t>VÄSTERNORRLANDS LÄN</t>
        </is>
      </c>
      <c r="E2943" t="inlineStr">
        <is>
          <t>SOLLEFTEÅ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27293-2024</t>
        </is>
      </c>
      <c r="B2944" s="1" t="n">
        <v>45472</v>
      </c>
      <c r="C2944" s="1" t="n">
        <v>45669</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27314-2024</t>
        </is>
      </c>
      <c r="B2945" s="1" t="n">
        <v>45472</v>
      </c>
      <c r="C2945" s="1" t="n">
        <v>45669</v>
      </c>
      <c r="D2945" t="inlineStr">
        <is>
          <t>VÄSTERNORRLANDS LÄN</t>
        </is>
      </c>
      <c r="E2945" t="inlineStr">
        <is>
          <t>SOLLEFTEÅ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27377-2024</t>
        </is>
      </c>
      <c r="B2946" s="1" t="n">
        <v>45473</v>
      </c>
      <c r="C2946" s="1" t="n">
        <v>45669</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27639-2024</t>
        </is>
      </c>
      <c r="B2947" s="1" t="n">
        <v>45474</v>
      </c>
      <c r="C2947" s="1" t="n">
        <v>45669</v>
      </c>
      <c r="D2947" t="inlineStr">
        <is>
          <t>VÄSTERNORRLANDS LÄN</t>
        </is>
      </c>
      <c r="E2947" t="inlineStr">
        <is>
          <t>SOLLEFTEÅ</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27634-2024</t>
        </is>
      </c>
      <c r="B2948" s="1" t="n">
        <v>45475</v>
      </c>
      <c r="C2948" s="1" t="n">
        <v>45669</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27633-2024</t>
        </is>
      </c>
      <c r="B2949" s="1" t="n">
        <v>45475</v>
      </c>
      <c r="C2949" s="1" t="n">
        <v>45669</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27641-2024</t>
        </is>
      </c>
      <c r="B2950" s="1" t="n">
        <v>45475</v>
      </c>
      <c r="C2950" s="1" t="n">
        <v>45669</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27922-2024</t>
        </is>
      </c>
      <c r="B2951" s="1" t="n">
        <v>45476</v>
      </c>
      <c r="C2951" s="1" t="n">
        <v>45669</v>
      </c>
      <c r="D2951" t="inlineStr">
        <is>
          <t>VÄSTERNORRLANDS LÄN</t>
        </is>
      </c>
      <c r="E2951" t="inlineStr">
        <is>
          <t>SOLLEFTEÅ</t>
        </is>
      </c>
      <c r="F2951" t="inlineStr">
        <is>
          <t>SCA</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27927-2024</t>
        </is>
      </c>
      <c r="B2952" s="1" t="n">
        <v>45475</v>
      </c>
      <c r="C2952" s="1" t="n">
        <v>45669</v>
      </c>
      <c r="D2952" t="inlineStr">
        <is>
          <t>VÄSTERNORRLANDS LÄN</t>
        </is>
      </c>
      <c r="E2952" t="inlineStr">
        <is>
          <t>SOLLEFTEÅ</t>
        </is>
      </c>
      <c r="F2952" t="inlineStr">
        <is>
          <t>SCA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27911-2024</t>
        </is>
      </c>
      <c r="B2953" s="1" t="n">
        <v>45475</v>
      </c>
      <c r="C2953" s="1" t="n">
        <v>45669</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27908-2024</t>
        </is>
      </c>
      <c r="B2954" s="1" t="n">
        <v>45476</v>
      </c>
      <c r="C2954" s="1" t="n">
        <v>45669</v>
      </c>
      <c r="D2954" t="inlineStr">
        <is>
          <t>VÄSTERNORRLANDS LÄN</t>
        </is>
      </c>
      <c r="E2954" t="inlineStr">
        <is>
          <t>SOLLEFTEÅ</t>
        </is>
      </c>
      <c r="F2954" t="inlineStr">
        <is>
          <t>SCA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27916-2024</t>
        </is>
      </c>
      <c r="B2955" s="1" t="n">
        <v>45476</v>
      </c>
      <c r="C2955" s="1" t="n">
        <v>45669</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27848-2024</t>
        </is>
      </c>
      <c r="B2956" s="1" t="n">
        <v>45475</v>
      </c>
      <c r="C2956" s="1" t="n">
        <v>45669</v>
      </c>
      <c r="D2956" t="inlineStr">
        <is>
          <t>VÄSTERNORRLANDS LÄN</t>
        </is>
      </c>
      <c r="E2956" t="inlineStr">
        <is>
          <t>SOLLEFTEÅ</t>
        </is>
      </c>
      <c r="F2956" t="inlineStr">
        <is>
          <t>Holmen skog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27901-2024</t>
        </is>
      </c>
      <c r="B2957" s="1" t="n">
        <v>45476</v>
      </c>
      <c r="C2957" s="1" t="n">
        <v>45669</v>
      </c>
      <c r="D2957" t="inlineStr">
        <is>
          <t>VÄSTERNORRLANDS LÄN</t>
        </is>
      </c>
      <c r="E2957" t="inlineStr">
        <is>
          <t>SOLLEFTEÅ</t>
        </is>
      </c>
      <c r="G2957" t="n">
        <v>12.7</v>
      </c>
      <c r="H2957" t="n">
        <v>0</v>
      </c>
      <c r="I2957" t="n">
        <v>0</v>
      </c>
      <c r="J2957" t="n">
        <v>0</v>
      </c>
      <c r="K2957" t="n">
        <v>0</v>
      </c>
      <c r="L2957" t="n">
        <v>0</v>
      </c>
      <c r="M2957" t="n">
        <v>0</v>
      </c>
      <c r="N2957" t="n">
        <v>0</v>
      </c>
      <c r="O2957" t="n">
        <v>0</v>
      </c>
      <c r="P2957" t="n">
        <v>0</v>
      </c>
      <c r="Q2957" t="n">
        <v>0</v>
      </c>
      <c r="R2957" s="2" t="inlineStr"/>
    </row>
    <row r="2958" ht="15" customHeight="1">
      <c r="A2958" t="inlineStr">
        <is>
          <t>A 27925-2024</t>
        </is>
      </c>
      <c r="B2958" s="1" t="n">
        <v>45475</v>
      </c>
      <c r="C2958" s="1" t="n">
        <v>45669</v>
      </c>
      <c r="D2958" t="inlineStr">
        <is>
          <t>VÄSTERNORRLANDS LÄN</t>
        </is>
      </c>
      <c r="E2958" t="inlineStr">
        <is>
          <t>SOLLEFTEÅ</t>
        </is>
      </c>
      <c r="G2958" t="n">
        <v>19.8</v>
      </c>
      <c r="H2958" t="n">
        <v>0</v>
      </c>
      <c r="I2958" t="n">
        <v>0</v>
      </c>
      <c r="J2958" t="n">
        <v>0</v>
      </c>
      <c r="K2958" t="n">
        <v>0</v>
      </c>
      <c r="L2958" t="n">
        <v>0</v>
      </c>
      <c r="M2958" t="n">
        <v>0</v>
      </c>
      <c r="N2958" t="n">
        <v>0</v>
      </c>
      <c r="O2958" t="n">
        <v>0</v>
      </c>
      <c r="P2958" t="n">
        <v>0</v>
      </c>
      <c r="Q2958" t="n">
        <v>0</v>
      </c>
      <c r="R2958" s="2" t="inlineStr"/>
    </row>
    <row r="2959" ht="15" customHeight="1">
      <c r="A2959" t="inlineStr">
        <is>
          <t>A 27789-2024</t>
        </is>
      </c>
      <c r="B2959" s="1" t="n">
        <v>45475</v>
      </c>
      <c r="C2959" s="1" t="n">
        <v>45669</v>
      </c>
      <c r="D2959" t="inlineStr">
        <is>
          <t>VÄSTERNORRLANDS LÄN</t>
        </is>
      </c>
      <c r="E2959" t="inlineStr">
        <is>
          <t>SOLLEFTEÅ</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27924-2024</t>
        </is>
      </c>
      <c r="B2960" s="1" t="n">
        <v>45475</v>
      </c>
      <c r="C2960" s="1" t="n">
        <v>45669</v>
      </c>
      <c r="D2960" t="inlineStr">
        <is>
          <t>VÄSTERNORRLANDS LÄN</t>
        </is>
      </c>
      <c r="E2960" t="inlineStr">
        <is>
          <t>SOLLEFTEÅ</t>
        </is>
      </c>
      <c r="F2960" t="inlineStr">
        <is>
          <t>SCA</t>
        </is>
      </c>
      <c r="G2960" t="n">
        <v>23.5</v>
      </c>
      <c r="H2960" t="n">
        <v>0</v>
      </c>
      <c r="I2960" t="n">
        <v>0</v>
      </c>
      <c r="J2960" t="n">
        <v>0</v>
      </c>
      <c r="K2960" t="n">
        <v>0</v>
      </c>
      <c r="L2960" t="n">
        <v>0</v>
      </c>
      <c r="M2960" t="n">
        <v>0</v>
      </c>
      <c r="N2960" t="n">
        <v>0</v>
      </c>
      <c r="O2960" t="n">
        <v>0</v>
      </c>
      <c r="P2960" t="n">
        <v>0</v>
      </c>
      <c r="Q2960" t="n">
        <v>0</v>
      </c>
      <c r="R2960" s="2" t="inlineStr"/>
    </row>
    <row r="2961" ht="15" customHeight="1">
      <c r="A2961" t="inlineStr">
        <is>
          <t>A 27936-2024</t>
        </is>
      </c>
      <c r="B2961" s="1" t="n">
        <v>45476</v>
      </c>
      <c r="C2961" s="1" t="n">
        <v>45669</v>
      </c>
      <c r="D2961" t="inlineStr">
        <is>
          <t>VÄSTERNORRLANDS LÄN</t>
        </is>
      </c>
      <c r="E2961" t="inlineStr">
        <is>
          <t>SOLLEFTEÅ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28159-2024</t>
        </is>
      </c>
      <c r="B2962" s="1" t="n">
        <v>45477</v>
      </c>
      <c r="C2962" s="1" t="n">
        <v>45669</v>
      </c>
      <c r="D2962" t="inlineStr">
        <is>
          <t>VÄSTERNORRLANDS LÄN</t>
        </is>
      </c>
      <c r="E2962" t="inlineStr">
        <is>
          <t>SOLLEFTEÅ</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28164-2024</t>
        </is>
      </c>
      <c r="B2963" s="1" t="n">
        <v>45476</v>
      </c>
      <c r="C2963" s="1" t="n">
        <v>45669</v>
      </c>
      <c r="D2963" t="inlineStr">
        <is>
          <t>VÄSTERNORRLANDS LÄN</t>
        </is>
      </c>
      <c r="E2963" t="inlineStr">
        <is>
          <t>SOLLEFTEÅ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28170-2024</t>
        </is>
      </c>
      <c r="B2964" s="1" t="n">
        <v>45477</v>
      </c>
      <c r="C2964" s="1" t="n">
        <v>45669</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28162-2024</t>
        </is>
      </c>
      <c r="B2965" s="1" t="n">
        <v>45476</v>
      </c>
      <c r="C2965" s="1" t="n">
        <v>45669</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28327-2024</t>
        </is>
      </c>
      <c r="B2966" s="1" t="n">
        <v>45477</v>
      </c>
      <c r="C2966" s="1" t="n">
        <v>45669</v>
      </c>
      <c r="D2966" t="inlineStr">
        <is>
          <t>VÄSTERNORRLANDS LÄN</t>
        </is>
      </c>
      <c r="E2966" t="inlineStr">
        <is>
          <t>SOLLEFTEÅ</t>
        </is>
      </c>
      <c r="F2966" t="inlineStr">
        <is>
          <t>Holmen skog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28269-2024</t>
        </is>
      </c>
      <c r="B2967" s="1" t="n">
        <v>45477</v>
      </c>
      <c r="C2967" s="1" t="n">
        <v>45669</v>
      </c>
      <c r="D2967" t="inlineStr">
        <is>
          <t>VÄSTERNORRLANDS LÄN</t>
        </is>
      </c>
      <c r="E2967" t="inlineStr">
        <is>
          <t>SOLLEFTEÅ</t>
        </is>
      </c>
      <c r="F2967" t="inlineStr">
        <is>
          <t>Holmen skog AB</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28499-2024</t>
        </is>
      </c>
      <c r="B2968" s="1" t="n">
        <v>45478</v>
      </c>
      <c r="C2968" s="1" t="n">
        <v>45669</v>
      </c>
      <c r="D2968" t="inlineStr">
        <is>
          <t>VÄSTERNORRLANDS LÄN</t>
        </is>
      </c>
      <c r="E2968" t="inlineStr">
        <is>
          <t>SOLLEFTEÅ</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28354-2024</t>
        </is>
      </c>
      <c r="B2969" s="1" t="n">
        <v>45477</v>
      </c>
      <c r="C2969" s="1" t="n">
        <v>45669</v>
      </c>
      <c r="D2969" t="inlineStr">
        <is>
          <t>VÄSTERNORRLANDS LÄN</t>
        </is>
      </c>
      <c r="E2969" t="inlineStr">
        <is>
          <t>SOLLEFTEÅ</t>
        </is>
      </c>
      <c r="F2969" t="inlineStr">
        <is>
          <t>Holmen skog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28290-2024</t>
        </is>
      </c>
      <c r="B2970" s="1" t="n">
        <v>45477</v>
      </c>
      <c r="C2970" s="1" t="n">
        <v>45669</v>
      </c>
      <c r="D2970" t="inlineStr">
        <is>
          <t>VÄSTERNORRLANDS LÄN</t>
        </is>
      </c>
      <c r="E2970" t="inlineStr">
        <is>
          <t>SOLLEFTEÅ</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28579-2024</t>
        </is>
      </c>
      <c r="B2971" s="1" t="n">
        <v>45478</v>
      </c>
      <c r="C2971" s="1" t="n">
        <v>45669</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28576-2024</t>
        </is>
      </c>
      <c r="B2972" s="1" t="n">
        <v>45478</v>
      </c>
      <c r="C2972" s="1" t="n">
        <v>45669</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28580-2024</t>
        </is>
      </c>
      <c r="B2973" s="1" t="n">
        <v>45478</v>
      </c>
      <c r="C2973" s="1" t="n">
        <v>45669</v>
      </c>
      <c r="D2973" t="inlineStr">
        <is>
          <t>VÄSTERNORRLANDS LÄN</t>
        </is>
      </c>
      <c r="E2973" t="inlineStr">
        <is>
          <t>SOLLEFTEÅ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28866-2024</t>
        </is>
      </c>
      <c r="B2974" s="1" t="n">
        <v>45478</v>
      </c>
      <c r="C2974" s="1" t="n">
        <v>45669</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28790-2024</t>
        </is>
      </c>
      <c r="B2975" s="1" t="n">
        <v>45478</v>
      </c>
      <c r="C2975" s="1" t="n">
        <v>45669</v>
      </c>
      <c r="D2975" t="inlineStr">
        <is>
          <t>VÄSTERNORRLANDS LÄN</t>
        </is>
      </c>
      <c r="E2975" t="inlineStr">
        <is>
          <t>SOLLEFTEÅ</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29059-2024</t>
        </is>
      </c>
      <c r="B2976" s="1" t="n">
        <v>45481</v>
      </c>
      <c r="C2976" s="1" t="n">
        <v>45669</v>
      </c>
      <c r="D2976" t="inlineStr">
        <is>
          <t>VÄSTERNORRLANDS LÄN</t>
        </is>
      </c>
      <c r="E2976" t="inlineStr">
        <is>
          <t>SOLLEFTEÅ</t>
        </is>
      </c>
      <c r="F2976" t="inlineStr">
        <is>
          <t>Kyrkan</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29055-2024</t>
        </is>
      </c>
      <c r="B2977" s="1" t="n">
        <v>45481</v>
      </c>
      <c r="C2977" s="1" t="n">
        <v>45669</v>
      </c>
      <c r="D2977" t="inlineStr">
        <is>
          <t>VÄSTERNORRLANDS LÄN</t>
        </is>
      </c>
      <c r="E2977" t="inlineStr">
        <is>
          <t>SOLLEFTEÅ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29054-2024</t>
        </is>
      </c>
      <c r="B2978" s="1" t="n">
        <v>45481</v>
      </c>
      <c r="C2978" s="1" t="n">
        <v>45669</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29211-2024</t>
        </is>
      </c>
      <c r="B2979" s="1" t="n">
        <v>45482</v>
      </c>
      <c r="C2979" s="1" t="n">
        <v>45669</v>
      </c>
      <c r="D2979" t="inlineStr">
        <is>
          <t>VÄSTERNORRLANDS LÄN</t>
        </is>
      </c>
      <c r="E2979" t="inlineStr">
        <is>
          <t>SOLLEFTEÅ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29258-2024</t>
        </is>
      </c>
      <c r="B2980" s="1" t="n">
        <v>45483</v>
      </c>
      <c r="C2980" s="1" t="n">
        <v>45669</v>
      </c>
      <c r="D2980" t="inlineStr">
        <is>
          <t>VÄSTERNORRLANDS LÄN</t>
        </is>
      </c>
      <c r="E2980" t="inlineStr">
        <is>
          <t>SOLLEFTEÅ</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29248-2024</t>
        </is>
      </c>
      <c r="B2981" s="1" t="n">
        <v>45482</v>
      </c>
      <c r="C2981" s="1" t="n">
        <v>45669</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29457-2024</t>
        </is>
      </c>
      <c r="B2982" s="1" t="n">
        <v>45484</v>
      </c>
      <c r="C2982" s="1" t="n">
        <v>45669</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29459-2024</t>
        </is>
      </c>
      <c r="B2983" s="1" t="n">
        <v>45484</v>
      </c>
      <c r="C2983" s="1" t="n">
        <v>45669</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29693-2024</t>
        </is>
      </c>
      <c r="B2984" s="1" t="n">
        <v>45485</v>
      </c>
      <c r="C2984" s="1" t="n">
        <v>45669</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29575-2024</t>
        </is>
      </c>
      <c r="B2985" s="1" t="n">
        <v>45484</v>
      </c>
      <c r="C2985" s="1" t="n">
        <v>45669</v>
      </c>
      <c r="D2985" t="inlineStr">
        <is>
          <t>VÄSTERNORRLANDS LÄN</t>
        </is>
      </c>
      <c r="E2985" t="inlineStr">
        <is>
          <t>SOLLEFTEÅ</t>
        </is>
      </c>
      <c r="G2985" t="n">
        <v>12.9</v>
      </c>
      <c r="H2985" t="n">
        <v>0</v>
      </c>
      <c r="I2985" t="n">
        <v>0</v>
      </c>
      <c r="J2985" t="n">
        <v>0</v>
      </c>
      <c r="K2985" t="n">
        <v>0</v>
      </c>
      <c r="L2985" t="n">
        <v>0</v>
      </c>
      <c r="M2985" t="n">
        <v>0</v>
      </c>
      <c r="N2985" t="n">
        <v>0</v>
      </c>
      <c r="O2985" t="n">
        <v>0</v>
      </c>
      <c r="P2985" t="n">
        <v>0</v>
      </c>
      <c r="Q2985" t="n">
        <v>0</v>
      </c>
      <c r="R2985" s="2" t="inlineStr"/>
    </row>
    <row r="2986" ht="15" customHeight="1">
      <c r="A2986" t="inlineStr">
        <is>
          <t>A 29871-2024</t>
        </is>
      </c>
      <c r="B2986" s="1" t="n">
        <v>45486</v>
      </c>
      <c r="C2986" s="1" t="n">
        <v>45669</v>
      </c>
      <c r="D2986" t="inlineStr">
        <is>
          <t>VÄSTERNORRLANDS LÄN</t>
        </is>
      </c>
      <c r="E2986" t="inlineStr">
        <is>
          <t>SOLLEFTEÅ</t>
        </is>
      </c>
      <c r="F2986" t="inlineStr">
        <is>
          <t>SCA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29839-2024</t>
        </is>
      </c>
      <c r="B2987" s="1" t="n">
        <v>45485</v>
      </c>
      <c r="C2987" s="1" t="n">
        <v>45669</v>
      </c>
      <c r="D2987" t="inlineStr">
        <is>
          <t>VÄSTERNORRLANDS LÄN</t>
        </is>
      </c>
      <c r="E2987" t="inlineStr">
        <is>
          <t>SOLLEFTEÅ</t>
        </is>
      </c>
      <c r="F2987" t="inlineStr">
        <is>
          <t>Holmen skog AB</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29755-2024</t>
        </is>
      </c>
      <c r="B2988" s="1" t="n">
        <v>45485</v>
      </c>
      <c r="C2988" s="1" t="n">
        <v>45669</v>
      </c>
      <c r="D2988" t="inlineStr">
        <is>
          <t>VÄSTERNORRLANDS LÄN</t>
        </is>
      </c>
      <c r="E2988" t="inlineStr">
        <is>
          <t>SOLLEFTEÅ</t>
        </is>
      </c>
      <c r="F2988" t="inlineStr">
        <is>
          <t>Holmen skog AB</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29870-2024</t>
        </is>
      </c>
      <c r="B2989" s="1" t="n">
        <v>45486</v>
      </c>
      <c r="C2989" s="1" t="n">
        <v>45669</v>
      </c>
      <c r="D2989" t="inlineStr">
        <is>
          <t>VÄSTERNORRLANDS LÄN</t>
        </is>
      </c>
      <c r="E2989" t="inlineStr">
        <is>
          <t>SOLLEFTEÅ</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29869-2024</t>
        </is>
      </c>
      <c r="B2990" s="1" t="n">
        <v>45486</v>
      </c>
      <c r="C2990" s="1" t="n">
        <v>45669</v>
      </c>
      <c r="D2990" t="inlineStr">
        <is>
          <t>VÄSTERNORRLANDS LÄN</t>
        </is>
      </c>
      <c r="E2990" t="inlineStr">
        <is>
          <t>SOLLEFTEÅ</t>
        </is>
      </c>
      <c r="F2990" t="inlineStr">
        <is>
          <t>SCA</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29914-2024</t>
        </is>
      </c>
      <c r="B2991" s="1" t="n">
        <v>45488</v>
      </c>
      <c r="C2991" s="1" t="n">
        <v>45669</v>
      </c>
      <c r="D2991" t="inlineStr">
        <is>
          <t>VÄSTERNORRLANDS LÄN</t>
        </is>
      </c>
      <c r="E2991" t="inlineStr">
        <is>
          <t>SOLLEFTEÅ</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29915-2024</t>
        </is>
      </c>
      <c r="B2992" s="1" t="n">
        <v>45488</v>
      </c>
      <c r="C2992" s="1" t="n">
        <v>45669</v>
      </c>
      <c r="D2992" t="inlineStr">
        <is>
          <t>VÄSTERNORRLANDS LÄN</t>
        </is>
      </c>
      <c r="E2992" t="inlineStr">
        <is>
          <t>SOLLEFTEÅ</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29913-2024</t>
        </is>
      </c>
      <c r="B2993" s="1" t="n">
        <v>45488</v>
      </c>
      <c r="C2993" s="1" t="n">
        <v>45669</v>
      </c>
      <c r="D2993" t="inlineStr">
        <is>
          <t>VÄSTERNORRLANDS LÄN</t>
        </is>
      </c>
      <c r="E2993" t="inlineStr">
        <is>
          <t>SOLLEFTEÅ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29916-2024</t>
        </is>
      </c>
      <c r="B2994" s="1" t="n">
        <v>45488</v>
      </c>
      <c r="C2994" s="1" t="n">
        <v>45669</v>
      </c>
      <c r="D2994" t="inlineStr">
        <is>
          <t>VÄSTERNORRLANDS LÄN</t>
        </is>
      </c>
      <c r="E2994" t="inlineStr">
        <is>
          <t>SOLLEFTEÅ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30063-2024</t>
        </is>
      </c>
      <c r="B2995" s="1" t="n">
        <v>45489</v>
      </c>
      <c r="C2995" s="1" t="n">
        <v>45669</v>
      </c>
      <c r="D2995" t="inlineStr">
        <is>
          <t>VÄSTERNORRLANDS LÄN</t>
        </is>
      </c>
      <c r="E2995" t="inlineStr">
        <is>
          <t>SOLLEFTEÅ</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30060-2024</t>
        </is>
      </c>
      <c r="B2996" s="1" t="n">
        <v>45489</v>
      </c>
      <c r="C2996" s="1" t="n">
        <v>45669</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30068-2024</t>
        </is>
      </c>
      <c r="B2997" s="1" t="n">
        <v>45489</v>
      </c>
      <c r="C2997" s="1" t="n">
        <v>45669</v>
      </c>
      <c r="D2997" t="inlineStr">
        <is>
          <t>VÄSTERNORRLANDS LÄN</t>
        </is>
      </c>
      <c r="E2997" t="inlineStr">
        <is>
          <t>SOLLEFTEÅ</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30061-2024</t>
        </is>
      </c>
      <c r="B2998" s="1" t="n">
        <v>45489</v>
      </c>
      <c r="C2998" s="1" t="n">
        <v>45669</v>
      </c>
      <c r="D2998" t="inlineStr">
        <is>
          <t>VÄSTERNORRLANDS LÄN</t>
        </is>
      </c>
      <c r="E2998" t="inlineStr">
        <is>
          <t>SOLLEFTEÅ</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30069-2024</t>
        </is>
      </c>
      <c r="B2999" s="1" t="n">
        <v>45489</v>
      </c>
      <c r="C2999" s="1" t="n">
        <v>45669</v>
      </c>
      <c r="D2999" t="inlineStr">
        <is>
          <t>VÄSTERNORRLANDS LÄN</t>
        </is>
      </c>
      <c r="E2999" t="inlineStr">
        <is>
          <t>SOLLEFTEÅ</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30214-2024</t>
        </is>
      </c>
      <c r="B3000" s="1" t="n">
        <v>45490</v>
      </c>
      <c r="C3000" s="1" t="n">
        <v>45669</v>
      </c>
      <c r="D3000" t="inlineStr">
        <is>
          <t>VÄSTERNORRLANDS LÄN</t>
        </is>
      </c>
      <c r="E3000" t="inlineStr">
        <is>
          <t>SOLLEFTEÅ</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30327-2024</t>
        </is>
      </c>
      <c r="B3001" s="1" t="n">
        <v>45491</v>
      </c>
      <c r="C3001" s="1" t="n">
        <v>45669</v>
      </c>
      <c r="D3001" t="inlineStr">
        <is>
          <t>VÄSTERNORRLANDS LÄN</t>
        </is>
      </c>
      <c r="E3001" t="inlineStr">
        <is>
          <t>SOLLEFTEÅ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30328-2024</t>
        </is>
      </c>
      <c r="B3002" s="1" t="n">
        <v>45491</v>
      </c>
      <c r="C3002" s="1" t="n">
        <v>45669</v>
      </c>
      <c r="D3002" t="inlineStr">
        <is>
          <t>VÄSTERNORRLANDS LÄN</t>
        </is>
      </c>
      <c r="E3002" t="inlineStr">
        <is>
          <t>SOLLEFTEÅ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30329-2024</t>
        </is>
      </c>
      <c r="B3003" s="1" t="n">
        <v>45491</v>
      </c>
      <c r="C3003" s="1" t="n">
        <v>45669</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30325-2024</t>
        </is>
      </c>
      <c r="B3004" s="1" t="n">
        <v>45491</v>
      </c>
      <c r="C3004" s="1" t="n">
        <v>45669</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30466-2024</t>
        </is>
      </c>
      <c r="B3005" s="1" t="n">
        <v>45492</v>
      </c>
      <c r="C3005" s="1" t="n">
        <v>45669</v>
      </c>
      <c r="D3005" t="inlineStr">
        <is>
          <t>VÄSTERNORRLANDS LÄN</t>
        </is>
      </c>
      <c r="E3005" t="inlineStr">
        <is>
          <t>SOLLEFTEÅ</t>
        </is>
      </c>
      <c r="F3005" t="inlineStr">
        <is>
          <t>SCA</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30476-2024</t>
        </is>
      </c>
      <c r="B3006" s="1" t="n">
        <v>45492</v>
      </c>
      <c r="C3006" s="1" t="n">
        <v>45669</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30464-2024</t>
        </is>
      </c>
      <c r="B3007" s="1" t="n">
        <v>45492</v>
      </c>
      <c r="C3007" s="1" t="n">
        <v>45669</v>
      </c>
      <c r="D3007" t="inlineStr">
        <is>
          <t>VÄSTERNORRLANDS LÄN</t>
        </is>
      </c>
      <c r="E3007" t="inlineStr">
        <is>
          <t>SOLLEFTEÅ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30570-2024</t>
        </is>
      </c>
      <c r="B3008" s="1" t="n">
        <v>45493</v>
      </c>
      <c r="C3008" s="1" t="n">
        <v>45669</v>
      </c>
      <c r="D3008" t="inlineStr">
        <is>
          <t>VÄSTERNORRLANDS LÄN</t>
        </is>
      </c>
      <c r="E3008" t="inlineStr">
        <is>
          <t>SOLLEFTEÅ</t>
        </is>
      </c>
      <c r="F3008" t="inlineStr">
        <is>
          <t>SCA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30812-2024</t>
        </is>
      </c>
      <c r="B3009" s="1" t="n">
        <v>45497</v>
      </c>
      <c r="C3009" s="1" t="n">
        <v>45669</v>
      </c>
      <c r="D3009" t="inlineStr">
        <is>
          <t>VÄSTERNORRLANDS LÄN</t>
        </is>
      </c>
      <c r="E3009" t="inlineStr">
        <is>
          <t>SOLLEFTEÅ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31521-2024</t>
        </is>
      </c>
      <c r="B3010" s="1" t="n">
        <v>45505</v>
      </c>
      <c r="C3010" s="1" t="n">
        <v>45669</v>
      </c>
      <c r="D3010" t="inlineStr">
        <is>
          <t>VÄSTERNORRLANDS LÄN</t>
        </is>
      </c>
      <c r="E3010" t="inlineStr">
        <is>
          <t>SOLLEFTEÅ</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31482-2024</t>
        </is>
      </c>
      <c r="B3011" s="1" t="n">
        <v>45505</v>
      </c>
      <c r="C3011" s="1" t="n">
        <v>45669</v>
      </c>
      <c r="D3011" t="inlineStr">
        <is>
          <t>VÄSTERNORRLANDS LÄN</t>
        </is>
      </c>
      <c r="E3011" t="inlineStr">
        <is>
          <t>SOLLEFTEÅ</t>
        </is>
      </c>
      <c r="F3011" t="inlineStr">
        <is>
          <t>SCA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31555-2024</t>
        </is>
      </c>
      <c r="B3012" s="1" t="n">
        <v>45506</v>
      </c>
      <c r="C3012" s="1" t="n">
        <v>45669</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31547-2024</t>
        </is>
      </c>
      <c r="B3013" s="1" t="n">
        <v>45506</v>
      </c>
      <c r="C3013" s="1" t="n">
        <v>45669</v>
      </c>
      <c r="D3013" t="inlineStr">
        <is>
          <t>VÄSTERNORRLANDS LÄN</t>
        </is>
      </c>
      <c r="E3013" t="inlineStr">
        <is>
          <t>SOLLEFTEÅ</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31556-2024</t>
        </is>
      </c>
      <c r="B3014" s="1" t="n">
        <v>45505</v>
      </c>
      <c r="C3014" s="1" t="n">
        <v>45669</v>
      </c>
      <c r="D3014" t="inlineStr">
        <is>
          <t>VÄSTERNORRLANDS LÄN</t>
        </is>
      </c>
      <c r="E3014" t="inlineStr">
        <is>
          <t>SOLLEFTEÅ</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31480-2024</t>
        </is>
      </c>
      <c r="B3015" s="1" t="n">
        <v>45506</v>
      </c>
      <c r="C3015" s="1" t="n">
        <v>45669</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31496-2024</t>
        </is>
      </c>
      <c r="B3016" s="1" t="n">
        <v>45506</v>
      </c>
      <c r="C3016" s="1" t="n">
        <v>45669</v>
      </c>
      <c r="D3016" t="inlineStr">
        <is>
          <t>VÄSTERNORRLANDS LÄN</t>
        </is>
      </c>
      <c r="E3016" t="inlineStr">
        <is>
          <t>SOLLEFTEÅ</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31562-2024</t>
        </is>
      </c>
      <c r="B3017" s="1" t="n">
        <v>45505</v>
      </c>
      <c r="C3017" s="1" t="n">
        <v>45669</v>
      </c>
      <c r="D3017" t="inlineStr">
        <is>
          <t>VÄSTERNORRLANDS LÄN</t>
        </is>
      </c>
      <c r="E3017" t="inlineStr">
        <is>
          <t>SOLLEFTEÅ</t>
        </is>
      </c>
      <c r="F3017" t="inlineStr">
        <is>
          <t>SCA</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31549-2024</t>
        </is>
      </c>
      <c r="B3018" s="1" t="n">
        <v>45506</v>
      </c>
      <c r="C3018" s="1" t="n">
        <v>45669</v>
      </c>
      <c r="D3018" t="inlineStr">
        <is>
          <t>VÄSTERNORRLANDS LÄN</t>
        </is>
      </c>
      <c r="E3018" t="inlineStr">
        <is>
          <t>SOLLEFTEÅ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31537-2024</t>
        </is>
      </c>
      <c r="B3019" s="1" t="n">
        <v>45506</v>
      </c>
      <c r="C3019" s="1" t="n">
        <v>45669</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31511-2024</t>
        </is>
      </c>
      <c r="B3020" s="1" t="n">
        <v>45506</v>
      </c>
      <c r="C3020" s="1" t="n">
        <v>45669</v>
      </c>
      <c r="D3020" t="inlineStr">
        <is>
          <t>VÄSTERNORRLANDS LÄN</t>
        </is>
      </c>
      <c r="E3020" t="inlineStr">
        <is>
          <t>SOLLEFTEÅ</t>
        </is>
      </c>
      <c r="F3020" t="inlineStr">
        <is>
          <t>SCA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31481-2024</t>
        </is>
      </c>
      <c r="B3021" s="1" t="n">
        <v>45505</v>
      </c>
      <c r="C3021" s="1" t="n">
        <v>45669</v>
      </c>
      <c r="D3021" t="inlineStr">
        <is>
          <t>VÄSTERNORRLANDS LÄN</t>
        </is>
      </c>
      <c r="E3021" t="inlineStr">
        <is>
          <t>SOLLEFTEÅ</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31559-2024</t>
        </is>
      </c>
      <c r="B3022" s="1" t="n">
        <v>45506</v>
      </c>
      <c r="C3022" s="1" t="n">
        <v>45669</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31554-2024</t>
        </is>
      </c>
      <c r="B3023" s="1" t="n">
        <v>45506</v>
      </c>
      <c r="C3023" s="1" t="n">
        <v>45669</v>
      </c>
      <c r="D3023" t="inlineStr">
        <is>
          <t>VÄSTERNORRLANDS LÄN</t>
        </is>
      </c>
      <c r="E3023" t="inlineStr">
        <is>
          <t>SOLLEFTEÅ</t>
        </is>
      </c>
      <c r="F3023" t="inlineStr">
        <is>
          <t>SCA</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31550-2024</t>
        </is>
      </c>
      <c r="B3024" s="1" t="n">
        <v>45505</v>
      </c>
      <c r="C3024" s="1" t="n">
        <v>45669</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31477-2024</t>
        </is>
      </c>
      <c r="B3025" s="1" t="n">
        <v>45505</v>
      </c>
      <c r="C3025" s="1" t="n">
        <v>45669</v>
      </c>
      <c r="D3025" t="inlineStr">
        <is>
          <t>VÄSTERNORRLANDS LÄN</t>
        </is>
      </c>
      <c r="E3025" t="inlineStr">
        <is>
          <t>SOLLEFTEÅ</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31528-2024</t>
        </is>
      </c>
      <c r="B3026" s="1" t="n">
        <v>45505</v>
      </c>
      <c r="C3026" s="1" t="n">
        <v>45669</v>
      </c>
      <c r="D3026" t="inlineStr">
        <is>
          <t>VÄSTERNORRLANDS LÄN</t>
        </is>
      </c>
      <c r="E3026" t="inlineStr">
        <is>
          <t>SOLLEFTEÅ</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31520-2024</t>
        </is>
      </c>
      <c r="B3027" s="1" t="n">
        <v>45505</v>
      </c>
      <c r="C3027" s="1" t="n">
        <v>45669</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31516-2024</t>
        </is>
      </c>
      <c r="B3028" s="1" t="n">
        <v>45505</v>
      </c>
      <c r="C3028" s="1" t="n">
        <v>45669</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31569-2024</t>
        </is>
      </c>
      <c r="B3029" s="1" t="n">
        <v>45505</v>
      </c>
      <c r="C3029" s="1" t="n">
        <v>45669</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31548-2024</t>
        </is>
      </c>
      <c r="B3030" s="1" t="n">
        <v>45506</v>
      </c>
      <c r="C3030" s="1" t="n">
        <v>45669</v>
      </c>
      <c r="D3030" t="inlineStr">
        <is>
          <t>VÄSTERNORRLANDS LÄN</t>
        </is>
      </c>
      <c r="E3030" t="inlineStr">
        <is>
          <t>SOLLEFTEÅ</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31680-2024</t>
        </is>
      </c>
      <c r="B3031" s="1" t="n">
        <v>45507</v>
      </c>
      <c r="C3031" s="1" t="n">
        <v>45669</v>
      </c>
      <c r="D3031" t="inlineStr">
        <is>
          <t>VÄSTERNORRLANDS LÄN</t>
        </is>
      </c>
      <c r="E3031" t="inlineStr">
        <is>
          <t>SOLLEFTEÅ</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31669-2024</t>
        </is>
      </c>
      <c r="B3032" s="1" t="n">
        <v>45507</v>
      </c>
      <c r="C3032" s="1" t="n">
        <v>45669</v>
      </c>
      <c r="D3032" t="inlineStr">
        <is>
          <t>VÄSTERNORRLANDS LÄN</t>
        </is>
      </c>
      <c r="E3032" t="inlineStr">
        <is>
          <t>SOLLEFTEÅ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31614-2024</t>
        </is>
      </c>
      <c r="B3033" s="1" t="n">
        <v>45506</v>
      </c>
      <c r="C3033" s="1" t="n">
        <v>45669</v>
      </c>
      <c r="D3033" t="inlineStr">
        <is>
          <t>VÄSTERNORRLANDS LÄN</t>
        </is>
      </c>
      <c r="E3033" t="inlineStr">
        <is>
          <t>SOLLEFTEÅ</t>
        </is>
      </c>
      <c r="F3033" t="inlineStr">
        <is>
          <t>Kommuner</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31681-2024</t>
        </is>
      </c>
      <c r="B3034" s="1" t="n">
        <v>45507</v>
      </c>
      <c r="C3034" s="1" t="n">
        <v>45669</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31658-2024</t>
        </is>
      </c>
      <c r="B3035" s="1" t="n">
        <v>45506</v>
      </c>
      <c r="C3035" s="1" t="n">
        <v>45669</v>
      </c>
      <c r="D3035" t="inlineStr">
        <is>
          <t>VÄSTERNORRLANDS LÄN</t>
        </is>
      </c>
      <c r="E3035" t="inlineStr">
        <is>
          <t>SOLLEFTEÅ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31662-2024</t>
        </is>
      </c>
      <c r="B3036" s="1" t="n">
        <v>45507</v>
      </c>
      <c r="C3036" s="1" t="n">
        <v>45669</v>
      </c>
      <c r="D3036" t="inlineStr">
        <is>
          <t>VÄSTERNORRLANDS LÄN</t>
        </is>
      </c>
      <c r="E3036" t="inlineStr">
        <is>
          <t>SOLLEFTEÅ</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31670-2024</t>
        </is>
      </c>
      <c r="B3037" s="1" t="n">
        <v>45507</v>
      </c>
      <c r="C3037" s="1" t="n">
        <v>45669</v>
      </c>
      <c r="D3037" t="inlineStr">
        <is>
          <t>VÄSTERNORRLANDS LÄN</t>
        </is>
      </c>
      <c r="E3037" t="inlineStr">
        <is>
          <t>SOLLEFTEÅ</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31686-2024</t>
        </is>
      </c>
      <c r="B3038" s="1" t="n">
        <v>45506</v>
      </c>
      <c r="C3038" s="1" t="n">
        <v>45669</v>
      </c>
      <c r="D3038" t="inlineStr">
        <is>
          <t>VÄSTERNORRLANDS LÄN</t>
        </is>
      </c>
      <c r="E3038" t="inlineStr">
        <is>
          <t>SOLLEFTEÅ</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31708-2024</t>
        </is>
      </c>
      <c r="B3039" s="1" t="n">
        <v>45509</v>
      </c>
      <c r="C3039" s="1" t="n">
        <v>45669</v>
      </c>
      <c r="D3039" t="inlineStr">
        <is>
          <t>VÄSTERNORRLANDS LÄN</t>
        </is>
      </c>
      <c r="E3039" t="inlineStr">
        <is>
          <t>SOLLEFTEÅ</t>
        </is>
      </c>
      <c r="F3039" t="inlineStr">
        <is>
          <t>SCA</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31807-2024</t>
        </is>
      </c>
      <c r="B3040" s="1" t="n">
        <v>45509</v>
      </c>
      <c r="C3040" s="1" t="n">
        <v>45669</v>
      </c>
      <c r="D3040" t="inlineStr">
        <is>
          <t>VÄSTERNORRLANDS LÄN</t>
        </is>
      </c>
      <c r="E3040" t="inlineStr">
        <is>
          <t>SOLLEFTEÅ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31886-2024</t>
        </is>
      </c>
      <c r="B3041" s="1" t="n">
        <v>45510</v>
      </c>
      <c r="C3041" s="1" t="n">
        <v>45669</v>
      </c>
      <c r="D3041" t="inlineStr">
        <is>
          <t>VÄSTERNORRLANDS LÄN</t>
        </is>
      </c>
      <c r="E3041" t="inlineStr">
        <is>
          <t>SOLLEFTEÅ</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31881-2024</t>
        </is>
      </c>
      <c r="B3042" s="1" t="n">
        <v>45509</v>
      </c>
      <c r="C3042" s="1" t="n">
        <v>45669</v>
      </c>
      <c r="D3042" t="inlineStr">
        <is>
          <t>VÄSTERNORRLANDS LÄN</t>
        </is>
      </c>
      <c r="E3042" t="inlineStr">
        <is>
          <t>SOLLEFTEÅ</t>
        </is>
      </c>
      <c r="F3042" t="inlineStr">
        <is>
          <t>SCA</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31889-2024</t>
        </is>
      </c>
      <c r="B3043" s="1" t="n">
        <v>45510</v>
      </c>
      <c r="C3043" s="1" t="n">
        <v>45669</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31880-2024</t>
        </is>
      </c>
      <c r="B3044" s="1" t="n">
        <v>45509</v>
      </c>
      <c r="C3044" s="1" t="n">
        <v>45669</v>
      </c>
      <c r="D3044" t="inlineStr">
        <is>
          <t>VÄSTERNORRLANDS LÄN</t>
        </is>
      </c>
      <c r="E3044" t="inlineStr">
        <is>
          <t>SOLLEFTEÅ</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32062-2024</t>
        </is>
      </c>
      <c r="B3045" s="1" t="n">
        <v>45510</v>
      </c>
      <c r="C3045" s="1" t="n">
        <v>45669</v>
      </c>
      <c r="D3045" t="inlineStr">
        <is>
          <t>VÄSTERNORRLANDS LÄN</t>
        </is>
      </c>
      <c r="E3045" t="inlineStr">
        <is>
          <t>SOLLEFTEÅ</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32071-2024</t>
        </is>
      </c>
      <c r="B3046" s="1" t="n">
        <v>45511</v>
      </c>
      <c r="C3046" s="1" t="n">
        <v>45669</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32242-2024</t>
        </is>
      </c>
      <c r="B3047" s="1" t="n">
        <v>45512</v>
      </c>
      <c r="C3047" s="1" t="n">
        <v>45669</v>
      </c>
      <c r="D3047" t="inlineStr">
        <is>
          <t>VÄSTERNORRLANDS LÄN</t>
        </is>
      </c>
      <c r="E3047" t="inlineStr">
        <is>
          <t>SOLLEFTEÅ</t>
        </is>
      </c>
      <c r="F3047" t="inlineStr">
        <is>
          <t>SCA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32255-2024</t>
        </is>
      </c>
      <c r="B3048" s="1" t="n">
        <v>45512</v>
      </c>
      <c r="C3048" s="1" t="n">
        <v>45669</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32140-2024</t>
        </is>
      </c>
      <c r="B3049" s="1" t="n">
        <v>45511</v>
      </c>
      <c r="C3049" s="1" t="n">
        <v>45669</v>
      </c>
      <c r="D3049" t="inlineStr">
        <is>
          <t>VÄSTERNORRLANDS LÄN</t>
        </is>
      </c>
      <c r="E3049" t="inlineStr">
        <is>
          <t>SOLLEFTEÅ</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32157-2024</t>
        </is>
      </c>
      <c r="B3050" s="1" t="n">
        <v>45511</v>
      </c>
      <c r="C3050" s="1" t="n">
        <v>45669</v>
      </c>
      <c r="D3050" t="inlineStr">
        <is>
          <t>VÄSTERNORRLANDS LÄN</t>
        </is>
      </c>
      <c r="E3050" t="inlineStr">
        <is>
          <t>SOLLEFTEÅ</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32467-2024</t>
        </is>
      </c>
      <c r="B3051" s="1" t="n">
        <v>45512</v>
      </c>
      <c r="C3051" s="1" t="n">
        <v>45669</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32754-2024</t>
        </is>
      </c>
      <c r="B3052" s="1" t="n">
        <v>45516</v>
      </c>
      <c r="C3052" s="1" t="n">
        <v>45669</v>
      </c>
      <c r="D3052" t="inlineStr">
        <is>
          <t>VÄSTERNORRLANDS LÄN</t>
        </is>
      </c>
      <c r="E3052" t="inlineStr">
        <is>
          <t>SOLLEFTEÅ</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32924-2024</t>
        </is>
      </c>
      <c r="B3053" s="1" t="n">
        <v>45517</v>
      </c>
      <c r="C3053" s="1" t="n">
        <v>45669</v>
      </c>
      <c r="D3053" t="inlineStr">
        <is>
          <t>VÄSTERNORRLANDS LÄN</t>
        </is>
      </c>
      <c r="E3053" t="inlineStr">
        <is>
          <t>SOLLEFTEÅ</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32812-2024</t>
        </is>
      </c>
      <c r="B3054" s="1" t="n">
        <v>45516</v>
      </c>
      <c r="C3054" s="1" t="n">
        <v>45669</v>
      </c>
      <c r="D3054" t="inlineStr">
        <is>
          <t>VÄSTERNORRLANDS LÄN</t>
        </is>
      </c>
      <c r="E3054" t="inlineStr">
        <is>
          <t>SOLLEFTEÅ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32702-2024</t>
        </is>
      </c>
      <c r="B3055" s="1" t="n">
        <v>45516</v>
      </c>
      <c r="C3055" s="1" t="n">
        <v>45669</v>
      </c>
      <c r="D3055" t="inlineStr">
        <is>
          <t>VÄSTERNORRLANDS LÄN</t>
        </is>
      </c>
      <c r="E3055" t="inlineStr">
        <is>
          <t>SOLLEFTEÅ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33110-2024</t>
        </is>
      </c>
      <c r="B3056" s="1" t="n">
        <v>45517</v>
      </c>
      <c r="C3056" s="1" t="n">
        <v>45669</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33111-2024</t>
        </is>
      </c>
      <c r="B3057" s="1" t="n">
        <v>45517</v>
      </c>
      <c r="C3057" s="1" t="n">
        <v>45669</v>
      </c>
      <c r="D3057" t="inlineStr">
        <is>
          <t>VÄSTERNORRLANDS LÄN</t>
        </is>
      </c>
      <c r="E3057" t="inlineStr">
        <is>
          <t>SOLLEFTEÅ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33031-2024</t>
        </is>
      </c>
      <c r="B3058" s="1" t="n">
        <v>45517</v>
      </c>
      <c r="C3058" s="1" t="n">
        <v>45669</v>
      </c>
      <c r="D3058" t="inlineStr">
        <is>
          <t>VÄSTERNORRLANDS LÄN</t>
        </is>
      </c>
      <c r="E3058" t="inlineStr">
        <is>
          <t>SOLLEFTEÅ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33241-2024</t>
        </is>
      </c>
      <c r="B3059" s="1" t="n">
        <v>45518</v>
      </c>
      <c r="C3059" s="1" t="n">
        <v>45669</v>
      </c>
      <c r="D3059" t="inlineStr">
        <is>
          <t>VÄSTERNORRLANDS LÄN</t>
        </is>
      </c>
      <c r="E3059" t="inlineStr">
        <is>
          <t>SOLLEFTEÅ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33316-2024</t>
        </is>
      </c>
      <c r="B3060" s="1" t="n">
        <v>45519</v>
      </c>
      <c r="C3060" s="1" t="n">
        <v>45669</v>
      </c>
      <c r="D3060" t="inlineStr">
        <is>
          <t>VÄSTERNORRLANDS LÄN</t>
        </is>
      </c>
      <c r="E3060" t="inlineStr">
        <is>
          <t>SOLLEFTEÅ</t>
        </is>
      </c>
      <c r="F3060" t="inlineStr">
        <is>
          <t>SCA</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33312-2024</t>
        </is>
      </c>
      <c r="B3061" s="1" t="n">
        <v>45519</v>
      </c>
      <c r="C3061" s="1" t="n">
        <v>45669</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33141-2024</t>
        </is>
      </c>
      <c r="B3062" s="1" t="n">
        <v>45518</v>
      </c>
      <c r="C3062" s="1" t="n">
        <v>45669</v>
      </c>
      <c r="D3062" t="inlineStr">
        <is>
          <t>VÄSTERNORRLANDS LÄN</t>
        </is>
      </c>
      <c r="E3062" t="inlineStr">
        <is>
          <t>SOLLEFTEÅ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33134-2024</t>
        </is>
      </c>
      <c r="B3063" s="1" t="n">
        <v>45518</v>
      </c>
      <c r="C3063" s="1" t="n">
        <v>45669</v>
      </c>
      <c r="D3063" t="inlineStr">
        <is>
          <t>VÄSTERNORRLANDS LÄN</t>
        </is>
      </c>
      <c r="E3063" t="inlineStr">
        <is>
          <t>SOLLEFTEÅ</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33314-2024</t>
        </is>
      </c>
      <c r="B3064" s="1" t="n">
        <v>45519</v>
      </c>
      <c r="C3064" s="1" t="n">
        <v>45669</v>
      </c>
      <c r="D3064" t="inlineStr">
        <is>
          <t>VÄSTERNORRLANDS LÄN</t>
        </is>
      </c>
      <c r="E3064" t="inlineStr">
        <is>
          <t>SOLLEFTEÅ</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33332-2024</t>
        </is>
      </c>
      <c r="B3065" s="1" t="n">
        <v>45519</v>
      </c>
      <c r="C3065" s="1" t="n">
        <v>45669</v>
      </c>
      <c r="D3065" t="inlineStr">
        <is>
          <t>VÄSTERNORRLANDS LÄN</t>
        </is>
      </c>
      <c r="E3065" t="inlineStr">
        <is>
          <t>SOLLEFTEÅ</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33490-2024</t>
        </is>
      </c>
      <c r="B3066" s="1" t="n">
        <v>45519</v>
      </c>
      <c r="C3066" s="1" t="n">
        <v>45669</v>
      </c>
      <c r="D3066" t="inlineStr">
        <is>
          <t>VÄSTERNORRLANDS LÄN</t>
        </is>
      </c>
      <c r="E3066" t="inlineStr">
        <is>
          <t>SOLLEFTEÅ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33617-2024</t>
        </is>
      </c>
      <c r="B3067" s="1" t="n">
        <v>45520</v>
      </c>
      <c r="C3067" s="1" t="n">
        <v>45669</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33628-2024</t>
        </is>
      </c>
      <c r="B3068" s="1" t="n">
        <v>45520</v>
      </c>
      <c r="C3068" s="1" t="n">
        <v>45669</v>
      </c>
      <c r="D3068" t="inlineStr">
        <is>
          <t>VÄSTERNORRLANDS LÄN</t>
        </is>
      </c>
      <c r="E3068" t="inlineStr">
        <is>
          <t>SOLLEFTEÅ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33677-2024</t>
        </is>
      </c>
      <c r="B3069" s="1" t="n">
        <v>45520</v>
      </c>
      <c r="C3069" s="1" t="n">
        <v>45669</v>
      </c>
      <c r="D3069" t="inlineStr">
        <is>
          <t>VÄSTERNORRLANDS LÄN</t>
        </is>
      </c>
      <c r="E3069" t="inlineStr">
        <is>
          <t>SOLLEFTEÅ</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33739-2024</t>
        </is>
      </c>
      <c r="B3070" s="1" t="n">
        <v>45520</v>
      </c>
      <c r="C3070" s="1" t="n">
        <v>45669</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33656-2024</t>
        </is>
      </c>
      <c r="B3071" s="1" t="n">
        <v>45520</v>
      </c>
      <c r="C3071" s="1" t="n">
        <v>45669</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33799-2024</t>
        </is>
      </c>
      <c r="B3072" s="1" t="n">
        <v>45520</v>
      </c>
      <c r="C3072" s="1" t="n">
        <v>45669</v>
      </c>
      <c r="D3072" t="inlineStr">
        <is>
          <t>VÄSTERNORRLANDS LÄN</t>
        </is>
      </c>
      <c r="E3072" t="inlineStr">
        <is>
          <t>SOLLEFTEÅ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33815-2024</t>
        </is>
      </c>
      <c r="B3073" s="1" t="n">
        <v>45520</v>
      </c>
      <c r="C3073" s="1" t="n">
        <v>45669</v>
      </c>
      <c r="D3073" t="inlineStr">
        <is>
          <t>VÄSTERNORRLANDS LÄN</t>
        </is>
      </c>
      <c r="E3073" t="inlineStr">
        <is>
          <t>SOLLEFTEÅ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34318-2024</t>
        </is>
      </c>
      <c r="B3074" s="1" t="n">
        <v>45524</v>
      </c>
      <c r="C3074" s="1" t="n">
        <v>45669</v>
      </c>
      <c r="D3074" t="inlineStr">
        <is>
          <t>VÄSTERNORRLANDS LÄN</t>
        </is>
      </c>
      <c r="E3074" t="inlineStr">
        <is>
          <t>SOLLEFTEÅ</t>
        </is>
      </c>
      <c r="F3074" t="inlineStr">
        <is>
          <t>Övriga statliga verk och myndigheter</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34216-2024</t>
        </is>
      </c>
      <c r="B3075" s="1" t="n">
        <v>45524</v>
      </c>
      <c r="C3075" s="1" t="n">
        <v>45669</v>
      </c>
      <c r="D3075" t="inlineStr">
        <is>
          <t>VÄSTERNORRLANDS LÄN</t>
        </is>
      </c>
      <c r="E3075" t="inlineStr">
        <is>
          <t>SOLLEFTEÅ</t>
        </is>
      </c>
      <c r="F3075" t="inlineStr">
        <is>
          <t>Kommuner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34313-2024</t>
        </is>
      </c>
      <c r="B3076" s="1" t="n">
        <v>45524</v>
      </c>
      <c r="C3076" s="1" t="n">
        <v>45669</v>
      </c>
      <c r="D3076" t="inlineStr">
        <is>
          <t>VÄSTERNORRLANDS LÄN</t>
        </is>
      </c>
      <c r="E3076" t="inlineStr">
        <is>
          <t>SOLLEFTEÅ</t>
        </is>
      </c>
      <c r="F3076" t="inlineStr">
        <is>
          <t>Övriga statliga verk och myndigheter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34316-2024</t>
        </is>
      </c>
      <c r="B3077" s="1" t="n">
        <v>45524</v>
      </c>
      <c r="C3077" s="1" t="n">
        <v>45669</v>
      </c>
      <c r="D3077" t="inlineStr">
        <is>
          <t>VÄSTERNORRLANDS LÄN</t>
        </is>
      </c>
      <c r="E3077" t="inlineStr">
        <is>
          <t>SOLLEFTEÅ</t>
        </is>
      </c>
      <c r="F3077" t="inlineStr">
        <is>
          <t>Övriga statliga verk och myndigheter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34398-2024</t>
        </is>
      </c>
      <c r="B3078" s="1" t="n">
        <v>45525</v>
      </c>
      <c r="C3078" s="1" t="n">
        <v>45669</v>
      </c>
      <c r="D3078" t="inlineStr">
        <is>
          <t>VÄSTERNORRLANDS LÄN</t>
        </is>
      </c>
      <c r="E3078" t="inlineStr">
        <is>
          <t>SOLLEFTEÅ</t>
        </is>
      </c>
      <c r="F3078" t="inlineStr">
        <is>
          <t>Holmen skog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34458-2024</t>
        </is>
      </c>
      <c r="B3079" s="1" t="n">
        <v>45525</v>
      </c>
      <c r="C3079" s="1" t="n">
        <v>45669</v>
      </c>
      <c r="D3079" t="inlineStr">
        <is>
          <t>VÄSTERNORRLANDS LÄN</t>
        </is>
      </c>
      <c r="E3079" t="inlineStr">
        <is>
          <t>SOLLEFTEÅ</t>
        </is>
      </c>
      <c r="F3079" t="inlineStr">
        <is>
          <t>Kommuner</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34388-2024</t>
        </is>
      </c>
      <c r="B3080" s="1" t="n">
        <v>45525</v>
      </c>
      <c r="C3080" s="1" t="n">
        <v>45669</v>
      </c>
      <c r="D3080" t="inlineStr">
        <is>
          <t>VÄSTERNORRLANDS LÄN</t>
        </is>
      </c>
      <c r="E3080" t="inlineStr">
        <is>
          <t>SOLLEFTEÅ</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34376-2024</t>
        </is>
      </c>
      <c r="B3081" s="1" t="n">
        <v>45525</v>
      </c>
      <c r="C3081" s="1" t="n">
        <v>45669</v>
      </c>
      <c r="D3081" t="inlineStr">
        <is>
          <t>VÄSTERNORRLANDS LÄN</t>
        </is>
      </c>
      <c r="E3081" t="inlineStr">
        <is>
          <t>SOLLEFTEÅ</t>
        </is>
      </c>
      <c r="F3081" t="inlineStr">
        <is>
          <t>Övriga statliga verk och myndigheter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34460-2024</t>
        </is>
      </c>
      <c r="B3082" s="1" t="n">
        <v>45525</v>
      </c>
      <c r="C3082" s="1" t="n">
        <v>45669</v>
      </c>
      <c r="D3082" t="inlineStr">
        <is>
          <t>VÄSTERNORRLANDS LÄN</t>
        </is>
      </c>
      <c r="E3082" t="inlineStr">
        <is>
          <t>SOLLEFTEÅ</t>
        </is>
      </c>
      <c r="F3082" t="inlineStr">
        <is>
          <t>Kommuner</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34640-2024</t>
        </is>
      </c>
      <c r="B3083" s="1" t="n">
        <v>45526</v>
      </c>
      <c r="C3083" s="1" t="n">
        <v>45669</v>
      </c>
      <c r="D3083" t="inlineStr">
        <is>
          <t>VÄSTERNORRLANDS LÄN</t>
        </is>
      </c>
      <c r="E3083" t="inlineStr">
        <is>
          <t>SOLLEFTEÅ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34700-2024</t>
        </is>
      </c>
      <c r="B3084" s="1" t="n">
        <v>45526</v>
      </c>
      <c r="C3084" s="1" t="n">
        <v>45669</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34560-2024</t>
        </is>
      </c>
      <c r="B3085" s="1" t="n">
        <v>45526</v>
      </c>
      <c r="C3085" s="1" t="n">
        <v>45669</v>
      </c>
      <c r="D3085" t="inlineStr">
        <is>
          <t>VÄSTERNORRLANDS LÄN</t>
        </is>
      </c>
      <c r="E3085" t="inlineStr">
        <is>
          <t>SOLLEFTEÅ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34765-2024</t>
        </is>
      </c>
      <c r="B3086" s="1" t="n">
        <v>45526</v>
      </c>
      <c r="C3086" s="1" t="n">
        <v>45669</v>
      </c>
      <c r="D3086" t="inlineStr">
        <is>
          <t>VÄSTERNORRLANDS LÄN</t>
        </is>
      </c>
      <c r="E3086" t="inlineStr">
        <is>
          <t>SOLLEFTEÅ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34638-2024</t>
        </is>
      </c>
      <c r="B3087" s="1" t="n">
        <v>45526</v>
      </c>
      <c r="C3087" s="1" t="n">
        <v>45669</v>
      </c>
      <c r="D3087" t="inlineStr">
        <is>
          <t>VÄSTERNORRLANDS LÄN</t>
        </is>
      </c>
      <c r="E3087" t="inlineStr">
        <is>
          <t>SOLLEFTEÅ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34878-2024</t>
        </is>
      </c>
      <c r="B3088" s="1" t="n">
        <v>45527</v>
      </c>
      <c r="C3088" s="1" t="n">
        <v>45669</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35217-2024</t>
        </is>
      </c>
      <c r="B3089" s="1" t="n">
        <v>45530</v>
      </c>
      <c r="C3089" s="1" t="n">
        <v>45669</v>
      </c>
      <c r="D3089" t="inlineStr">
        <is>
          <t>VÄSTERNORRLANDS LÄN</t>
        </is>
      </c>
      <c r="E3089" t="inlineStr">
        <is>
          <t>SOLLEFTEÅ</t>
        </is>
      </c>
      <c r="F3089" t="inlineStr">
        <is>
          <t>Kommuner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35391-2024</t>
        </is>
      </c>
      <c r="B3090" s="1" t="n">
        <v>45531</v>
      </c>
      <c r="C3090" s="1" t="n">
        <v>45669</v>
      </c>
      <c r="D3090" t="inlineStr">
        <is>
          <t>VÄSTERNORRLANDS LÄN</t>
        </is>
      </c>
      <c r="E3090" t="inlineStr">
        <is>
          <t>SOLLEFTEÅ</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35417-2024</t>
        </is>
      </c>
      <c r="B3091" s="1" t="n">
        <v>45531</v>
      </c>
      <c r="C3091" s="1" t="n">
        <v>45669</v>
      </c>
      <c r="D3091" t="inlineStr">
        <is>
          <t>VÄSTERNORRLANDS LÄN</t>
        </is>
      </c>
      <c r="E3091" t="inlineStr">
        <is>
          <t>SOLLEFTEÅ</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35469-2024</t>
        </is>
      </c>
      <c r="B3092" s="1" t="n">
        <v>45531</v>
      </c>
      <c r="C3092" s="1" t="n">
        <v>45669</v>
      </c>
      <c r="D3092" t="inlineStr">
        <is>
          <t>VÄSTERNORRLANDS LÄN</t>
        </is>
      </c>
      <c r="E3092" t="inlineStr">
        <is>
          <t>SOLLEFTEÅ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35502-2024</t>
        </is>
      </c>
      <c r="B3093" s="1" t="n">
        <v>45531</v>
      </c>
      <c r="C3093" s="1" t="n">
        <v>45669</v>
      </c>
      <c r="D3093" t="inlineStr">
        <is>
          <t>VÄSTERNORRLANDS LÄN</t>
        </is>
      </c>
      <c r="E3093" t="inlineStr">
        <is>
          <t>SOLLEFTEÅ</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35420-2024</t>
        </is>
      </c>
      <c r="B3094" s="1" t="n">
        <v>45531</v>
      </c>
      <c r="C3094" s="1" t="n">
        <v>45669</v>
      </c>
      <c r="D3094" t="inlineStr">
        <is>
          <t>VÄSTERNORRLANDS LÄN</t>
        </is>
      </c>
      <c r="E3094" t="inlineStr">
        <is>
          <t>SOLLEFTEÅ</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35509-2024</t>
        </is>
      </c>
      <c r="B3095" s="1" t="n">
        <v>45531</v>
      </c>
      <c r="C3095" s="1" t="n">
        <v>45669</v>
      </c>
      <c r="D3095" t="inlineStr">
        <is>
          <t>VÄSTERNORRLANDS LÄN</t>
        </is>
      </c>
      <c r="E3095" t="inlineStr">
        <is>
          <t>SOLLEFTEÅ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35513-2024</t>
        </is>
      </c>
      <c r="B3096" s="1" t="n">
        <v>45531</v>
      </c>
      <c r="C3096" s="1" t="n">
        <v>45669</v>
      </c>
      <c r="D3096" t="inlineStr">
        <is>
          <t>VÄSTERNORRLANDS LÄN</t>
        </is>
      </c>
      <c r="E3096" t="inlineStr">
        <is>
          <t>SOLLEFTEÅ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35463-2024</t>
        </is>
      </c>
      <c r="B3097" s="1" t="n">
        <v>45531</v>
      </c>
      <c r="C3097" s="1" t="n">
        <v>45669</v>
      </c>
      <c r="D3097" t="inlineStr">
        <is>
          <t>VÄSTERNORRLANDS LÄN</t>
        </is>
      </c>
      <c r="E3097" t="inlineStr">
        <is>
          <t>SOLLEFTEÅ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35508-2024</t>
        </is>
      </c>
      <c r="B3098" s="1" t="n">
        <v>45531</v>
      </c>
      <c r="C3098" s="1" t="n">
        <v>45669</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35673-2024</t>
        </is>
      </c>
      <c r="B3099" s="1" t="n">
        <v>45532</v>
      </c>
      <c r="C3099" s="1" t="n">
        <v>45669</v>
      </c>
      <c r="D3099" t="inlineStr">
        <is>
          <t>VÄSTERNORRLANDS LÄN</t>
        </is>
      </c>
      <c r="E3099" t="inlineStr">
        <is>
          <t>SOLLEFTEÅ</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v>
      </c>
      <c r="C3100" s="1" t="n">
        <v>45669</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45669</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v>
      </c>
      <c r="C3102" s="1" t="n">
        <v>45669</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35827-2024</t>
        </is>
      </c>
      <c r="B3103" s="1" t="n">
        <v>45532</v>
      </c>
      <c r="C3103" s="1" t="n">
        <v>45669</v>
      </c>
      <c r="D3103" t="inlineStr">
        <is>
          <t>VÄSTERNORRLANDS LÄN</t>
        </is>
      </c>
      <c r="E3103" t="inlineStr">
        <is>
          <t>SOLLEFTEÅ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35793-2024</t>
        </is>
      </c>
      <c r="B3104" s="1" t="n">
        <v>45532</v>
      </c>
      <c r="C3104" s="1" t="n">
        <v>45669</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35873-2024</t>
        </is>
      </c>
      <c r="B3105" s="1" t="n">
        <v>45533</v>
      </c>
      <c r="C3105" s="1" t="n">
        <v>45669</v>
      </c>
      <c r="D3105" t="inlineStr">
        <is>
          <t>VÄSTERNORRLANDS LÄN</t>
        </is>
      </c>
      <c r="E3105" t="inlineStr">
        <is>
          <t>SOLLEFTEÅ</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35905-2024</t>
        </is>
      </c>
      <c r="B3106" s="1" t="n">
        <v>45533</v>
      </c>
      <c r="C3106" s="1" t="n">
        <v>45669</v>
      </c>
      <c r="D3106" t="inlineStr">
        <is>
          <t>VÄSTERNORRLANDS LÄN</t>
        </is>
      </c>
      <c r="E3106" t="inlineStr">
        <is>
          <t>SOLLEFTEÅ</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35872-2024</t>
        </is>
      </c>
      <c r="B3107" s="1" t="n">
        <v>45533</v>
      </c>
      <c r="C3107" s="1" t="n">
        <v>45669</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35875-2024</t>
        </is>
      </c>
      <c r="B3108" s="1" t="n">
        <v>45533</v>
      </c>
      <c r="C3108" s="1" t="n">
        <v>45669</v>
      </c>
      <c r="D3108" t="inlineStr">
        <is>
          <t>VÄSTERNORRLANDS LÄN</t>
        </is>
      </c>
      <c r="E3108" t="inlineStr">
        <is>
          <t>SOLLEFTEÅ</t>
        </is>
      </c>
      <c r="F3108" t="inlineStr">
        <is>
          <t>SCA</t>
        </is>
      </c>
      <c r="G3108" t="n">
        <v>10.4</v>
      </c>
      <c r="H3108" t="n">
        <v>0</v>
      </c>
      <c r="I3108" t="n">
        <v>0</v>
      </c>
      <c r="J3108" t="n">
        <v>0</v>
      </c>
      <c r="K3108" t="n">
        <v>0</v>
      </c>
      <c r="L3108" t="n">
        <v>0</v>
      </c>
      <c r="M3108" t="n">
        <v>0</v>
      </c>
      <c r="N3108" t="n">
        <v>0</v>
      </c>
      <c r="O3108" t="n">
        <v>0</v>
      </c>
      <c r="P3108" t="n">
        <v>0</v>
      </c>
      <c r="Q3108" t="n">
        <v>0</v>
      </c>
      <c r="R3108" s="2" t="inlineStr"/>
    </row>
    <row r="3109" ht="15" customHeight="1">
      <c r="A3109" t="inlineStr">
        <is>
          <t>A 36039-2024</t>
        </is>
      </c>
      <c r="B3109" s="1" t="n">
        <v>45533</v>
      </c>
      <c r="C3109" s="1" t="n">
        <v>45669</v>
      </c>
      <c r="D3109" t="inlineStr">
        <is>
          <t>VÄSTERNORRLANDS LÄN</t>
        </is>
      </c>
      <c r="E3109" t="inlineStr">
        <is>
          <t>SOLLEFTEÅ</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36009-2024</t>
        </is>
      </c>
      <c r="B3110" s="1" t="n">
        <v>45533</v>
      </c>
      <c r="C3110" s="1" t="n">
        <v>45669</v>
      </c>
      <c r="D3110" t="inlineStr">
        <is>
          <t>VÄSTERNORRLANDS LÄN</t>
        </is>
      </c>
      <c r="E3110" t="inlineStr">
        <is>
          <t>SOLLEFTEÅ</t>
        </is>
      </c>
      <c r="F3110" t="inlineStr">
        <is>
          <t>Holmen skog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36004-2024</t>
        </is>
      </c>
      <c r="B3111" s="1" t="n">
        <v>45533</v>
      </c>
      <c r="C3111" s="1" t="n">
        <v>45669</v>
      </c>
      <c r="D3111" t="inlineStr">
        <is>
          <t>VÄSTERNORRLANDS LÄN</t>
        </is>
      </c>
      <c r="E3111" t="inlineStr">
        <is>
          <t>SOLLEFTEÅ</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36137-2024</t>
        </is>
      </c>
      <c r="B3112" s="1" t="n">
        <v>45534</v>
      </c>
      <c r="C3112" s="1" t="n">
        <v>45669</v>
      </c>
      <c r="D3112" t="inlineStr">
        <is>
          <t>VÄSTERNORRLANDS LÄN</t>
        </is>
      </c>
      <c r="E3112" t="inlineStr">
        <is>
          <t>SOLLEFTEÅ</t>
        </is>
      </c>
      <c r="G3112" t="n">
        <v>17.9</v>
      </c>
      <c r="H3112" t="n">
        <v>0</v>
      </c>
      <c r="I3112" t="n">
        <v>0</v>
      </c>
      <c r="J3112" t="n">
        <v>0</v>
      </c>
      <c r="K3112" t="n">
        <v>0</v>
      </c>
      <c r="L3112" t="n">
        <v>0</v>
      </c>
      <c r="M3112" t="n">
        <v>0</v>
      </c>
      <c r="N3112" t="n">
        <v>0</v>
      </c>
      <c r="O3112" t="n">
        <v>0</v>
      </c>
      <c r="P3112" t="n">
        <v>0</v>
      </c>
      <c r="Q3112" t="n">
        <v>0</v>
      </c>
      <c r="R3112" s="2" t="inlineStr"/>
    </row>
    <row r="3113" ht="15" customHeight="1">
      <c r="A3113" t="inlineStr">
        <is>
          <t>A 36141-2024</t>
        </is>
      </c>
      <c r="B3113" s="1" t="n">
        <v>45534</v>
      </c>
      <c r="C3113" s="1" t="n">
        <v>45669</v>
      </c>
      <c r="D3113" t="inlineStr">
        <is>
          <t>VÄSTERNORRLANDS LÄN</t>
        </is>
      </c>
      <c r="E3113" t="inlineStr">
        <is>
          <t>SOLLEFTEÅ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36139-2024</t>
        </is>
      </c>
      <c r="B3114" s="1" t="n">
        <v>45534</v>
      </c>
      <c r="C3114" s="1" t="n">
        <v>45669</v>
      </c>
      <c r="D3114" t="inlineStr">
        <is>
          <t>VÄSTERNORRLANDS LÄN</t>
        </is>
      </c>
      <c r="E3114" t="inlineStr">
        <is>
          <t>SOLLEFTEÅ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36142-2024</t>
        </is>
      </c>
      <c r="B3115" s="1" t="n">
        <v>45534</v>
      </c>
      <c r="C3115" s="1" t="n">
        <v>45669</v>
      </c>
      <c r="D3115" t="inlineStr">
        <is>
          <t>VÄSTERNORRLANDS LÄN</t>
        </is>
      </c>
      <c r="E3115" t="inlineStr">
        <is>
          <t>SOLLEFTEÅ</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36322-2024</t>
        </is>
      </c>
      <c r="B3116" s="1" t="n">
        <v>45534</v>
      </c>
      <c r="C3116" s="1" t="n">
        <v>45669</v>
      </c>
      <c r="D3116" t="inlineStr">
        <is>
          <t>VÄSTERNORRLANDS LÄN</t>
        </is>
      </c>
      <c r="E3116" t="inlineStr">
        <is>
          <t>SOLLEFTEÅ</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36144-2024</t>
        </is>
      </c>
      <c r="B3117" s="1" t="n">
        <v>45534</v>
      </c>
      <c r="C3117" s="1" t="n">
        <v>45669</v>
      </c>
      <c r="D3117" t="inlineStr">
        <is>
          <t>VÄSTERNORRLANDS LÄN</t>
        </is>
      </c>
      <c r="E3117" t="inlineStr">
        <is>
          <t>SOLLEFTEÅ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36337-2024</t>
        </is>
      </c>
      <c r="B3118" s="1" t="n">
        <v>45534</v>
      </c>
      <c r="C3118" s="1" t="n">
        <v>45669</v>
      </c>
      <c r="D3118" t="inlineStr">
        <is>
          <t>VÄSTERNORRLANDS LÄN</t>
        </is>
      </c>
      <c r="E3118" t="inlineStr">
        <is>
          <t>SOLLEFTEÅ</t>
        </is>
      </c>
      <c r="F3118" t="inlineStr">
        <is>
          <t>SCA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36341-2024</t>
        </is>
      </c>
      <c r="B3119" s="1" t="n">
        <v>45534</v>
      </c>
      <c r="C3119" s="1" t="n">
        <v>45669</v>
      </c>
      <c r="D3119" t="inlineStr">
        <is>
          <t>VÄSTERNORRLANDS LÄN</t>
        </is>
      </c>
      <c r="E3119" t="inlineStr">
        <is>
          <t>SOLLEFTEÅ</t>
        </is>
      </c>
      <c r="F3119" t="inlineStr">
        <is>
          <t>SCA</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36319-2024</t>
        </is>
      </c>
      <c r="B3120" s="1" t="n">
        <v>45534</v>
      </c>
      <c r="C3120" s="1" t="n">
        <v>45669</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36352-2024</t>
        </is>
      </c>
      <c r="B3121" s="1" t="n">
        <v>45534</v>
      </c>
      <c r="C3121" s="1" t="n">
        <v>45669</v>
      </c>
      <c r="D3121" t="inlineStr">
        <is>
          <t>VÄSTERNORRLANDS LÄN</t>
        </is>
      </c>
      <c r="E3121" t="inlineStr">
        <is>
          <t>SOLLEFTEÅ</t>
        </is>
      </c>
      <c r="F3121" t="inlineStr">
        <is>
          <t>SCA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36463-2024</t>
        </is>
      </c>
      <c r="B3122" s="1" t="n">
        <v>45537</v>
      </c>
      <c r="C3122" s="1" t="n">
        <v>45669</v>
      </c>
      <c r="D3122" t="inlineStr">
        <is>
          <t>VÄSTERNORRLANDS LÄN</t>
        </is>
      </c>
      <c r="E3122" t="inlineStr">
        <is>
          <t>SOLLEFTEÅ</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36471-2024</t>
        </is>
      </c>
      <c r="B3123" s="1" t="n">
        <v>45537</v>
      </c>
      <c r="C3123" s="1" t="n">
        <v>45669</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36685-2024</t>
        </is>
      </c>
      <c r="B3124" s="1" t="n">
        <v>45537</v>
      </c>
      <c r="C3124" s="1" t="n">
        <v>45669</v>
      </c>
      <c r="D3124" t="inlineStr">
        <is>
          <t>VÄSTERNORRLANDS LÄN</t>
        </is>
      </c>
      <c r="E3124" t="inlineStr">
        <is>
          <t>SOLLEFTEÅ</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37197-2024</t>
        </is>
      </c>
      <c r="B3125" s="1" t="n">
        <v>45539</v>
      </c>
      <c r="C3125" s="1" t="n">
        <v>45669</v>
      </c>
      <c r="D3125" t="inlineStr">
        <is>
          <t>VÄSTERNORRLANDS LÄN</t>
        </is>
      </c>
      <c r="E3125" t="inlineStr">
        <is>
          <t>SOLLEFTEÅ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37201-2024</t>
        </is>
      </c>
      <c r="B3126" s="1" t="n">
        <v>45539</v>
      </c>
      <c r="C3126" s="1" t="n">
        <v>45669</v>
      </c>
      <c r="D3126" t="inlineStr">
        <is>
          <t>VÄSTERNORRLANDS LÄN</t>
        </is>
      </c>
      <c r="E3126" t="inlineStr">
        <is>
          <t>SOLLEFTEÅ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37046-2024</t>
        </is>
      </c>
      <c r="B3127" s="1" t="n">
        <v>45539</v>
      </c>
      <c r="C3127" s="1" t="n">
        <v>45669</v>
      </c>
      <c r="D3127" t="inlineStr">
        <is>
          <t>VÄSTERNORRLANDS LÄN</t>
        </is>
      </c>
      <c r="E3127" t="inlineStr">
        <is>
          <t>SOLLEFTEÅ</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37269-2024</t>
        </is>
      </c>
      <c r="B3128" s="1" t="n">
        <v>45540</v>
      </c>
      <c r="C3128" s="1" t="n">
        <v>45669</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37354-2024</t>
        </is>
      </c>
      <c r="B3129" s="1" t="n">
        <v>45540</v>
      </c>
      <c r="C3129" s="1" t="n">
        <v>45669</v>
      </c>
      <c r="D3129" t="inlineStr">
        <is>
          <t>VÄSTERNORRLANDS LÄN</t>
        </is>
      </c>
      <c r="E3129" t="inlineStr">
        <is>
          <t>SOLLEFTEÅ</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38054-2024</t>
        </is>
      </c>
      <c r="B3130" s="1" t="n">
        <v>45544</v>
      </c>
      <c r="C3130" s="1" t="n">
        <v>45669</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38053-2024</t>
        </is>
      </c>
      <c r="B3131" s="1" t="n">
        <v>45544</v>
      </c>
      <c r="C3131" s="1" t="n">
        <v>45669</v>
      </c>
      <c r="D3131" t="inlineStr">
        <is>
          <t>VÄSTERNORRLANDS LÄN</t>
        </is>
      </c>
      <c r="E3131" t="inlineStr">
        <is>
          <t>SOLLEFTEÅ</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38095-2024</t>
        </is>
      </c>
      <c r="B3132" s="1" t="n">
        <v>45545</v>
      </c>
      <c r="C3132" s="1" t="n">
        <v>45669</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38231-2024</t>
        </is>
      </c>
      <c r="B3133" s="1" t="n">
        <v>45545</v>
      </c>
      <c r="C3133" s="1" t="n">
        <v>45669</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38245-2024</t>
        </is>
      </c>
      <c r="B3134" s="1" t="n">
        <v>45545</v>
      </c>
      <c r="C3134" s="1" t="n">
        <v>45669</v>
      </c>
      <c r="D3134" t="inlineStr">
        <is>
          <t>VÄSTERNORRLANDS LÄN</t>
        </is>
      </c>
      <c r="E3134" t="inlineStr">
        <is>
          <t>SOLLEFTEÅ</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38273-2024</t>
        </is>
      </c>
      <c r="B3135" s="1" t="n">
        <v>45545</v>
      </c>
      <c r="C3135" s="1" t="n">
        <v>45669</v>
      </c>
      <c r="D3135" t="inlineStr">
        <is>
          <t>VÄSTERNORRLANDS LÄN</t>
        </is>
      </c>
      <c r="E3135" t="inlineStr">
        <is>
          <t>SOLLEFTEÅ</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38234-2024</t>
        </is>
      </c>
      <c r="B3136" s="1" t="n">
        <v>45545</v>
      </c>
      <c r="C3136" s="1" t="n">
        <v>45669</v>
      </c>
      <c r="D3136" t="inlineStr">
        <is>
          <t>VÄSTERNORRLANDS LÄN</t>
        </is>
      </c>
      <c r="E3136" t="inlineStr">
        <is>
          <t>SOLLEFTEÅ</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38250-2024</t>
        </is>
      </c>
      <c r="B3137" s="1" t="n">
        <v>45545</v>
      </c>
      <c r="C3137" s="1" t="n">
        <v>45669</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38275-2024</t>
        </is>
      </c>
      <c r="B3138" s="1" t="n">
        <v>45545</v>
      </c>
      <c r="C3138" s="1" t="n">
        <v>45669</v>
      </c>
      <c r="D3138" t="inlineStr">
        <is>
          <t>VÄSTERNORRLANDS LÄN</t>
        </is>
      </c>
      <c r="E3138" t="inlineStr">
        <is>
          <t>SOLLEFTEÅ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38592-2024</t>
        </is>
      </c>
      <c r="B3139" s="1" t="n">
        <v>45546</v>
      </c>
      <c r="C3139" s="1" t="n">
        <v>45669</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41170-2024</t>
        </is>
      </c>
      <c r="B3140" s="1" t="n">
        <v>45546</v>
      </c>
      <c r="C3140" s="1" t="n">
        <v>45669</v>
      </c>
      <c r="D3140" t="inlineStr">
        <is>
          <t>VÄSTERNORRLANDS LÄN</t>
        </is>
      </c>
      <c r="E3140" t="inlineStr">
        <is>
          <t>SOLLEFTEÅ</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38749-2024</t>
        </is>
      </c>
      <c r="B3141" s="1" t="n">
        <v>45547</v>
      </c>
      <c r="C3141" s="1" t="n">
        <v>45669</v>
      </c>
      <c r="D3141" t="inlineStr">
        <is>
          <t>VÄSTERNORRLANDS LÄN</t>
        </is>
      </c>
      <c r="E3141" t="inlineStr">
        <is>
          <t>SOLLEFTEÅ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38768-2024</t>
        </is>
      </c>
      <c r="B3142" s="1" t="n">
        <v>45547</v>
      </c>
      <c r="C3142" s="1" t="n">
        <v>45669</v>
      </c>
      <c r="D3142" t="inlineStr">
        <is>
          <t>VÄSTERNORRLANDS LÄN</t>
        </is>
      </c>
      <c r="E3142" t="inlineStr">
        <is>
          <t>SOLLEFTEÅ</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38769-2024</t>
        </is>
      </c>
      <c r="B3143" s="1" t="n">
        <v>45547</v>
      </c>
      <c r="C3143" s="1" t="n">
        <v>45669</v>
      </c>
      <c r="D3143" t="inlineStr">
        <is>
          <t>VÄSTERNORRLANDS LÄN</t>
        </is>
      </c>
      <c r="E3143" t="inlineStr">
        <is>
          <t>SOLLEFTEÅ</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38766-2024</t>
        </is>
      </c>
      <c r="B3144" s="1" t="n">
        <v>45547</v>
      </c>
      <c r="C3144" s="1" t="n">
        <v>45669</v>
      </c>
      <c r="D3144" t="inlineStr">
        <is>
          <t>VÄSTERNORRLANDS LÄN</t>
        </is>
      </c>
      <c r="E3144" t="inlineStr">
        <is>
          <t>SOLLEFTEÅ</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38767-2024</t>
        </is>
      </c>
      <c r="B3145" s="1" t="n">
        <v>45547</v>
      </c>
      <c r="C3145" s="1" t="n">
        <v>45669</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39142-2024</t>
        </is>
      </c>
      <c r="B3146" s="1" t="n">
        <v>45548</v>
      </c>
      <c r="C3146" s="1" t="n">
        <v>45669</v>
      </c>
      <c r="D3146" t="inlineStr">
        <is>
          <t>VÄSTERNORRLANDS LÄN</t>
        </is>
      </c>
      <c r="E3146" t="inlineStr">
        <is>
          <t>SOLLEFTEÅ</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39177-2024</t>
        </is>
      </c>
      <c r="B3147" s="1" t="n">
        <v>45548</v>
      </c>
      <c r="C3147" s="1" t="n">
        <v>45669</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39271-2024</t>
        </is>
      </c>
      <c r="B3148" s="1" t="n">
        <v>45551</v>
      </c>
      <c r="C3148" s="1" t="n">
        <v>45669</v>
      </c>
      <c r="D3148" t="inlineStr">
        <is>
          <t>VÄSTERNORRLANDS LÄN</t>
        </is>
      </c>
      <c r="E3148" t="inlineStr">
        <is>
          <t>SOLLEFTEÅ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39429-2024</t>
        </is>
      </c>
      <c r="B3149" s="1" t="n">
        <v>45551</v>
      </c>
      <c r="C3149" s="1" t="n">
        <v>45669</v>
      </c>
      <c r="D3149" t="inlineStr">
        <is>
          <t>VÄSTERNORRLANDS LÄN</t>
        </is>
      </c>
      <c r="E3149" t="inlineStr">
        <is>
          <t>SOLLEFTEÅ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39449-2024</t>
        </is>
      </c>
      <c r="B3150" s="1" t="n">
        <v>45551</v>
      </c>
      <c r="C3150" s="1" t="n">
        <v>45669</v>
      </c>
      <c r="D3150" t="inlineStr">
        <is>
          <t>VÄSTERNORRLANDS LÄN</t>
        </is>
      </c>
      <c r="E3150" t="inlineStr">
        <is>
          <t>SOLLEFTEÅ</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39469-2024</t>
        </is>
      </c>
      <c r="B3151" s="1" t="n">
        <v>45551</v>
      </c>
      <c r="C3151" s="1" t="n">
        <v>45669</v>
      </c>
      <c r="D3151" t="inlineStr">
        <is>
          <t>VÄSTERNORRLANDS LÄN</t>
        </is>
      </c>
      <c r="E3151" t="inlineStr">
        <is>
          <t>SOLLEFTEÅ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39446-2024</t>
        </is>
      </c>
      <c r="B3152" s="1" t="n">
        <v>45551</v>
      </c>
      <c r="C3152" s="1" t="n">
        <v>45669</v>
      </c>
      <c r="D3152" t="inlineStr">
        <is>
          <t>VÄSTERNORRLANDS LÄN</t>
        </is>
      </c>
      <c r="E3152" t="inlineStr">
        <is>
          <t>SOLLEFTEÅ</t>
        </is>
      </c>
      <c r="F3152" t="inlineStr">
        <is>
          <t>SCA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39500-2024</t>
        </is>
      </c>
      <c r="B3153" s="1" t="n">
        <v>45551</v>
      </c>
      <c r="C3153" s="1" t="n">
        <v>45669</v>
      </c>
      <c r="D3153" t="inlineStr">
        <is>
          <t>VÄSTERNORRLANDS LÄN</t>
        </is>
      </c>
      <c r="E3153" t="inlineStr">
        <is>
          <t>SOLLEFTEÅ</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39755-2024</t>
        </is>
      </c>
      <c r="B3154" s="1" t="n">
        <v>45552</v>
      </c>
      <c r="C3154" s="1" t="n">
        <v>45669</v>
      </c>
      <c r="D3154" t="inlineStr">
        <is>
          <t>VÄSTERNORRLANDS LÄN</t>
        </is>
      </c>
      <c r="E3154" t="inlineStr">
        <is>
          <t>SOLLEFTEÅ</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39744-2024</t>
        </is>
      </c>
      <c r="B3155" s="1" t="n">
        <v>45552</v>
      </c>
      <c r="C3155" s="1" t="n">
        <v>45669</v>
      </c>
      <c r="D3155" t="inlineStr">
        <is>
          <t>VÄSTERNORRLANDS LÄN</t>
        </is>
      </c>
      <c r="E3155" t="inlineStr">
        <is>
          <t>SOLLEFTEÅ</t>
        </is>
      </c>
      <c r="F3155" t="inlineStr">
        <is>
          <t>SCA</t>
        </is>
      </c>
      <c r="G3155" t="n">
        <v>13.6</v>
      </c>
      <c r="H3155" t="n">
        <v>0</v>
      </c>
      <c r="I3155" t="n">
        <v>0</v>
      </c>
      <c r="J3155" t="n">
        <v>0</v>
      </c>
      <c r="K3155" t="n">
        <v>0</v>
      </c>
      <c r="L3155" t="n">
        <v>0</v>
      </c>
      <c r="M3155" t="n">
        <v>0</v>
      </c>
      <c r="N3155" t="n">
        <v>0</v>
      </c>
      <c r="O3155" t="n">
        <v>0</v>
      </c>
      <c r="P3155" t="n">
        <v>0</v>
      </c>
      <c r="Q3155" t="n">
        <v>0</v>
      </c>
      <c r="R3155" s="2" t="inlineStr"/>
    </row>
    <row r="3156" ht="15" customHeight="1">
      <c r="A3156" t="inlineStr">
        <is>
          <t>A 39801-2024</t>
        </is>
      </c>
      <c r="B3156" s="1" t="n">
        <v>45553</v>
      </c>
      <c r="C3156" s="1" t="n">
        <v>45669</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39799-2024</t>
        </is>
      </c>
      <c r="B3157" s="1" t="n">
        <v>45553</v>
      </c>
      <c r="C3157" s="1" t="n">
        <v>45669</v>
      </c>
      <c r="D3157" t="inlineStr">
        <is>
          <t>VÄSTERNORRLANDS LÄN</t>
        </is>
      </c>
      <c r="E3157" t="inlineStr">
        <is>
          <t>SOLLEFTEÅ</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39802-2024</t>
        </is>
      </c>
      <c r="B3158" s="1" t="n">
        <v>45553</v>
      </c>
      <c r="C3158" s="1" t="n">
        <v>45669</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39995-2024</t>
        </is>
      </c>
      <c r="B3159" s="1" t="n">
        <v>45553</v>
      </c>
      <c r="C3159" s="1" t="n">
        <v>45669</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40028-2024</t>
        </is>
      </c>
      <c r="B3160" s="1" t="n">
        <v>45553</v>
      </c>
      <c r="C3160" s="1" t="n">
        <v>45669</v>
      </c>
      <c r="D3160" t="inlineStr">
        <is>
          <t>VÄSTERNORRLANDS LÄN</t>
        </is>
      </c>
      <c r="E3160" t="inlineStr">
        <is>
          <t>SOLLEFTEÅ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40086-2024</t>
        </is>
      </c>
      <c r="B3161" s="1" t="n">
        <v>45554</v>
      </c>
      <c r="C3161" s="1" t="n">
        <v>45669</v>
      </c>
      <c r="D3161" t="inlineStr">
        <is>
          <t>VÄSTERNORRLANDS LÄN</t>
        </is>
      </c>
      <c r="E3161" t="inlineStr">
        <is>
          <t>SOLLEFTEÅ</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40211-2024</t>
        </is>
      </c>
      <c r="B3162" s="1" t="n">
        <v>45554</v>
      </c>
      <c r="C3162" s="1" t="n">
        <v>45669</v>
      </c>
      <c r="D3162" t="inlineStr">
        <is>
          <t>VÄSTERNORRLANDS LÄN</t>
        </is>
      </c>
      <c r="E3162" t="inlineStr">
        <is>
          <t>SOLLEFTEÅ</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40241-2024</t>
        </is>
      </c>
      <c r="B3163" s="1" t="n">
        <v>45554</v>
      </c>
      <c r="C3163" s="1" t="n">
        <v>45669</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40258-2024</t>
        </is>
      </c>
      <c r="B3164" s="1" t="n">
        <v>45554</v>
      </c>
      <c r="C3164" s="1" t="n">
        <v>45669</v>
      </c>
      <c r="D3164" t="inlineStr">
        <is>
          <t>VÄSTERNORRLANDS LÄN</t>
        </is>
      </c>
      <c r="E3164" t="inlineStr">
        <is>
          <t>SOLLEFTEÅ</t>
        </is>
      </c>
      <c r="F3164" t="inlineStr">
        <is>
          <t>SCA</t>
        </is>
      </c>
      <c r="G3164" t="n">
        <v>15.1</v>
      </c>
      <c r="H3164" t="n">
        <v>0</v>
      </c>
      <c r="I3164" t="n">
        <v>0</v>
      </c>
      <c r="J3164" t="n">
        <v>0</v>
      </c>
      <c r="K3164" t="n">
        <v>0</v>
      </c>
      <c r="L3164" t="n">
        <v>0</v>
      </c>
      <c r="M3164" t="n">
        <v>0</v>
      </c>
      <c r="N3164" t="n">
        <v>0</v>
      </c>
      <c r="O3164" t="n">
        <v>0</v>
      </c>
      <c r="P3164" t="n">
        <v>0</v>
      </c>
      <c r="Q3164" t="n">
        <v>0</v>
      </c>
      <c r="R3164" s="2" t="inlineStr"/>
    </row>
    <row r="3165" ht="15" customHeight="1">
      <c r="A3165" t="inlineStr">
        <is>
          <t>A 40356-2024</t>
        </is>
      </c>
      <c r="B3165" s="1" t="n">
        <v>45555</v>
      </c>
      <c r="C3165" s="1" t="n">
        <v>45669</v>
      </c>
      <c r="D3165" t="inlineStr">
        <is>
          <t>VÄSTERNORRLANDS LÄN</t>
        </is>
      </c>
      <c r="E3165" t="inlineStr">
        <is>
          <t>SOLLEFTEÅ</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40355-2024</t>
        </is>
      </c>
      <c r="B3166" s="1" t="n">
        <v>45555</v>
      </c>
      <c r="C3166" s="1" t="n">
        <v>45669</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40354-2024</t>
        </is>
      </c>
      <c r="B3167" s="1" t="n">
        <v>45555</v>
      </c>
      <c r="C3167" s="1" t="n">
        <v>45669</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40413-2024</t>
        </is>
      </c>
      <c r="B3168" s="1" t="n">
        <v>45555</v>
      </c>
      <c r="C3168" s="1" t="n">
        <v>45669</v>
      </c>
      <c r="D3168" t="inlineStr">
        <is>
          <t>VÄSTERNORRLANDS LÄN</t>
        </is>
      </c>
      <c r="E3168" t="inlineStr">
        <is>
          <t>SOLLEFTEÅ</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40383-2024</t>
        </is>
      </c>
      <c r="B3169" s="1" t="n">
        <v>45555</v>
      </c>
      <c r="C3169" s="1" t="n">
        <v>45669</v>
      </c>
      <c r="D3169" t="inlineStr">
        <is>
          <t>VÄSTERNORRLANDS LÄN</t>
        </is>
      </c>
      <c r="E3169" t="inlineStr">
        <is>
          <t>SOLLEFTEÅ</t>
        </is>
      </c>
      <c r="F3169" t="inlineStr">
        <is>
          <t>SCA</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40403-2024</t>
        </is>
      </c>
      <c r="B3170" s="1" t="n">
        <v>45555</v>
      </c>
      <c r="C3170" s="1" t="n">
        <v>45669</v>
      </c>
      <c r="D3170" t="inlineStr">
        <is>
          <t>VÄSTERNORRLANDS LÄN</t>
        </is>
      </c>
      <c r="E3170" t="inlineStr">
        <is>
          <t>SOLLEFTEÅ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40429-2024</t>
        </is>
      </c>
      <c r="B3171" s="1" t="n">
        <v>45555</v>
      </c>
      <c r="C3171" s="1" t="n">
        <v>45669</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40569-2024</t>
        </is>
      </c>
      <c r="B3172" s="1" t="n">
        <v>45555</v>
      </c>
      <c r="C3172" s="1" t="n">
        <v>45669</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40570-2024</t>
        </is>
      </c>
      <c r="B3173" s="1" t="n">
        <v>45555</v>
      </c>
      <c r="C3173" s="1" t="n">
        <v>45669</v>
      </c>
      <c r="D3173" t="inlineStr">
        <is>
          <t>VÄSTERNORRLANDS LÄN</t>
        </is>
      </c>
      <c r="E3173" t="inlineStr">
        <is>
          <t>SOLLEFTEÅ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40353-2024</t>
        </is>
      </c>
      <c r="B3174" s="1" t="n">
        <v>45555</v>
      </c>
      <c r="C3174" s="1" t="n">
        <v>45669</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40571-2024</t>
        </is>
      </c>
      <c r="B3175" s="1" t="n">
        <v>45555</v>
      </c>
      <c r="C3175" s="1" t="n">
        <v>45669</v>
      </c>
      <c r="D3175" t="inlineStr">
        <is>
          <t>VÄSTERNORRLANDS LÄN</t>
        </is>
      </c>
      <c r="E3175" t="inlineStr">
        <is>
          <t>SOLLEFTEÅ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40575-2024</t>
        </is>
      </c>
      <c r="B3176" s="1" t="n">
        <v>45555</v>
      </c>
      <c r="C3176" s="1" t="n">
        <v>45669</v>
      </c>
      <c r="D3176" t="inlineStr">
        <is>
          <t>VÄSTERNORRLANDS LÄN</t>
        </is>
      </c>
      <c r="E3176" t="inlineStr">
        <is>
          <t>SOLLEFTEÅ</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40817-2024</t>
        </is>
      </c>
      <c r="B3177" s="1" t="n">
        <v>45558</v>
      </c>
      <c r="C3177" s="1" t="n">
        <v>45669</v>
      </c>
      <c r="D3177" t="inlineStr">
        <is>
          <t>VÄSTERNORRLANDS LÄN</t>
        </is>
      </c>
      <c r="E3177" t="inlineStr">
        <is>
          <t>SOLLEFTEÅ</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40655-2024</t>
        </is>
      </c>
      <c r="B3178" s="1" t="n">
        <v>45558</v>
      </c>
      <c r="C3178" s="1" t="n">
        <v>45669</v>
      </c>
      <c r="D3178" t="inlineStr">
        <is>
          <t>VÄSTERNORRLANDS LÄN</t>
        </is>
      </c>
      <c r="E3178" t="inlineStr">
        <is>
          <t>SOLLEFTEÅ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40679-2024</t>
        </is>
      </c>
      <c r="B3179" s="1" t="n">
        <v>45558</v>
      </c>
      <c r="C3179" s="1" t="n">
        <v>45669</v>
      </c>
      <c r="D3179" t="inlineStr">
        <is>
          <t>VÄSTERNORRLANDS LÄN</t>
        </is>
      </c>
      <c r="E3179" t="inlineStr">
        <is>
          <t>SOLLEFTEÅ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40954-2024</t>
        </is>
      </c>
      <c r="B3180" s="1" t="n">
        <v>45558</v>
      </c>
      <c r="C3180" s="1" t="n">
        <v>45669</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40921-2024</t>
        </is>
      </c>
      <c r="B3181" s="1" t="n">
        <v>45558</v>
      </c>
      <c r="C3181" s="1" t="n">
        <v>45669</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40819-2024</t>
        </is>
      </c>
      <c r="B3182" s="1" t="n">
        <v>45558</v>
      </c>
      <c r="C3182" s="1" t="n">
        <v>45669</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40859-2024</t>
        </is>
      </c>
      <c r="B3183" s="1" t="n">
        <v>45558</v>
      </c>
      <c r="C3183" s="1" t="n">
        <v>45669</v>
      </c>
      <c r="D3183" t="inlineStr">
        <is>
          <t>VÄSTERNORRLANDS LÄN</t>
        </is>
      </c>
      <c r="E3183" t="inlineStr">
        <is>
          <t>SOLLEFTEÅ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41041-2024</t>
        </is>
      </c>
      <c r="B3184" s="1" t="n">
        <v>45558</v>
      </c>
      <c r="C3184" s="1" t="n">
        <v>45669</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41028-2024</t>
        </is>
      </c>
      <c r="B3185" s="1" t="n">
        <v>45559</v>
      </c>
      <c r="C3185" s="1" t="n">
        <v>45669</v>
      </c>
      <c r="D3185" t="inlineStr">
        <is>
          <t>VÄSTERNORRLANDS LÄN</t>
        </is>
      </c>
      <c r="E3185" t="inlineStr">
        <is>
          <t>SOLLEFTEÅ</t>
        </is>
      </c>
      <c r="F3185" t="inlineStr">
        <is>
          <t>SCA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41026-2024</t>
        </is>
      </c>
      <c r="B3186" s="1" t="n">
        <v>45559</v>
      </c>
      <c r="C3186" s="1" t="n">
        <v>45669</v>
      </c>
      <c r="D3186" t="inlineStr">
        <is>
          <t>VÄSTERNORRLANDS LÄN</t>
        </is>
      </c>
      <c r="E3186" t="inlineStr">
        <is>
          <t>SOLLEFTEÅ</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41042-2024</t>
        </is>
      </c>
      <c r="B3187" s="1" t="n">
        <v>45559</v>
      </c>
      <c r="C3187" s="1" t="n">
        <v>45669</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41262-2024</t>
        </is>
      </c>
      <c r="B3188" s="1" t="n">
        <v>45559</v>
      </c>
      <c r="C3188" s="1" t="n">
        <v>45669</v>
      </c>
      <c r="D3188" t="inlineStr">
        <is>
          <t>VÄSTERNORRLANDS LÄN</t>
        </is>
      </c>
      <c r="E3188" t="inlineStr">
        <is>
          <t>SOLLEFTEÅ</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41532-2024</t>
        </is>
      </c>
      <c r="B3189" s="1" t="n">
        <v>45560</v>
      </c>
      <c r="C3189" s="1" t="n">
        <v>45669</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41434-2024</t>
        </is>
      </c>
      <c r="B3190" s="1" t="n">
        <v>45560</v>
      </c>
      <c r="C3190" s="1" t="n">
        <v>45669</v>
      </c>
      <c r="D3190" t="inlineStr">
        <is>
          <t>VÄSTERNORRLANDS LÄN</t>
        </is>
      </c>
      <c r="E3190" t="inlineStr">
        <is>
          <t>SOLLEFTEÅ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41420-2024</t>
        </is>
      </c>
      <c r="B3191" s="1" t="n">
        <v>45560</v>
      </c>
      <c r="C3191" s="1" t="n">
        <v>45669</v>
      </c>
      <c r="D3191" t="inlineStr">
        <is>
          <t>VÄSTERNORRLANDS LÄN</t>
        </is>
      </c>
      <c r="E3191" t="inlineStr">
        <is>
          <t>SOLLEFTEÅ</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41413-2024</t>
        </is>
      </c>
      <c r="B3192" s="1" t="n">
        <v>45560</v>
      </c>
      <c r="C3192" s="1" t="n">
        <v>45669</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41595-2024</t>
        </is>
      </c>
      <c r="B3193" s="1" t="n">
        <v>45560</v>
      </c>
      <c r="C3193" s="1" t="n">
        <v>45669</v>
      </c>
      <c r="D3193" t="inlineStr">
        <is>
          <t>VÄSTERNORRLANDS LÄN</t>
        </is>
      </c>
      <c r="E3193" t="inlineStr">
        <is>
          <t>SOLLEFTEÅ</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41787-2024</t>
        </is>
      </c>
      <c r="B3194" s="1" t="n">
        <v>45561</v>
      </c>
      <c r="C3194" s="1" t="n">
        <v>45669</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41904-2024</t>
        </is>
      </c>
      <c r="B3195" s="1" t="n">
        <v>45561</v>
      </c>
      <c r="C3195" s="1" t="n">
        <v>45669</v>
      </c>
      <c r="D3195" t="inlineStr">
        <is>
          <t>VÄSTERNORRLANDS LÄN</t>
        </is>
      </c>
      <c r="E3195" t="inlineStr">
        <is>
          <t>SOLLEFTEÅ</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41925-2024</t>
        </is>
      </c>
      <c r="B3196" s="1" t="n">
        <v>45561</v>
      </c>
      <c r="C3196" s="1" t="n">
        <v>45669</v>
      </c>
      <c r="D3196" t="inlineStr">
        <is>
          <t>VÄSTERNORRLANDS LÄN</t>
        </is>
      </c>
      <c r="E3196" t="inlineStr">
        <is>
          <t>SOLLEFTEÅ</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41779-2024</t>
        </is>
      </c>
      <c r="B3197" s="1" t="n">
        <v>45561</v>
      </c>
      <c r="C3197" s="1" t="n">
        <v>45669</v>
      </c>
      <c r="D3197" t="inlineStr">
        <is>
          <t>VÄSTERNORRLANDS LÄN</t>
        </is>
      </c>
      <c r="E3197" t="inlineStr">
        <is>
          <t>SOLLEFTEÅ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41975-2024</t>
        </is>
      </c>
      <c r="B3198" s="1" t="n">
        <v>45561</v>
      </c>
      <c r="C3198" s="1" t="n">
        <v>45669</v>
      </c>
      <c r="D3198" t="inlineStr">
        <is>
          <t>VÄSTERNORRLANDS LÄN</t>
        </is>
      </c>
      <c r="E3198" t="inlineStr">
        <is>
          <t>SOLLEFTEÅ</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41834-2024</t>
        </is>
      </c>
      <c r="B3199" s="1" t="n">
        <v>45561</v>
      </c>
      <c r="C3199" s="1" t="n">
        <v>45669</v>
      </c>
      <c r="D3199" t="inlineStr">
        <is>
          <t>VÄSTERNORRLANDS LÄN</t>
        </is>
      </c>
      <c r="E3199" t="inlineStr">
        <is>
          <t>SOLLEFTEÅ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42093-2024</t>
        </is>
      </c>
      <c r="B3200" s="1" t="n">
        <v>45562</v>
      </c>
      <c r="C3200" s="1" t="n">
        <v>45669</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42154-2024</t>
        </is>
      </c>
      <c r="B3201" s="1" t="n">
        <v>45562</v>
      </c>
      <c r="C3201" s="1" t="n">
        <v>45669</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42115-2024</t>
        </is>
      </c>
      <c r="B3202" s="1" t="n">
        <v>45562</v>
      </c>
      <c r="C3202" s="1" t="n">
        <v>45669</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42631-2024</t>
        </is>
      </c>
      <c r="B3203" s="1" t="n">
        <v>45565</v>
      </c>
      <c r="C3203" s="1" t="n">
        <v>45669</v>
      </c>
      <c r="D3203" t="inlineStr">
        <is>
          <t>VÄSTERNORRLANDS LÄN</t>
        </is>
      </c>
      <c r="E3203" t="inlineStr">
        <is>
          <t>SOLLEFTEÅ</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42486-2024</t>
        </is>
      </c>
      <c r="B3204" s="1" t="n">
        <v>45565</v>
      </c>
      <c r="C3204" s="1" t="n">
        <v>45669</v>
      </c>
      <c r="D3204" t="inlineStr">
        <is>
          <t>VÄSTERNORRLANDS LÄN</t>
        </is>
      </c>
      <c r="E3204" t="inlineStr">
        <is>
          <t>SOLLEFTEÅ</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42482-2024</t>
        </is>
      </c>
      <c r="B3205" s="1" t="n">
        <v>45565</v>
      </c>
      <c r="C3205" s="1" t="n">
        <v>45669</v>
      </c>
      <c r="D3205" t="inlineStr">
        <is>
          <t>VÄSTERNORRLANDS LÄN</t>
        </is>
      </c>
      <c r="E3205" t="inlineStr">
        <is>
          <t>SOLLEFTEÅ</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42474-2024</t>
        </is>
      </c>
      <c r="B3206" s="1" t="n">
        <v>45565</v>
      </c>
      <c r="C3206" s="1" t="n">
        <v>45669</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42915-2024</t>
        </is>
      </c>
      <c r="B3207" s="1" t="n">
        <v>45566</v>
      </c>
      <c r="C3207" s="1" t="n">
        <v>45669</v>
      </c>
      <c r="D3207" t="inlineStr">
        <is>
          <t>VÄSTERNORRLANDS LÄN</t>
        </is>
      </c>
      <c r="E3207" t="inlineStr">
        <is>
          <t>SOLLEFTEÅ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43049-2024</t>
        </is>
      </c>
      <c r="B3208" s="1" t="n">
        <v>45567</v>
      </c>
      <c r="C3208" s="1" t="n">
        <v>45669</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43008-2024</t>
        </is>
      </c>
      <c r="B3209" s="1" t="n">
        <v>45567</v>
      </c>
      <c r="C3209" s="1" t="n">
        <v>45669</v>
      </c>
      <c r="D3209" t="inlineStr">
        <is>
          <t>VÄSTERNORRLANDS LÄN</t>
        </is>
      </c>
      <c r="E3209" t="inlineStr">
        <is>
          <t>SOLLEFTEÅ</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42984-2024</t>
        </is>
      </c>
      <c r="B3210" s="1" t="n">
        <v>45567</v>
      </c>
      <c r="C3210" s="1" t="n">
        <v>45669</v>
      </c>
      <c r="D3210" t="inlineStr">
        <is>
          <t>VÄSTERNORRLANDS LÄN</t>
        </is>
      </c>
      <c r="E3210" t="inlineStr">
        <is>
          <t>SOLLEFTEÅ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42964-2024</t>
        </is>
      </c>
      <c r="B3211" s="1" t="n">
        <v>45567</v>
      </c>
      <c r="C3211" s="1" t="n">
        <v>45669</v>
      </c>
      <c r="D3211" t="inlineStr">
        <is>
          <t>VÄSTERNORRLANDS LÄN</t>
        </is>
      </c>
      <c r="E3211" t="inlineStr">
        <is>
          <t>SOLLEFTEÅ</t>
        </is>
      </c>
      <c r="F3211" t="inlineStr">
        <is>
          <t>SCA</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42985-2024</t>
        </is>
      </c>
      <c r="B3212" s="1" t="n">
        <v>45567</v>
      </c>
      <c r="C3212" s="1" t="n">
        <v>45669</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42981-2024</t>
        </is>
      </c>
      <c r="B3213" s="1" t="n">
        <v>45567</v>
      </c>
      <c r="C3213" s="1" t="n">
        <v>45669</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42973-2024</t>
        </is>
      </c>
      <c r="B3214" s="1" t="n">
        <v>45567</v>
      </c>
      <c r="C3214" s="1" t="n">
        <v>45669</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42965-2024</t>
        </is>
      </c>
      <c r="B3215" s="1" t="n">
        <v>45567</v>
      </c>
      <c r="C3215" s="1" t="n">
        <v>45669</v>
      </c>
      <c r="D3215" t="inlineStr">
        <is>
          <t>VÄSTERNORRLANDS LÄN</t>
        </is>
      </c>
      <c r="E3215" t="inlineStr">
        <is>
          <t>SOLLEFTEÅ</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42987-2024</t>
        </is>
      </c>
      <c r="B3216" s="1" t="n">
        <v>45567</v>
      </c>
      <c r="C3216" s="1" t="n">
        <v>45669</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42983-2024</t>
        </is>
      </c>
      <c r="B3217" s="1" t="n">
        <v>45567</v>
      </c>
      <c r="C3217" s="1" t="n">
        <v>45669</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42979-2024</t>
        </is>
      </c>
      <c r="B3218" s="1" t="n">
        <v>45567</v>
      </c>
      <c r="C3218" s="1" t="n">
        <v>45669</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42975-2024</t>
        </is>
      </c>
      <c r="B3219" s="1" t="n">
        <v>45567</v>
      </c>
      <c r="C3219" s="1" t="n">
        <v>45669</v>
      </c>
      <c r="D3219" t="inlineStr">
        <is>
          <t>VÄSTERNORRLANDS LÄN</t>
        </is>
      </c>
      <c r="E3219" t="inlineStr">
        <is>
          <t>SOLLEFTEÅ</t>
        </is>
      </c>
      <c r="F3219" t="inlineStr">
        <is>
          <t>SCA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42971-2024</t>
        </is>
      </c>
      <c r="B3220" s="1" t="n">
        <v>45567</v>
      </c>
      <c r="C3220" s="1" t="n">
        <v>45669</v>
      </c>
      <c r="D3220" t="inlineStr">
        <is>
          <t>VÄSTERNORRLANDS LÄN</t>
        </is>
      </c>
      <c r="E3220" t="inlineStr">
        <is>
          <t>SOLLEFTEÅ</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42963-2024</t>
        </is>
      </c>
      <c r="B3221" s="1" t="n">
        <v>45567</v>
      </c>
      <c r="C3221" s="1" t="n">
        <v>45669</v>
      </c>
      <c r="D3221" t="inlineStr">
        <is>
          <t>VÄSTERNORRLANDS LÄN</t>
        </is>
      </c>
      <c r="E3221" t="inlineStr">
        <is>
          <t>SOLLEFTEÅ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42978-2024</t>
        </is>
      </c>
      <c r="B3222" s="1" t="n">
        <v>45567</v>
      </c>
      <c r="C3222" s="1" t="n">
        <v>45669</v>
      </c>
      <c r="D3222" t="inlineStr">
        <is>
          <t>VÄSTERNORRLANDS LÄN</t>
        </is>
      </c>
      <c r="E3222" t="inlineStr">
        <is>
          <t>SOLLEFTEÅ</t>
        </is>
      </c>
      <c r="F3222" t="inlineStr">
        <is>
          <t>SCA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42970-2024</t>
        </is>
      </c>
      <c r="B3223" s="1" t="n">
        <v>45567</v>
      </c>
      <c r="C3223" s="1" t="n">
        <v>45669</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42950-2024</t>
        </is>
      </c>
      <c r="B3224" s="1" t="n">
        <v>45567</v>
      </c>
      <c r="C3224" s="1" t="n">
        <v>45669</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43265-2024</t>
        </is>
      </c>
      <c r="B3225" s="1" t="n">
        <v>45568</v>
      </c>
      <c r="C3225" s="1" t="n">
        <v>45669</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43627-2024</t>
        </is>
      </c>
      <c r="B3226" s="1" t="n">
        <v>45569</v>
      </c>
      <c r="C3226" s="1" t="n">
        <v>45669</v>
      </c>
      <c r="D3226" t="inlineStr">
        <is>
          <t>VÄSTERNORRLANDS LÄN</t>
        </is>
      </c>
      <c r="E3226" t="inlineStr">
        <is>
          <t>SOLLEFTEÅ</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43585-2024</t>
        </is>
      </c>
      <c r="B3227" s="1" t="n">
        <v>45569</v>
      </c>
      <c r="C3227" s="1" t="n">
        <v>45669</v>
      </c>
      <c r="D3227" t="inlineStr">
        <is>
          <t>VÄSTERNORRLANDS LÄN</t>
        </is>
      </c>
      <c r="E3227" t="inlineStr">
        <is>
          <t>SOLLEFTEÅ</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43845-2024</t>
        </is>
      </c>
      <c r="B3228" s="1" t="n">
        <v>45572</v>
      </c>
      <c r="C3228" s="1" t="n">
        <v>45669</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43843-2024</t>
        </is>
      </c>
      <c r="B3229" s="1" t="n">
        <v>45572</v>
      </c>
      <c r="C3229" s="1" t="n">
        <v>45669</v>
      </c>
      <c r="D3229" t="inlineStr">
        <is>
          <t>VÄSTERNORRLANDS LÄN</t>
        </is>
      </c>
      <c r="E3229" t="inlineStr">
        <is>
          <t>SOLLEFTEÅ</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44172-2024</t>
        </is>
      </c>
      <c r="B3230" s="1" t="n">
        <v>45572</v>
      </c>
      <c r="C3230" s="1" t="n">
        <v>45669</v>
      </c>
      <c r="D3230" t="inlineStr">
        <is>
          <t>VÄSTERNORRLANDS LÄN</t>
        </is>
      </c>
      <c r="E3230" t="inlineStr">
        <is>
          <t>SOLLEFTEÅ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44201-2024</t>
        </is>
      </c>
      <c r="B3231" s="1" t="n">
        <v>45573</v>
      </c>
      <c r="C3231" s="1" t="n">
        <v>45669</v>
      </c>
      <c r="D3231" t="inlineStr">
        <is>
          <t>VÄSTERNORRLANDS LÄN</t>
        </is>
      </c>
      <c r="E3231" t="inlineStr">
        <is>
          <t>SOLLEFTEÅ</t>
        </is>
      </c>
      <c r="F3231" t="inlineStr">
        <is>
          <t>SCA</t>
        </is>
      </c>
      <c r="G3231" t="n">
        <v>3.6</v>
      </c>
      <c r="H3231" t="n">
        <v>0</v>
      </c>
      <c r="I3231" t="n">
        <v>0</v>
      </c>
      <c r="J3231" t="n">
        <v>0</v>
      </c>
      <c r="K3231" t="n">
        <v>0</v>
      </c>
      <c r="L3231" t="n">
        <v>0</v>
      </c>
      <c r="M3231" t="n">
        <v>0</v>
      </c>
      <c r="N3231" t="n">
        <v>0</v>
      </c>
      <c r="O3231" t="n">
        <v>0</v>
      </c>
      <c r="P3231" t="n">
        <v>0</v>
      </c>
      <c r="Q3231" t="n">
        <v>0</v>
      </c>
      <c r="R3231" s="2" t="inlineStr"/>
      <c r="U3231">
        <f>HYPERLINK("https://klasma.github.io/Logging_2283/knärot/A 44201-2024 karta knärot.png", "A 44201-2024")</f>
        <v/>
      </c>
      <c r="V3231">
        <f>HYPERLINK("https://klasma.github.io/Logging_2283/klagomål/A 44201-2024 FSC-klagomål.docx", "A 44201-2024")</f>
        <v/>
      </c>
      <c r="W3231">
        <f>HYPERLINK("https://klasma.github.io/Logging_2283/klagomålsmail/A 44201-2024 FSC-klagomål mail.docx", "A 44201-2024")</f>
        <v/>
      </c>
      <c r="X3231">
        <f>HYPERLINK("https://klasma.github.io/Logging_2283/tillsyn/A 44201-2024 tillsynsbegäran.docx", "A 44201-2024")</f>
        <v/>
      </c>
      <c r="Y3231">
        <f>HYPERLINK("https://klasma.github.io/Logging_2283/tillsynsmail/A 44201-2024 tillsynsbegäran mail.docx", "A 44201-2024")</f>
        <v/>
      </c>
    </row>
    <row r="3232" ht="15" customHeight="1">
      <c r="A3232" t="inlineStr">
        <is>
          <t>A 44299-2024</t>
        </is>
      </c>
      <c r="B3232" s="1" t="n">
        <v>45573</v>
      </c>
      <c r="C3232" s="1" t="n">
        <v>45669</v>
      </c>
      <c r="D3232" t="inlineStr">
        <is>
          <t>VÄSTERNORRLANDS LÄN</t>
        </is>
      </c>
      <c r="E3232" t="inlineStr">
        <is>
          <t>SOLLEFTEÅ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44320-2024</t>
        </is>
      </c>
      <c r="B3233" s="1" t="n">
        <v>45573</v>
      </c>
      <c r="C3233" s="1" t="n">
        <v>45669</v>
      </c>
      <c r="D3233" t="inlineStr">
        <is>
          <t>VÄSTERNORRLANDS LÄN</t>
        </is>
      </c>
      <c r="E3233" t="inlineStr">
        <is>
          <t>SOLLEFTEÅ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44202-2024</t>
        </is>
      </c>
      <c r="B3234" s="1" t="n">
        <v>45573</v>
      </c>
      <c r="C3234" s="1" t="n">
        <v>45669</v>
      </c>
      <c r="D3234" t="inlineStr">
        <is>
          <t>VÄSTERNORRLANDS LÄN</t>
        </is>
      </c>
      <c r="E3234" t="inlineStr">
        <is>
          <t>SOLLEFTEÅ</t>
        </is>
      </c>
      <c r="F3234" t="inlineStr">
        <is>
          <t>SCA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44323-2024</t>
        </is>
      </c>
      <c r="B3235" s="1" t="n">
        <v>45573</v>
      </c>
      <c r="C3235" s="1" t="n">
        <v>45669</v>
      </c>
      <c r="D3235" t="inlineStr">
        <is>
          <t>VÄSTERNORRLANDS LÄN</t>
        </is>
      </c>
      <c r="E3235" t="inlineStr">
        <is>
          <t>SOLLEFTEÅ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44302-2024</t>
        </is>
      </c>
      <c r="B3236" s="1" t="n">
        <v>45573</v>
      </c>
      <c r="C3236" s="1" t="n">
        <v>45669</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44298-2024</t>
        </is>
      </c>
      <c r="B3237" s="1" t="n">
        <v>45573</v>
      </c>
      <c r="C3237" s="1" t="n">
        <v>45669</v>
      </c>
      <c r="D3237" t="inlineStr">
        <is>
          <t>VÄSTERNORRLANDS LÄN</t>
        </is>
      </c>
      <c r="E3237" t="inlineStr">
        <is>
          <t>SOLLEFTEÅ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44294-2024</t>
        </is>
      </c>
      <c r="B3238" s="1" t="n">
        <v>45573</v>
      </c>
      <c r="C3238" s="1" t="n">
        <v>45669</v>
      </c>
      <c r="D3238" t="inlineStr">
        <is>
          <t>VÄSTERNORRLANDS LÄN</t>
        </is>
      </c>
      <c r="E3238" t="inlineStr">
        <is>
          <t>SOLLEFTEÅ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44200-2024</t>
        </is>
      </c>
      <c r="B3239" s="1" t="n">
        <v>45573</v>
      </c>
      <c r="C3239" s="1" t="n">
        <v>45669</v>
      </c>
      <c r="D3239" t="inlineStr">
        <is>
          <t>VÄSTERNORRLANDS LÄN</t>
        </is>
      </c>
      <c r="E3239" t="inlineStr">
        <is>
          <t>SOLLEFTEÅ</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44554-2024</t>
        </is>
      </c>
      <c r="B3240" s="1" t="n">
        <v>45574</v>
      </c>
      <c r="C3240" s="1" t="n">
        <v>45669</v>
      </c>
      <c r="D3240" t="inlineStr">
        <is>
          <t>VÄSTERNORRLANDS LÄN</t>
        </is>
      </c>
      <c r="E3240" t="inlineStr">
        <is>
          <t>SOLLEFTEÅ</t>
        </is>
      </c>
      <c r="F3240" t="inlineStr">
        <is>
          <t>SCA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44591-2024</t>
        </is>
      </c>
      <c r="B3241" s="1" t="n">
        <v>45574</v>
      </c>
      <c r="C3241" s="1" t="n">
        <v>45669</v>
      </c>
      <c r="D3241" t="inlineStr">
        <is>
          <t>VÄSTERNORRLANDS LÄN</t>
        </is>
      </c>
      <c r="E3241" t="inlineStr">
        <is>
          <t>SOLLEFTEÅ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44627-2024</t>
        </is>
      </c>
      <c r="B3242" s="1" t="n">
        <v>45574</v>
      </c>
      <c r="C3242" s="1" t="n">
        <v>45669</v>
      </c>
      <c r="D3242" t="inlineStr">
        <is>
          <t>VÄSTERNORRLANDS LÄN</t>
        </is>
      </c>
      <c r="E3242" t="inlineStr">
        <is>
          <t>SOLLEFTEÅ</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44640-2024</t>
        </is>
      </c>
      <c r="B3243" s="1" t="n">
        <v>45574</v>
      </c>
      <c r="C3243" s="1" t="n">
        <v>45669</v>
      </c>
      <c r="D3243" t="inlineStr">
        <is>
          <t>VÄSTERNORRLANDS LÄN</t>
        </is>
      </c>
      <c r="E3243" t="inlineStr">
        <is>
          <t>SOLLEFTEÅ</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44614-2024</t>
        </is>
      </c>
      <c r="B3244" s="1" t="n">
        <v>45574</v>
      </c>
      <c r="C3244" s="1" t="n">
        <v>45669</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44639-2024</t>
        </is>
      </c>
      <c r="B3245" s="1" t="n">
        <v>45574</v>
      </c>
      <c r="C3245" s="1" t="n">
        <v>45669</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44661-2024</t>
        </is>
      </c>
      <c r="B3246" s="1" t="n">
        <v>45574</v>
      </c>
      <c r="C3246" s="1" t="n">
        <v>45669</v>
      </c>
      <c r="D3246" t="inlineStr">
        <is>
          <t>VÄSTERNORRLANDS LÄN</t>
        </is>
      </c>
      <c r="E3246" t="inlineStr">
        <is>
          <t>SOLLEFTEÅ</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44621-2024</t>
        </is>
      </c>
      <c r="B3247" s="1" t="n">
        <v>45574</v>
      </c>
      <c r="C3247" s="1" t="n">
        <v>45669</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44662-2024</t>
        </is>
      </c>
      <c r="B3248" s="1" t="n">
        <v>45574</v>
      </c>
      <c r="C3248" s="1" t="n">
        <v>45669</v>
      </c>
      <c r="D3248" t="inlineStr">
        <is>
          <t>VÄSTERNORRLANDS LÄN</t>
        </is>
      </c>
      <c r="E3248" t="inlineStr">
        <is>
          <t>SOLLEFTEÅ</t>
        </is>
      </c>
      <c r="F3248" t="inlineStr">
        <is>
          <t>SCA</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45142-2024</t>
        </is>
      </c>
      <c r="B3249" s="1" t="n">
        <v>45575</v>
      </c>
      <c r="C3249" s="1" t="n">
        <v>45669</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45171-2024</t>
        </is>
      </c>
      <c r="B3250" s="1" t="n">
        <v>45575</v>
      </c>
      <c r="C3250" s="1" t="n">
        <v>45669</v>
      </c>
      <c r="D3250" t="inlineStr">
        <is>
          <t>VÄSTERNORRLANDS LÄN</t>
        </is>
      </c>
      <c r="E3250" t="inlineStr">
        <is>
          <t>SOLLEFTEÅ</t>
        </is>
      </c>
      <c r="F3250" t="inlineStr">
        <is>
          <t>SCA</t>
        </is>
      </c>
      <c r="G3250" t="n">
        <v>12.1</v>
      </c>
      <c r="H3250" t="n">
        <v>0</v>
      </c>
      <c r="I3250" t="n">
        <v>0</v>
      </c>
      <c r="J3250" t="n">
        <v>0</v>
      </c>
      <c r="K3250" t="n">
        <v>0</v>
      </c>
      <c r="L3250" t="n">
        <v>0</v>
      </c>
      <c r="M3250" t="n">
        <v>0</v>
      </c>
      <c r="N3250" t="n">
        <v>0</v>
      </c>
      <c r="O3250" t="n">
        <v>0</v>
      </c>
      <c r="P3250" t="n">
        <v>0</v>
      </c>
      <c r="Q3250" t="n">
        <v>0</v>
      </c>
      <c r="R3250" s="2" t="inlineStr"/>
    </row>
    <row r="3251" ht="15" customHeight="1">
      <c r="A3251" t="inlineStr">
        <is>
          <t>A 44950-2024</t>
        </is>
      </c>
      <c r="B3251" s="1" t="n">
        <v>45575</v>
      </c>
      <c r="C3251" s="1" t="n">
        <v>45669</v>
      </c>
      <c r="D3251" t="inlineStr">
        <is>
          <t>VÄSTERNORRLANDS LÄN</t>
        </is>
      </c>
      <c r="E3251" t="inlineStr">
        <is>
          <t>SOLLEFTEÅ</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45435-2024</t>
        </is>
      </c>
      <c r="B3252" s="1" t="n">
        <v>45576</v>
      </c>
      <c r="C3252" s="1" t="n">
        <v>45669</v>
      </c>
      <c r="D3252" t="inlineStr">
        <is>
          <t>VÄSTERNORRLANDS LÄN</t>
        </is>
      </c>
      <c r="E3252" t="inlineStr">
        <is>
          <t>SOLLEFTEÅ</t>
        </is>
      </c>
      <c r="F3252" t="inlineStr">
        <is>
          <t>SCA</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45334-2024</t>
        </is>
      </c>
      <c r="B3253" s="1" t="n">
        <v>45576</v>
      </c>
      <c r="C3253" s="1" t="n">
        <v>45669</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45590-2024</t>
        </is>
      </c>
      <c r="B3254" s="1" t="n">
        <v>45579</v>
      </c>
      <c r="C3254" s="1" t="n">
        <v>45669</v>
      </c>
      <c r="D3254" t="inlineStr">
        <is>
          <t>VÄSTERNORRLANDS LÄN</t>
        </is>
      </c>
      <c r="E3254" t="inlineStr">
        <is>
          <t>SOLLEFTEÅ</t>
        </is>
      </c>
      <c r="F3254" t="inlineStr">
        <is>
          <t>Holmen skog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45801-2024</t>
        </is>
      </c>
      <c r="B3255" s="1" t="n">
        <v>45579</v>
      </c>
      <c r="C3255" s="1" t="n">
        <v>45669</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45795-2024</t>
        </is>
      </c>
      <c r="B3256" s="1" t="n">
        <v>45579</v>
      </c>
      <c r="C3256" s="1" t="n">
        <v>45669</v>
      </c>
      <c r="D3256" t="inlineStr">
        <is>
          <t>VÄSTERNORRLANDS LÄN</t>
        </is>
      </c>
      <c r="E3256" t="inlineStr">
        <is>
          <t>SOLLEFTEÅ</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45573-2024</t>
        </is>
      </c>
      <c r="B3257" s="1" t="n">
        <v>45579</v>
      </c>
      <c r="C3257" s="1" t="n">
        <v>45669</v>
      </c>
      <c r="D3257" t="inlineStr">
        <is>
          <t>VÄSTERNORRLANDS LÄN</t>
        </is>
      </c>
      <c r="E3257" t="inlineStr">
        <is>
          <t>SOLLEFTEÅ</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45778-2024</t>
        </is>
      </c>
      <c r="B3258" s="1" t="n">
        <v>45579</v>
      </c>
      <c r="C3258" s="1" t="n">
        <v>45669</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45802-2024</t>
        </is>
      </c>
      <c r="B3259" s="1" t="n">
        <v>45579</v>
      </c>
      <c r="C3259" s="1" t="n">
        <v>45669</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45748-2024</t>
        </is>
      </c>
      <c r="B3260" s="1" t="n">
        <v>45579</v>
      </c>
      <c r="C3260" s="1" t="n">
        <v>45669</v>
      </c>
      <c r="D3260" t="inlineStr">
        <is>
          <t>VÄSTERNORRLANDS LÄN</t>
        </is>
      </c>
      <c r="E3260" t="inlineStr">
        <is>
          <t>SOLLEFTEÅ</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45975-2024</t>
        </is>
      </c>
      <c r="B3261" s="1" t="n">
        <v>45580</v>
      </c>
      <c r="C3261" s="1" t="n">
        <v>45669</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45940-2024</t>
        </is>
      </c>
      <c r="B3262" s="1" t="n">
        <v>45580</v>
      </c>
      <c r="C3262" s="1" t="n">
        <v>45669</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46255-2024</t>
        </is>
      </c>
      <c r="B3263" s="1" t="n">
        <v>45581</v>
      </c>
      <c r="C3263" s="1" t="n">
        <v>45669</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46101-2024</t>
        </is>
      </c>
      <c r="B3264" s="1" t="n">
        <v>45581</v>
      </c>
      <c r="C3264" s="1" t="n">
        <v>45669</v>
      </c>
      <c r="D3264" t="inlineStr">
        <is>
          <t>VÄSTERNORRLANDS LÄN</t>
        </is>
      </c>
      <c r="E3264" t="inlineStr">
        <is>
          <t>SOLLEFTEÅ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46261-2024</t>
        </is>
      </c>
      <c r="B3265" s="1" t="n">
        <v>45581</v>
      </c>
      <c r="C3265" s="1" t="n">
        <v>45669</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46524-2024</t>
        </is>
      </c>
      <c r="B3266" s="1" t="n">
        <v>45582</v>
      </c>
      <c r="C3266" s="1" t="n">
        <v>45669</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46772-2024</t>
        </is>
      </c>
      <c r="B3267" s="1" t="n">
        <v>45583</v>
      </c>
      <c r="C3267" s="1" t="n">
        <v>45669</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46850-2024</t>
        </is>
      </c>
      <c r="B3268" s="1" t="n">
        <v>45583</v>
      </c>
      <c r="C3268" s="1" t="n">
        <v>45669</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46765-2024</t>
        </is>
      </c>
      <c r="B3269" s="1" t="n">
        <v>45583</v>
      </c>
      <c r="C3269" s="1" t="n">
        <v>45669</v>
      </c>
      <c r="D3269" t="inlineStr">
        <is>
          <t>VÄSTERNORRLANDS LÄN</t>
        </is>
      </c>
      <c r="E3269" t="inlineStr">
        <is>
          <t>SOLLEFTEÅ</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46755-2024</t>
        </is>
      </c>
      <c r="B3270" s="1" t="n">
        <v>45583</v>
      </c>
      <c r="C3270" s="1" t="n">
        <v>45669</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46759-2024</t>
        </is>
      </c>
      <c r="B3271" s="1" t="n">
        <v>45583</v>
      </c>
      <c r="C3271" s="1" t="n">
        <v>45669</v>
      </c>
      <c r="D3271" t="inlineStr">
        <is>
          <t>VÄSTERNORRLANDS LÄN</t>
        </is>
      </c>
      <c r="E3271" t="inlineStr">
        <is>
          <t>SOLLEFTEÅ</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46767-2024</t>
        </is>
      </c>
      <c r="B3272" s="1" t="n">
        <v>45583</v>
      </c>
      <c r="C3272" s="1" t="n">
        <v>45669</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46770-2024</t>
        </is>
      </c>
      <c r="B3273" s="1" t="n">
        <v>45583</v>
      </c>
      <c r="C3273" s="1" t="n">
        <v>45669</v>
      </c>
      <c r="D3273" t="inlineStr">
        <is>
          <t>VÄSTERNORRLANDS LÄN</t>
        </is>
      </c>
      <c r="E3273" t="inlineStr">
        <is>
          <t>SOLLEFTEÅ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46758-2024</t>
        </is>
      </c>
      <c r="B3274" s="1" t="n">
        <v>45583</v>
      </c>
      <c r="C3274" s="1" t="n">
        <v>45669</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47175-2024</t>
        </is>
      </c>
      <c r="B3275" s="1" t="n">
        <v>45586</v>
      </c>
      <c r="C3275" s="1" t="n">
        <v>45669</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47179-2024</t>
        </is>
      </c>
      <c r="B3276" s="1" t="n">
        <v>45586</v>
      </c>
      <c r="C3276" s="1" t="n">
        <v>45669</v>
      </c>
      <c r="D3276" t="inlineStr">
        <is>
          <t>VÄSTERNORRLANDS LÄN</t>
        </is>
      </c>
      <c r="E3276" t="inlineStr">
        <is>
          <t>SOLLEFTEÅ</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46973-2024</t>
        </is>
      </c>
      <c r="B3277" s="1" t="n">
        <v>45586</v>
      </c>
      <c r="C3277" s="1" t="n">
        <v>45669</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47471-2024</t>
        </is>
      </c>
      <c r="B3278" s="1" t="n">
        <v>45587</v>
      </c>
      <c r="C3278" s="1" t="n">
        <v>45669</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47354-2024</t>
        </is>
      </c>
      <c r="B3279" s="1" t="n">
        <v>45587</v>
      </c>
      <c r="C3279" s="1" t="n">
        <v>45669</v>
      </c>
      <c r="D3279" t="inlineStr">
        <is>
          <t>VÄSTERNORRLANDS LÄN</t>
        </is>
      </c>
      <c r="E3279" t="inlineStr">
        <is>
          <t>SOLLEFTEÅ</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47547-2024</t>
        </is>
      </c>
      <c r="B3280" s="1" t="n">
        <v>45587</v>
      </c>
      <c r="C3280" s="1" t="n">
        <v>45669</v>
      </c>
      <c r="D3280" t="inlineStr">
        <is>
          <t>VÄSTERNORRLANDS LÄN</t>
        </is>
      </c>
      <c r="E3280" t="inlineStr">
        <is>
          <t>SOLLEFTEÅ</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47745-2024</t>
        </is>
      </c>
      <c r="B3281" s="1" t="n">
        <v>45588</v>
      </c>
      <c r="C3281" s="1" t="n">
        <v>45669</v>
      </c>
      <c r="D3281" t="inlineStr">
        <is>
          <t>VÄSTERNORRLANDS LÄN</t>
        </is>
      </c>
      <c r="E3281" t="inlineStr">
        <is>
          <t>SOLLEFTEÅ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47641-2024</t>
        </is>
      </c>
      <c r="B3282" s="1" t="n">
        <v>45588</v>
      </c>
      <c r="C3282" s="1" t="n">
        <v>45669</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47631-2024</t>
        </is>
      </c>
      <c r="B3283" s="1" t="n">
        <v>45588</v>
      </c>
      <c r="C3283" s="1" t="n">
        <v>45669</v>
      </c>
      <c r="D3283" t="inlineStr">
        <is>
          <t>VÄSTERNORRLANDS LÄN</t>
        </is>
      </c>
      <c r="E3283" t="inlineStr">
        <is>
          <t>SOLLEFTEÅ</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47868-2024</t>
        </is>
      </c>
      <c r="B3284" s="1" t="n">
        <v>45588</v>
      </c>
      <c r="C3284" s="1" t="n">
        <v>45669</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48118-2024</t>
        </is>
      </c>
      <c r="B3285" s="1" t="n">
        <v>45589</v>
      </c>
      <c r="C3285" s="1" t="n">
        <v>45669</v>
      </c>
      <c r="D3285" t="inlineStr">
        <is>
          <t>VÄSTERNORRLANDS LÄN</t>
        </is>
      </c>
      <c r="E3285" t="inlineStr">
        <is>
          <t>SOLLEFTEÅ</t>
        </is>
      </c>
      <c r="F3285" t="inlineStr">
        <is>
          <t>SCA</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48038-2024</t>
        </is>
      </c>
      <c r="B3286" s="1" t="n">
        <v>45589</v>
      </c>
      <c r="C3286" s="1" t="n">
        <v>45669</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47955-2024</t>
        </is>
      </c>
      <c r="B3287" s="1" t="n">
        <v>45589</v>
      </c>
      <c r="C3287" s="1" t="n">
        <v>45669</v>
      </c>
      <c r="D3287" t="inlineStr">
        <is>
          <t>VÄSTERNORRLANDS LÄN</t>
        </is>
      </c>
      <c r="E3287" t="inlineStr">
        <is>
          <t>SOLLEFTEÅ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47963-2024</t>
        </is>
      </c>
      <c r="B3288" s="1" t="n">
        <v>45589</v>
      </c>
      <c r="C3288" s="1" t="n">
        <v>45669</v>
      </c>
      <c r="D3288" t="inlineStr">
        <is>
          <t>VÄSTERNORRLANDS LÄN</t>
        </is>
      </c>
      <c r="E3288" t="inlineStr">
        <is>
          <t>SOLLEFTEÅ</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47987-2024</t>
        </is>
      </c>
      <c r="B3289" s="1" t="n">
        <v>45589</v>
      </c>
      <c r="C3289" s="1" t="n">
        <v>45669</v>
      </c>
      <c r="D3289" t="inlineStr">
        <is>
          <t>VÄSTERNORRLANDS LÄN</t>
        </is>
      </c>
      <c r="E3289" t="inlineStr">
        <is>
          <t>SOLLEFTEÅ</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48019-2024</t>
        </is>
      </c>
      <c r="B3290" s="1" t="n">
        <v>45589</v>
      </c>
      <c r="C3290" s="1" t="n">
        <v>45669</v>
      </c>
      <c r="D3290" t="inlineStr">
        <is>
          <t>VÄSTERNORRLANDS LÄN</t>
        </is>
      </c>
      <c r="E3290" t="inlineStr">
        <is>
          <t>SOLLEFTEÅ</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48081-2024</t>
        </is>
      </c>
      <c r="B3291" s="1" t="n">
        <v>45589</v>
      </c>
      <c r="C3291" s="1" t="n">
        <v>45669</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48049-2024</t>
        </is>
      </c>
      <c r="B3292" s="1" t="n">
        <v>45589</v>
      </c>
      <c r="C3292" s="1" t="n">
        <v>45669</v>
      </c>
      <c r="D3292" t="inlineStr">
        <is>
          <t>VÄSTERNORRLANDS LÄN</t>
        </is>
      </c>
      <c r="E3292" t="inlineStr">
        <is>
          <t>SOLLEFTEÅ</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48021-2024</t>
        </is>
      </c>
      <c r="B3293" s="1" t="n">
        <v>45589</v>
      </c>
      <c r="C3293" s="1" t="n">
        <v>45669</v>
      </c>
      <c r="D3293" t="inlineStr">
        <is>
          <t>VÄSTERNORRLANDS LÄN</t>
        </is>
      </c>
      <c r="E3293" t="inlineStr">
        <is>
          <t>SOLLEFTEÅ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48017-2024</t>
        </is>
      </c>
      <c r="B3294" s="1" t="n">
        <v>45589</v>
      </c>
      <c r="C3294" s="1" t="n">
        <v>45669</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48001-2024</t>
        </is>
      </c>
      <c r="B3295" s="1" t="n">
        <v>45589</v>
      </c>
      <c r="C3295" s="1" t="n">
        <v>45669</v>
      </c>
      <c r="D3295" t="inlineStr">
        <is>
          <t>VÄSTERNORRLANDS LÄN</t>
        </is>
      </c>
      <c r="E3295" t="inlineStr">
        <is>
          <t>SOLLEFTEÅ</t>
        </is>
      </c>
      <c r="F3295" t="inlineStr">
        <is>
          <t>SCA</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47965-2024</t>
        </is>
      </c>
      <c r="B3296" s="1" t="n">
        <v>45589</v>
      </c>
      <c r="C3296" s="1" t="n">
        <v>45669</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48020-2024</t>
        </is>
      </c>
      <c r="B3297" s="1" t="n">
        <v>45589</v>
      </c>
      <c r="C3297" s="1" t="n">
        <v>45669</v>
      </c>
      <c r="D3297" t="inlineStr">
        <is>
          <t>VÄSTERNORRLANDS LÄN</t>
        </is>
      </c>
      <c r="E3297" t="inlineStr">
        <is>
          <t>SOLLEFTEÅ</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48396-2024</t>
        </is>
      </c>
      <c r="B3298" s="1" t="n">
        <v>45590</v>
      </c>
      <c r="C3298" s="1" t="n">
        <v>45669</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48265-2024</t>
        </is>
      </c>
      <c r="B3299" s="1" t="n">
        <v>45590</v>
      </c>
      <c r="C3299" s="1" t="n">
        <v>45669</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48419-2024</t>
        </is>
      </c>
      <c r="B3300" s="1" t="n">
        <v>45590</v>
      </c>
      <c r="C3300" s="1" t="n">
        <v>45669</v>
      </c>
      <c r="D3300" t="inlineStr">
        <is>
          <t>VÄSTERNORRLANDS LÄN</t>
        </is>
      </c>
      <c r="E3300" t="inlineStr">
        <is>
          <t>SOLLEFTEÅ</t>
        </is>
      </c>
      <c r="F3300" t="inlineStr">
        <is>
          <t>SCA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48235-2024</t>
        </is>
      </c>
      <c r="B3301" s="1" t="n">
        <v>45590</v>
      </c>
      <c r="C3301" s="1" t="n">
        <v>45669</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48490-2024</t>
        </is>
      </c>
      <c r="B3302" s="1" t="n">
        <v>45592</v>
      </c>
      <c r="C3302" s="1" t="n">
        <v>45669</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48489-2024</t>
        </is>
      </c>
      <c r="B3303" s="1" t="n">
        <v>45592</v>
      </c>
      <c r="C3303" s="1" t="n">
        <v>45669</v>
      </c>
      <c r="D3303" t="inlineStr">
        <is>
          <t>VÄSTERNORRLANDS LÄN</t>
        </is>
      </c>
      <c r="E3303" t="inlineStr">
        <is>
          <t>SOLLEFTEÅ</t>
        </is>
      </c>
      <c r="F3303" t="inlineStr">
        <is>
          <t>SCA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48491-2024</t>
        </is>
      </c>
      <c r="B3304" s="1" t="n">
        <v>45592</v>
      </c>
      <c r="C3304" s="1" t="n">
        <v>45669</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48720-2024</t>
        </is>
      </c>
      <c r="B3305" s="1" t="n">
        <v>45593</v>
      </c>
      <c r="C3305" s="1" t="n">
        <v>45669</v>
      </c>
      <c r="D3305" t="inlineStr">
        <is>
          <t>VÄSTERNORRLANDS LÄN</t>
        </is>
      </c>
      <c r="E3305" t="inlineStr">
        <is>
          <t>SOLLEFTEÅ</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48673-2024</t>
        </is>
      </c>
      <c r="B3306" s="1" t="n">
        <v>45593</v>
      </c>
      <c r="C3306" s="1" t="n">
        <v>45669</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48528-2024</t>
        </is>
      </c>
      <c r="B3307" s="1" t="n">
        <v>45593</v>
      </c>
      <c r="C3307" s="1" t="n">
        <v>45669</v>
      </c>
      <c r="D3307" t="inlineStr">
        <is>
          <t>VÄSTERNORRLANDS LÄN</t>
        </is>
      </c>
      <c r="E3307" t="inlineStr">
        <is>
          <t>SOLLEFTEÅ</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48529-2024</t>
        </is>
      </c>
      <c r="B3308" s="1" t="n">
        <v>45593</v>
      </c>
      <c r="C3308" s="1" t="n">
        <v>45669</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48606-2024</t>
        </is>
      </c>
      <c r="B3309" s="1" t="n">
        <v>45593</v>
      </c>
      <c r="C3309" s="1" t="n">
        <v>45669</v>
      </c>
      <c r="D3309" t="inlineStr">
        <is>
          <t>VÄSTERNORRLANDS LÄN</t>
        </is>
      </c>
      <c r="E3309" t="inlineStr">
        <is>
          <t>SOLLEFTEÅ</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48785-2024</t>
        </is>
      </c>
      <c r="B3310" s="1" t="n">
        <v>45593</v>
      </c>
      <c r="C3310" s="1" t="n">
        <v>45669</v>
      </c>
      <c r="D3310" t="inlineStr">
        <is>
          <t>VÄSTERNORRLANDS LÄN</t>
        </is>
      </c>
      <c r="E3310" t="inlineStr">
        <is>
          <t>SOLLEFTEÅ</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48962-2024</t>
        </is>
      </c>
      <c r="B3311" s="1" t="n">
        <v>45594</v>
      </c>
      <c r="C3311" s="1" t="n">
        <v>45669</v>
      </c>
      <c r="D3311" t="inlineStr">
        <is>
          <t>VÄSTERNORRLANDS LÄN</t>
        </is>
      </c>
      <c r="E3311" t="inlineStr">
        <is>
          <t>SOLLEFTEÅ</t>
        </is>
      </c>
      <c r="F3311" t="inlineStr">
        <is>
          <t>SCA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48897-2024</t>
        </is>
      </c>
      <c r="B3312" s="1" t="n">
        <v>45594</v>
      </c>
      <c r="C3312" s="1" t="n">
        <v>45669</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49156-2024</t>
        </is>
      </c>
      <c r="B3313" s="1" t="n">
        <v>45594</v>
      </c>
      <c r="C3313" s="1" t="n">
        <v>45669</v>
      </c>
      <c r="D3313" t="inlineStr">
        <is>
          <t>VÄSTERNORRLANDS LÄN</t>
        </is>
      </c>
      <c r="E3313" t="inlineStr">
        <is>
          <t>SOLLEFTEÅ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48895-2024</t>
        </is>
      </c>
      <c r="B3314" s="1" t="n">
        <v>45594</v>
      </c>
      <c r="C3314" s="1" t="n">
        <v>45669</v>
      </c>
      <c r="D3314" t="inlineStr">
        <is>
          <t>VÄSTERNORRLANDS LÄN</t>
        </is>
      </c>
      <c r="E3314" t="inlineStr">
        <is>
          <t>SOLLEFTEÅ</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49238-2024</t>
        </is>
      </c>
      <c r="B3315" s="1" t="n">
        <v>45595</v>
      </c>
      <c r="C3315" s="1" t="n">
        <v>45669</v>
      </c>
      <c r="D3315" t="inlineStr">
        <is>
          <t>VÄSTERNORRLANDS LÄN</t>
        </is>
      </c>
      <c r="E3315" t="inlineStr">
        <is>
          <t>SOLLEFTEÅ</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49373-2024</t>
        </is>
      </c>
      <c r="B3316" s="1" t="n">
        <v>45595</v>
      </c>
      <c r="C3316" s="1" t="n">
        <v>45669</v>
      </c>
      <c r="D3316" t="inlineStr">
        <is>
          <t>VÄSTERNORRLANDS LÄN</t>
        </is>
      </c>
      <c r="E3316" t="inlineStr">
        <is>
          <t>SOLLEFTEÅ</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49403-2024</t>
        </is>
      </c>
      <c r="B3317" s="1" t="n">
        <v>45595</v>
      </c>
      <c r="C3317" s="1" t="n">
        <v>45669</v>
      </c>
      <c r="D3317" t="inlineStr">
        <is>
          <t>VÄSTERNORRLANDS LÄN</t>
        </is>
      </c>
      <c r="E3317" t="inlineStr">
        <is>
          <t>SOLLEFTEÅ</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49253-2024</t>
        </is>
      </c>
      <c r="B3318" s="1" t="n">
        <v>45595</v>
      </c>
      <c r="C3318" s="1" t="n">
        <v>45669</v>
      </c>
      <c r="D3318" t="inlineStr">
        <is>
          <t>VÄSTERNORRLANDS LÄN</t>
        </is>
      </c>
      <c r="E3318" t="inlineStr">
        <is>
          <t>SOLLEFTEÅ</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49673-2024</t>
        </is>
      </c>
      <c r="B3319" s="1" t="n">
        <v>45596</v>
      </c>
      <c r="C3319" s="1" t="n">
        <v>45669</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49567-2024</t>
        </is>
      </c>
      <c r="B3320" s="1" t="n">
        <v>45596</v>
      </c>
      <c r="C3320" s="1" t="n">
        <v>45669</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49629-2024</t>
        </is>
      </c>
      <c r="B3321" s="1" t="n">
        <v>45596</v>
      </c>
      <c r="C3321" s="1" t="n">
        <v>45669</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49771-2024</t>
        </is>
      </c>
      <c r="B3322" s="1" t="n">
        <v>45597</v>
      </c>
      <c r="C3322" s="1" t="n">
        <v>45669</v>
      </c>
      <c r="D3322" t="inlineStr">
        <is>
          <t>VÄSTERNORRLANDS LÄN</t>
        </is>
      </c>
      <c r="E3322" t="inlineStr">
        <is>
          <t>SOLLEFTEÅ</t>
        </is>
      </c>
      <c r="F3322" t="inlineStr">
        <is>
          <t>SCA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49829-2024</t>
        </is>
      </c>
      <c r="B3323" s="1" t="n">
        <v>45597</v>
      </c>
      <c r="C3323" s="1" t="n">
        <v>45669</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49772-2024</t>
        </is>
      </c>
      <c r="B3324" s="1" t="n">
        <v>45597</v>
      </c>
      <c r="C3324" s="1" t="n">
        <v>45669</v>
      </c>
      <c r="D3324" t="inlineStr">
        <is>
          <t>VÄSTERNORRLANDS LÄN</t>
        </is>
      </c>
      <c r="E3324" t="inlineStr">
        <is>
          <t>SOLLEFTEÅ</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50007-2024</t>
        </is>
      </c>
      <c r="B3325" s="1" t="n">
        <v>45598</v>
      </c>
      <c r="C3325" s="1" t="n">
        <v>45669</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50008-2024</t>
        </is>
      </c>
      <c r="B3326" s="1" t="n">
        <v>45598</v>
      </c>
      <c r="C3326" s="1" t="n">
        <v>45669</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49999-2024</t>
        </is>
      </c>
      <c r="B3327" s="1" t="n">
        <v>45598</v>
      </c>
      <c r="C3327" s="1" t="n">
        <v>45669</v>
      </c>
      <c r="D3327" t="inlineStr">
        <is>
          <t>VÄSTERNORRLANDS LÄN</t>
        </is>
      </c>
      <c r="E3327" t="inlineStr">
        <is>
          <t>SOLLEFTEÅ</t>
        </is>
      </c>
      <c r="F3327" t="inlineStr">
        <is>
          <t>SCA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50006-2024</t>
        </is>
      </c>
      <c r="B3328" s="1" t="n">
        <v>45598</v>
      </c>
      <c r="C3328" s="1" t="n">
        <v>45669</v>
      </c>
      <c r="D3328" t="inlineStr">
        <is>
          <t>VÄSTERNORRLANDS LÄN</t>
        </is>
      </c>
      <c r="E3328" t="inlineStr">
        <is>
          <t>SOLLEFTEÅ</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50036-2024</t>
        </is>
      </c>
      <c r="B3329" s="1" t="n">
        <v>45599</v>
      </c>
      <c r="C3329" s="1" t="n">
        <v>45669</v>
      </c>
      <c r="D3329" t="inlineStr">
        <is>
          <t>VÄSTERNORRLANDS LÄN</t>
        </is>
      </c>
      <c r="E3329" t="inlineStr">
        <is>
          <t>SOLLEFTEÅ</t>
        </is>
      </c>
      <c r="G3329" t="n">
        <v>17.9</v>
      </c>
      <c r="H3329" t="n">
        <v>0</v>
      </c>
      <c r="I3329" t="n">
        <v>0</v>
      </c>
      <c r="J3329" t="n">
        <v>0</v>
      </c>
      <c r="K3329" t="n">
        <v>0</v>
      </c>
      <c r="L3329" t="n">
        <v>0</v>
      </c>
      <c r="M3329" t="n">
        <v>0</v>
      </c>
      <c r="N3329" t="n">
        <v>0</v>
      </c>
      <c r="O3329" t="n">
        <v>0</v>
      </c>
      <c r="P3329" t="n">
        <v>0</v>
      </c>
      <c r="Q3329" t="n">
        <v>0</v>
      </c>
      <c r="R3329" s="2" t="inlineStr"/>
    </row>
    <row r="3330" ht="15" customHeight="1">
      <c r="A3330" t="inlineStr">
        <is>
          <t>A 50089-2024</t>
        </is>
      </c>
      <c r="B3330" s="1" t="n">
        <v>45600</v>
      </c>
      <c r="C3330" s="1" t="n">
        <v>45669</v>
      </c>
      <c r="D3330" t="inlineStr">
        <is>
          <t>VÄSTERNORRLANDS LÄN</t>
        </is>
      </c>
      <c r="E3330" t="inlineStr">
        <is>
          <t>SOLLEFTEÅ</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50316-2024</t>
        </is>
      </c>
      <c r="B3331" s="1" t="n">
        <v>45600</v>
      </c>
      <c r="C3331" s="1" t="n">
        <v>45669</v>
      </c>
      <c r="D3331" t="inlineStr">
        <is>
          <t>VÄSTERNORRLANDS LÄN</t>
        </is>
      </c>
      <c r="E3331" t="inlineStr">
        <is>
          <t>SOLLEFTEÅ</t>
        </is>
      </c>
      <c r="F3331" t="inlineStr">
        <is>
          <t>SCA</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50090-2024</t>
        </is>
      </c>
      <c r="B3332" s="1" t="n">
        <v>45600</v>
      </c>
      <c r="C3332" s="1" t="n">
        <v>45669</v>
      </c>
      <c r="D3332" t="inlineStr">
        <is>
          <t>VÄSTERNORRLANDS LÄN</t>
        </is>
      </c>
      <c r="E3332" t="inlineStr">
        <is>
          <t>SOLLEFTEÅ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50624-2024</t>
        </is>
      </c>
      <c r="B3333" s="1" t="n">
        <v>45601</v>
      </c>
      <c r="C3333" s="1" t="n">
        <v>45669</v>
      </c>
      <c r="D3333" t="inlineStr">
        <is>
          <t>VÄSTERNORRLANDS LÄN</t>
        </is>
      </c>
      <c r="E3333" t="inlineStr">
        <is>
          <t>SOLLEFTEÅ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50557-2024</t>
        </is>
      </c>
      <c r="B3334" s="1" t="n">
        <v>45601</v>
      </c>
      <c r="C3334" s="1" t="n">
        <v>45669</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50549-2024</t>
        </is>
      </c>
      <c r="B3335" s="1" t="n">
        <v>45601</v>
      </c>
      <c r="C3335" s="1" t="n">
        <v>45669</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50430-2024</t>
        </is>
      </c>
      <c r="B3336" s="1" t="n">
        <v>45601</v>
      </c>
      <c r="C3336" s="1" t="n">
        <v>45669</v>
      </c>
      <c r="D3336" t="inlineStr">
        <is>
          <t>VÄSTERNORRLANDS LÄN</t>
        </is>
      </c>
      <c r="E3336" t="inlineStr">
        <is>
          <t>SOLLEFTEÅ</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50625-2024</t>
        </is>
      </c>
      <c r="B3337" s="1" t="n">
        <v>45601</v>
      </c>
      <c r="C3337" s="1" t="n">
        <v>45669</v>
      </c>
      <c r="D3337" t="inlineStr">
        <is>
          <t>VÄSTERNORRLANDS LÄN</t>
        </is>
      </c>
      <c r="E3337" t="inlineStr">
        <is>
          <t>SOLLEFTEÅ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50717-2024</t>
        </is>
      </c>
      <c r="B3338" s="1" t="n">
        <v>45602</v>
      </c>
      <c r="C3338" s="1" t="n">
        <v>45669</v>
      </c>
      <c r="D3338" t="inlineStr">
        <is>
          <t>VÄSTERNORRLANDS LÄN</t>
        </is>
      </c>
      <c r="E3338" t="inlineStr">
        <is>
          <t>SOLLEFTEÅ</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50721-2024</t>
        </is>
      </c>
      <c r="B3339" s="1" t="n">
        <v>45602</v>
      </c>
      <c r="C3339" s="1" t="n">
        <v>45669</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50864-2024</t>
        </is>
      </c>
      <c r="B3340" s="1" t="n">
        <v>45602</v>
      </c>
      <c r="C3340" s="1" t="n">
        <v>45669</v>
      </c>
      <c r="D3340" t="inlineStr">
        <is>
          <t>VÄSTERNORRLANDS LÄN</t>
        </is>
      </c>
      <c r="E3340" t="inlineStr">
        <is>
          <t>SOLLEFTEÅ</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50751-2024</t>
        </is>
      </c>
      <c r="B3341" s="1" t="n">
        <v>45602</v>
      </c>
      <c r="C3341" s="1" t="n">
        <v>45669</v>
      </c>
      <c r="D3341" t="inlineStr">
        <is>
          <t>VÄSTERNORRLANDS LÄN</t>
        </is>
      </c>
      <c r="E3341" t="inlineStr">
        <is>
          <t>SOLLEFTEÅ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50720-2024</t>
        </is>
      </c>
      <c r="B3342" s="1" t="n">
        <v>45602</v>
      </c>
      <c r="C3342" s="1" t="n">
        <v>45669</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50770-2024</t>
        </is>
      </c>
      <c r="B3343" s="1" t="n">
        <v>45602</v>
      </c>
      <c r="C3343" s="1" t="n">
        <v>45669</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50877-2024</t>
        </is>
      </c>
      <c r="B3344" s="1" t="n">
        <v>45602</v>
      </c>
      <c r="C3344" s="1" t="n">
        <v>45669</v>
      </c>
      <c r="D3344" t="inlineStr">
        <is>
          <t>VÄSTERNORRLANDS LÄN</t>
        </is>
      </c>
      <c r="E3344" t="inlineStr">
        <is>
          <t>SOLLEFTEÅ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51193-2024</t>
        </is>
      </c>
      <c r="B3345" s="1" t="n">
        <v>45603</v>
      </c>
      <c r="C3345" s="1" t="n">
        <v>45669</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50963-2024</t>
        </is>
      </c>
      <c r="B3346" s="1" t="n">
        <v>45603</v>
      </c>
      <c r="C3346" s="1" t="n">
        <v>45669</v>
      </c>
      <c r="D3346" t="inlineStr">
        <is>
          <t>VÄSTERNORRLANDS LÄN</t>
        </is>
      </c>
      <c r="E3346" t="inlineStr">
        <is>
          <t>SOLLEFTEÅ</t>
        </is>
      </c>
      <c r="F3346" t="inlineStr">
        <is>
          <t>Holmen skog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51224-2024</t>
        </is>
      </c>
      <c r="B3347" s="1" t="n">
        <v>45603</v>
      </c>
      <c r="C3347" s="1" t="n">
        <v>45669</v>
      </c>
      <c r="D3347" t="inlineStr">
        <is>
          <t>VÄSTERNORRLANDS LÄN</t>
        </is>
      </c>
      <c r="E3347" t="inlineStr">
        <is>
          <t>SOLLEFTEÅ</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51055-2024</t>
        </is>
      </c>
      <c r="B3348" s="1" t="n">
        <v>45603</v>
      </c>
      <c r="C3348" s="1" t="n">
        <v>45669</v>
      </c>
      <c r="D3348" t="inlineStr">
        <is>
          <t>VÄSTERNORRLANDS LÄN</t>
        </is>
      </c>
      <c r="E3348" t="inlineStr">
        <is>
          <t>SOLLEFTEÅ</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51226-2024</t>
        </is>
      </c>
      <c r="B3349" s="1" t="n">
        <v>45603</v>
      </c>
      <c r="C3349" s="1" t="n">
        <v>45669</v>
      </c>
      <c r="D3349" t="inlineStr">
        <is>
          <t>VÄSTERNORRLANDS LÄN</t>
        </is>
      </c>
      <c r="E3349" t="inlineStr">
        <is>
          <t>SOLLEFTEÅ</t>
        </is>
      </c>
      <c r="F3349" t="inlineStr">
        <is>
          <t>SCA</t>
        </is>
      </c>
      <c r="G3349" t="n">
        <v>13.9</v>
      </c>
      <c r="H3349" t="n">
        <v>0</v>
      </c>
      <c r="I3349" t="n">
        <v>0</v>
      </c>
      <c r="J3349" t="n">
        <v>0</v>
      </c>
      <c r="K3349" t="n">
        <v>0</v>
      </c>
      <c r="L3349" t="n">
        <v>0</v>
      </c>
      <c r="M3349" t="n">
        <v>0</v>
      </c>
      <c r="N3349" t="n">
        <v>0</v>
      </c>
      <c r="O3349" t="n">
        <v>0</v>
      </c>
      <c r="P3349" t="n">
        <v>0</v>
      </c>
      <c r="Q3349" t="n">
        <v>0</v>
      </c>
      <c r="R3349" s="2" t="inlineStr"/>
    </row>
    <row r="3350" ht="15" customHeight="1">
      <c r="A3350" t="inlineStr">
        <is>
          <t>A 51132-2024</t>
        </is>
      </c>
      <c r="B3350" s="1" t="n">
        <v>45603</v>
      </c>
      <c r="C3350" s="1" t="n">
        <v>45669</v>
      </c>
      <c r="D3350" t="inlineStr">
        <is>
          <t>VÄSTERNORRLANDS LÄN</t>
        </is>
      </c>
      <c r="E3350" t="inlineStr">
        <is>
          <t>SOLLEFTEÅ</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51264-2024</t>
        </is>
      </c>
      <c r="B3351" s="1" t="n">
        <v>45603</v>
      </c>
      <c r="C3351" s="1" t="n">
        <v>45669</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51227-2024</t>
        </is>
      </c>
      <c r="B3352" s="1" t="n">
        <v>45603</v>
      </c>
      <c r="C3352" s="1" t="n">
        <v>45669</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51402-2024</t>
        </is>
      </c>
      <c r="B3353" s="1" t="n">
        <v>45604</v>
      </c>
      <c r="C3353" s="1" t="n">
        <v>45669</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51527-2024</t>
        </is>
      </c>
      <c r="B3354" s="1" t="n">
        <v>45604</v>
      </c>
      <c r="C3354" s="1" t="n">
        <v>45669</v>
      </c>
      <c r="D3354" t="inlineStr">
        <is>
          <t>VÄSTERNORRLANDS LÄN</t>
        </is>
      </c>
      <c r="E3354" t="inlineStr">
        <is>
          <t>SOLLEFTEÅ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51573-2024</t>
        </is>
      </c>
      <c r="B3355" s="1" t="n">
        <v>45604</v>
      </c>
      <c r="C3355" s="1" t="n">
        <v>45669</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51528-2024</t>
        </is>
      </c>
      <c r="B3356" s="1" t="n">
        <v>45604</v>
      </c>
      <c r="C3356" s="1" t="n">
        <v>45669</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51341-2024</t>
        </is>
      </c>
      <c r="B3357" s="1" t="n">
        <v>45604</v>
      </c>
      <c r="C3357" s="1" t="n">
        <v>45669</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51505-2024</t>
        </is>
      </c>
      <c r="B3358" s="1" t="n">
        <v>45604</v>
      </c>
      <c r="C3358" s="1" t="n">
        <v>45669</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51616-2024</t>
        </is>
      </c>
      <c r="B3359" s="1" t="n">
        <v>45604</v>
      </c>
      <c r="C3359" s="1" t="n">
        <v>45669</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51693-2024</t>
        </is>
      </c>
      <c r="B3360" s="1" t="n">
        <v>45607</v>
      </c>
      <c r="C3360" s="1" t="n">
        <v>45669</v>
      </c>
      <c r="D3360" t="inlineStr">
        <is>
          <t>VÄSTERNORRLANDS LÄN</t>
        </is>
      </c>
      <c r="E3360" t="inlineStr">
        <is>
          <t>SOLLEFTEÅ</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51872-2024</t>
        </is>
      </c>
      <c r="B3361" s="1" t="n">
        <v>45607</v>
      </c>
      <c r="C3361" s="1" t="n">
        <v>45669</v>
      </c>
      <c r="D3361" t="inlineStr">
        <is>
          <t>VÄSTERNORRLANDS LÄN</t>
        </is>
      </c>
      <c r="E3361" t="inlineStr">
        <is>
          <t>SOLLEFTEÅ</t>
        </is>
      </c>
      <c r="F3361" t="inlineStr">
        <is>
          <t>SCA</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51942-2024</t>
        </is>
      </c>
      <c r="B3362" s="1" t="n">
        <v>45607</v>
      </c>
      <c r="C3362" s="1" t="n">
        <v>45669</v>
      </c>
      <c r="D3362" t="inlineStr">
        <is>
          <t>VÄSTERNORRLANDS LÄN</t>
        </is>
      </c>
      <c r="E3362" t="inlineStr">
        <is>
          <t>SOLLEFTEÅ</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51735-2024</t>
        </is>
      </c>
      <c r="B3363" s="1" t="n">
        <v>45607</v>
      </c>
      <c r="C3363" s="1" t="n">
        <v>45669</v>
      </c>
      <c r="D3363" t="inlineStr">
        <is>
          <t>VÄSTERNORRLANDS LÄN</t>
        </is>
      </c>
      <c r="E3363" t="inlineStr">
        <is>
          <t>SOLLEFTEÅ</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51890-2024</t>
        </is>
      </c>
      <c r="B3364" s="1" t="n">
        <v>45607</v>
      </c>
      <c r="C3364" s="1" t="n">
        <v>45669</v>
      </c>
      <c r="D3364" t="inlineStr">
        <is>
          <t>VÄSTERNORRLANDS LÄN</t>
        </is>
      </c>
      <c r="E3364" t="inlineStr">
        <is>
          <t>SOLLEFTEÅ</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51743-2024</t>
        </is>
      </c>
      <c r="B3365" s="1" t="n">
        <v>45607</v>
      </c>
      <c r="C3365" s="1" t="n">
        <v>45669</v>
      </c>
      <c r="D3365" t="inlineStr">
        <is>
          <t>VÄSTERNORRLANDS LÄN</t>
        </is>
      </c>
      <c r="E3365" t="inlineStr">
        <is>
          <t>SOLLEFTEÅ</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52438-2024</t>
        </is>
      </c>
      <c r="B3366" s="1" t="n">
        <v>45609</v>
      </c>
      <c r="C3366" s="1" t="n">
        <v>45669</v>
      </c>
      <c r="D3366" t="inlineStr">
        <is>
          <t>VÄSTERNORRLANDS LÄN</t>
        </is>
      </c>
      <c r="E3366" t="inlineStr">
        <is>
          <t>SOLLEFTEÅ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52455-2024</t>
        </is>
      </c>
      <c r="B3367" s="1" t="n">
        <v>45609</v>
      </c>
      <c r="C3367" s="1" t="n">
        <v>45669</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52471-2024</t>
        </is>
      </c>
      <c r="B3368" s="1" t="n">
        <v>45609</v>
      </c>
      <c r="C3368" s="1" t="n">
        <v>45669</v>
      </c>
      <c r="D3368" t="inlineStr">
        <is>
          <t>VÄSTERNORRLANDS LÄN</t>
        </is>
      </c>
      <c r="E3368" t="inlineStr">
        <is>
          <t>SOLLEFTEÅ</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52406-2024</t>
        </is>
      </c>
      <c r="B3369" s="1" t="n">
        <v>45609</v>
      </c>
      <c r="C3369" s="1" t="n">
        <v>45669</v>
      </c>
      <c r="D3369" t="inlineStr">
        <is>
          <t>VÄSTERNORRLANDS LÄN</t>
        </is>
      </c>
      <c r="E3369" t="inlineStr">
        <is>
          <t>SOLLEFTEÅ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52461-2024</t>
        </is>
      </c>
      <c r="B3370" s="1" t="n">
        <v>45609</v>
      </c>
      <c r="C3370" s="1" t="n">
        <v>45669</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52341-2024</t>
        </is>
      </c>
      <c r="B3371" s="1" t="n">
        <v>45609</v>
      </c>
      <c r="C3371" s="1" t="n">
        <v>45669</v>
      </c>
      <c r="D3371" t="inlineStr">
        <is>
          <t>VÄSTERNORRLANDS LÄN</t>
        </is>
      </c>
      <c r="E3371" t="inlineStr">
        <is>
          <t>SOLLEFTEÅ</t>
        </is>
      </c>
      <c r="F3371" t="inlineStr">
        <is>
          <t>Holmen skog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52429-2024</t>
        </is>
      </c>
      <c r="B3372" s="1" t="n">
        <v>45609</v>
      </c>
      <c r="C3372" s="1" t="n">
        <v>45669</v>
      </c>
      <c r="D3372" t="inlineStr">
        <is>
          <t>VÄSTERNORRLANDS LÄN</t>
        </is>
      </c>
      <c r="E3372" t="inlineStr">
        <is>
          <t>SOLLEFTEÅ</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52530-2024</t>
        </is>
      </c>
      <c r="B3373" s="1" t="n">
        <v>45609</v>
      </c>
      <c r="C3373" s="1" t="n">
        <v>45669</v>
      </c>
      <c r="D3373" t="inlineStr">
        <is>
          <t>VÄSTERNORRLANDS LÄN</t>
        </is>
      </c>
      <c r="E3373" t="inlineStr">
        <is>
          <t>SOLLEFTEÅ</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52602-2024</t>
        </is>
      </c>
      <c r="B3374" s="1" t="n">
        <v>45609</v>
      </c>
      <c r="C3374" s="1" t="n">
        <v>45669</v>
      </c>
      <c r="D3374" t="inlineStr">
        <is>
          <t>VÄSTERNORRLANDS LÄN</t>
        </is>
      </c>
      <c r="E3374" t="inlineStr">
        <is>
          <t>SOLLEFTEÅ</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52681-2024</t>
        </is>
      </c>
      <c r="B3375" s="1" t="n">
        <v>45610</v>
      </c>
      <c r="C3375" s="1" t="n">
        <v>45669</v>
      </c>
      <c r="D3375" t="inlineStr">
        <is>
          <t>VÄSTERNORRLANDS LÄN</t>
        </is>
      </c>
      <c r="E3375" t="inlineStr">
        <is>
          <t>SOLLEFTEÅ</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v>
      </c>
      <c r="C3376" s="1" t="n">
        <v>45669</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52768-2024</t>
        </is>
      </c>
      <c r="B3377" s="1" t="n">
        <v>45610</v>
      </c>
      <c r="C3377" s="1" t="n">
        <v>45669</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52663-2024</t>
        </is>
      </c>
      <c r="B3378" s="1" t="n">
        <v>45610</v>
      </c>
      <c r="C3378" s="1" t="n">
        <v>45669</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52702-2024</t>
        </is>
      </c>
      <c r="B3379" s="1" t="n">
        <v>45610</v>
      </c>
      <c r="C3379" s="1" t="n">
        <v>45669</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52662-2024</t>
        </is>
      </c>
      <c r="B3380" s="1" t="n">
        <v>45610</v>
      </c>
      <c r="C3380" s="1" t="n">
        <v>45669</v>
      </c>
      <c r="D3380" t="inlineStr">
        <is>
          <t>VÄSTERNORRLANDS LÄN</t>
        </is>
      </c>
      <c r="E3380" t="inlineStr">
        <is>
          <t>SOLLEFTEÅ</t>
        </is>
      </c>
      <c r="F3380" t="inlineStr">
        <is>
          <t>SCA</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53477-2024</t>
        </is>
      </c>
      <c r="B3381" s="1" t="n">
        <v>45611</v>
      </c>
      <c r="C3381" s="1" t="n">
        <v>45669</v>
      </c>
      <c r="D3381" t="inlineStr">
        <is>
          <t>VÄSTERNORRLANDS LÄN</t>
        </is>
      </c>
      <c r="E3381" t="inlineStr">
        <is>
          <t>SOLLEFTEÅ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53483-2024</t>
        </is>
      </c>
      <c r="B3382" s="1" t="n">
        <v>45611</v>
      </c>
      <c r="C3382" s="1" t="n">
        <v>45669</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53165-2024</t>
        </is>
      </c>
      <c r="B3383" s="1" t="n">
        <v>45611</v>
      </c>
      <c r="C3383" s="1" t="n">
        <v>45669</v>
      </c>
      <c r="D3383" t="inlineStr">
        <is>
          <t>VÄSTERNORRLANDS LÄN</t>
        </is>
      </c>
      <c r="E3383" t="inlineStr">
        <is>
          <t>SOLLEFTEÅ</t>
        </is>
      </c>
      <c r="F3383" t="inlineStr">
        <is>
          <t>Holmen skog AB</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53120-2024</t>
        </is>
      </c>
      <c r="B3384" s="1" t="n">
        <v>45611</v>
      </c>
      <c r="C3384" s="1" t="n">
        <v>45669</v>
      </c>
      <c r="D3384" t="inlineStr">
        <is>
          <t>VÄSTERNORRLANDS LÄN</t>
        </is>
      </c>
      <c r="E3384" t="inlineStr">
        <is>
          <t>SOLLEFTEÅ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53212-2024</t>
        </is>
      </c>
      <c r="B3385" s="1" t="n">
        <v>45612</v>
      </c>
      <c r="C3385" s="1" t="n">
        <v>45669</v>
      </c>
      <c r="D3385" t="inlineStr">
        <is>
          <t>VÄSTERNORRLANDS LÄN</t>
        </is>
      </c>
      <c r="E3385" t="inlineStr">
        <is>
          <t>SOLLEFTEÅ</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53206-2024</t>
        </is>
      </c>
      <c r="B3386" s="1" t="n">
        <v>45612</v>
      </c>
      <c r="C3386" s="1" t="n">
        <v>45669</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53210-2024</t>
        </is>
      </c>
      <c r="B3387" s="1" t="n">
        <v>45612</v>
      </c>
      <c r="C3387" s="1" t="n">
        <v>45669</v>
      </c>
      <c r="D3387" t="inlineStr">
        <is>
          <t>VÄSTERNORRLANDS LÄN</t>
        </is>
      </c>
      <c r="E3387" t="inlineStr">
        <is>
          <t>SOLLEFTEÅ</t>
        </is>
      </c>
      <c r="F3387" t="inlineStr">
        <is>
          <t>SCA</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53327-2024</t>
        </is>
      </c>
      <c r="B3388" s="1" t="n">
        <v>45614</v>
      </c>
      <c r="C3388" s="1" t="n">
        <v>45669</v>
      </c>
      <c r="D3388" t="inlineStr">
        <is>
          <t>VÄSTERNORRLANDS LÄN</t>
        </is>
      </c>
      <c r="E3388" t="inlineStr">
        <is>
          <t>SOLLEFTEÅ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53332-2024</t>
        </is>
      </c>
      <c r="B3389" s="1" t="n">
        <v>45614</v>
      </c>
      <c r="C3389" s="1" t="n">
        <v>45669</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53334-2024</t>
        </is>
      </c>
      <c r="B3390" s="1" t="n">
        <v>45614</v>
      </c>
      <c r="C3390" s="1" t="n">
        <v>45669</v>
      </c>
      <c r="D3390" t="inlineStr">
        <is>
          <t>VÄSTERNORRLANDS LÄN</t>
        </is>
      </c>
      <c r="E3390" t="inlineStr">
        <is>
          <t>SOLLEFTEÅ</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53330-2024</t>
        </is>
      </c>
      <c r="B3391" s="1" t="n">
        <v>45614</v>
      </c>
      <c r="C3391" s="1" t="n">
        <v>45669</v>
      </c>
      <c r="D3391" t="inlineStr">
        <is>
          <t>VÄSTERNORRLANDS LÄN</t>
        </is>
      </c>
      <c r="E3391" t="inlineStr">
        <is>
          <t>SOLLEFTEÅ</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53545-2024</t>
        </is>
      </c>
      <c r="B3392" s="1" t="n">
        <v>45614</v>
      </c>
      <c r="C3392" s="1" t="n">
        <v>45669</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53325-2024</t>
        </is>
      </c>
      <c r="B3393" s="1" t="n">
        <v>45614</v>
      </c>
      <c r="C3393" s="1" t="n">
        <v>45669</v>
      </c>
      <c r="D3393" t="inlineStr">
        <is>
          <t>VÄSTERNORRLANDS LÄN</t>
        </is>
      </c>
      <c r="E3393" t="inlineStr">
        <is>
          <t>SOLLEFTEÅ</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53321-2024</t>
        </is>
      </c>
      <c r="B3394" s="1" t="n">
        <v>45614</v>
      </c>
      <c r="C3394" s="1" t="n">
        <v>45669</v>
      </c>
      <c r="D3394" t="inlineStr">
        <is>
          <t>VÄSTERNORRLANDS LÄN</t>
        </is>
      </c>
      <c r="E3394" t="inlineStr">
        <is>
          <t>SOLLEFTEÅ</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53831-2024</t>
        </is>
      </c>
      <c r="B3395" s="1" t="n">
        <v>45615</v>
      </c>
      <c r="C3395" s="1" t="n">
        <v>45669</v>
      </c>
      <c r="D3395" t="inlineStr">
        <is>
          <t>VÄSTERNORRLANDS LÄN</t>
        </is>
      </c>
      <c r="E3395" t="inlineStr">
        <is>
          <t>SOLLEFTEÅ</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53855-2024</t>
        </is>
      </c>
      <c r="B3396" s="1" t="n">
        <v>45615</v>
      </c>
      <c r="C3396" s="1" t="n">
        <v>45669</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54177-2024</t>
        </is>
      </c>
      <c r="B3397" s="1" t="n">
        <v>45616</v>
      </c>
      <c r="C3397" s="1" t="n">
        <v>45669</v>
      </c>
      <c r="D3397" t="inlineStr">
        <is>
          <t>VÄSTERNORRLANDS LÄN</t>
        </is>
      </c>
      <c r="E3397" t="inlineStr">
        <is>
          <t>SOLLEFTEÅ</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54094-2024</t>
        </is>
      </c>
      <c r="B3398" s="1" t="n">
        <v>45616</v>
      </c>
      <c r="C3398" s="1" t="n">
        <v>45669</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54234-2024</t>
        </is>
      </c>
      <c r="B3399" s="1" t="n">
        <v>45616</v>
      </c>
      <c r="C3399" s="1" t="n">
        <v>45669</v>
      </c>
      <c r="D3399" t="inlineStr">
        <is>
          <t>VÄSTERNORRLANDS LÄN</t>
        </is>
      </c>
      <c r="E3399" t="inlineStr">
        <is>
          <t>SOLLEFTEÅ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54238-2024</t>
        </is>
      </c>
      <c r="B3400" s="1" t="n">
        <v>45616</v>
      </c>
      <c r="C3400" s="1" t="n">
        <v>45669</v>
      </c>
      <c r="D3400" t="inlineStr">
        <is>
          <t>VÄSTERNORRLANDS LÄN</t>
        </is>
      </c>
      <c r="E3400" t="inlineStr">
        <is>
          <t>SOLLEFTEÅ</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54073-2024</t>
        </is>
      </c>
      <c r="B3401" s="1" t="n">
        <v>45616</v>
      </c>
      <c r="C3401" s="1" t="n">
        <v>45669</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54241-2024</t>
        </is>
      </c>
      <c r="B3402" s="1" t="n">
        <v>45616</v>
      </c>
      <c r="C3402" s="1" t="n">
        <v>45669</v>
      </c>
      <c r="D3402" t="inlineStr">
        <is>
          <t>VÄSTERNORRLANDS LÄN</t>
        </is>
      </c>
      <c r="E3402" t="inlineStr">
        <is>
          <t>SOLLEFTEÅ</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54233-2024</t>
        </is>
      </c>
      <c r="B3403" s="1" t="n">
        <v>45616</v>
      </c>
      <c r="C3403" s="1" t="n">
        <v>45669</v>
      </c>
      <c r="D3403" t="inlineStr">
        <is>
          <t>VÄSTERNORRLANDS LÄN</t>
        </is>
      </c>
      <c r="E3403" t="inlineStr">
        <is>
          <t>SOLLEFTEÅ</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54240-2024</t>
        </is>
      </c>
      <c r="B3404" s="1" t="n">
        <v>45616</v>
      </c>
      <c r="C3404" s="1" t="n">
        <v>45669</v>
      </c>
      <c r="D3404" t="inlineStr">
        <is>
          <t>VÄSTERNORRLANDS LÄN</t>
        </is>
      </c>
      <c r="E3404" t="inlineStr">
        <is>
          <t>SOLLEFTEÅ</t>
        </is>
      </c>
      <c r="F3404" t="inlineStr">
        <is>
          <t>SCA</t>
        </is>
      </c>
      <c r="G3404" t="n">
        <v>38.4</v>
      </c>
      <c r="H3404" t="n">
        <v>0</v>
      </c>
      <c r="I3404" t="n">
        <v>0</v>
      </c>
      <c r="J3404" t="n">
        <v>0</v>
      </c>
      <c r="K3404" t="n">
        <v>0</v>
      </c>
      <c r="L3404" t="n">
        <v>0</v>
      </c>
      <c r="M3404" t="n">
        <v>0</v>
      </c>
      <c r="N3404" t="n">
        <v>0</v>
      </c>
      <c r="O3404" t="n">
        <v>0</v>
      </c>
      <c r="P3404" t="n">
        <v>0</v>
      </c>
      <c r="Q3404" t="n">
        <v>0</v>
      </c>
      <c r="R3404" s="2" t="inlineStr"/>
    </row>
    <row r="3405" ht="15" customHeight="1">
      <c r="A3405" t="inlineStr">
        <is>
          <t>A 54235-2024</t>
        </is>
      </c>
      <c r="B3405" s="1" t="n">
        <v>45616</v>
      </c>
      <c r="C3405" s="1" t="n">
        <v>45669</v>
      </c>
      <c r="D3405" t="inlineStr">
        <is>
          <t>VÄSTERNORRLANDS LÄN</t>
        </is>
      </c>
      <c r="E3405" t="inlineStr">
        <is>
          <t>SOLLEFTEÅ</t>
        </is>
      </c>
      <c r="F3405" t="inlineStr">
        <is>
          <t>SCA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54231-2024</t>
        </is>
      </c>
      <c r="B3406" s="1" t="n">
        <v>45616</v>
      </c>
      <c r="C3406" s="1" t="n">
        <v>45669</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54458-2024</t>
        </is>
      </c>
      <c r="B3407" s="1" t="n">
        <v>45617</v>
      </c>
      <c r="C3407" s="1" t="n">
        <v>45669</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54575-2024</t>
        </is>
      </c>
      <c r="B3408" s="1" t="n">
        <v>45617</v>
      </c>
      <c r="C3408" s="1" t="n">
        <v>45669</v>
      </c>
      <c r="D3408" t="inlineStr">
        <is>
          <t>VÄSTERNORRLANDS LÄN</t>
        </is>
      </c>
      <c r="E3408" t="inlineStr">
        <is>
          <t>SOLLEFTEÅ</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54574-2024</t>
        </is>
      </c>
      <c r="B3409" s="1" t="n">
        <v>45617</v>
      </c>
      <c r="C3409" s="1" t="n">
        <v>45669</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54532-2024</t>
        </is>
      </c>
      <c r="B3410" s="1" t="n">
        <v>45617</v>
      </c>
      <c r="C3410" s="1" t="n">
        <v>45669</v>
      </c>
      <c r="D3410" t="inlineStr">
        <is>
          <t>VÄSTERNORRLANDS LÄN</t>
        </is>
      </c>
      <c r="E3410" t="inlineStr">
        <is>
          <t>SOLLEFTEÅ</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54548-2024</t>
        </is>
      </c>
      <c r="B3411" s="1" t="n">
        <v>45617</v>
      </c>
      <c r="C3411" s="1" t="n">
        <v>45669</v>
      </c>
      <c r="D3411" t="inlineStr">
        <is>
          <t>VÄSTERNORRLANDS LÄN</t>
        </is>
      </c>
      <c r="E3411" t="inlineStr">
        <is>
          <t>SOLLEFTEÅ</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54572-2024</t>
        </is>
      </c>
      <c r="B3412" s="1" t="n">
        <v>45617</v>
      </c>
      <c r="C3412" s="1" t="n">
        <v>45669</v>
      </c>
      <c r="D3412" t="inlineStr">
        <is>
          <t>VÄSTERNORRLANDS LÄN</t>
        </is>
      </c>
      <c r="E3412" t="inlineStr">
        <is>
          <t>SOLLEFTEÅ</t>
        </is>
      </c>
      <c r="G3412" t="n">
        <v>28.2</v>
      </c>
      <c r="H3412" t="n">
        <v>0</v>
      </c>
      <c r="I3412" t="n">
        <v>0</v>
      </c>
      <c r="J3412" t="n">
        <v>0</v>
      </c>
      <c r="K3412" t="n">
        <v>0</v>
      </c>
      <c r="L3412" t="n">
        <v>0</v>
      </c>
      <c r="M3412" t="n">
        <v>0</v>
      </c>
      <c r="N3412" t="n">
        <v>0</v>
      </c>
      <c r="O3412" t="n">
        <v>0</v>
      </c>
      <c r="P3412" t="n">
        <v>0</v>
      </c>
      <c r="Q3412" t="n">
        <v>0</v>
      </c>
      <c r="R3412" s="2" t="inlineStr"/>
    </row>
    <row r="3413" ht="15" customHeight="1">
      <c r="A3413" t="inlineStr">
        <is>
          <t>A 54485-2024</t>
        </is>
      </c>
      <c r="B3413" s="1" t="n">
        <v>45617</v>
      </c>
      <c r="C3413" s="1" t="n">
        <v>45669</v>
      </c>
      <c r="D3413" t="inlineStr">
        <is>
          <t>VÄSTERNORRLANDS LÄN</t>
        </is>
      </c>
      <c r="E3413" t="inlineStr">
        <is>
          <t>SOLLEFTEÅ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54553-2024</t>
        </is>
      </c>
      <c r="B3414" s="1" t="n">
        <v>45617</v>
      </c>
      <c r="C3414" s="1" t="n">
        <v>45669</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54725-2024</t>
        </is>
      </c>
      <c r="B3415" s="1" t="n">
        <v>45618</v>
      </c>
      <c r="C3415" s="1" t="n">
        <v>45669</v>
      </c>
      <c r="D3415" t="inlineStr">
        <is>
          <t>VÄSTERNORRLANDS LÄN</t>
        </is>
      </c>
      <c r="E3415" t="inlineStr">
        <is>
          <t>SOLLEFTEÅ</t>
        </is>
      </c>
      <c r="F3415" t="inlineStr">
        <is>
          <t>SCA</t>
        </is>
      </c>
      <c r="G3415" t="n">
        <v>35.2</v>
      </c>
      <c r="H3415" t="n">
        <v>0</v>
      </c>
      <c r="I3415" t="n">
        <v>0</v>
      </c>
      <c r="J3415" t="n">
        <v>0</v>
      </c>
      <c r="K3415" t="n">
        <v>0</v>
      </c>
      <c r="L3415" t="n">
        <v>0</v>
      </c>
      <c r="M3415" t="n">
        <v>0</v>
      </c>
      <c r="N3415" t="n">
        <v>0</v>
      </c>
      <c r="O3415" t="n">
        <v>0</v>
      </c>
      <c r="P3415" t="n">
        <v>0</v>
      </c>
      <c r="Q3415" t="n">
        <v>0</v>
      </c>
      <c r="R3415" s="2" t="inlineStr"/>
    </row>
    <row r="3416" ht="15" customHeight="1">
      <c r="A3416" t="inlineStr">
        <is>
          <t>A 54726-2024</t>
        </is>
      </c>
      <c r="B3416" s="1" t="n">
        <v>45618</v>
      </c>
      <c r="C3416" s="1" t="n">
        <v>45669</v>
      </c>
      <c r="D3416" t="inlineStr">
        <is>
          <t>VÄSTERNORRLANDS LÄN</t>
        </is>
      </c>
      <c r="E3416" t="inlineStr">
        <is>
          <t>SOLLEFTEÅ</t>
        </is>
      </c>
      <c r="F3416" t="inlineStr">
        <is>
          <t>SCA</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54923-2024</t>
        </is>
      </c>
      <c r="B3417" s="1" t="n">
        <v>45618</v>
      </c>
      <c r="C3417" s="1" t="n">
        <v>45669</v>
      </c>
      <c r="D3417" t="inlineStr">
        <is>
          <t>VÄSTERNORRLANDS LÄN</t>
        </is>
      </c>
      <c r="E3417" t="inlineStr">
        <is>
          <t>SOLLEFTEÅ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54806-2024</t>
        </is>
      </c>
      <c r="B3418" s="1" t="n">
        <v>45618</v>
      </c>
      <c r="C3418" s="1" t="n">
        <v>45669</v>
      </c>
      <c r="D3418" t="inlineStr">
        <is>
          <t>VÄSTERNORRLANDS LÄN</t>
        </is>
      </c>
      <c r="E3418" t="inlineStr">
        <is>
          <t>SOLLEFTEÅ</t>
        </is>
      </c>
      <c r="F3418" t="inlineStr">
        <is>
          <t>SCA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55149-2024</t>
        </is>
      </c>
      <c r="B3419" s="1" t="n">
        <v>45621</v>
      </c>
      <c r="C3419" s="1" t="n">
        <v>45669</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55272-2024</t>
        </is>
      </c>
      <c r="B3420" s="1" t="n">
        <v>45621</v>
      </c>
      <c r="C3420" s="1" t="n">
        <v>45669</v>
      </c>
      <c r="D3420" t="inlineStr">
        <is>
          <t>VÄSTERNORRLANDS LÄN</t>
        </is>
      </c>
      <c r="E3420" t="inlineStr">
        <is>
          <t>SOLLEFTEÅ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45669</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55420-2024</t>
        </is>
      </c>
      <c r="B3422" s="1" t="n">
        <v>45622</v>
      </c>
      <c r="C3422" s="1" t="n">
        <v>45669</v>
      </c>
      <c r="D3422" t="inlineStr">
        <is>
          <t>VÄSTERNORRLANDS LÄN</t>
        </is>
      </c>
      <c r="E3422" t="inlineStr">
        <is>
          <t>SOLLEFTEÅ</t>
        </is>
      </c>
      <c r="F3422" t="inlineStr">
        <is>
          <t>SCA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55439-2024</t>
        </is>
      </c>
      <c r="B3423" s="1" t="n">
        <v>45622</v>
      </c>
      <c r="C3423" s="1" t="n">
        <v>45669</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55542-2024</t>
        </is>
      </c>
      <c r="B3424" s="1" t="n">
        <v>45622</v>
      </c>
      <c r="C3424" s="1" t="n">
        <v>45669</v>
      </c>
      <c r="D3424" t="inlineStr">
        <is>
          <t>VÄSTERNORRLANDS LÄN</t>
        </is>
      </c>
      <c r="E3424" t="inlineStr">
        <is>
          <t>SOLLEFTEÅ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55440-2024</t>
        </is>
      </c>
      <c r="B3425" s="1" t="n">
        <v>45622</v>
      </c>
      <c r="C3425" s="1" t="n">
        <v>45669</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55691-2024</t>
        </is>
      </c>
      <c r="B3426" s="1" t="n">
        <v>45622</v>
      </c>
      <c r="C3426" s="1" t="n">
        <v>45669</v>
      </c>
      <c r="D3426" t="inlineStr">
        <is>
          <t>VÄSTERNORRLANDS LÄN</t>
        </is>
      </c>
      <c r="E3426" t="inlineStr">
        <is>
          <t>SOLLEFTEÅ</t>
        </is>
      </c>
      <c r="F3426" t="inlineStr">
        <is>
          <t>SCA</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55707-2024</t>
        </is>
      </c>
      <c r="B3427" s="1" t="n">
        <v>45622</v>
      </c>
      <c r="C3427" s="1" t="n">
        <v>45669</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55692-2024</t>
        </is>
      </c>
      <c r="B3428" s="1" t="n">
        <v>45622</v>
      </c>
      <c r="C3428" s="1" t="n">
        <v>45669</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55710-2024</t>
        </is>
      </c>
      <c r="B3429" s="1" t="n">
        <v>45622</v>
      </c>
      <c r="C3429" s="1" t="n">
        <v>45669</v>
      </c>
      <c r="D3429" t="inlineStr">
        <is>
          <t>VÄSTERNORRLANDS LÄN</t>
        </is>
      </c>
      <c r="E3429" t="inlineStr">
        <is>
          <t>SOLLEFTEÅ</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55726-2024</t>
        </is>
      </c>
      <c r="B3430" s="1" t="n">
        <v>45622</v>
      </c>
      <c r="C3430" s="1" t="n">
        <v>45669</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45669</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45669</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55759-2024</t>
        </is>
      </c>
      <c r="B3433" s="1" t="n">
        <v>45623</v>
      </c>
      <c r="C3433" s="1" t="n">
        <v>45669</v>
      </c>
      <c r="D3433" t="inlineStr">
        <is>
          <t>VÄSTERNORRLANDS LÄN</t>
        </is>
      </c>
      <c r="E3433" t="inlineStr">
        <is>
          <t>SOLLEFTEÅ</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55848-2024</t>
        </is>
      </c>
      <c r="B3434" s="1" t="n">
        <v>45623</v>
      </c>
      <c r="C3434" s="1" t="n">
        <v>45669</v>
      </c>
      <c r="D3434" t="inlineStr">
        <is>
          <t>VÄSTERNORRLANDS LÄN</t>
        </is>
      </c>
      <c r="E3434" t="inlineStr">
        <is>
          <t>SOLLEFTEÅ</t>
        </is>
      </c>
      <c r="F3434" t="inlineStr">
        <is>
          <t>SCA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55756-2024</t>
        </is>
      </c>
      <c r="B3435" s="1" t="n">
        <v>45623</v>
      </c>
      <c r="C3435" s="1" t="n">
        <v>45669</v>
      </c>
      <c r="D3435" t="inlineStr">
        <is>
          <t>VÄSTERNORRLANDS LÄN</t>
        </is>
      </c>
      <c r="E3435" t="inlineStr">
        <is>
          <t>SOLLEFTEÅ</t>
        </is>
      </c>
      <c r="F3435" t="inlineStr">
        <is>
          <t>Holmen skog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55824-2024</t>
        </is>
      </c>
      <c r="B3436" s="1" t="n">
        <v>45623</v>
      </c>
      <c r="C3436" s="1" t="n">
        <v>45669</v>
      </c>
      <c r="D3436" t="inlineStr">
        <is>
          <t>VÄSTERNORRLANDS LÄN</t>
        </is>
      </c>
      <c r="E3436" t="inlineStr">
        <is>
          <t>SOLLEFTEÅ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55872-2024</t>
        </is>
      </c>
      <c r="B3437" s="1" t="n">
        <v>45623</v>
      </c>
      <c r="C3437" s="1" t="n">
        <v>45669</v>
      </c>
      <c r="D3437" t="inlineStr">
        <is>
          <t>VÄSTERNORRLANDS LÄN</t>
        </is>
      </c>
      <c r="E3437" t="inlineStr">
        <is>
          <t>SOLLEFTEÅ</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55851-2024</t>
        </is>
      </c>
      <c r="B3438" s="1" t="n">
        <v>45623</v>
      </c>
      <c r="C3438" s="1" t="n">
        <v>45669</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56033-2024</t>
        </is>
      </c>
      <c r="B3439" s="1" t="n">
        <v>45624</v>
      </c>
      <c r="C3439" s="1" t="n">
        <v>45669</v>
      </c>
      <c r="D3439" t="inlineStr">
        <is>
          <t>VÄSTERNORRLANDS LÄN</t>
        </is>
      </c>
      <c r="E3439" t="inlineStr">
        <is>
          <t>SOLLEFTEÅ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56037-2024</t>
        </is>
      </c>
      <c r="B3440" s="1" t="n">
        <v>45624</v>
      </c>
      <c r="C3440" s="1" t="n">
        <v>45669</v>
      </c>
      <c r="D3440" t="inlineStr">
        <is>
          <t>VÄSTERNORRLANDS LÄN</t>
        </is>
      </c>
      <c r="E3440" t="inlineStr">
        <is>
          <t>SOLLEFTEÅ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56190-2024</t>
        </is>
      </c>
      <c r="B3441" s="1" t="n">
        <v>45624</v>
      </c>
      <c r="C3441" s="1" t="n">
        <v>45669</v>
      </c>
      <c r="D3441" t="inlineStr">
        <is>
          <t>VÄSTERNORRLANDS LÄN</t>
        </is>
      </c>
      <c r="E3441" t="inlineStr">
        <is>
          <t>SOLLEFTEÅ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56207-2024</t>
        </is>
      </c>
      <c r="B3442" s="1" t="n">
        <v>45624</v>
      </c>
      <c r="C3442" s="1" t="n">
        <v>45669</v>
      </c>
      <c r="D3442" t="inlineStr">
        <is>
          <t>VÄSTERNORRLANDS LÄN</t>
        </is>
      </c>
      <c r="E3442" t="inlineStr">
        <is>
          <t>SOLLEFTEÅ</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56204-2024</t>
        </is>
      </c>
      <c r="B3443" s="1" t="n">
        <v>45624</v>
      </c>
      <c r="C3443" s="1" t="n">
        <v>45669</v>
      </c>
      <c r="D3443" t="inlineStr">
        <is>
          <t>VÄSTERNORRLANDS LÄN</t>
        </is>
      </c>
      <c r="E3443" t="inlineStr">
        <is>
          <t>SOLLEFTEÅ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56248-2024</t>
        </is>
      </c>
      <c r="B3444" s="1" t="n">
        <v>45624</v>
      </c>
      <c r="C3444" s="1" t="n">
        <v>45669</v>
      </c>
      <c r="D3444" t="inlineStr">
        <is>
          <t>VÄSTERNORRLANDS LÄN</t>
        </is>
      </c>
      <c r="E3444" t="inlineStr">
        <is>
          <t>SOLLEFTEÅ</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56252-2024</t>
        </is>
      </c>
      <c r="B3445" s="1" t="n">
        <v>45624</v>
      </c>
      <c r="C3445" s="1" t="n">
        <v>45669</v>
      </c>
      <c r="D3445" t="inlineStr">
        <is>
          <t>VÄSTERNORRLANDS LÄN</t>
        </is>
      </c>
      <c r="E3445" t="inlineStr">
        <is>
          <t>SOLLEFTEÅ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56206-2024</t>
        </is>
      </c>
      <c r="B3446" s="1" t="n">
        <v>45624</v>
      </c>
      <c r="C3446" s="1" t="n">
        <v>45669</v>
      </c>
      <c r="D3446" t="inlineStr">
        <is>
          <t>VÄSTERNORRLANDS LÄN</t>
        </is>
      </c>
      <c r="E3446" t="inlineStr">
        <is>
          <t>SOLLEFTEÅ</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56249-2024</t>
        </is>
      </c>
      <c r="B3447" s="1" t="n">
        <v>45624</v>
      </c>
      <c r="C3447" s="1" t="n">
        <v>45669</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56257-2024</t>
        </is>
      </c>
      <c r="B3448" s="1" t="n">
        <v>45624</v>
      </c>
      <c r="C3448" s="1" t="n">
        <v>45669</v>
      </c>
      <c r="D3448" t="inlineStr">
        <is>
          <t>VÄSTERNORRLANDS LÄN</t>
        </is>
      </c>
      <c r="E3448" t="inlineStr">
        <is>
          <t>SOLLEFTEÅ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56265-2024</t>
        </is>
      </c>
      <c r="B3449" s="1" t="n">
        <v>45624</v>
      </c>
      <c r="C3449" s="1" t="n">
        <v>45669</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56273-2024</t>
        </is>
      </c>
      <c r="B3450" s="1" t="n">
        <v>45624</v>
      </c>
      <c r="C3450" s="1" t="n">
        <v>45669</v>
      </c>
      <c r="D3450" t="inlineStr">
        <is>
          <t>VÄSTERNORRLANDS LÄN</t>
        </is>
      </c>
      <c r="E3450" t="inlineStr">
        <is>
          <t>SOLLEFTEÅ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56387-2024</t>
        </is>
      </c>
      <c r="B3451" s="1" t="n">
        <v>45625</v>
      </c>
      <c r="C3451" s="1" t="n">
        <v>45669</v>
      </c>
      <c r="D3451" t="inlineStr">
        <is>
          <t>VÄSTERNORRLANDS LÄN</t>
        </is>
      </c>
      <c r="E3451" t="inlineStr">
        <is>
          <t>SOLLEFTEÅ</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56408-2024</t>
        </is>
      </c>
      <c r="B3452" s="1" t="n">
        <v>45625</v>
      </c>
      <c r="C3452" s="1" t="n">
        <v>45669</v>
      </c>
      <c r="D3452" t="inlineStr">
        <is>
          <t>VÄSTERNORRLANDS LÄN</t>
        </is>
      </c>
      <c r="E3452" t="inlineStr">
        <is>
          <t>SOLLEFTEÅ</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56433-2024</t>
        </is>
      </c>
      <c r="B3453" s="1" t="n">
        <v>45625</v>
      </c>
      <c r="C3453" s="1" t="n">
        <v>45669</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56388-2024</t>
        </is>
      </c>
      <c r="B3454" s="1" t="n">
        <v>45625</v>
      </c>
      <c r="C3454" s="1" t="n">
        <v>45669</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45669</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45669</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56390-2024</t>
        </is>
      </c>
      <c r="B3457" s="1" t="n">
        <v>45625</v>
      </c>
      <c r="C3457" s="1" t="n">
        <v>45669</v>
      </c>
      <c r="D3457" t="inlineStr">
        <is>
          <t>VÄSTERNORRLANDS LÄN</t>
        </is>
      </c>
      <c r="E3457" t="inlineStr">
        <is>
          <t>SOLLEFTEÅ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56503-2024</t>
        </is>
      </c>
      <c r="B3458" s="1" t="n">
        <v>45625</v>
      </c>
      <c r="C3458" s="1" t="n">
        <v>45669</v>
      </c>
      <c r="D3458" t="inlineStr">
        <is>
          <t>VÄSTERNORRLANDS LÄN</t>
        </is>
      </c>
      <c r="E3458" t="inlineStr">
        <is>
          <t>SOLLEFTEÅ</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45669</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56861-2024</t>
        </is>
      </c>
      <c r="B3460" s="1" t="n">
        <v>45628</v>
      </c>
      <c r="C3460" s="1" t="n">
        <v>45669</v>
      </c>
      <c r="D3460" t="inlineStr">
        <is>
          <t>VÄSTERNORRLANDS LÄN</t>
        </is>
      </c>
      <c r="E3460" t="inlineStr">
        <is>
          <t>SOLLEFTEÅ</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57078-2024</t>
        </is>
      </c>
      <c r="B3461" s="1" t="n">
        <v>45629</v>
      </c>
      <c r="C3461" s="1" t="n">
        <v>45669</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45669</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57377-2024</t>
        </is>
      </c>
      <c r="B3463" s="1" t="n">
        <v>45629</v>
      </c>
      <c r="C3463" s="1" t="n">
        <v>45669</v>
      </c>
      <c r="D3463" t="inlineStr">
        <is>
          <t>VÄSTERNORRLANDS LÄN</t>
        </is>
      </c>
      <c r="E3463" t="inlineStr">
        <is>
          <t>SOLLEFTEÅ</t>
        </is>
      </c>
      <c r="F3463" t="inlineStr">
        <is>
          <t>SCA</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57101-2024</t>
        </is>
      </c>
      <c r="B3464" s="1" t="n">
        <v>45629</v>
      </c>
      <c r="C3464" s="1" t="n">
        <v>45669</v>
      </c>
      <c r="D3464" t="inlineStr">
        <is>
          <t>VÄSTERNORRLANDS LÄN</t>
        </is>
      </c>
      <c r="E3464" t="inlineStr">
        <is>
          <t>SOLLEFTEÅ</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57094-2024</t>
        </is>
      </c>
      <c r="B3465" s="1" t="n">
        <v>45629</v>
      </c>
      <c r="C3465" s="1" t="n">
        <v>45669</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57107-2024</t>
        </is>
      </c>
      <c r="B3466" s="1" t="n">
        <v>45629</v>
      </c>
      <c r="C3466" s="1" t="n">
        <v>45669</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57492-2024</t>
        </is>
      </c>
      <c r="B3467" s="1" t="n">
        <v>45630</v>
      </c>
      <c r="C3467" s="1" t="n">
        <v>45669</v>
      </c>
      <c r="D3467" t="inlineStr">
        <is>
          <t>VÄSTERNORRLANDS LÄN</t>
        </is>
      </c>
      <c r="E3467" t="inlineStr">
        <is>
          <t>SOLLEFTEÅ</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45669</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57487-2024</t>
        </is>
      </c>
      <c r="B3469" s="1" t="n">
        <v>45630</v>
      </c>
      <c r="C3469" s="1" t="n">
        <v>45669</v>
      </c>
      <c r="D3469" t="inlineStr">
        <is>
          <t>VÄSTERNORRLANDS LÄN</t>
        </is>
      </c>
      <c r="E3469" t="inlineStr">
        <is>
          <t>SOLLEFTEÅ</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57677-2024</t>
        </is>
      </c>
      <c r="B3470" s="1" t="n">
        <v>45630</v>
      </c>
      <c r="C3470" s="1" t="n">
        <v>45669</v>
      </c>
      <c r="D3470" t="inlineStr">
        <is>
          <t>VÄSTERNORRLANDS LÄN</t>
        </is>
      </c>
      <c r="E3470" t="inlineStr">
        <is>
          <t>SOLLEFTEÅ</t>
        </is>
      </c>
      <c r="F3470" t="inlineStr">
        <is>
          <t>SCA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45669</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57847-2024</t>
        </is>
      </c>
      <c r="B3472" s="1" t="n">
        <v>45631</v>
      </c>
      <c r="C3472" s="1" t="n">
        <v>45669</v>
      </c>
      <c r="D3472" t="inlineStr">
        <is>
          <t>VÄSTERNORRLANDS LÄN</t>
        </is>
      </c>
      <c r="E3472" t="inlineStr">
        <is>
          <t>SOLLEFTEÅ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57892-2024</t>
        </is>
      </c>
      <c r="B3473" s="1" t="n">
        <v>45631</v>
      </c>
      <c r="C3473" s="1" t="n">
        <v>45669</v>
      </c>
      <c r="D3473" t="inlineStr">
        <is>
          <t>VÄSTERNORRLANDS LÄN</t>
        </is>
      </c>
      <c r="E3473" t="inlineStr">
        <is>
          <t>SOLLEFTEÅ</t>
        </is>
      </c>
      <c r="F3473" t="inlineStr">
        <is>
          <t>SCA</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57846-2024</t>
        </is>
      </c>
      <c r="B3474" s="1" t="n">
        <v>45631</v>
      </c>
      <c r="C3474" s="1" t="n">
        <v>45669</v>
      </c>
      <c r="D3474" t="inlineStr">
        <is>
          <t>VÄSTERNORRLANDS LÄN</t>
        </is>
      </c>
      <c r="E3474" t="inlineStr">
        <is>
          <t>SOLLEFTEÅ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57922-2024</t>
        </is>
      </c>
      <c r="B3475" s="1" t="n">
        <v>45631</v>
      </c>
      <c r="C3475" s="1" t="n">
        <v>45669</v>
      </c>
      <c r="D3475" t="inlineStr">
        <is>
          <t>VÄSTERNORRLANDS LÄN</t>
        </is>
      </c>
      <c r="E3475" t="inlineStr">
        <is>
          <t>SOLLEFTEÅ</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45669</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45669</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58357-2024</t>
        </is>
      </c>
      <c r="B3478" s="1" t="n">
        <v>45632</v>
      </c>
      <c r="C3478" s="1" t="n">
        <v>45669</v>
      </c>
      <c r="D3478" t="inlineStr">
        <is>
          <t>VÄSTERNORRLANDS LÄN</t>
        </is>
      </c>
      <c r="E3478" t="inlineStr">
        <is>
          <t>SOLLEFTEÅ</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45669</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45669</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58463-2024</t>
        </is>
      </c>
      <c r="B3481" s="1" t="n">
        <v>45635</v>
      </c>
      <c r="C3481" s="1" t="n">
        <v>45669</v>
      </c>
      <c r="D3481" t="inlineStr">
        <is>
          <t>VÄSTERNORRLANDS LÄN</t>
        </is>
      </c>
      <c r="E3481" t="inlineStr">
        <is>
          <t>SOLLEFTEÅ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45669</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45669</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45669</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58462-2024</t>
        </is>
      </c>
      <c r="B3485" s="1" t="n">
        <v>45635</v>
      </c>
      <c r="C3485" s="1" t="n">
        <v>45669</v>
      </c>
      <c r="D3485" t="inlineStr">
        <is>
          <t>VÄSTERNORRLANDS LÄN</t>
        </is>
      </c>
      <c r="E3485" t="inlineStr">
        <is>
          <t>SOLLEFTEÅ</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58694-2024</t>
        </is>
      </c>
      <c r="B3486" s="1" t="n">
        <v>45635</v>
      </c>
      <c r="C3486" s="1" t="n">
        <v>45669</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45669</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45669</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45669</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45669</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58845-2024</t>
        </is>
      </c>
      <c r="B3491" s="1" t="n">
        <v>45636</v>
      </c>
      <c r="C3491" s="1" t="n">
        <v>45669</v>
      </c>
      <c r="D3491" t="inlineStr">
        <is>
          <t>VÄSTERNORRLANDS LÄN</t>
        </is>
      </c>
      <c r="E3491" t="inlineStr">
        <is>
          <t>SOLLEFTEÅ</t>
        </is>
      </c>
      <c r="F3491" t="inlineStr">
        <is>
          <t>SCA</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58841-2024</t>
        </is>
      </c>
      <c r="B3492" s="1" t="n">
        <v>45636</v>
      </c>
      <c r="C3492" s="1" t="n">
        <v>45669</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58808-2024</t>
        </is>
      </c>
      <c r="B3493" s="1" t="n">
        <v>45636</v>
      </c>
      <c r="C3493" s="1" t="n">
        <v>45669</v>
      </c>
      <c r="D3493" t="inlineStr">
        <is>
          <t>VÄSTERNORRLANDS LÄN</t>
        </is>
      </c>
      <c r="E3493" t="inlineStr">
        <is>
          <t>SOLLEFTEÅ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59105-2024</t>
        </is>
      </c>
      <c r="B3494" s="1" t="n">
        <v>45637</v>
      </c>
      <c r="C3494" s="1" t="n">
        <v>45669</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59144-2024</t>
        </is>
      </c>
      <c r="B3495" s="1" t="n">
        <v>45637</v>
      </c>
      <c r="C3495" s="1" t="n">
        <v>45669</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45669</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45669</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45669</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59491-2024</t>
        </is>
      </c>
      <c r="B3499" s="1" t="n">
        <v>45637</v>
      </c>
      <c r="C3499" s="1" t="n">
        <v>45669</v>
      </c>
      <c r="D3499" t="inlineStr">
        <is>
          <t>VÄSTERNORRLANDS LÄN</t>
        </is>
      </c>
      <c r="E3499" t="inlineStr">
        <is>
          <t>SOLLEFTEÅ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59563-2024</t>
        </is>
      </c>
      <c r="B3500" s="1" t="n">
        <v>45638</v>
      </c>
      <c r="C3500" s="1" t="n">
        <v>45669</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59567-2024</t>
        </is>
      </c>
      <c r="B3501" s="1" t="n">
        <v>45638</v>
      </c>
      <c r="C3501" s="1" t="n">
        <v>45669</v>
      </c>
      <c r="D3501" t="inlineStr">
        <is>
          <t>VÄSTERNORRLANDS LÄN</t>
        </is>
      </c>
      <c r="E3501" t="inlineStr">
        <is>
          <t>SOLLEFTEÅ</t>
        </is>
      </c>
      <c r="F3501" t="inlineStr">
        <is>
          <t>SCA</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59564-2024</t>
        </is>
      </c>
      <c r="B3502" s="1" t="n">
        <v>45638</v>
      </c>
      <c r="C3502" s="1" t="n">
        <v>45669</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59558-2024</t>
        </is>
      </c>
      <c r="B3503" s="1" t="n">
        <v>45638</v>
      </c>
      <c r="C3503" s="1" t="n">
        <v>45669</v>
      </c>
      <c r="D3503" t="inlineStr">
        <is>
          <t>VÄSTERNORRLANDS LÄN</t>
        </is>
      </c>
      <c r="E3503" t="inlineStr">
        <is>
          <t>SOLLEFTEÅ</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59566-2024</t>
        </is>
      </c>
      <c r="B3504" s="1" t="n">
        <v>45638</v>
      </c>
      <c r="C3504" s="1" t="n">
        <v>45669</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45669</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59426-2024</t>
        </is>
      </c>
      <c r="B3506" s="1" t="n">
        <v>45638</v>
      </c>
      <c r="C3506" s="1" t="n">
        <v>45669</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59422-2024</t>
        </is>
      </c>
      <c r="B3507" s="1" t="n">
        <v>45638</v>
      </c>
      <c r="C3507" s="1" t="n">
        <v>45669</v>
      </c>
      <c r="D3507" t="inlineStr">
        <is>
          <t>VÄSTERNORRLANDS LÄN</t>
        </is>
      </c>
      <c r="E3507" t="inlineStr">
        <is>
          <t>SOLLEFTEÅ</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59418-2024</t>
        </is>
      </c>
      <c r="B3508" s="1" t="n">
        <v>45638</v>
      </c>
      <c r="C3508" s="1" t="n">
        <v>45669</v>
      </c>
      <c r="D3508" t="inlineStr">
        <is>
          <t>VÄSTERNORRLANDS LÄN</t>
        </is>
      </c>
      <c r="E3508" t="inlineStr">
        <is>
          <t>SOLLEFTEÅ</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59407-2024</t>
        </is>
      </c>
      <c r="B3509" s="1" t="n">
        <v>45638</v>
      </c>
      <c r="C3509" s="1" t="n">
        <v>45669</v>
      </c>
      <c r="D3509" t="inlineStr">
        <is>
          <t>VÄSTERNORRLANDS LÄN</t>
        </is>
      </c>
      <c r="E3509" t="inlineStr">
        <is>
          <t>SOLLEFTEÅ</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59455-2024</t>
        </is>
      </c>
      <c r="B3510" s="1" t="n">
        <v>45638</v>
      </c>
      <c r="C3510" s="1" t="n">
        <v>45669</v>
      </c>
      <c r="D3510" t="inlineStr">
        <is>
          <t>VÄSTERNORRLANDS LÄN</t>
        </is>
      </c>
      <c r="E3510" t="inlineStr">
        <is>
          <t>SOLLEFTEÅ</t>
        </is>
      </c>
      <c r="F3510" t="inlineStr">
        <is>
          <t>SCA</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59389-2024</t>
        </is>
      </c>
      <c r="B3511" s="1" t="n">
        <v>45638</v>
      </c>
      <c r="C3511" s="1" t="n">
        <v>45669</v>
      </c>
      <c r="D3511" t="inlineStr">
        <is>
          <t>VÄSTERNORRLANDS LÄN</t>
        </is>
      </c>
      <c r="E3511" t="inlineStr">
        <is>
          <t>SOLLEFTEÅ</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59559-2024</t>
        </is>
      </c>
      <c r="B3512" s="1" t="n">
        <v>45638</v>
      </c>
      <c r="C3512" s="1" t="n">
        <v>45669</v>
      </c>
      <c r="D3512" t="inlineStr">
        <is>
          <t>VÄSTERNORRLANDS LÄN</t>
        </is>
      </c>
      <c r="E3512" t="inlineStr">
        <is>
          <t>SOLLEFTEÅ</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45669</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59473-2024</t>
        </is>
      </c>
      <c r="B3514" s="1" t="n">
        <v>45638</v>
      </c>
      <c r="C3514" s="1" t="n">
        <v>45669</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59424-2024</t>
        </is>
      </c>
      <c r="B3515" s="1" t="n">
        <v>45638</v>
      </c>
      <c r="C3515" s="1" t="n">
        <v>45669</v>
      </c>
      <c r="D3515" t="inlineStr">
        <is>
          <t>VÄSTERNORRLANDS LÄN</t>
        </is>
      </c>
      <c r="E3515" t="inlineStr">
        <is>
          <t>SOLLEFTEÅ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59416-2024</t>
        </is>
      </c>
      <c r="B3516" s="1" t="n">
        <v>45638</v>
      </c>
      <c r="C3516" s="1" t="n">
        <v>45669</v>
      </c>
      <c r="D3516" t="inlineStr">
        <is>
          <t>VÄSTERNORRLANDS LÄN</t>
        </is>
      </c>
      <c r="E3516" t="inlineStr">
        <is>
          <t>SOLLEFTEÅ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59474-2024</t>
        </is>
      </c>
      <c r="B3517" s="1" t="n">
        <v>45638</v>
      </c>
      <c r="C3517" s="1" t="n">
        <v>45669</v>
      </c>
      <c r="D3517" t="inlineStr">
        <is>
          <t>VÄSTERNORRLANDS LÄN</t>
        </is>
      </c>
      <c r="E3517" t="inlineStr">
        <is>
          <t>SOLLEFTEÅ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59421-2024</t>
        </is>
      </c>
      <c r="B3518" s="1" t="n">
        <v>45638</v>
      </c>
      <c r="C3518" s="1" t="n">
        <v>45669</v>
      </c>
      <c r="D3518" t="inlineStr">
        <is>
          <t>VÄSTERNORRLANDS LÄN</t>
        </is>
      </c>
      <c r="E3518" t="inlineStr">
        <is>
          <t>SOLLEFTEÅ</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59388-2024</t>
        </is>
      </c>
      <c r="B3519" s="1" t="n">
        <v>45638</v>
      </c>
      <c r="C3519" s="1" t="n">
        <v>45669</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45669</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59724-2024</t>
        </is>
      </c>
      <c r="B3521" s="1" t="n">
        <v>45639</v>
      </c>
      <c r="C3521" s="1" t="n">
        <v>45669</v>
      </c>
      <c r="D3521" t="inlineStr">
        <is>
          <t>VÄSTERNORRLANDS LÄN</t>
        </is>
      </c>
      <c r="E3521" t="inlineStr">
        <is>
          <t>SOLLEFTEÅ</t>
        </is>
      </c>
      <c r="F3521" t="inlineStr">
        <is>
          <t>SCA</t>
        </is>
      </c>
      <c r="G3521" t="n">
        <v>9.1</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45669</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45669</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59939-2024</t>
        </is>
      </c>
      <c r="B3524" s="1" t="n">
        <v>45642</v>
      </c>
      <c r="C3524" s="1" t="n">
        <v>45669</v>
      </c>
      <c r="D3524" t="inlineStr">
        <is>
          <t>VÄSTERNORRLANDS LÄN</t>
        </is>
      </c>
      <c r="E3524" t="inlineStr">
        <is>
          <t>SOLLEFTEÅ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60131-2024</t>
        </is>
      </c>
      <c r="B3525" s="1" t="n">
        <v>45642</v>
      </c>
      <c r="C3525" s="1" t="n">
        <v>45669</v>
      </c>
      <c r="D3525" t="inlineStr">
        <is>
          <t>VÄSTERNORRLANDS LÄN</t>
        </is>
      </c>
      <c r="E3525" t="inlineStr">
        <is>
          <t>SOLLEFTEÅ</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60024-2024</t>
        </is>
      </c>
      <c r="B3526" s="1" t="n">
        <v>45642</v>
      </c>
      <c r="C3526" s="1" t="n">
        <v>45669</v>
      </c>
      <c r="D3526" t="inlineStr">
        <is>
          <t>VÄSTERNORRLANDS LÄN</t>
        </is>
      </c>
      <c r="E3526" t="inlineStr">
        <is>
          <t>SOLLEFTEÅ</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45669</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60077-2024</t>
        </is>
      </c>
      <c r="B3528" s="1" t="n">
        <v>45642</v>
      </c>
      <c r="C3528" s="1" t="n">
        <v>45669</v>
      </c>
      <c r="D3528" t="inlineStr">
        <is>
          <t>VÄSTERNORRLANDS LÄN</t>
        </is>
      </c>
      <c r="E3528" t="inlineStr">
        <is>
          <t>SOLLEFTEÅ</t>
        </is>
      </c>
      <c r="F3528" t="inlineStr">
        <is>
          <t>SCA</t>
        </is>
      </c>
      <c r="G3528" t="n">
        <v>21.5</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45669</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45669</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45669</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60174-2024</t>
        </is>
      </c>
      <c r="B3532" s="1" t="n">
        <v>45642</v>
      </c>
      <c r="C3532" s="1" t="n">
        <v>45669</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60741-2024</t>
        </is>
      </c>
      <c r="B3533" s="1" t="n">
        <v>45642</v>
      </c>
      <c r="C3533" s="1" t="n">
        <v>45669</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60360-2024</t>
        </is>
      </c>
      <c r="B3534" s="1" t="n">
        <v>45643</v>
      </c>
      <c r="C3534" s="1" t="n">
        <v>45669</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60389-2024</t>
        </is>
      </c>
      <c r="B3535" s="1" t="n">
        <v>45643</v>
      </c>
      <c r="C3535" s="1" t="n">
        <v>45669</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60495-2024</t>
        </is>
      </c>
      <c r="B3536" s="1" t="n">
        <v>45643</v>
      </c>
      <c r="C3536" s="1" t="n">
        <v>45669</v>
      </c>
      <c r="D3536" t="inlineStr">
        <is>
          <t>VÄSTERNORRLANDS LÄN</t>
        </is>
      </c>
      <c r="E3536" t="inlineStr">
        <is>
          <t>SOLLEFTEÅ</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45669</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60361-2024</t>
        </is>
      </c>
      <c r="B3538" s="1" t="n">
        <v>45643</v>
      </c>
      <c r="C3538" s="1" t="n">
        <v>45669</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45669</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45669</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45669</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45669</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60631-2024</t>
        </is>
      </c>
      <c r="B3543" s="1" t="n">
        <v>45644</v>
      </c>
      <c r="C3543" s="1" t="n">
        <v>45669</v>
      </c>
      <c r="D3543" t="inlineStr">
        <is>
          <t>VÄSTERNORRLANDS LÄN</t>
        </is>
      </c>
      <c r="E3543" t="inlineStr">
        <is>
          <t>SOLLEFTEÅ</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45669</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60837-2024</t>
        </is>
      </c>
      <c r="B3545" s="1" t="n">
        <v>45644</v>
      </c>
      <c r="C3545" s="1" t="n">
        <v>45669</v>
      </c>
      <c r="D3545" t="inlineStr">
        <is>
          <t>VÄSTERNORRLANDS LÄN</t>
        </is>
      </c>
      <c r="E3545" t="inlineStr">
        <is>
          <t>SOLLEFTEÅ</t>
        </is>
      </c>
      <c r="F3545" t="inlineStr">
        <is>
          <t>SCA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61089-2024</t>
        </is>
      </c>
      <c r="B3546" s="1" t="n">
        <v>45644</v>
      </c>
      <c r="C3546" s="1" t="n">
        <v>45669</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45669</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45669</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45669</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60713-2024</t>
        </is>
      </c>
      <c r="B3550" s="1" t="n">
        <v>45644</v>
      </c>
      <c r="C3550" s="1" t="n">
        <v>45669</v>
      </c>
      <c r="D3550" t="inlineStr">
        <is>
          <t>VÄSTERNORRLANDS LÄN</t>
        </is>
      </c>
      <c r="E3550" t="inlineStr">
        <is>
          <t>SOLLEFTEÅ</t>
        </is>
      </c>
      <c r="F3550" t="inlineStr">
        <is>
          <t>SCA</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45669</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61126-2024</t>
        </is>
      </c>
      <c r="B3552" s="1" t="n">
        <v>45645</v>
      </c>
      <c r="C3552" s="1" t="n">
        <v>45669</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61201-2024</t>
        </is>
      </c>
      <c r="B3553" s="1" t="n">
        <v>45645</v>
      </c>
      <c r="C3553" s="1" t="n">
        <v>45669</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61623-2024</t>
        </is>
      </c>
      <c r="B3554" s="1" t="n">
        <v>45645</v>
      </c>
      <c r="C3554" s="1" t="n">
        <v>45669</v>
      </c>
      <c r="D3554" t="inlineStr">
        <is>
          <t>VÄSTERNORRLANDS LÄN</t>
        </is>
      </c>
      <c r="E3554" t="inlineStr">
        <is>
          <t>SOLLEFTEÅ</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61611-2024</t>
        </is>
      </c>
      <c r="B3555" s="1" t="n">
        <v>45645</v>
      </c>
      <c r="C3555" s="1" t="n">
        <v>45669</v>
      </c>
      <c r="D3555" t="inlineStr">
        <is>
          <t>VÄSTERNORRLANDS LÄN</t>
        </is>
      </c>
      <c r="E3555" t="inlineStr">
        <is>
          <t>SOLLEFTEÅ</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45669</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61168-2024</t>
        </is>
      </c>
      <c r="B3557" s="1" t="n">
        <v>45645</v>
      </c>
      <c r="C3557" s="1" t="n">
        <v>45669</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61200-2024</t>
        </is>
      </c>
      <c r="B3558" s="1" t="n">
        <v>45645</v>
      </c>
      <c r="C3558" s="1" t="n">
        <v>45669</v>
      </c>
      <c r="D3558" t="inlineStr">
        <is>
          <t>VÄSTERNORRLANDS LÄN</t>
        </is>
      </c>
      <c r="E3558" t="inlineStr">
        <is>
          <t>SOLLEFTEÅ</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45669</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61452-2024</t>
        </is>
      </c>
      <c r="B3560" s="1" t="n">
        <v>45646</v>
      </c>
      <c r="C3560" s="1" t="n">
        <v>45669</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61485-2024</t>
        </is>
      </c>
      <c r="B3561" s="1" t="n">
        <v>45646</v>
      </c>
      <c r="C3561" s="1" t="n">
        <v>45669</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61847-2024</t>
        </is>
      </c>
      <c r="B3562" s="1" t="n">
        <v>45646</v>
      </c>
      <c r="C3562" s="1" t="n">
        <v>45669</v>
      </c>
      <c r="D3562" t="inlineStr">
        <is>
          <t>VÄSTERNORRLANDS LÄN</t>
        </is>
      </c>
      <c r="E3562" t="inlineStr">
        <is>
          <t>SOLLEFTEÅ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62094-2024</t>
        </is>
      </c>
      <c r="B3563" s="1" t="n">
        <v>45646</v>
      </c>
      <c r="C3563" s="1" t="n">
        <v>45669</v>
      </c>
      <c r="D3563" t="inlineStr">
        <is>
          <t>VÄSTERNORRLANDS LÄN</t>
        </is>
      </c>
      <c r="E3563" t="inlineStr">
        <is>
          <t>SOLLEFTEÅ</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45669</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45669</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62144-2024</t>
        </is>
      </c>
      <c r="B3566" s="1" t="n">
        <v>45646</v>
      </c>
      <c r="C3566" s="1" t="n">
        <v>45669</v>
      </c>
      <c r="D3566" t="inlineStr">
        <is>
          <t>VÄSTERNORRLANDS LÄN</t>
        </is>
      </c>
      <c r="E3566" t="inlineStr">
        <is>
          <t>SOLLEFTEÅ</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45669</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61778-2024</t>
        </is>
      </c>
      <c r="B3568" s="1" t="n">
        <v>45649</v>
      </c>
      <c r="C3568" s="1" t="n">
        <v>45669</v>
      </c>
      <c r="D3568" t="inlineStr">
        <is>
          <t>VÄSTERNORRLANDS LÄN</t>
        </is>
      </c>
      <c r="E3568" t="inlineStr">
        <is>
          <t>SOLLEFTEÅ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61781-2024</t>
        </is>
      </c>
      <c r="B3569" s="1" t="n">
        <v>45649</v>
      </c>
      <c r="C3569" s="1" t="n">
        <v>45669</v>
      </c>
      <c r="D3569" t="inlineStr">
        <is>
          <t>VÄSTERNORRLANDS LÄN</t>
        </is>
      </c>
      <c r="E3569" t="inlineStr">
        <is>
          <t>SOLLEFTEÅ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45669</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45669</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174-2025</t>
        </is>
      </c>
      <c r="B3572" s="1" t="n">
        <v>45649</v>
      </c>
      <c r="C3572" s="1" t="n">
        <v>45669</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62038-2024</t>
        </is>
      </c>
      <c r="B3573" s="1" t="n">
        <v>45656</v>
      </c>
      <c r="C3573" s="1" t="n">
        <v>45669</v>
      </c>
      <c r="D3573" t="inlineStr">
        <is>
          <t>VÄSTERNORRLANDS LÄN</t>
        </is>
      </c>
      <c r="E3573" t="inlineStr">
        <is>
          <t>SOLLEFTEÅ</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62171-2024</t>
        </is>
      </c>
      <c r="B3574" s="1" t="n">
        <v>45657</v>
      </c>
      <c r="C3574" s="1" t="n">
        <v>45669</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154-2025</t>
        </is>
      </c>
      <c r="B3575" s="1" t="n">
        <v>45659</v>
      </c>
      <c r="C3575" s="1" t="n">
        <v>45669</v>
      </c>
      <c r="D3575" t="inlineStr">
        <is>
          <t>VÄSTERNORRLANDS LÄN</t>
        </is>
      </c>
      <c r="E3575" t="inlineStr">
        <is>
          <t>SOLLEFTEÅ</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775-2025</t>
        </is>
      </c>
      <c r="B3576" s="1" t="n">
        <v>45659</v>
      </c>
      <c r="C3576" s="1" t="n">
        <v>45669</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774-2025</t>
        </is>
      </c>
      <c r="B3577" s="1" t="n">
        <v>45659</v>
      </c>
      <c r="C3577" s="1" t="n">
        <v>45669</v>
      </c>
      <c r="D3577" t="inlineStr">
        <is>
          <t>VÄSTERNORRLANDS LÄN</t>
        </is>
      </c>
      <c r="E3577" t="inlineStr">
        <is>
          <t>SOLLEFTEÅ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769-2025</t>
        </is>
      </c>
      <c r="B3578" s="1" t="n">
        <v>45659</v>
      </c>
      <c r="C3578" s="1" t="n">
        <v>45669</v>
      </c>
      <c r="D3578" t="inlineStr">
        <is>
          <t>VÄSTERNORRLANDS LÄN</t>
        </is>
      </c>
      <c r="E3578" t="inlineStr">
        <is>
          <t>SOLLEFTEÅ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778-2025</t>
        </is>
      </c>
      <c r="B3579" s="1" t="n">
        <v>45659</v>
      </c>
      <c r="C3579" s="1" t="n">
        <v>45669</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218-2025</t>
        </is>
      </c>
      <c r="B3580" s="1" t="n">
        <v>45660</v>
      </c>
      <c r="C3580" s="1" t="n">
        <v>45669</v>
      </c>
      <c r="D3580" t="inlineStr">
        <is>
          <t>VÄSTERNORRLANDS LÄN</t>
        </is>
      </c>
      <c r="E3580" t="inlineStr">
        <is>
          <t>SOLLEFTEÅ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326-2025</t>
        </is>
      </c>
      <c r="B3581" s="1" t="n">
        <v>45660</v>
      </c>
      <c r="C3581" s="1" t="n">
        <v>45669</v>
      </c>
      <c r="D3581" t="inlineStr">
        <is>
          <t>VÄSTERNORRLANDS LÄN</t>
        </is>
      </c>
      <c r="E3581" t="inlineStr">
        <is>
          <t>SOLLEFTEÅ</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291-2025</t>
        </is>
      </c>
      <c r="B3582" s="1" t="n">
        <v>45660</v>
      </c>
      <c r="C3582" s="1" t="n">
        <v>45669</v>
      </c>
      <c r="D3582" t="inlineStr">
        <is>
          <t>VÄSTERNORRLANDS LÄN</t>
        </is>
      </c>
      <c r="E3582" t="inlineStr">
        <is>
          <t>SOLLEFTEÅ</t>
        </is>
      </c>
      <c r="F3582" t="inlineStr">
        <is>
          <t>SCA</t>
        </is>
      </c>
      <c r="G3582" t="n">
        <v>24.7</v>
      </c>
      <c r="H3582" t="n">
        <v>0</v>
      </c>
      <c r="I3582" t="n">
        <v>0</v>
      </c>
      <c r="J3582" t="n">
        <v>0</v>
      </c>
      <c r="K3582" t="n">
        <v>0</v>
      </c>
      <c r="L3582" t="n">
        <v>0</v>
      </c>
      <c r="M3582" t="n">
        <v>0</v>
      </c>
      <c r="N3582" t="n">
        <v>0</v>
      </c>
      <c r="O3582" t="n">
        <v>0</v>
      </c>
      <c r="P3582" t="n">
        <v>0</v>
      </c>
      <c r="Q3582" t="n">
        <v>0</v>
      </c>
      <c r="R3582" s="2" t="inlineStr"/>
    </row>
    <row r="3583" ht="15" customHeight="1">
      <c r="A3583" t="inlineStr">
        <is>
          <t>A 295-2025</t>
        </is>
      </c>
      <c r="B3583" s="1" t="n">
        <v>45660</v>
      </c>
      <c r="C3583" s="1" t="n">
        <v>45669</v>
      </c>
      <c r="D3583" t="inlineStr">
        <is>
          <t>VÄSTERNORRLANDS LÄN</t>
        </is>
      </c>
      <c r="E3583" t="inlineStr">
        <is>
          <t>SOLLEFTEÅ</t>
        </is>
      </c>
      <c r="F3583" t="inlineStr">
        <is>
          <t>SCA</t>
        </is>
      </c>
      <c r="G3583" t="n">
        <v>30.7</v>
      </c>
      <c r="H3583" t="n">
        <v>0</v>
      </c>
      <c r="I3583" t="n">
        <v>0</v>
      </c>
      <c r="J3583" t="n">
        <v>0</v>
      </c>
      <c r="K3583" t="n">
        <v>0</v>
      </c>
      <c r="L3583" t="n">
        <v>0</v>
      </c>
      <c r="M3583" t="n">
        <v>0</v>
      </c>
      <c r="N3583" t="n">
        <v>0</v>
      </c>
      <c r="O3583" t="n">
        <v>0</v>
      </c>
      <c r="P3583" t="n">
        <v>0</v>
      </c>
      <c r="Q3583" t="n">
        <v>0</v>
      </c>
      <c r="R3583" s="2" t="inlineStr"/>
    </row>
    <row r="3584" ht="15" customHeight="1">
      <c r="A3584" t="inlineStr">
        <is>
          <t>A 469-2025</t>
        </is>
      </c>
      <c r="B3584" s="1" t="n">
        <v>45664</v>
      </c>
      <c r="C3584" s="1" t="n">
        <v>45669</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583-2025</t>
        </is>
      </c>
      <c r="B3585" s="1" t="n">
        <v>45664</v>
      </c>
      <c r="C3585" s="1" t="n">
        <v>45669</v>
      </c>
      <c r="D3585" t="inlineStr">
        <is>
          <t>VÄSTERNORRLANDS LÄN</t>
        </is>
      </c>
      <c r="E3585" t="inlineStr">
        <is>
          <t>SOLLEFTEÅ</t>
        </is>
      </c>
      <c r="G3585" t="n">
        <v>47.2</v>
      </c>
      <c r="H3585" t="n">
        <v>0</v>
      </c>
      <c r="I3585" t="n">
        <v>0</v>
      </c>
      <c r="J3585" t="n">
        <v>0</v>
      </c>
      <c r="K3585" t="n">
        <v>0</v>
      </c>
      <c r="L3585" t="n">
        <v>0</v>
      </c>
      <c r="M3585" t="n">
        <v>0</v>
      </c>
      <c r="N3585" t="n">
        <v>0</v>
      </c>
      <c r="O3585" t="n">
        <v>0</v>
      </c>
      <c r="P3585" t="n">
        <v>0</v>
      </c>
      <c r="Q3585" t="n">
        <v>0</v>
      </c>
      <c r="R3585" s="2" t="inlineStr"/>
    </row>
    <row r="3586" ht="15" customHeight="1">
      <c r="A3586" t="inlineStr">
        <is>
          <t>A 600-2025</t>
        </is>
      </c>
      <c r="B3586" s="1" t="n">
        <v>45664</v>
      </c>
      <c r="C3586" s="1" t="n">
        <v>45669</v>
      </c>
      <c r="D3586" t="inlineStr">
        <is>
          <t>VÄSTERNORRLANDS LÄN</t>
        </is>
      </c>
      <c r="E3586" t="inlineStr">
        <is>
          <t>SOLLEFTEÅ</t>
        </is>
      </c>
      <c r="F3586" t="inlineStr">
        <is>
          <t>SCA</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439-2025</t>
        </is>
      </c>
      <c r="B3587" s="1" t="n">
        <v>45664</v>
      </c>
      <c r="C3587" s="1" t="n">
        <v>45669</v>
      </c>
      <c r="D3587" t="inlineStr">
        <is>
          <t>VÄSTERNORRLANDS LÄN</t>
        </is>
      </c>
      <c r="E3587" t="inlineStr">
        <is>
          <t>SOLLEFTEÅ</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45669</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800-2025</t>
        </is>
      </c>
      <c r="B3589" s="1" t="n">
        <v>45664</v>
      </c>
      <c r="C3589" s="1" t="n">
        <v>45669</v>
      </c>
      <c r="D3589" t="inlineStr">
        <is>
          <t>VÄSTERNORRLANDS LÄN</t>
        </is>
      </c>
      <c r="E3589" t="inlineStr">
        <is>
          <t>SOLLEFTEÅ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657-2025</t>
        </is>
      </c>
      <c r="B3590" s="1" t="n">
        <v>45664</v>
      </c>
      <c r="C3590" s="1" t="n">
        <v>45669</v>
      </c>
      <c r="D3590" t="inlineStr">
        <is>
          <t>VÄSTERNORRLANDS LÄN</t>
        </is>
      </c>
      <c r="E3590" t="inlineStr">
        <is>
          <t>SOLLEFTEÅ</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892-2025</t>
        </is>
      </c>
      <c r="B3591" s="1" t="n">
        <v>45665</v>
      </c>
      <c r="C3591" s="1" t="n">
        <v>45669</v>
      </c>
      <c r="D3591" t="inlineStr">
        <is>
          <t>VÄSTERNORRLANDS LÄN</t>
        </is>
      </c>
      <c r="E3591" t="inlineStr">
        <is>
          <t>SOLLEFTEÅ</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1089-2025</t>
        </is>
      </c>
      <c r="B3592" s="1" t="n">
        <v>45665</v>
      </c>
      <c r="C3592" s="1" t="n">
        <v>45669</v>
      </c>
      <c r="D3592" t="inlineStr">
        <is>
          <t>VÄSTERNORRLANDS LÄN</t>
        </is>
      </c>
      <c r="E3592" t="inlineStr">
        <is>
          <t>SOLLEFTEÅ</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45669</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945-2025</t>
        </is>
      </c>
      <c r="B3594" s="1" t="n">
        <v>45666</v>
      </c>
      <c r="C3594" s="1" t="n">
        <v>45669</v>
      </c>
      <c r="D3594" t="inlineStr">
        <is>
          <t>VÄSTERNORRLANDS LÄN</t>
        </is>
      </c>
      <c r="E3594" t="inlineStr">
        <is>
          <t>SOLLEFTEÅ</t>
        </is>
      </c>
      <c r="F3594" t="inlineStr">
        <is>
          <t>SCA</t>
        </is>
      </c>
      <c r="G3594" t="n">
        <v>36.6</v>
      </c>
      <c r="H3594" t="n">
        <v>0</v>
      </c>
      <c r="I3594" t="n">
        <v>0</v>
      </c>
      <c r="J3594" t="n">
        <v>0</v>
      </c>
      <c r="K3594" t="n">
        <v>0</v>
      </c>
      <c r="L3594" t="n">
        <v>0</v>
      </c>
      <c r="M3594" t="n">
        <v>0</v>
      </c>
      <c r="N3594" t="n">
        <v>0</v>
      </c>
      <c r="O3594" t="n">
        <v>0</v>
      </c>
      <c r="P3594" t="n">
        <v>0</v>
      </c>
      <c r="Q3594" t="n">
        <v>0</v>
      </c>
      <c r="R3594" s="2" t="inlineStr"/>
    </row>
    <row r="3595" ht="15" customHeight="1">
      <c r="A3595" t="inlineStr">
        <is>
          <t>A 967-2025</t>
        </is>
      </c>
      <c r="B3595" s="1" t="n">
        <v>45666</v>
      </c>
      <c r="C3595" s="1" t="n">
        <v>45669</v>
      </c>
      <c r="D3595" t="inlineStr">
        <is>
          <t>VÄSTERNORRLANDS LÄN</t>
        </is>
      </c>
      <c r="E3595" t="inlineStr">
        <is>
          <t>SOLLEFTEÅ</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1029-2025</t>
        </is>
      </c>
      <c r="B3596" s="1" t="n">
        <v>45666</v>
      </c>
      <c r="C3596" s="1" t="n">
        <v>45669</v>
      </c>
      <c r="D3596" t="inlineStr">
        <is>
          <t>VÄSTERNORRLANDS LÄN</t>
        </is>
      </c>
      <c r="E3596" t="inlineStr">
        <is>
          <t>SOLLEFTEÅ</t>
        </is>
      </c>
      <c r="F3596" t="inlineStr">
        <is>
          <t>SCA</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1014-2025</t>
        </is>
      </c>
      <c r="B3597" s="1" t="n">
        <v>45666</v>
      </c>
      <c r="C3597" s="1" t="n">
        <v>45669</v>
      </c>
      <c r="D3597" t="inlineStr">
        <is>
          <t>VÄSTERNORRLANDS LÄN</t>
        </is>
      </c>
      <c r="E3597" t="inlineStr">
        <is>
          <t>SOLLEFTEÅ</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1096-2025</t>
        </is>
      </c>
      <c r="B3598" s="1" t="n">
        <v>45666</v>
      </c>
      <c r="C3598" s="1" t="n">
        <v>45669</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45669</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45669</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966-2025</t>
        </is>
      </c>
      <c r="B3601" s="1" t="n">
        <v>45666</v>
      </c>
      <c r="C3601" s="1" t="n">
        <v>45669</v>
      </c>
      <c r="D3601" t="inlineStr">
        <is>
          <t>VÄSTERNORRLANDS LÄN</t>
        </is>
      </c>
      <c r="E3601" t="inlineStr">
        <is>
          <t>SOLLEFTEÅ</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45669</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1218-2025</t>
        </is>
      </c>
      <c r="B3603" s="1" t="n">
        <v>45667</v>
      </c>
      <c r="C3603" s="1" t="n">
        <v>45669</v>
      </c>
      <c r="D3603" t="inlineStr">
        <is>
          <t>VÄSTERNORRLANDS LÄN</t>
        </is>
      </c>
      <c r="E3603" t="inlineStr">
        <is>
          <t>SOLLEFTEÅ</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1200-2025</t>
        </is>
      </c>
      <c r="B3604" s="1" t="n">
        <v>45667</v>
      </c>
      <c r="C3604" s="1" t="n">
        <v>45669</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1216-2025</t>
        </is>
      </c>
      <c r="B3605" s="1" t="n">
        <v>45667</v>
      </c>
      <c r="C3605" s="1" t="n">
        <v>45669</v>
      </c>
      <c r="D3605" t="inlineStr">
        <is>
          <t>VÄSTERNORRLANDS LÄN</t>
        </is>
      </c>
      <c r="E3605" t="inlineStr">
        <is>
          <t>SOLLEFTEÅ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45669</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1248-2025</t>
        </is>
      </c>
      <c r="B3607" s="1" t="n">
        <v>45667</v>
      </c>
      <c r="C3607" s="1" t="n">
        <v>45669</v>
      </c>
      <c r="D3607" t="inlineStr">
        <is>
          <t>VÄSTERNORRLANDS LÄN</t>
        </is>
      </c>
      <c r="E3607" t="inlineStr">
        <is>
          <t>SOLLEFTEÅ</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45669</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1348-2025</t>
        </is>
      </c>
      <c r="B3609" s="1" t="n">
        <v>45667</v>
      </c>
      <c r="C3609" s="1" t="n">
        <v>45669</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row r="3610">
      <c r="A3610" t="inlineStr">
        <is>
          <t>A 1416-2025</t>
        </is>
      </c>
      <c r="B3610" s="1" t="n">
        <v>45668</v>
      </c>
      <c r="C3610" s="1" t="n">
        <v>45669</v>
      </c>
      <c r="D3610" t="inlineStr">
        <is>
          <t>VÄSTERNORRLANDS LÄN</t>
        </is>
      </c>
      <c r="E3610" t="inlineStr">
        <is>
          <t>SOLLEFTEÅ</t>
        </is>
      </c>
      <c r="G3610" t="n">
        <v>21.3</v>
      </c>
      <c r="H3610" t="n">
        <v>0</v>
      </c>
      <c r="I3610" t="n">
        <v>0</v>
      </c>
      <c r="J3610" t="n">
        <v>0</v>
      </c>
      <c r="K3610" t="n">
        <v>0</v>
      </c>
      <c r="L3610" t="n">
        <v>0</v>
      </c>
      <c r="M3610" t="n">
        <v>0</v>
      </c>
      <c r="N3610" t="n">
        <v>0</v>
      </c>
      <c r="O3610" t="n">
        <v>0</v>
      </c>
      <c r="P3610" t="n">
        <v>0</v>
      </c>
      <c r="Q3610" t="n">
        <v>0</v>
      </c>
      <c r="R3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2025-01-12T15:23:00Z</dcterms:created>
  <dcterms:modified xmlns:dcterms="http://purl.org/dc/terms/" xmlns:xsi="http://www.w3.org/2001/XMLSchema-instance" xsi:type="dcterms:W3CDTF">2025-01-12T15:23:03Z</dcterms:modified>
</cp:coreProperties>
</file>