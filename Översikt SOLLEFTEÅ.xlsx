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46075</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46075</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46075</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46075</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46075</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46075</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46075</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46075</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46075</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46075</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46075</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46075</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46075</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46075</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46075</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46075</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46075</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1963-2025</t>
        </is>
      </c>
      <c r="B34" s="1" t="n">
        <v>45672</v>
      </c>
      <c r="C34" s="1" t="n">
        <v>46075</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46075</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39172-2022</t>
        </is>
      </c>
      <c r="B36" s="1" t="n">
        <v>44817</v>
      </c>
      <c r="C36" s="1" t="n">
        <v>46075</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46075</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46075</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46075</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27590-2025</t>
        </is>
      </c>
      <c r="B40" s="1" t="n">
        <v>45813</v>
      </c>
      <c r="C40" s="1" t="n">
        <v>46075</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32199-2023</t>
        </is>
      </c>
      <c r="B41" s="1" t="n">
        <v>45119</v>
      </c>
      <c r="C41" s="1" t="n">
        <v>46075</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44372-2024</t>
        </is>
      </c>
      <c r="B42" s="1" t="n">
        <v>45573</v>
      </c>
      <c r="C42" s="1" t="n">
        <v>46075</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46075</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22209-2025</t>
        </is>
      </c>
      <c r="B44" s="1" t="n">
        <v>45785.65732638889</v>
      </c>
      <c r="C44" s="1" t="n">
        <v>46075</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30571-2024</t>
        </is>
      </c>
      <c r="B45" s="1" t="n">
        <v>45492</v>
      </c>
      <c r="C45" s="1" t="n">
        <v>46075</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46075</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46075</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46075</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3325-2025</t>
        </is>
      </c>
      <c r="B49" s="1" t="n">
        <v>45679</v>
      </c>
      <c r="C49" s="1" t="n">
        <v>46075</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49704-2025</t>
        </is>
      </c>
      <c r="B50" s="1" t="n">
        <v>45939</v>
      </c>
      <c r="C50" s="1" t="n">
        <v>46075</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39198-2025</t>
        </is>
      </c>
      <c r="B51" s="1" t="n">
        <v>45888</v>
      </c>
      <c r="C51" s="1" t="n">
        <v>46075</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46075</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32460-2024</t>
        </is>
      </c>
      <c r="B53" s="1" t="n">
        <v>45512</v>
      </c>
      <c r="C53" s="1" t="n">
        <v>46075</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46075</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46075</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46075</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46075</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46075</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46075</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46075</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46075</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46075</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51693-2024</t>
        </is>
      </c>
      <c r="B63" s="1" t="n">
        <v>45607.34570601852</v>
      </c>
      <c r="C63" s="1" t="n">
        <v>46075</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43329-2025</t>
        </is>
      </c>
      <c r="B64" s="1" t="n">
        <v>45910.6775</v>
      </c>
      <c r="C64" s="1" t="n">
        <v>46075</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19825-2023</t>
        </is>
      </c>
      <c r="B65" s="1" t="n">
        <v>45051</v>
      </c>
      <c r="C65" s="1" t="n">
        <v>46075</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46075</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46075</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46075</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46075</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46075</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46075</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46075</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46075</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46075</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46075</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57317-2024</t>
        </is>
      </c>
      <c r="B76" s="1" t="n">
        <v>45629</v>
      </c>
      <c r="C76" s="1" t="n">
        <v>46075</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29250-2024</t>
        </is>
      </c>
      <c r="B77" s="1" t="n">
        <v>45482</v>
      </c>
      <c r="C77" s="1" t="n">
        <v>46075</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11540-2024</t>
        </is>
      </c>
      <c r="B78" s="1" t="n">
        <v>45372</v>
      </c>
      <c r="C78" s="1" t="n">
        <v>46075</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46075</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31504-2025</t>
        </is>
      </c>
      <c r="B80" s="1" t="n">
        <v>45833.59438657408</v>
      </c>
      <c r="C80" s="1" t="n">
        <v>46075</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29620-2023</t>
        </is>
      </c>
      <c r="B81" s="1" t="n">
        <v>45106</v>
      </c>
      <c r="C81" s="1" t="n">
        <v>46075</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47548-2025</t>
        </is>
      </c>
      <c r="B82" s="1" t="n">
        <v>45931.3653125</v>
      </c>
      <c r="C82" s="1" t="n">
        <v>46075</v>
      </c>
      <c r="D82" t="inlineStr">
        <is>
          <t>VÄSTERNORRLANDS LÄN</t>
        </is>
      </c>
      <c r="E82" t="inlineStr">
        <is>
          <t>SOLLEFTEÅ</t>
        </is>
      </c>
      <c r="G82" t="n">
        <v>6.6</v>
      </c>
      <c r="H82" t="n">
        <v>4</v>
      </c>
      <c r="I82" t="n">
        <v>0</v>
      </c>
      <c r="J82" t="n">
        <v>6</v>
      </c>
      <c r="K82" t="n">
        <v>1</v>
      </c>
      <c r="L82" t="n">
        <v>0</v>
      </c>
      <c r="M82" t="n">
        <v>0</v>
      </c>
      <c r="N82" t="n">
        <v>0</v>
      </c>
      <c r="O82" t="n">
        <v>7</v>
      </c>
      <c r="P82" t="n">
        <v>1</v>
      </c>
      <c r="Q82" t="n">
        <v>8</v>
      </c>
      <c r="R82" s="2" t="inlineStr">
        <is>
          <t>Knärot
Gammelgransskål
Garnlav
Rosenticka
Spillkråka
Talltita
Ullticka
Revlummer</t>
        </is>
      </c>
      <c r="S82">
        <f>HYPERLINK("https://klasma.github.io/Logging_2283/artfynd/A 47548-2025 artfynd.xlsx", "A 47548-2025")</f>
        <v/>
      </c>
      <c r="T82">
        <f>HYPERLINK("https://klasma.github.io/Logging_2283/kartor/A 47548-2025 karta.png", "A 47548-2025")</f>
        <v/>
      </c>
      <c r="U82">
        <f>HYPERLINK("https://klasma.github.io/Logging_2283/knärot/A 47548-2025 karta knärot.png", "A 47548-2025")</f>
        <v/>
      </c>
      <c r="V82">
        <f>HYPERLINK("https://klasma.github.io/Logging_2283/klagomål/A 47548-2025 FSC-klagomål.docx", "A 47548-2025")</f>
        <v/>
      </c>
      <c r="W82">
        <f>HYPERLINK("https://klasma.github.io/Logging_2283/klagomålsmail/A 47548-2025 FSC-klagomål mail.docx", "A 47548-2025")</f>
        <v/>
      </c>
      <c r="X82">
        <f>HYPERLINK("https://klasma.github.io/Logging_2283/tillsyn/A 47548-2025 tillsynsbegäran.docx", "A 47548-2025")</f>
        <v/>
      </c>
      <c r="Y82">
        <f>HYPERLINK("https://klasma.github.io/Logging_2283/tillsynsmail/A 47548-2025 tillsynsbegäran mail.docx", "A 47548-2025")</f>
        <v/>
      </c>
      <c r="Z82">
        <f>HYPERLINK("https://klasma.github.io/Logging_2283/fåglar/A 47548-2025 prioriterade fågelarter.docx", "A 47548-2025")</f>
        <v/>
      </c>
    </row>
    <row r="83" ht="15" customHeight="1">
      <c r="A83" t="inlineStr">
        <is>
          <t>A 38294-2024</t>
        </is>
      </c>
      <c r="B83" s="1" t="n">
        <v>45545</v>
      </c>
      <c r="C83" s="1" t="n">
        <v>46075</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45078-2025</t>
        </is>
      </c>
      <c r="B84" s="1" t="n">
        <v>45919</v>
      </c>
      <c r="C84" s="1" t="n">
        <v>46075</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5310-2024</t>
        </is>
      </c>
      <c r="B85" s="1" t="n">
        <v>45331</v>
      </c>
      <c r="C85" s="1" t="n">
        <v>46075</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25941-2025</t>
        </is>
      </c>
      <c r="B86" s="1" t="n">
        <v>45804</v>
      </c>
      <c r="C86" s="1" t="n">
        <v>46075</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60499-2025</t>
        </is>
      </c>
      <c r="B87" s="1" t="n">
        <v>45995.61760416667</v>
      </c>
      <c r="C87" s="1" t="n">
        <v>46075</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46075</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11132-2025</t>
        </is>
      </c>
      <c r="B89" s="1" t="n">
        <v>45723.64934027778</v>
      </c>
      <c r="C89" s="1" t="n">
        <v>46075</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64131-2023</t>
        </is>
      </c>
      <c r="B90" s="1" t="n">
        <v>45279</v>
      </c>
      <c r="C90" s="1" t="n">
        <v>46075</v>
      </c>
      <c r="D90" t="inlineStr">
        <is>
          <t>VÄSTERNORRLANDS LÄN</t>
        </is>
      </c>
      <c r="E90" t="inlineStr">
        <is>
          <t>SOLLEFTEÅ</t>
        </is>
      </c>
      <c r="G90" t="n">
        <v>12.9</v>
      </c>
      <c r="H90" t="n">
        <v>2</v>
      </c>
      <c r="I90" t="n">
        <v>2</v>
      </c>
      <c r="J90" t="n">
        <v>4</v>
      </c>
      <c r="K90" t="n">
        <v>2</v>
      </c>
      <c r="L90" t="n">
        <v>0</v>
      </c>
      <c r="M90" t="n">
        <v>0</v>
      </c>
      <c r="N90" t="n">
        <v>0</v>
      </c>
      <c r="O90" t="n">
        <v>6</v>
      </c>
      <c r="P90" t="n">
        <v>2</v>
      </c>
      <c r="Q90" t="n">
        <v>8</v>
      </c>
      <c r="R90" s="2" t="inlineStr">
        <is>
          <t>Knärot
Rynkskinn
Lunglav
Rosenticka
Talltita
Ullticka
Grönpyrola
Vedticka</t>
        </is>
      </c>
      <c r="S90">
        <f>HYPERLINK("https://klasma.github.io/Logging_2283/artfynd/A 64131-2023 artfynd.xlsx", "A 64131-2023")</f>
        <v/>
      </c>
      <c r="T90">
        <f>HYPERLINK("https://klasma.github.io/Logging_2283/kartor/A 64131-2023 karta.png", "A 64131-2023")</f>
        <v/>
      </c>
      <c r="U90">
        <f>HYPERLINK("https://klasma.github.io/Logging_2283/knärot/A 64131-2023 karta knärot.png", "A 64131-2023")</f>
        <v/>
      </c>
      <c r="V90">
        <f>HYPERLINK("https://klasma.github.io/Logging_2283/klagomål/A 64131-2023 FSC-klagomål.docx", "A 64131-2023")</f>
        <v/>
      </c>
      <c r="W90">
        <f>HYPERLINK("https://klasma.github.io/Logging_2283/klagomålsmail/A 64131-2023 FSC-klagomål mail.docx", "A 64131-2023")</f>
        <v/>
      </c>
      <c r="X90">
        <f>HYPERLINK("https://klasma.github.io/Logging_2283/tillsyn/A 64131-2023 tillsynsbegäran.docx", "A 64131-2023")</f>
        <v/>
      </c>
      <c r="Y90">
        <f>HYPERLINK("https://klasma.github.io/Logging_2283/tillsynsmail/A 64131-2023 tillsynsbegäran mail.docx", "A 64131-2023")</f>
        <v/>
      </c>
      <c r="Z90">
        <f>HYPERLINK("https://klasma.github.io/Logging_2283/fåglar/A 64131-2023 prioriterade fågelarter.docx", "A 64131-2023")</f>
        <v/>
      </c>
    </row>
    <row r="91" ht="15" customHeight="1">
      <c r="A91" t="inlineStr">
        <is>
          <t>A 39071-2023</t>
        </is>
      </c>
      <c r="B91" s="1" t="n">
        <v>45163</v>
      </c>
      <c r="C91" s="1" t="n">
        <v>46075</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32200-2023</t>
        </is>
      </c>
      <c r="B92" s="1" t="n">
        <v>45119</v>
      </c>
      <c r="C92" s="1" t="n">
        <v>46075</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44441-2025</t>
        </is>
      </c>
      <c r="B93" s="1" t="n">
        <v>45916</v>
      </c>
      <c r="C93" s="1" t="n">
        <v>46075</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44424-2025</t>
        </is>
      </c>
      <c r="B94" s="1" t="n">
        <v>45916</v>
      </c>
      <c r="C94" s="1" t="n">
        <v>46075</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3222-2026</t>
        </is>
      </c>
      <c r="B95" s="1" t="n">
        <v>46041</v>
      </c>
      <c r="C95" s="1" t="n">
        <v>46075</v>
      </c>
      <c r="D95" t="inlineStr">
        <is>
          <t>VÄSTERNORRLANDS LÄN</t>
        </is>
      </c>
      <c r="E95" t="inlineStr">
        <is>
          <t>SOLLEFTEÅ</t>
        </is>
      </c>
      <c r="F95" t="inlineStr">
        <is>
          <t>SCA</t>
        </is>
      </c>
      <c r="G95" t="n">
        <v>11.7</v>
      </c>
      <c r="H95" t="n">
        <v>4</v>
      </c>
      <c r="I95" t="n">
        <v>1</v>
      </c>
      <c r="J95" t="n">
        <v>7</v>
      </c>
      <c r="K95" t="n">
        <v>0</v>
      </c>
      <c r="L95" t="n">
        <v>0</v>
      </c>
      <c r="M95" t="n">
        <v>0</v>
      </c>
      <c r="N95" t="n">
        <v>0</v>
      </c>
      <c r="O95" t="n">
        <v>7</v>
      </c>
      <c r="P95" t="n">
        <v>0</v>
      </c>
      <c r="Q95" t="n">
        <v>8</v>
      </c>
      <c r="R95" s="2" t="inlineStr">
        <is>
          <t>Garnlav
Granticka
Harticka
Järpe
Skogshare
Talltita
Tretåig hackspett
Lappranunkel</t>
        </is>
      </c>
      <c r="S95">
        <f>HYPERLINK("https://klasma.github.io/Logging_2283/artfynd/A 3222-2026 artfynd.xlsx", "A 3222-2026")</f>
        <v/>
      </c>
      <c r="T95">
        <f>HYPERLINK("https://klasma.github.io/Logging_2283/kartor/A 3222-2026 karta.png", "A 3222-2026")</f>
        <v/>
      </c>
      <c r="V95">
        <f>HYPERLINK("https://klasma.github.io/Logging_2283/klagomål/A 3222-2026 FSC-klagomål.docx", "A 3222-2026")</f>
        <v/>
      </c>
      <c r="W95">
        <f>HYPERLINK("https://klasma.github.io/Logging_2283/klagomålsmail/A 3222-2026 FSC-klagomål mail.docx", "A 3222-2026")</f>
        <v/>
      </c>
      <c r="X95">
        <f>HYPERLINK("https://klasma.github.io/Logging_2283/tillsyn/A 3222-2026 tillsynsbegäran.docx", "A 3222-2026")</f>
        <v/>
      </c>
      <c r="Y95">
        <f>HYPERLINK("https://klasma.github.io/Logging_2283/tillsynsmail/A 3222-2026 tillsynsbegäran mail.docx", "A 3222-2026")</f>
        <v/>
      </c>
      <c r="Z95">
        <f>HYPERLINK("https://klasma.github.io/Logging_2283/fåglar/A 3222-2026 prioriterade fågelarter.docx", "A 3222-2026")</f>
        <v/>
      </c>
    </row>
    <row r="96" ht="15" customHeight="1">
      <c r="A96" t="inlineStr">
        <is>
          <t>A 31560-2024</t>
        </is>
      </c>
      <c r="B96" s="1" t="n">
        <v>45505</v>
      </c>
      <c r="C96" s="1" t="n">
        <v>46075</v>
      </c>
      <c r="D96" t="inlineStr">
        <is>
          <t>VÄSTERNORRLANDS LÄN</t>
        </is>
      </c>
      <c r="E96" t="inlineStr">
        <is>
          <t>SOLLEFTEÅ</t>
        </is>
      </c>
      <c r="F96" t="inlineStr">
        <is>
          <t>SCA</t>
        </is>
      </c>
      <c r="G96" t="n">
        <v>6</v>
      </c>
      <c r="H96" t="n">
        <v>3</v>
      </c>
      <c r="I96" t="n">
        <v>0</v>
      </c>
      <c r="J96" t="n">
        <v>6</v>
      </c>
      <c r="K96" t="n">
        <v>2</v>
      </c>
      <c r="L96" t="n">
        <v>0</v>
      </c>
      <c r="M96" t="n">
        <v>0</v>
      </c>
      <c r="N96" t="n">
        <v>0</v>
      </c>
      <c r="O96" t="n">
        <v>8</v>
      </c>
      <c r="P96" t="n">
        <v>2</v>
      </c>
      <c r="Q96" t="n">
        <v>8</v>
      </c>
      <c r="R96" s="2" t="inlineStr">
        <is>
          <t>Lappticka
Rynkskinn
Garnlav
Rosenticka
Spillkråka
Talltita
Tretåig hackspett
Ullticka</t>
        </is>
      </c>
      <c r="S96">
        <f>HYPERLINK("https://klasma.github.io/Logging_2283/artfynd/A 31560-2024 artfynd.xlsx", "A 31560-2024")</f>
        <v/>
      </c>
      <c r="T96">
        <f>HYPERLINK("https://klasma.github.io/Logging_2283/kartor/A 31560-2024 karta.png", "A 31560-2024")</f>
        <v/>
      </c>
      <c r="V96">
        <f>HYPERLINK("https://klasma.github.io/Logging_2283/klagomål/A 31560-2024 FSC-klagomål.docx", "A 31560-2024")</f>
        <v/>
      </c>
      <c r="W96">
        <f>HYPERLINK("https://klasma.github.io/Logging_2283/klagomålsmail/A 31560-2024 FSC-klagomål mail.docx", "A 31560-2024")</f>
        <v/>
      </c>
      <c r="X96">
        <f>HYPERLINK("https://klasma.github.io/Logging_2283/tillsyn/A 31560-2024 tillsynsbegäran.docx", "A 31560-2024")</f>
        <v/>
      </c>
      <c r="Y96">
        <f>HYPERLINK("https://klasma.github.io/Logging_2283/tillsynsmail/A 31560-2024 tillsynsbegäran mail.docx", "A 31560-2024")</f>
        <v/>
      </c>
      <c r="Z96">
        <f>HYPERLINK("https://klasma.github.io/Logging_2283/fåglar/A 31560-2024 prioriterade fågelarter.docx", "A 31560-2024")</f>
        <v/>
      </c>
    </row>
    <row r="97" ht="15" customHeight="1">
      <c r="A97" t="inlineStr">
        <is>
          <t>A 26655-2022</t>
        </is>
      </c>
      <c r="B97" s="1" t="n">
        <v>44739</v>
      </c>
      <c r="C97" s="1" t="n">
        <v>46075</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46075</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22215-2025</t>
        </is>
      </c>
      <c r="B99" s="1" t="n">
        <v>45785.65803240741</v>
      </c>
      <c r="C99" s="1" t="n">
        <v>46075</v>
      </c>
      <c r="D99" t="inlineStr">
        <is>
          <t>VÄSTERNORRLANDS LÄN</t>
        </is>
      </c>
      <c r="E99" t="inlineStr">
        <is>
          <t>SOLLEFTEÅ</t>
        </is>
      </c>
      <c r="F99" t="inlineStr">
        <is>
          <t>SCA</t>
        </is>
      </c>
      <c r="G99" t="n">
        <v>3.8</v>
      </c>
      <c r="H99" t="n">
        <v>1</v>
      </c>
      <c r="I99" t="n">
        <v>1</v>
      </c>
      <c r="J99" t="n">
        <v>4</v>
      </c>
      <c r="K99" t="n">
        <v>2</v>
      </c>
      <c r="L99" t="n">
        <v>0</v>
      </c>
      <c r="M99" t="n">
        <v>0</v>
      </c>
      <c r="N99" t="n">
        <v>0</v>
      </c>
      <c r="O99" t="n">
        <v>6</v>
      </c>
      <c r="P99" t="n">
        <v>2</v>
      </c>
      <c r="Q99" t="n">
        <v>8</v>
      </c>
      <c r="R99" s="2" t="inlineStr">
        <is>
          <t>Lappticka
Ulltickeporing
Garnlav
Lunglav
Rosenticka
Ullticka
Korallblylav
Blåsippa</t>
        </is>
      </c>
      <c r="S99">
        <f>HYPERLINK("https://klasma.github.io/Logging_2283/artfynd/A 22215-2025 artfynd.xlsx", "A 22215-2025")</f>
        <v/>
      </c>
      <c r="T99">
        <f>HYPERLINK("https://klasma.github.io/Logging_2283/kartor/A 22215-2025 karta.png", "A 22215-2025")</f>
        <v/>
      </c>
      <c r="V99">
        <f>HYPERLINK("https://klasma.github.io/Logging_2283/klagomål/A 22215-2025 FSC-klagomål.docx", "A 22215-2025")</f>
        <v/>
      </c>
      <c r="W99">
        <f>HYPERLINK("https://klasma.github.io/Logging_2283/klagomålsmail/A 22215-2025 FSC-klagomål mail.docx", "A 22215-2025")</f>
        <v/>
      </c>
      <c r="X99">
        <f>HYPERLINK("https://klasma.github.io/Logging_2283/tillsyn/A 22215-2025 tillsynsbegäran.docx", "A 22215-2025")</f>
        <v/>
      </c>
      <c r="Y99">
        <f>HYPERLINK("https://klasma.github.io/Logging_2283/tillsynsmail/A 22215-2025 tillsynsbegäran mail.docx", "A 22215-2025")</f>
        <v/>
      </c>
    </row>
    <row r="100" ht="15" customHeight="1">
      <c r="A100" t="inlineStr">
        <is>
          <t>A 18014-2022</t>
        </is>
      </c>
      <c r="B100" s="1" t="n">
        <v>44683</v>
      </c>
      <c r="C100" s="1" t="n">
        <v>46075</v>
      </c>
      <c r="D100" t="inlineStr">
        <is>
          <t>VÄSTERNORRLANDS LÄN</t>
        </is>
      </c>
      <c r="E100" t="inlineStr">
        <is>
          <t>SOLLEFTEÅ</t>
        </is>
      </c>
      <c r="F100" t="inlineStr">
        <is>
          <t>SCA</t>
        </is>
      </c>
      <c r="G100" t="n">
        <v>2.5</v>
      </c>
      <c r="H100" t="n">
        <v>2</v>
      </c>
      <c r="I100" t="n">
        <v>0</v>
      </c>
      <c r="J100" t="n">
        <v>5</v>
      </c>
      <c r="K100" t="n">
        <v>2</v>
      </c>
      <c r="L100" t="n">
        <v>0</v>
      </c>
      <c r="M100" t="n">
        <v>0</v>
      </c>
      <c r="N100" t="n">
        <v>0</v>
      </c>
      <c r="O100" t="n">
        <v>7</v>
      </c>
      <c r="P100" t="n">
        <v>2</v>
      </c>
      <c r="Q100" t="n">
        <v>7</v>
      </c>
      <c r="R100" s="2" t="inlineStr">
        <is>
          <t>Goliatmusseron
Läderdoftande fingersvamp
Granticka
Gultoppig fingersvamp
Svart taggsvamp
Talltita
Tretåig hackspett</t>
        </is>
      </c>
      <c r="S100">
        <f>HYPERLINK("https://klasma.github.io/Logging_2283/artfynd/A 18014-2022 artfynd.xlsx", "A 18014-2022")</f>
        <v/>
      </c>
      <c r="T100">
        <f>HYPERLINK("https://klasma.github.io/Logging_2283/kartor/A 18014-2022 karta.png", "A 18014-2022")</f>
        <v/>
      </c>
      <c r="U100">
        <f>HYPERLINK("https://klasma.github.io/Logging_2283/knärot/A 18014-2022 karta knärot.png", "A 18014-2022")</f>
        <v/>
      </c>
      <c r="V100">
        <f>HYPERLINK("https://klasma.github.io/Logging_2283/klagomål/A 18014-2022 FSC-klagomål.docx", "A 18014-2022")</f>
        <v/>
      </c>
      <c r="W100">
        <f>HYPERLINK("https://klasma.github.io/Logging_2283/klagomålsmail/A 18014-2022 FSC-klagomål mail.docx", "A 18014-2022")</f>
        <v/>
      </c>
      <c r="X100">
        <f>HYPERLINK("https://klasma.github.io/Logging_2283/tillsyn/A 18014-2022 tillsynsbegäran.docx", "A 18014-2022")</f>
        <v/>
      </c>
      <c r="Y100">
        <f>HYPERLINK("https://klasma.github.io/Logging_2283/tillsynsmail/A 18014-2022 tillsynsbegäran mail.docx", "A 18014-2022")</f>
        <v/>
      </c>
      <c r="Z100">
        <f>HYPERLINK("https://klasma.github.io/Logging_2283/fåglar/A 18014-2022 prioriterade fågelarter.docx", "A 18014-2022")</f>
        <v/>
      </c>
    </row>
    <row r="101" ht="15" customHeight="1">
      <c r="A101" t="inlineStr">
        <is>
          <t>A 12174-2025</t>
        </is>
      </c>
      <c r="B101" s="1" t="n">
        <v>45729</v>
      </c>
      <c r="C101" s="1" t="n">
        <v>46075</v>
      </c>
      <c r="D101" t="inlineStr">
        <is>
          <t>VÄSTERNORRLANDS LÄN</t>
        </is>
      </c>
      <c r="E101" t="inlineStr">
        <is>
          <t>SOLLEFTEÅ</t>
        </is>
      </c>
      <c r="F101" t="inlineStr">
        <is>
          <t>SCA</t>
        </is>
      </c>
      <c r="G101" t="n">
        <v>1.8</v>
      </c>
      <c r="H101" t="n">
        <v>4</v>
      </c>
      <c r="I101" t="n">
        <v>0</v>
      </c>
      <c r="J101" t="n">
        <v>5</v>
      </c>
      <c r="K101" t="n">
        <v>0</v>
      </c>
      <c r="L101" t="n">
        <v>0</v>
      </c>
      <c r="M101" t="n">
        <v>0</v>
      </c>
      <c r="N101" t="n">
        <v>0</v>
      </c>
      <c r="O101" t="n">
        <v>5</v>
      </c>
      <c r="P101" t="n">
        <v>0</v>
      </c>
      <c r="Q101" t="n">
        <v>7</v>
      </c>
      <c r="R101" s="2" t="inlineStr">
        <is>
          <t>Garnlav
Lunglav
Mörk kolflarnlav
Spillkråka
Tretåig hackspett
Tjäder
Revlummer</t>
        </is>
      </c>
      <c r="S101">
        <f>HYPERLINK("https://klasma.github.io/Logging_2283/artfynd/A 12174-2025 artfynd.xlsx", "A 12174-2025")</f>
        <v/>
      </c>
      <c r="T101">
        <f>HYPERLINK("https://klasma.github.io/Logging_2283/kartor/A 12174-2025 karta.png", "A 12174-2025")</f>
        <v/>
      </c>
      <c r="V101">
        <f>HYPERLINK("https://klasma.github.io/Logging_2283/klagomål/A 12174-2025 FSC-klagomål.docx", "A 12174-2025")</f>
        <v/>
      </c>
      <c r="W101">
        <f>HYPERLINK("https://klasma.github.io/Logging_2283/klagomålsmail/A 12174-2025 FSC-klagomål mail.docx", "A 12174-2025")</f>
        <v/>
      </c>
      <c r="X101">
        <f>HYPERLINK("https://klasma.github.io/Logging_2283/tillsyn/A 12174-2025 tillsynsbegäran.docx", "A 12174-2025")</f>
        <v/>
      </c>
      <c r="Y101">
        <f>HYPERLINK("https://klasma.github.io/Logging_2283/tillsynsmail/A 12174-2025 tillsynsbegäran mail.docx", "A 12174-2025")</f>
        <v/>
      </c>
      <c r="Z101">
        <f>HYPERLINK("https://klasma.github.io/Logging_2283/fåglar/A 12174-2025 prioriterade fågelarter.docx", "A 12174-2025")</f>
        <v/>
      </c>
    </row>
    <row r="102" ht="15" customHeight="1">
      <c r="A102" t="inlineStr">
        <is>
          <t>A 26654-2024</t>
        </is>
      </c>
      <c r="B102" s="1" t="n">
        <v>45469</v>
      </c>
      <c r="C102" s="1" t="n">
        <v>46075</v>
      </c>
      <c r="D102" t="inlineStr">
        <is>
          <t>VÄSTERNORRLANDS LÄN</t>
        </is>
      </c>
      <c r="E102" t="inlineStr">
        <is>
          <t>SOLLEFTEÅ</t>
        </is>
      </c>
      <c r="F102" t="inlineStr">
        <is>
          <t>SCA</t>
        </is>
      </c>
      <c r="G102" t="n">
        <v>7</v>
      </c>
      <c r="H102" t="n">
        <v>1</v>
      </c>
      <c r="I102" t="n">
        <v>2</v>
      </c>
      <c r="J102" t="n">
        <v>3</v>
      </c>
      <c r="K102" t="n">
        <v>2</v>
      </c>
      <c r="L102" t="n">
        <v>0</v>
      </c>
      <c r="M102" t="n">
        <v>0</v>
      </c>
      <c r="N102" t="n">
        <v>0</v>
      </c>
      <c r="O102" t="n">
        <v>5</v>
      </c>
      <c r="P102" t="n">
        <v>2</v>
      </c>
      <c r="Q102" t="n">
        <v>7</v>
      </c>
      <c r="R102" s="2" t="inlineStr">
        <is>
          <t>Knärot
Ulltickeporing
Garnlav
Harticka
Ullticka
Bårdlav
Skinnlav</t>
        </is>
      </c>
      <c r="S102">
        <f>HYPERLINK("https://klasma.github.io/Logging_2283/artfynd/A 26654-2024 artfynd.xlsx", "A 26654-2024")</f>
        <v/>
      </c>
      <c r="T102">
        <f>HYPERLINK("https://klasma.github.io/Logging_2283/kartor/A 26654-2024 karta.png", "A 26654-2024")</f>
        <v/>
      </c>
      <c r="U102">
        <f>HYPERLINK("https://klasma.github.io/Logging_2283/knärot/A 26654-2024 karta knärot.png", "A 26654-2024")</f>
        <v/>
      </c>
      <c r="V102">
        <f>HYPERLINK("https://klasma.github.io/Logging_2283/klagomål/A 26654-2024 FSC-klagomål.docx", "A 26654-2024")</f>
        <v/>
      </c>
      <c r="W102">
        <f>HYPERLINK("https://klasma.github.io/Logging_2283/klagomålsmail/A 26654-2024 FSC-klagomål mail.docx", "A 26654-2024")</f>
        <v/>
      </c>
      <c r="X102">
        <f>HYPERLINK("https://klasma.github.io/Logging_2283/tillsyn/A 26654-2024 tillsynsbegäran.docx", "A 26654-2024")</f>
        <v/>
      </c>
      <c r="Y102">
        <f>HYPERLINK("https://klasma.github.io/Logging_2283/tillsynsmail/A 26654-2024 tillsynsbegäran mail.docx", "A 26654-2024")</f>
        <v/>
      </c>
    </row>
    <row r="103" ht="15" customHeight="1">
      <c r="A103" t="inlineStr">
        <is>
          <t>A 28997-2025</t>
        </is>
      </c>
      <c r="B103" s="1" t="n">
        <v>45821.38616898148</v>
      </c>
      <c r="C103" s="1" t="n">
        <v>46075</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54049-2023</t>
        </is>
      </c>
      <c r="B104" s="1" t="n">
        <v>45231</v>
      </c>
      <c r="C104" s="1" t="n">
        <v>46075</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21253-2025</t>
        </is>
      </c>
      <c r="B105" s="1" t="n">
        <v>45779</v>
      </c>
      <c r="C105" s="1" t="n">
        <v>46075</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38157-2025</t>
        </is>
      </c>
      <c r="B106" s="1" t="n">
        <v>45882.61505787037</v>
      </c>
      <c r="C106" s="1" t="n">
        <v>46075</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62992-2023</t>
        </is>
      </c>
      <c r="B107" s="1" t="n">
        <v>45272</v>
      </c>
      <c r="C107" s="1" t="n">
        <v>46075</v>
      </c>
      <c r="D107" t="inlineStr">
        <is>
          <t>VÄSTERNORRLANDS LÄN</t>
        </is>
      </c>
      <c r="E107" t="inlineStr">
        <is>
          <t>SOLLEFTEÅ</t>
        </is>
      </c>
      <c r="F107" t="inlineStr">
        <is>
          <t>Övriga Aktiebolag</t>
        </is>
      </c>
      <c r="G107" t="n">
        <v>16.7</v>
      </c>
      <c r="H107" t="n">
        <v>2</v>
      </c>
      <c r="I107" t="n">
        <v>2</v>
      </c>
      <c r="J107" t="n">
        <v>5</v>
      </c>
      <c r="K107" t="n">
        <v>0</v>
      </c>
      <c r="L107" t="n">
        <v>0</v>
      </c>
      <c r="M107" t="n">
        <v>0</v>
      </c>
      <c r="N107" t="n">
        <v>0</v>
      </c>
      <c r="O107" t="n">
        <v>5</v>
      </c>
      <c r="P107" t="n">
        <v>0</v>
      </c>
      <c r="Q107" t="n">
        <v>7</v>
      </c>
      <c r="R107" s="2" t="inlineStr">
        <is>
          <t>Gammelgransskål
Garnlav
Harticka
Rosenticka
Tretåig hackspett
Mörk husmossa
Spindelblomster</t>
        </is>
      </c>
      <c r="S107">
        <f>HYPERLINK("https://klasma.github.io/Logging_2283/artfynd/A 62992-2023 artfynd.xlsx", "A 62992-2023")</f>
        <v/>
      </c>
      <c r="T107">
        <f>HYPERLINK("https://klasma.github.io/Logging_2283/kartor/A 62992-2023 karta.png", "A 62992-2023")</f>
        <v/>
      </c>
      <c r="V107">
        <f>HYPERLINK("https://klasma.github.io/Logging_2283/klagomål/A 62992-2023 FSC-klagomål.docx", "A 62992-2023")</f>
        <v/>
      </c>
      <c r="W107">
        <f>HYPERLINK("https://klasma.github.io/Logging_2283/klagomålsmail/A 62992-2023 FSC-klagomål mail.docx", "A 62992-2023")</f>
        <v/>
      </c>
      <c r="X107">
        <f>HYPERLINK("https://klasma.github.io/Logging_2283/tillsyn/A 62992-2023 tillsynsbegäran.docx", "A 62992-2023")</f>
        <v/>
      </c>
      <c r="Y107">
        <f>HYPERLINK("https://klasma.github.io/Logging_2283/tillsynsmail/A 62992-2023 tillsynsbegäran mail.docx", "A 62992-2023")</f>
        <v/>
      </c>
      <c r="Z107">
        <f>HYPERLINK("https://klasma.github.io/Logging_2283/fåglar/A 62992-2023 prioriterade fågelarter.docx", "A 62992-2023")</f>
        <v/>
      </c>
    </row>
    <row r="108" ht="15" customHeight="1">
      <c r="A108" t="inlineStr">
        <is>
          <t>A 55334-2025</t>
        </is>
      </c>
      <c r="B108" s="1" t="n">
        <v>45971.34430555555</v>
      </c>
      <c r="C108" s="1" t="n">
        <v>46075</v>
      </c>
      <c r="D108" t="inlineStr">
        <is>
          <t>VÄSTERNORRLANDS LÄN</t>
        </is>
      </c>
      <c r="E108" t="inlineStr">
        <is>
          <t>SOLLEFTEÅ</t>
        </is>
      </c>
      <c r="F108" t="inlineStr">
        <is>
          <t>SCA</t>
        </is>
      </c>
      <c r="G108" t="n">
        <v>3.7</v>
      </c>
      <c r="H108" t="n">
        <v>4</v>
      </c>
      <c r="I108" t="n">
        <v>1</v>
      </c>
      <c r="J108" t="n">
        <v>4</v>
      </c>
      <c r="K108" t="n">
        <v>0</v>
      </c>
      <c r="L108" t="n">
        <v>0</v>
      </c>
      <c r="M108" t="n">
        <v>0</v>
      </c>
      <c r="N108" t="n">
        <v>0</v>
      </c>
      <c r="O108" t="n">
        <v>4</v>
      </c>
      <c r="P108" t="n">
        <v>0</v>
      </c>
      <c r="Q108" t="n">
        <v>7</v>
      </c>
      <c r="R108" s="2" t="inlineStr">
        <is>
          <t>Gammelgransskål
Granticka
Tretåig hackspett
Ullticka
Korallrot
Vanlig padda
Fläcknycklar</t>
        </is>
      </c>
      <c r="S108">
        <f>HYPERLINK("https://klasma.github.io/Logging_2283/artfynd/A 55334-2025 artfynd.xlsx", "A 55334-2025")</f>
        <v/>
      </c>
      <c r="T108">
        <f>HYPERLINK("https://klasma.github.io/Logging_2283/kartor/A 55334-2025 karta.png", "A 55334-2025")</f>
        <v/>
      </c>
      <c r="V108">
        <f>HYPERLINK("https://klasma.github.io/Logging_2283/klagomål/A 55334-2025 FSC-klagomål.docx", "A 55334-2025")</f>
        <v/>
      </c>
      <c r="W108">
        <f>HYPERLINK("https://klasma.github.io/Logging_2283/klagomålsmail/A 55334-2025 FSC-klagomål mail.docx", "A 55334-2025")</f>
        <v/>
      </c>
      <c r="X108">
        <f>HYPERLINK("https://klasma.github.io/Logging_2283/tillsyn/A 55334-2025 tillsynsbegäran.docx", "A 55334-2025")</f>
        <v/>
      </c>
      <c r="Y108">
        <f>HYPERLINK("https://klasma.github.io/Logging_2283/tillsynsmail/A 55334-2025 tillsynsbegäran mail.docx", "A 55334-2025")</f>
        <v/>
      </c>
      <c r="Z108">
        <f>HYPERLINK("https://klasma.github.io/Logging_2283/fåglar/A 55334-2025 prioriterade fågelarter.docx", "A 55334-2025")</f>
        <v/>
      </c>
    </row>
    <row r="109" ht="15" customHeight="1">
      <c r="A109" t="inlineStr">
        <is>
          <t>A 53121-2022</t>
        </is>
      </c>
      <c r="B109" s="1" t="n">
        <v>44873</v>
      </c>
      <c r="C109" s="1" t="n">
        <v>46075</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46075</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14580-2024</t>
        </is>
      </c>
      <c r="B111" s="1" t="n">
        <v>45394</v>
      </c>
      <c r="C111" s="1" t="n">
        <v>46075</v>
      </c>
      <c r="D111" t="inlineStr">
        <is>
          <t>VÄSTERNORRLANDS LÄN</t>
        </is>
      </c>
      <c r="E111" t="inlineStr">
        <is>
          <t>SOLLEFTEÅ</t>
        </is>
      </c>
      <c r="F111" t="inlineStr">
        <is>
          <t>SCA</t>
        </is>
      </c>
      <c r="G111" t="n">
        <v>4.1</v>
      </c>
      <c r="H111" t="n">
        <v>2</v>
      </c>
      <c r="I111" t="n">
        <v>1</v>
      </c>
      <c r="J111" t="n">
        <v>6</v>
      </c>
      <c r="K111" t="n">
        <v>0</v>
      </c>
      <c r="L111" t="n">
        <v>0</v>
      </c>
      <c r="M111" t="n">
        <v>0</v>
      </c>
      <c r="N111" t="n">
        <v>0</v>
      </c>
      <c r="O111" t="n">
        <v>6</v>
      </c>
      <c r="P111" t="n">
        <v>0</v>
      </c>
      <c r="Q111" t="n">
        <v>7</v>
      </c>
      <c r="R111" s="2" t="inlineStr">
        <is>
          <t>Garnlav
Lunglav
Rosenticka
Talltita
Tretåig hackspett
Ullticka
Vedticka</t>
        </is>
      </c>
      <c r="S111">
        <f>HYPERLINK("https://klasma.github.io/Logging_2283/artfynd/A 14580-2024 artfynd.xlsx", "A 14580-2024")</f>
        <v/>
      </c>
      <c r="T111">
        <f>HYPERLINK("https://klasma.github.io/Logging_2283/kartor/A 14580-2024 karta.png", "A 14580-2024")</f>
        <v/>
      </c>
      <c r="V111">
        <f>HYPERLINK("https://klasma.github.io/Logging_2283/klagomål/A 14580-2024 FSC-klagomål.docx", "A 14580-2024")</f>
        <v/>
      </c>
      <c r="W111">
        <f>HYPERLINK("https://klasma.github.io/Logging_2283/klagomålsmail/A 14580-2024 FSC-klagomål mail.docx", "A 14580-2024")</f>
        <v/>
      </c>
      <c r="X111">
        <f>HYPERLINK("https://klasma.github.io/Logging_2283/tillsyn/A 14580-2024 tillsynsbegäran.docx", "A 14580-2024")</f>
        <v/>
      </c>
      <c r="Y111">
        <f>HYPERLINK("https://klasma.github.io/Logging_2283/tillsynsmail/A 14580-2024 tillsynsbegäran mail.docx", "A 14580-2024")</f>
        <v/>
      </c>
      <c r="Z111">
        <f>HYPERLINK("https://klasma.github.io/Logging_2283/fåglar/A 14580-2024 prioriterade fågelarter.docx", "A 14580-2024")</f>
        <v/>
      </c>
    </row>
    <row r="112" ht="15" customHeight="1">
      <c r="A112" t="inlineStr">
        <is>
          <t>A 9158-2026</t>
        </is>
      </c>
      <c r="B112" s="1" t="n">
        <v>46070</v>
      </c>
      <c r="C112" s="1" t="n">
        <v>46075</v>
      </c>
      <c r="D112" t="inlineStr">
        <is>
          <t>VÄSTERNORRLANDS LÄN</t>
        </is>
      </c>
      <c r="E112" t="inlineStr">
        <is>
          <t>SOLLEFTEÅ</t>
        </is>
      </c>
      <c r="F112" t="inlineStr">
        <is>
          <t>SCA</t>
        </is>
      </c>
      <c r="G112" t="n">
        <v>19.9</v>
      </c>
      <c r="H112" t="n">
        <v>3</v>
      </c>
      <c r="I112" t="n">
        <v>1</v>
      </c>
      <c r="J112" t="n">
        <v>5</v>
      </c>
      <c r="K112" t="n">
        <v>1</v>
      </c>
      <c r="L112" t="n">
        <v>0</v>
      </c>
      <c r="M112" t="n">
        <v>0</v>
      </c>
      <c r="N112" t="n">
        <v>0</v>
      </c>
      <c r="O112" t="n">
        <v>6</v>
      </c>
      <c r="P112" t="n">
        <v>1</v>
      </c>
      <c r="Q112" t="n">
        <v>7</v>
      </c>
      <c r="R112" s="2" t="inlineStr">
        <is>
          <t>Knärot
Garnlav
Kolflarnlav
Lunglav
Talltita
Tretåig hackspett
Dropptaggsvamp</t>
        </is>
      </c>
      <c r="S112">
        <f>HYPERLINK("https://klasma.github.io/Logging_2283/artfynd/A 9158-2026 artfynd.xlsx", "A 9158-2026")</f>
        <v/>
      </c>
      <c r="T112">
        <f>HYPERLINK("https://klasma.github.io/Logging_2283/kartor/A 9158-2026 karta.png", "A 9158-2026")</f>
        <v/>
      </c>
      <c r="U112">
        <f>HYPERLINK("https://klasma.github.io/Logging_2283/knärot/A 9158-2026 karta knärot.png", "A 9158-2026")</f>
        <v/>
      </c>
      <c r="V112">
        <f>HYPERLINK("https://klasma.github.io/Logging_2283/klagomål/A 9158-2026 FSC-klagomål.docx", "A 9158-2026")</f>
        <v/>
      </c>
      <c r="W112">
        <f>HYPERLINK("https://klasma.github.io/Logging_2283/klagomålsmail/A 9158-2026 FSC-klagomål mail.docx", "A 9158-2026")</f>
        <v/>
      </c>
      <c r="X112">
        <f>HYPERLINK("https://klasma.github.io/Logging_2283/tillsyn/A 9158-2026 tillsynsbegäran.docx", "A 9158-2026")</f>
        <v/>
      </c>
      <c r="Y112">
        <f>HYPERLINK("https://klasma.github.io/Logging_2283/tillsynsmail/A 9158-2026 tillsynsbegäran mail.docx", "A 9158-2026")</f>
        <v/>
      </c>
      <c r="Z112">
        <f>HYPERLINK("https://klasma.github.io/Logging_2283/fåglar/A 9158-2026 prioriterade fågelarter.docx", "A 9158-2026")</f>
        <v/>
      </c>
    </row>
    <row r="113" ht="15" customHeight="1">
      <c r="A113" t="inlineStr">
        <is>
          <t>A 47647-2022</t>
        </is>
      </c>
      <c r="B113" s="1" t="n">
        <v>44852</v>
      </c>
      <c r="C113" s="1" t="n">
        <v>46075</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46075</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46075</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22783-2025</t>
        </is>
      </c>
      <c r="B116" s="1" t="n">
        <v>45789</v>
      </c>
      <c r="C116" s="1" t="n">
        <v>46075</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41666-2024</t>
        </is>
      </c>
      <c r="B117" s="1" t="n">
        <v>45560.65010416666</v>
      </c>
      <c r="C117" s="1" t="n">
        <v>46075</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16087-2022</t>
        </is>
      </c>
      <c r="B118" s="1" t="n">
        <v>44665</v>
      </c>
      <c r="C118" s="1" t="n">
        <v>46075</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46075</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35406-2024</t>
        </is>
      </c>
      <c r="B120" s="1" t="n">
        <v>45531.40607638889</v>
      </c>
      <c r="C120" s="1" t="n">
        <v>46075</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46075</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46075</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33321-2025</t>
        </is>
      </c>
      <c r="B123" s="1" t="n">
        <v>45841.34490740741</v>
      </c>
      <c r="C123" s="1" t="n">
        <v>46075</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35632-2025</t>
        </is>
      </c>
      <c r="B124" s="1" t="n">
        <v>45859.44893518519</v>
      </c>
      <c r="C124" s="1" t="n">
        <v>46075</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15666-2025</t>
        </is>
      </c>
      <c r="B125" s="1" t="n">
        <v>45748.4315625</v>
      </c>
      <c r="C125" s="1" t="n">
        <v>46075</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45692-2025</t>
        </is>
      </c>
      <c r="B126" s="1" t="n">
        <v>45923</v>
      </c>
      <c r="C126" s="1" t="n">
        <v>46075</v>
      </c>
      <c r="D126" t="inlineStr">
        <is>
          <t>VÄSTERNORRLANDS LÄN</t>
        </is>
      </c>
      <c r="E126" t="inlineStr">
        <is>
          <t>SOLLEFTEÅ</t>
        </is>
      </c>
      <c r="F126" t="inlineStr">
        <is>
          <t>SCA</t>
        </is>
      </c>
      <c r="G126" t="n">
        <v>4.9</v>
      </c>
      <c r="H126" t="n">
        <v>2</v>
      </c>
      <c r="I126" t="n">
        <v>1</v>
      </c>
      <c r="J126" t="n">
        <v>4</v>
      </c>
      <c r="K126" t="n">
        <v>1</v>
      </c>
      <c r="L126" t="n">
        <v>0</v>
      </c>
      <c r="M126" t="n">
        <v>0</v>
      </c>
      <c r="N126" t="n">
        <v>0</v>
      </c>
      <c r="O126" t="n">
        <v>5</v>
      </c>
      <c r="P126" t="n">
        <v>1</v>
      </c>
      <c r="Q126" t="n">
        <v>6</v>
      </c>
      <c r="R126" s="2" t="inlineStr">
        <is>
          <t>Knärot
Granticka
Rosenticka
Tretåig hackspett
Ullticka
Vedticka</t>
        </is>
      </c>
      <c r="S126">
        <f>HYPERLINK("https://klasma.github.io/Logging_2283/artfynd/A 45692-2025 artfynd.xlsx", "A 45692-2025")</f>
        <v/>
      </c>
      <c r="T126">
        <f>HYPERLINK("https://klasma.github.io/Logging_2283/kartor/A 45692-2025 karta.png", "A 45692-2025")</f>
        <v/>
      </c>
      <c r="U126">
        <f>HYPERLINK("https://klasma.github.io/Logging_2283/knärot/A 45692-2025 karta knärot.png", "A 45692-2025")</f>
        <v/>
      </c>
      <c r="V126">
        <f>HYPERLINK("https://klasma.github.io/Logging_2283/klagomål/A 45692-2025 FSC-klagomål.docx", "A 45692-2025")</f>
        <v/>
      </c>
      <c r="W126">
        <f>HYPERLINK("https://klasma.github.io/Logging_2283/klagomålsmail/A 45692-2025 FSC-klagomål mail.docx", "A 45692-2025")</f>
        <v/>
      </c>
      <c r="X126">
        <f>HYPERLINK("https://klasma.github.io/Logging_2283/tillsyn/A 45692-2025 tillsynsbegäran.docx", "A 45692-2025")</f>
        <v/>
      </c>
      <c r="Y126">
        <f>HYPERLINK("https://klasma.github.io/Logging_2283/tillsynsmail/A 45692-2025 tillsynsbegäran mail.docx", "A 45692-2025")</f>
        <v/>
      </c>
      <c r="Z126">
        <f>HYPERLINK("https://klasma.github.io/Logging_2283/fåglar/A 45692-2025 prioriterade fågelarter.docx", "A 45692-2025")</f>
        <v/>
      </c>
    </row>
    <row r="127" ht="15" customHeight="1">
      <c r="A127" t="inlineStr">
        <is>
          <t>A 49747-2025</t>
        </is>
      </c>
      <c r="B127" s="1" t="n">
        <v>45940.34461805555</v>
      </c>
      <c r="C127" s="1" t="n">
        <v>46075</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40420-2023</t>
        </is>
      </c>
      <c r="B128" s="1" t="n">
        <v>45169</v>
      </c>
      <c r="C128" s="1" t="n">
        <v>46075</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56141-2025</t>
        </is>
      </c>
      <c r="B129" s="1" t="n">
        <v>45974</v>
      </c>
      <c r="C129" s="1" t="n">
        <v>46075</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36470-2024</t>
        </is>
      </c>
      <c r="B130" s="1" t="n">
        <v>45537</v>
      </c>
      <c r="C130" s="1" t="n">
        <v>46075</v>
      </c>
      <c r="D130" t="inlineStr">
        <is>
          <t>VÄSTERNORRLANDS LÄN</t>
        </is>
      </c>
      <c r="E130" t="inlineStr">
        <is>
          <t>SOLLEFTEÅ</t>
        </is>
      </c>
      <c r="F130" t="inlineStr">
        <is>
          <t>SCA</t>
        </is>
      </c>
      <c r="G130" t="n">
        <v>10.3</v>
      </c>
      <c r="H130" t="n">
        <v>3</v>
      </c>
      <c r="I130" t="n">
        <v>0</v>
      </c>
      <c r="J130" t="n">
        <v>6</v>
      </c>
      <c r="K130" t="n">
        <v>0</v>
      </c>
      <c r="L130" t="n">
        <v>0</v>
      </c>
      <c r="M130" t="n">
        <v>0</v>
      </c>
      <c r="N130" t="n">
        <v>0</v>
      </c>
      <c r="O130" t="n">
        <v>6</v>
      </c>
      <c r="P130" t="n">
        <v>0</v>
      </c>
      <c r="Q130" t="n">
        <v>6</v>
      </c>
      <c r="R130" s="2" t="inlineStr">
        <is>
          <t>Gammelgransskål
Granticka
Harticka
Spillkråka
Talltita
Tretåig hackspett</t>
        </is>
      </c>
      <c r="S130">
        <f>HYPERLINK("https://klasma.github.io/Logging_2283/artfynd/A 36470-2024 artfynd.xlsx", "A 36470-2024")</f>
        <v/>
      </c>
      <c r="T130">
        <f>HYPERLINK("https://klasma.github.io/Logging_2283/kartor/A 36470-2024 karta.png", "A 36470-2024")</f>
        <v/>
      </c>
      <c r="V130">
        <f>HYPERLINK("https://klasma.github.io/Logging_2283/klagomål/A 36470-2024 FSC-klagomål.docx", "A 36470-2024")</f>
        <v/>
      </c>
      <c r="W130">
        <f>HYPERLINK("https://klasma.github.io/Logging_2283/klagomålsmail/A 36470-2024 FSC-klagomål mail.docx", "A 36470-2024")</f>
        <v/>
      </c>
      <c r="X130">
        <f>HYPERLINK("https://klasma.github.io/Logging_2283/tillsyn/A 36470-2024 tillsynsbegäran.docx", "A 36470-2024")</f>
        <v/>
      </c>
      <c r="Y130">
        <f>HYPERLINK("https://klasma.github.io/Logging_2283/tillsynsmail/A 36470-2024 tillsynsbegäran mail.docx", "A 36470-2024")</f>
        <v/>
      </c>
      <c r="Z130">
        <f>HYPERLINK("https://klasma.github.io/Logging_2283/fåglar/A 36470-2024 prioriterade fågelarter.docx", "A 36470-2024")</f>
        <v/>
      </c>
    </row>
    <row r="131" ht="15" customHeight="1">
      <c r="A131" t="inlineStr">
        <is>
          <t>A 4827-2025</t>
        </is>
      </c>
      <c r="B131" s="1" t="n">
        <v>45688</v>
      </c>
      <c r="C131" s="1" t="n">
        <v>46075</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14860-2023</t>
        </is>
      </c>
      <c r="B132" s="1" t="n">
        <v>45015.07157407407</v>
      </c>
      <c r="C132" s="1" t="n">
        <v>46075</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26594-2022</t>
        </is>
      </c>
      <c r="B133" s="1" t="n">
        <v>44739</v>
      </c>
      <c r="C133" s="1" t="n">
        <v>46075</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31885-2024</t>
        </is>
      </c>
      <c r="B134" s="1" t="n">
        <v>45509.95769675926</v>
      </c>
      <c r="C134" s="1" t="n">
        <v>46075</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46075</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46075</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46075</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24887-2022</t>
        </is>
      </c>
      <c r="B138" s="1" t="n">
        <v>44728</v>
      </c>
      <c r="C138" s="1" t="n">
        <v>46075</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11552-2024</t>
        </is>
      </c>
      <c r="B139" s="1" t="n">
        <v>45372</v>
      </c>
      <c r="C139" s="1" t="n">
        <v>46075</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18100-2025</t>
        </is>
      </c>
      <c r="B140" s="1" t="n">
        <v>45761.55240740741</v>
      </c>
      <c r="C140" s="1" t="n">
        <v>46075</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46075</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46075</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7334-2025</t>
        </is>
      </c>
      <c r="B143" s="1" t="n">
        <v>45703.35998842592</v>
      </c>
      <c r="C143" s="1" t="n">
        <v>46075</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20949-2022</t>
        </is>
      </c>
      <c r="B144" s="1" t="n">
        <v>44701.93967592593</v>
      </c>
      <c r="C144" s="1" t="n">
        <v>46075</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46075</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2438-2025</t>
        </is>
      </c>
      <c r="B146" s="1" t="n">
        <v>45674.41815972222</v>
      </c>
      <c r="C146" s="1" t="n">
        <v>46075</v>
      </c>
      <c r="D146" t="inlineStr">
        <is>
          <t>VÄSTERNORRLANDS LÄN</t>
        </is>
      </c>
      <c r="E146" t="inlineStr">
        <is>
          <t>SOLLEFTEÅ</t>
        </is>
      </c>
      <c r="G146" t="n">
        <v>6.4</v>
      </c>
      <c r="H146" t="n">
        <v>3</v>
      </c>
      <c r="I146" t="n">
        <v>0</v>
      </c>
      <c r="J146" t="n">
        <v>4</v>
      </c>
      <c r="K146" t="n">
        <v>1</v>
      </c>
      <c r="L146" t="n">
        <v>0</v>
      </c>
      <c r="M146" t="n">
        <v>0</v>
      </c>
      <c r="N146" t="n">
        <v>0</v>
      </c>
      <c r="O146" t="n">
        <v>5</v>
      </c>
      <c r="P146" t="n">
        <v>1</v>
      </c>
      <c r="Q146" t="n">
        <v>5</v>
      </c>
      <c r="R146" s="2" t="inlineStr">
        <is>
          <t>Knärot
Garnlav
Kolflarnlav
Talltita
Tretåig hackspett</t>
        </is>
      </c>
      <c r="S146">
        <f>HYPERLINK("https://klasma.github.io/Logging_2283/artfynd/A 2438-2025 artfynd.xlsx", "A 2438-2025")</f>
        <v/>
      </c>
      <c r="T146">
        <f>HYPERLINK("https://klasma.github.io/Logging_2283/kartor/A 2438-2025 karta.png", "A 2438-2025")</f>
        <v/>
      </c>
      <c r="U146">
        <f>HYPERLINK("https://klasma.github.io/Logging_2283/knärot/A 2438-2025 karta knärot.png", "A 2438-2025")</f>
        <v/>
      </c>
      <c r="V146">
        <f>HYPERLINK("https://klasma.github.io/Logging_2283/klagomål/A 2438-2025 FSC-klagomål.docx", "A 2438-2025")</f>
        <v/>
      </c>
      <c r="W146">
        <f>HYPERLINK("https://klasma.github.io/Logging_2283/klagomålsmail/A 2438-2025 FSC-klagomål mail.docx", "A 2438-2025")</f>
        <v/>
      </c>
      <c r="X146">
        <f>HYPERLINK("https://klasma.github.io/Logging_2283/tillsyn/A 2438-2025 tillsynsbegäran.docx", "A 2438-2025")</f>
        <v/>
      </c>
      <c r="Y146">
        <f>HYPERLINK("https://klasma.github.io/Logging_2283/tillsynsmail/A 2438-2025 tillsynsbegäran mail.docx", "A 2438-2025")</f>
        <v/>
      </c>
      <c r="Z146">
        <f>HYPERLINK("https://klasma.github.io/Logging_2283/fåglar/A 2438-2025 prioriterade fågelarter.docx", "A 2438-2025")</f>
        <v/>
      </c>
    </row>
    <row r="147" ht="15" customHeight="1">
      <c r="A147" t="inlineStr">
        <is>
          <t>A 4552-2022</t>
        </is>
      </c>
      <c r="B147" s="1" t="n">
        <v>44590</v>
      </c>
      <c r="C147" s="1" t="n">
        <v>46075</v>
      </c>
      <c r="D147" t="inlineStr">
        <is>
          <t>VÄSTERNORRLANDS LÄN</t>
        </is>
      </c>
      <c r="E147" t="inlineStr">
        <is>
          <t>SOLLEFTEÅ</t>
        </is>
      </c>
      <c r="F147" t="inlineStr">
        <is>
          <t>SCA</t>
        </is>
      </c>
      <c r="G147" t="n">
        <v>4.4</v>
      </c>
      <c r="H147" t="n">
        <v>0</v>
      </c>
      <c r="I147" t="n">
        <v>1</v>
      </c>
      <c r="J147" t="n">
        <v>4</v>
      </c>
      <c r="K147" t="n">
        <v>0</v>
      </c>
      <c r="L147" t="n">
        <v>0</v>
      </c>
      <c r="M147" t="n">
        <v>0</v>
      </c>
      <c r="N147" t="n">
        <v>0</v>
      </c>
      <c r="O147" t="n">
        <v>4</v>
      </c>
      <c r="P147" t="n">
        <v>0</v>
      </c>
      <c r="Q147" t="n">
        <v>5</v>
      </c>
      <c r="R147" s="2" t="inlineStr">
        <is>
          <t>Gammelgransskål
Garnlav
Skrovlig taggsvamp
Vedskivlav
Skarp dropptaggsvamp</t>
        </is>
      </c>
      <c r="S147">
        <f>HYPERLINK("https://klasma.github.io/Logging_2283/artfynd/A 4552-2022 artfynd.xlsx", "A 4552-2022")</f>
        <v/>
      </c>
      <c r="T147">
        <f>HYPERLINK("https://klasma.github.io/Logging_2283/kartor/A 4552-2022 karta.png", "A 4552-2022")</f>
        <v/>
      </c>
      <c r="V147">
        <f>HYPERLINK("https://klasma.github.io/Logging_2283/klagomål/A 4552-2022 FSC-klagomål.docx", "A 4552-2022")</f>
        <v/>
      </c>
      <c r="W147">
        <f>HYPERLINK("https://klasma.github.io/Logging_2283/klagomålsmail/A 4552-2022 FSC-klagomål mail.docx", "A 4552-2022")</f>
        <v/>
      </c>
      <c r="X147">
        <f>HYPERLINK("https://klasma.github.io/Logging_2283/tillsyn/A 4552-2022 tillsynsbegäran.docx", "A 4552-2022")</f>
        <v/>
      </c>
      <c r="Y147">
        <f>HYPERLINK("https://klasma.github.io/Logging_2283/tillsynsmail/A 4552-2022 tillsynsbegäran mail.docx", "A 4552-2022")</f>
        <v/>
      </c>
    </row>
    <row r="148" ht="15" customHeight="1">
      <c r="A148" t="inlineStr">
        <is>
          <t>A 50418-2024</t>
        </is>
      </c>
      <c r="B148" s="1" t="n">
        <v>45601.38575231482</v>
      </c>
      <c r="C148" s="1" t="n">
        <v>46075</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44407-2025</t>
        </is>
      </c>
      <c r="B149" s="1" t="n">
        <v>45916.52679398148</v>
      </c>
      <c r="C149" s="1" t="n">
        <v>46075</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46075</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27910-2024</t>
        </is>
      </c>
      <c r="B151" s="1" t="n">
        <v>45475</v>
      </c>
      <c r="C151" s="1" t="n">
        <v>46075</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29249-2024</t>
        </is>
      </c>
      <c r="B152" s="1" t="n">
        <v>45482</v>
      </c>
      <c r="C152" s="1" t="n">
        <v>46075</v>
      </c>
      <c r="D152" t="inlineStr">
        <is>
          <t>VÄSTERNORRLANDS LÄN</t>
        </is>
      </c>
      <c r="E152" t="inlineStr">
        <is>
          <t>SOLLEFTEÅ</t>
        </is>
      </c>
      <c r="F152" t="inlineStr">
        <is>
          <t>SCA</t>
        </is>
      </c>
      <c r="G152" t="n">
        <v>7.3</v>
      </c>
      <c r="H152" t="n">
        <v>3</v>
      </c>
      <c r="I152" t="n">
        <v>1</v>
      </c>
      <c r="J152" t="n">
        <v>3</v>
      </c>
      <c r="K152" t="n">
        <v>1</v>
      </c>
      <c r="L152" t="n">
        <v>0</v>
      </c>
      <c r="M152" t="n">
        <v>0</v>
      </c>
      <c r="N152" t="n">
        <v>0</v>
      </c>
      <c r="O152" t="n">
        <v>4</v>
      </c>
      <c r="P152" t="n">
        <v>1</v>
      </c>
      <c r="Q152" t="n">
        <v>5</v>
      </c>
      <c r="R152" s="2" t="inlineStr">
        <is>
          <t>Knärot
Harticka
Talltita
Tretåig hackspett
Stuplav</t>
        </is>
      </c>
      <c r="S152">
        <f>HYPERLINK("https://klasma.github.io/Logging_2283/artfynd/A 29249-2024 artfynd.xlsx", "A 29249-2024")</f>
        <v/>
      </c>
      <c r="T152">
        <f>HYPERLINK("https://klasma.github.io/Logging_2283/kartor/A 29249-2024 karta.png", "A 29249-2024")</f>
        <v/>
      </c>
      <c r="U152">
        <f>HYPERLINK("https://klasma.github.io/Logging_2283/knärot/A 29249-2024 karta knärot.png", "A 29249-2024")</f>
        <v/>
      </c>
      <c r="V152">
        <f>HYPERLINK("https://klasma.github.io/Logging_2283/klagomål/A 29249-2024 FSC-klagomål.docx", "A 29249-2024")</f>
        <v/>
      </c>
      <c r="W152">
        <f>HYPERLINK("https://klasma.github.io/Logging_2283/klagomålsmail/A 29249-2024 FSC-klagomål mail.docx", "A 29249-2024")</f>
        <v/>
      </c>
      <c r="X152">
        <f>HYPERLINK("https://klasma.github.io/Logging_2283/tillsyn/A 29249-2024 tillsynsbegäran.docx", "A 29249-2024")</f>
        <v/>
      </c>
      <c r="Y152">
        <f>HYPERLINK("https://klasma.github.io/Logging_2283/tillsynsmail/A 29249-2024 tillsynsbegäran mail.docx", "A 29249-2024")</f>
        <v/>
      </c>
      <c r="Z152">
        <f>HYPERLINK("https://klasma.github.io/Logging_2283/fåglar/A 29249-2024 prioriterade fågelarter.docx", "A 29249-2024")</f>
        <v/>
      </c>
    </row>
    <row r="153" ht="15" customHeight="1">
      <c r="A153" t="inlineStr">
        <is>
          <t>A 51341-2025</t>
        </is>
      </c>
      <c r="B153" s="1" t="n">
        <v>45950.42761574074</v>
      </c>
      <c r="C153" s="1" t="n">
        <v>46075</v>
      </c>
      <c r="D153" t="inlineStr">
        <is>
          <t>VÄSTERNORRLANDS LÄN</t>
        </is>
      </c>
      <c r="E153" t="inlineStr">
        <is>
          <t>SOLLEFTEÅ</t>
        </is>
      </c>
      <c r="F153" t="inlineStr">
        <is>
          <t>SCA</t>
        </is>
      </c>
      <c r="G153" t="n">
        <v>5.3</v>
      </c>
      <c r="H153" t="n">
        <v>0</v>
      </c>
      <c r="I153" t="n">
        <v>2</v>
      </c>
      <c r="J153" t="n">
        <v>3</v>
      </c>
      <c r="K153" t="n">
        <v>0</v>
      </c>
      <c r="L153" t="n">
        <v>0</v>
      </c>
      <c r="M153" t="n">
        <v>0</v>
      </c>
      <c r="N153" t="n">
        <v>0</v>
      </c>
      <c r="O153" t="n">
        <v>3</v>
      </c>
      <c r="P153" t="n">
        <v>0</v>
      </c>
      <c r="Q153" t="n">
        <v>5</v>
      </c>
      <c r="R153" s="2" t="inlineStr">
        <is>
          <t>Garnlav
Mörk kolflarnlav
Rosenticka
Dropptaggsvamp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57655-2023</t>
        </is>
      </c>
      <c r="B154" s="1" t="n">
        <v>45246</v>
      </c>
      <c r="C154" s="1" t="n">
        <v>46075</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59662-2023</t>
        </is>
      </c>
      <c r="B155" s="1" t="n">
        <v>45254.96438657407</v>
      </c>
      <c r="C155" s="1" t="n">
        <v>46075</v>
      </c>
      <c r="D155" t="inlineStr">
        <is>
          <t>VÄSTERNORRLANDS LÄN</t>
        </is>
      </c>
      <c r="E155" t="inlineStr">
        <is>
          <t>SOLLEFTEÅ</t>
        </is>
      </c>
      <c r="F155" t="inlineStr">
        <is>
          <t>SCA</t>
        </is>
      </c>
      <c r="G155" t="n">
        <v>4.8</v>
      </c>
      <c r="H155" t="n">
        <v>1</v>
      </c>
      <c r="I155" t="n">
        <v>0</v>
      </c>
      <c r="J155" t="n">
        <v>4</v>
      </c>
      <c r="K155" t="n">
        <v>1</v>
      </c>
      <c r="L155" t="n">
        <v>0</v>
      </c>
      <c r="M155" t="n">
        <v>0</v>
      </c>
      <c r="N155" t="n">
        <v>0</v>
      </c>
      <c r="O155" t="n">
        <v>5</v>
      </c>
      <c r="P155" t="n">
        <v>1</v>
      </c>
      <c r="Q155" t="n">
        <v>5</v>
      </c>
      <c r="R155" s="2" t="inlineStr">
        <is>
          <t>Knärot
Dvärgbägarlav
Kolflarnlav
Koralltaggsvamp
Tallticka</t>
        </is>
      </c>
      <c r="S155">
        <f>HYPERLINK("https://klasma.github.io/Logging_2283/artfynd/A 59662-2023 artfynd.xlsx", "A 59662-2023")</f>
        <v/>
      </c>
      <c r="T155">
        <f>HYPERLINK("https://klasma.github.io/Logging_2283/kartor/A 59662-2023 karta.png", "A 59662-2023")</f>
        <v/>
      </c>
      <c r="U155">
        <f>HYPERLINK("https://klasma.github.io/Logging_2283/knärot/A 59662-2023 karta knärot.png", "A 59662-2023")</f>
        <v/>
      </c>
      <c r="V155">
        <f>HYPERLINK("https://klasma.github.io/Logging_2283/klagomål/A 59662-2023 FSC-klagomål.docx", "A 59662-2023")</f>
        <v/>
      </c>
      <c r="W155">
        <f>HYPERLINK("https://klasma.github.io/Logging_2283/klagomålsmail/A 59662-2023 FSC-klagomål mail.docx", "A 59662-2023")</f>
        <v/>
      </c>
      <c r="X155">
        <f>HYPERLINK("https://klasma.github.io/Logging_2283/tillsyn/A 59662-2023 tillsynsbegäran.docx", "A 59662-2023")</f>
        <v/>
      </c>
      <c r="Y155">
        <f>HYPERLINK("https://klasma.github.io/Logging_2283/tillsynsmail/A 59662-2023 tillsynsbegäran mail.docx", "A 59662-2023")</f>
        <v/>
      </c>
    </row>
    <row r="156" ht="15" customHeight="1">
      <c r="A156" t="inlineStr">
        <is>
          <t>A 27675-2023</t>
        </is>
      </c>
      <c r="B156" s="1" t="n">
        <v>45097</v>
      </c>
      <c r="C156" s="1" t="n">
        <v>46075</v>
      </c>
      <c r="D156" t="inlineStr">
        <is>
          <t>VÄSTERNORRLANDS LÄN</t>
        </is>
      </c>
      <c r="E156" t="inlineStr">
        <is>
          <t>SOLLEFTEÅ</t>
        </is>
      </c>
      <c r="G156" t="n">
        <v>4.7</v>
      </c>
      <c r="H156" t="n">
        <v>1</v>
      </c>
      <c r="I156" t="n">
        <v>1</v>
      </c>
      <c r="J156" t="n">
        <v>3</v>
      </c>
      <c r="K156" t="n">
        <v>1</v>
      </c>
      <c r="L156" t="n">
        <v>0</v>
      </c>
      <c r="M156" t="n">
        <v>0</v>
      </c>
      <c r="N156" t="n">
        <v>0</v>
      </c>
      <c r="O156" t="n">
        <v>4</v>
      </c>
      <c r="P156" t="n">
        <v>1</v>
      </c>
      <c r="Q156" t="n">
        <v>5</v>
      </c>
      <c r="R156" s="2" t="inlineStr">
        <is>
          <t>Knärot
Garnlav
Lunglav
Ullticka
Stuplav</t>
        </is>
      </c>
      <c r="S156">
        <f>HYPERLINK("https://klasma.github.io/Logging_2283/artfynd/A 27675-2023 artfynd.xlsx", "A 27675-2023")</f>
        <v/>
      </c>
      <c r="T156">
        <f>HYPERLINK("https://klasma.github.io/Logging_2283/kartor/A 27675-2023 karta.png", "A 27675-2023")</f>
        <v/>
      </c>
      <c r="U156">
        <f>HYPERLINK("https://klasma.github.io/Logging_2283/knärot/A 27675-2023 karta knärot.png", "A 27675-2023")</f>
        <v/>
      </c>
      <c r="V156">
        <f>HYPERLINK("https://klasma.github.io/Logging_2283/klagomål/A 27675-2023 FSC-klagomål.docx", "A 27675-2023")</f>
        <v/>
      </c>
      <c r="W156">
        <f>HYPERLINK("https://klasma.github.io/Logging_2283/klagomålsmail/A 27675-2023 FSC-klagomål mail.docx", "A 27675-2023")</f>
        <v/>
      </c>
      <c r="X156">
        <f>HYPERLINK("https://klasma.github.io/Logging_2283/tillsyn/A 27675-2023 tillsynsbegäran.docx", "A 27675-2023")</f>
        <v/>
      </c>
      <c r="Y156">
        <f>HYPERLINK("https://klasma.github.io/Logging_2283/tillsynsmail/A 27675-2023 tillsynsbegäran mail.docx", "A 27675-2023")</f>
        <v/>
      </c>
    </row>
    <row r="157" ht="15" customHeight="1">
      <c r="A157" t="inlineStr">
        <is>
          <t>A 58362-2025</t>
        </is>
      </c>
      <c r="B157" s="1" t="n">
        <v>45982</v>
      </c>
      <c r="C157" s="1" t="n">
        <v>46075</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56420-2025</t>
        </is>
      </c>
      <c r="B158" s="1" t="n">
        <v>45975</v>
      </c>
      <c r="C158" s="1" t="n">
        <v>46075</v>
      </c>
      <c r="D158" t="inlineStr">
        <is>
          <t>VÄSTERNORRLANDS LÄN</t>
        </is>
      </c>
      <c r="E158" t="inlineStr">
        <is>
          <t>SOLLEFTEÅ</t>
        </is>
      </c>
      <c r="F158" t="inlineStr">
        <is>
          <t>SCA</t>
        </is>
      </c>
      <c r="G158" t="n">
        <v>3.7</v>
      </c>
      <c r="H158" t="n">
        <v>1</v>
      </c>
      <c r="I158" t="n">
        <v>1</v>
      </c>
      <c r="J158" t="n">
        <v>4</v>
      </c>
      <c r="K158" t="n">
        <v>0</v>
      </c>
      <c r="L158" t="n">
        <v>0</v>
      </c>
      <c r="M158" t="n">
        <v>0</v>
      </c>
      <c r="N158" t="n">
        <v>0</v>
      </c>
      <c r="O158" t="n">
        <v>4</v>
      </c>
      <c r="P158" t="n">
        <v>0</v>
      </c>
      <c r="Q158" t="n">
        <v>5</v>
      </c>
      <c r="R158" s="2" t="inlineStr">
        <is>
          <t>Garnlav
Kolflarnlav
Tretåig hackspett
Vedskivlav
Dropptaggsvamp</t>
        </is>
      </c>
      <c r="S158">
        <f>HYPERLINK("https://klasma.github.io/Logging_2283/artfynd/A 56420-2025 artfynd.xlsx", "A 56420-2025")</f>
        <v/>
      </c>
      <c r="T158">
        <f>HYPERLINK("https://klasma.github.io/Logging_2283/kartor/A 56420-2025 karta.png", "A 56420-2025")</f>
        <v/>
      </c>
      <c r="V158">
        <f>HYPERLINK("https://klasma.github.io/Logging_2283/klagomål/A 56420-2025 FSC-klagomål.docx", "A 56420-2025")</f>
        <v/>
      </c>
      <c r="W158">
        <f>HYPERLINK("https://klasma.github.io/Logging_2283/klagomålsmail/A 56420-2025 FSC-klagomål mail.docx", "A 56420-2025")</f>
        <v/>
      </c>
      <c r="X158">
        <f>HYPERLINK("https://klasma.github.io/Logging_2283/tillsyn/A 56420-2025 tillsynsbegäran.docx", "A 56420-2025")</f>
        <v/>
      </c>
      <c r="Y158">
        <f>HYPERLINK("https://klasma.github.io/Logging_2283/tillsynsmail/A 56420-2025 tillsynsbegäran mail.docx", "A 56420-2025")</f>
        <v/>
      </c>
      <c r="Z158">
        <f>HYPERLINK("https://klasma.github.io/Logging_2283/fåglar/A 56420-2025 prioriterade fågelarter.docx", "A 56420-2025")</f>
        <v/>
      </c>
    </row>
    <row r="159" ht="15" customHeight="1">
      <c r="A159" t="inlineStr">
        <is>
          <t>A 3575-2026</t>
        </is>
      </c>
      <c r="B159" s="1" t="n">
        <v>46042.71269675926</v>
      </c>
      <c r="C159" s="1" t="n">
        <v>46075</v>
      </c>
      <c r="D159" t="inlineStr">
        <is>
          <t>VÄSTERNORRLANDS LÄN</t>
        </is>
      </c>
      <c r="E159" t="inlineStr">
        <is>
          <t>SOLLEFTEÅ</t>
        </is>
      </c>
      <c r="G159" t="n">
        <v>4.7</v>
      </c>
      <c r="H159" t="n">
        <v>0</v>
      </c>
      <c r="I159" t="n">
        <v>1</v>
      </c>
      <c r="J159" t="n">
        <v>4</v>
      </c>
      <c r="K159" t="n">
        <v>0</v>
      </c>
      <c r="L159" t="n">
        <v>0</v>
      </c>
      <c r="M159" t="n">
        <v>0</v>
      </c>
      <c r="N159" t="n">
        <v>0</v>
      </c>
      <c r="O159" t="n">
        <v>4</v>
      </c>
      <c r="P159" t="n">
        <v>0</v>
      </c>
      <c r="Q159" t="n">
        <v>5</v>
      </c>
      <c r="R159" s="2" t="inlineStr">
        <is>
          <t>Garnlav
Rosenticka
Stjärntagging
Ullticka
Vedticka</t>
        </is>
      </c>
      <c r="S159">
        <f>HYPERLINK("https://klasma.github.io/Logging_2283/artfynd/A 3575-2026 artfynd.xlsx", "A 3575-2026")</f>
        <v/>
      </c>
      <c r="T159">
        <f>HYPERLINK("https://klasma.github.io/Logging_2283/kartor/A 3575-2026 karta.png", "A 3575-2026")</f>
        <v/>
      </c>
      <c r="V159">
        <f>HYPERLINK("https://klasma.github.io/Logging_2283/klagomål/A 3575-2026 FSC-klagomål.docx", "A 3575-2026")</f>
        <v/>
      </c>
      <c r="W159">
        <f>HYPERLINK("https://klasma.github.io/Logging_2283/klagomålsmail/A 3575-2026 FSC-klagomål mail.docx", "A 3575-2026")</f>
        <v/>
      </c>
      <c r="X159">
        <f>HYPERLINK("https://klasma.github.io/Logging_2283/tillsyn/A 3575-2026 tillsynsbegäran.docx", "A 3575-2026")</f>
        <v/>
      </c>
      <c r="Y159">
        <f>HYPERLINK("https://klasma.github.io/Logging_2283/tillsynsmail/A 3575-2026 tillsynsbegäran mail.docx", "A 3575-2026")</f>
        <v/>
      </c>
    </row>
    <row r="160" ht="15" customHeight="1">
      <c r="A160" t="inlineStr">
        <is>
          <t>A 33519-2024</t>
        </is>
      </c>
      <c r="B160" s="1" t="n">
        <v>45519</v>
      </c>
      <c r="C160" s="1" t="n">
        <v>46075</v>
      </c>
      <c r="D160" t="inlineStr">
        <is>
          <t>VÄSTERNORRLANDS LÄN</t>
        </is>
      </c>
      <c r="E160" t="inlineStr">
        <is>
          <t>SOLLEFTEÅ</t>
        </is>
      </c>
      <c r="G160" t="n">
        <v>3.6</v>
      </c>
      <c r="H160" t="n">
        <v>0</v>
      </c>
      <c r="I160" t="n">
        <v>1</v>
      </c>
      <c r="J160" t="n">
        <v>4</v>
      </c>
      <c r="K160" t="n">
        <v>0</v>
      </c>
      <c r="L160" t="n">
        <v>0</v>
      </c>
      <c r="M160" t="n">
        <v>0</v>
      </c>
      <c r="N160" t="n">
        <v>0</v>
      </c>
      <c r="O160" t="n">
        <v>4</v>
      </c>
      <c r="P160" t="n">
        <v>0</v>
      </c>
      <c r="Q160" t="n">
        <v>5</v>
      </c>
      <c r="R160" s="2" t="inlineStr">
        <is>
          <t>Garnlav
Kolflarnlav
Skrovlig taggsvamp
Vaddporing
Dropptaggsvamp</t>
        </is>
      </c>
      <c r="S160">
        <f>HYPERLINK("https://klasma.github.io/Logging_2283/artfynd/A 33519-2024 artfynd.xlsx", "A 33519-2024")</f>
        <v/>
      </c>
      <c r="T160">
        <f>HYPERLINK("https://klasma.github.io/Logging_2283/kartor/A 33519-2024 karta.png", "A 33519-2024")</f>
        <v/>
      </c>
      <c r="U160">
        <f>HYPERLINK("https://klasma.github.io/Logging_2283/knärot/A 33519-2024 karta knärot.png", "A 33519-2024")</f>
        <v/>
      </c>
      <c r="V160">
        <f>HYPERLINK("https://klasma.github.io/Logging_2283/klagomål/A 33519-2024 FSC-klagomål.docx", "A 33519-2024")</f>
        <v/>
      </c>
      <c r="W160">
        <f>HYPERLINK("https://klasma.github.io/Logging_2283/klagomålsmail/A 33519-2024 FSC-klagomål mail.docx", "A 33519-2024")</f>
        <v/>
      </c>
      <c r="X160">
        <f>HYPERLINK("https://klasma.github.io/Logging_2283/tillsyn/A 33519-2024 tillsynsbegäran.docx", "A 33519-2024")</f>
        <v/>
      </c>
      <c r="Y160">
        <f>HYPERLINK("https://klasma.github.io/Logging_2283/tillsynsmail/A 33519-2024 tillsynsbegäran mail.docx", "A 33519-2024")</f>
        <v/>
      </c>
    </row>
    <row r="161" ht="15" customHeight="1">
      <c r="A161" t="inlineStr">
        <is>
          <t>A 48562-2024</t>
        </is>
      </c>
      <c r="B161" s="1" t="n">
        <v>45593.38597222222</v>
      </c>
      <c r="C161" s="1" t="n">
        <v>46075</v>
      </c>
      <c r="D161" t="inlineStr">
        <is>
          <t>VÄSTERNORRLANDS LÄN</t>
        </is>
      </c>
      <c r="E161" t="inlineStr">
        <is>
          <t>SOLLEFTEÅ</t>
        </is>
      </c>
      <c r="F161" t="inlineStr">
        <is>
          <t>SCA</t>
        </is>
      </c>
      <c r="G161" t="n">
        <v>5.3</v>
      </c>
      <c r="H161" t="n">
        <v>1</v>
      </c>
      <c r="I161" t="n">
        <v>1</v>
      </c>
      <c r="J161" t="n">
        <v>4</v>
      </c>
      <c r="K161" t="n">
        <v>0</v>
      </c>
      <c r="L161" t="n">
        <v>0</v>
      </c>
      <c r="M161" t="n">
        <v>0</v>
      </c>
      <c r="N161" t="n">
        <v>0</v>
      </c>
      <c r="O161" t="n">
        <v>4</v>
      </c>
      <c r="P161" t="n">
        <v>0</v>
      </c>
      <c r="Q161" t="n">
        <v>5</v>
      </c>
      <c r="R161" s="2" t="inlineStr">
        <is>
          <t>Gammelgransskål
Garnlav
Lunglav
Vitgrynig nållav
Lappranunkel</t>
        </is>
      </c>
      <c r="S161">
        <f>HYPERLINK("https://klasma.github.io/Logging_2283/artfynd/A 48562-2024 artfynd.xlsx", "A 48562-2024")</f>
        <v/>
      </c>
      <c r="T161">
        <f>HYPERLINK("https://klasma.github.io/Logging_2283/kartor/A 48562-2024 karta.png", "A 48562-2024")</f>
        <v/>
      </c>
      <c r="V161">
        <f>HYPERLINK("https://klasma.github.io/Logging_2283/klagomål/A 48562-2024 FSC-klagomål.docx", "A 48562-2024")</f>
        <v/>
      </c>
      <c r="W161">
        <f>HYPERLINK("https://klasma.github.io/Logging_2283/klagomålsmail/A 48562-2024 FSC-klagomål mail.docx", "A 48562-2024")</f>
        <v/>
      </c>
      <c r="X161">
        <f>HYPERLINK("https://klasma.github.io/Logging_2283/tillsyn/A 48562-2024 tillsynsbegäran.docx", "A 48562-2024")</f>
        <v/>
      </c>
      <c r="Y161">
        <f>HYPERLINK("https://klasma.github.io/Logging_2283/tillsynsmail/A 48562-2024 tillsynsbegäran mail.docx", "A 48562-2024")</f>
        <v/>
      </c>
    </row>
    <row r="162" ht="15" customHeight="1">
      <c r="A162" t="inlineStr">
        <is>
          <t>A 41169-2022</t>
        </is>
      </c>
      <c r="B162" s="1" t="n">
        <v>44825</v>
      </c>
      <c r="C162" s="1" t="n">
        <v>46075</v>
      </c>
      <c r="D162" t="inlineStr">
        <is>
          <t>VÄSTERNORRLANDS LÄN</t>
        </is>
      </c>
      <c r="E162" t="inlineStr">
        <is>
          <t>SOLLEFTEÅ</t>
        </is>
      </c>
      <c r="F162" t="inlineStr">
        <is>
          <t>SCA</t>
        </is>
      </c>
      <c r="G162" t="n">
        <v>1.8</v>
      </c>
      <c r="H162" t="n">
        <v>2</v>
      </c>
      <c r="I162" t="n">
        <v>1</v>
      </c>
      <c r="J162" t="n">
        <v>4</v>
      </c>
      <c r="K162" t="n">
        <v>0</v>
      </c>
      <c r="L162" t="n">
        <v>0</v>
      </c>
      <c r="M162" t="n">
        <v>0</v>
      </c>
      <c r="N162" t="n">
        <v>0</v>
      </c>
      <c r="O162" t="n">
        <v>4</v>
      </c>
      <c r="P162" t="n">
        <v>0</v>
      </c>
      <c r="Q162" t="n">
        <v>5</v>
      </c>
      <c r="R162" s="2" t="inlineStr">
        <is>
          <t>Spillkråka
Tretåig hackspett
Ullticka
Vedskivlav
Vedticka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32217-2023</t>
        </is>
      </c>
      <c r="B163" s="1" t="n">
        <v>45119</v>
      </c>
      <c r="C163" s="1" t="n">
        <v>46075</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1170-2026</t>
        </is>
      </c>
      <c r="B164" s="1" t="n">
        <v>46031.34459490741</v>
      </c>
      <c r="C164" s="1" t="n">
        <v>46075</v>
      </c>
      <c r="D164" t="inlineStr">
        <is>
          <t>VÄSTERNORRLANDS LÄN</t>
        </is>
      </c>
      <c r="E164" t="inlineStr">
        <is>
          <t>SOLLEFTEÅ</t>
        </is>
      </c>
      <c r="F164" t="inlineStr">
        <is>
          <t>SCA</t>
        </is>
      </c>
      <c r="G164" t="n">
        <v>5.2</v>
      </c>
      <c r="H164" t="n">
        <v>3</v>
      </c>
      <c r="I164" t="n">
        <v>0</v>
      </c>
      <c r="J164" t="n">
        <v>4</v>
      </c>
      <c r="K164" t="n">
        <v>0</v>
      </c>
      <c r="L164" t="n">
        <v>0</v>
      </c>
      <c r="M164" t="n">
        <v>0</v>
      </c>
      <c r="N164" t="n">
        <v>0</v>
      </c>
      <c r="O164" t="n">
        <v>4</v>
      </c>
      <c r="P164" t="n">
        <v>0</v>
      </c>
      <c r="Q164" t="n">
        <v>5</v>
      </c>
      <c r="R164" s="2" t="inlineStr">
        <is>
          <t>Garnlav
Lunglav
Talltita
Tretåig hackspett
Tjäder</t>
        </is>
      </c>
      <c r="S164">
        <f>HYPERLINK("https://klasma.github.io/Logging_2283/artfynd/A 1170-2026 artfynd.xlsx", "A 1170-2026")</f>
        <v/>
      </c>
      <c r="T164">
        <f>HYPERLINK("https://klasma.github.io/Logging_2283/kartor/A 1170-2026 karta.png", "A 1170-2026")</f>
        <v/>
      </c>
      <c r="V164">
        <f>HYPERLINK("https://klasma.github.io/Logging_2283/klagomål/A 1170-2026 FSC-klagomål.docx", "A 1170-2026")</f>
        <v/>
      </c>
      <c r="W164">
        <f>HYPERLINK("https://klasma.github.io/Logging_2283/klagomålsmail/A 1170-2026 FSC-klagomål mail.docx", "A 1170-2026")</f>
        <v/>
      </c>
      <c r="X164">
        <f>HYPERLINK("https://klasma.github.io/Logging_2283/tillsyn/A 1170-2026 tillsynsbegäran.docx", "A 1170-2026")</f>
        <v/>
      </c>
      <c r="Y164">
        <f>HYPERLINK("https://klasma.github.io/Logging_2283/tillsynsmail/A 1170-2026 tillsynsbegäran mail.docx", "A 1170-2026")</f>
        <v/>
      </c>
      <c r="Z164">
        <f>HYPERLINK("https://klasma.github.io/Logging_2283/fåglar/A 1170-2026 prioriterade fågelarter.docx", "A 1170-2026")</f>
        <v/>
      </c>
    </row>
    <row r="165" ht="15" customHeight="1">
      <c r="A165" t="inlineStr">
        <is>
          <t>A 16314-2025</t>
        </is>
      </c>
      <c r="B165" s="1" t="n">
        <v>45751.34763888889</v>
      </c>
      <c r="C165" s="1" t="n">
        <v>46075</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46075</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46075</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46075</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46075</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46075</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22797-2025</t>
        </is>
      </c>
      <c r="B171" s="1" t="n">
        <v>45789</v>
      </c>
      <c r="C171" s="1" t="n">
        <v>46075</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23319-2025</t>
        </is>
      </c>
      <c r="B172" s="1" t="n">
        <v>45791.61511574074</v>
      </c>
      <c r="C172" s="1" t="n">
        <v>46075</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3795-2022</t>
        </is>
      </c>
      <c r="B173" s="1" t="n">
        <v>44586</v>
      </c>
      <c r="C173" s="1" t="n">
        <v>46075</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46075</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46075</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51192-2024</t>
        </is>
      </c>
      <c r="B176" s="1" t="n">
        <v>45603.61493055556</v>
      </c>
      <c r="C176" s="1" t="n">
        <v>46075</v>
      </c>
      <c r="D176" t="inlineStr">
        <is>
          <t>VÄSTERNORRLANDS LÄN</t>
        </is>
      </c>
      <c r="E176" t="inlineStr">
        <is>
          <t>SOLLEFTEÅ</t>
        </is>
      </c>
      <c r="F176" t="inlineStr">
        <is>
          <t>SCA</t>
        </is>
      </c>
      <c r="G176" t="n">
        <v>3.9</v>
      </c>
      <c r="H176" t="n">
        <v>1</v>
      </c>
      <c r="I176" t="n">
        <v>0</v>
      </c>
      <c r="J176" t="n">
        <v>3</v>
      </c>
      <c r="K176" t="n">
        <v>1</v>
      </c>
      <c r="L176" t="n">
        <v>0</v>
      </c>
      <c r="M176" t="n">
        <v>0</v>
      </c>
      <c r="N176" t="n">
        <v>0</v>
      </c>
      <c r="O176" t="n">
        <v>4</v>
      </c>
      <c r="P176" t="n">
        <v>1</v>
      </c>
      <c r="Q176" t="n">
        <v>4</v>
      </c>
      <c r="R176" s="2" t="inlineStr">
        <is>
          <t>Rynkskinn
Garnlav
Lunglav
Talltita</t>
        </is>
      </c>
      <c r="S176">
        <f>HYPERLINK("https://klasma.github.io/Logging_2283/artfynd/A 51192-2024 artfynd.xlsx", "A 51192-2024")</f>
        <v/>
      </c>
      <c r="T176">
        <f>HYPERLINK("https://klasma.github.io/Logging_2283/kartor/A 51192-2024 karta.png", "A 51192-2024")</f>
        <v/>
      </c>
      <c r="V176">
        <f>HYPERLINK("https://klasma.github.io/Logging_2283/klagomål/A 51192-2024 FSC-klagomål.docx", "A 51192-2024")</f>
        <v/>
      </c>
      <c r="W176">
        <f>HYPERLINK("https://klasma.github.io/Logging_2283/klagomålsmail/A 51192-2024 FSC-klagomål mail.docx", "A 51192-2024")</f>
        <v/>
      </c>
      <c r="X176">
        <f>HYPERLINK("https://klasma.github.io/Logging_2283/tillsyn/A 51192-2024 tillsynsbegäran.docx", "A 51192-2024")</f>
        <v/>
      </c>
      <c r="Y176">
        <f>HYPERLINK("https://klasma.github.io/Logging_2283/tillsynsmail/A 51192-2024 tillsynsbegäran mail.docx", "A 51192-2024")</f>
        <v/>
      </c>
      <c r="Z176">
        <f>HYPERLINK("https://klasma.github.io/Logging_2283/fåglar/A 51192-2024 prioriterade fågelarter.docx", "A 51192-2024")</f>
        <v/>
      </c>
    </row>
    <row r="177" ht="15" customHeight="1">
      <c r="A177" t="inlineStr">
        <is>
          <t>A 37270-2023</t>
        </is>
      </c>
      <c r="B177" s="1" t="n">
        <v>45155</v>
      </c>
      <c r="C177" s="1" t="n">
        <v>46075</v>
      </c>
      <c r="D177" t="inlineStr">
        <is>
          <t>VÄSTERNORRLANDS LÄN</t>
        </is>
      </c>
      <c r="E177" t="inlineStr">
        <is>
          <t>SOLLEFTEÅ</t>
        </is>
      </c>
      <c r="F177" t="inlineStr">
        <is>
          <t>SCA</t>
        </is>
      </c>
      <c r="G177" t="n">
        <v>2.3</v>
      </c>
      <c r="H177" t="n">
        <v>1</v>
      </c>
      <c r="I177" t="n">
        <v>1</v>
      </c>
      <c r="J177" t="n">
        <v>3</v>
      </c>
      <c r="K177" t="n">
        <v>0</v>
      </c>
      <c r="L177" t="n">
        <v>0</v>
      </c>
      <c r="M177" t="n">
        <v>0</v>
      </c>
      <c r="N177" t="n">
        <v>0</v>
      </c>
      <c r="O177" t="n">
        <v>3</v>
      </c>
      <c r="P177" t="n">
        <v>0</v>
      </c>
      <c r="Q177" t="n">
        <v>4</v>
      </c>
      <c r="R177" s="2" t="inlineStr">
        <is>
          <t>Orange taggsvamp
Tallticka
Tretåig hackspett
Dropptaggsvamp</t>
        </is>
      </c>
      <c r="S177">
        <f>HYPERLINK("https://klasma.github.io/Logging_2283/artfynd/A 37270-2023 artfynd.xlsx", "A 37270-2023")</f>
        <v/>
      </c>
      <c r="T177">
        <f>HYPERLINK("https://klasma.github.io/Logging_2283/kartor/A 37270-2023 karta.png", "A 37270-2023")</f>
        <v/>
      </c>
      <c r="V177">
        <f>HYPERLINK("https://klasma.github.io/Logging_2283/klagomål/A 37270-2023 FSC-klagomål.docx", "A 37270-2023")</f>
        <v/>
      </c>
      <c r="W177">
        <f>HYPERLINK("https://klasma.github.io/Logging_2283/klagomålsmail/A 37270-2023 FSC-klagomål mail.docx", "A 37270-2023")</f>
        <v/>
      </c>
      <c r="X177">
        <f>HYPERLINK("https://klasma.github.io/Logging_2283/tillsyn/A 37270-2023 tillsynsbegäran.docx", "A 37270-2023")</f>
        <v/>
      </c>
      <c r="Y177">
        <f>HYPERLINK("https://klasma.github.io/Logging_2283/tillsynsmail/A 37270-2023 tillsynsbegäran mail.docx", "A 37270-2023")</f>
        <v/>
      </c>
      <c r="Z177">
        <f>HYPERLINK("https://klasma.github.io/Logging_2283/fåglar/A 37270-2023 prioriterade fågelarter.docx", "A 37270-2023")</f>
        <v/>
      </c>
    </row>
    <row r="178" ht="15" customHeight="1">
      <c r="A178" t="inlineStr">
        <is>
          <t>A 47527-2024</t>
        </is>
      </c>
      <c r="B178" s="1" t="n">
        <v>45587.63574074074</v>
      </c>
      <c r="C178" s="1" t="n">
        <v>46075</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29561-2025</t>
        </is>
      </c>
      <c r="B179" s="1" t="n">
        <v>45825.36510416667</v>
      </c>
      <c r="C179" s="1" t="n">
        <v>46075</v>
      </c>
      <c r="D179" t="inlineStr">
        <is>
          <t>VÄSTERNORRLANDS LÄN</t>
        </is>
      </c>
      <c r="E179" t="inlineStr">
        <is>
          <t>SOLLEFTEÅ</t>
        </is>
      </c>
      <c r="F179" t="inlineStr">
        <is>
          <t>SCA</t>
        </is>
      </c>
      <c r="G179" t="n">
        <v>11.9</v>
      </c>
      <c r="H179" t="n">
        <v>0</v>
      </c>
      <c r="I179" t="n">
        <v>1</v>
      </c>
      <c r="J179" t="n">
        <v>3</v>
      </c>
      <c r="K179" t="n">
        <v>0</v>
      </c>
      <c r="L179" t="n">
        <v>0</v>
      </c>
      <c r="M179" t="n">
        <v>0</v>
      </c>
      <c r="N179" t="n">
        <v>0</v>
      </c>
      <c r="O179" t="n">
        <v>3</v>
      </c>
      <c r="P179" t="n">
        <v>0</v>
      </c>
      <c r="Q179" t="n">
        <v>4</v>
      </c>
      <c r="R179" s="2" t="inlineStr">
        <is>
          <t>Garnlav
Kolflarnlav
Vedskivlav
Stuplav</t>
        </is>
      </c>
      <c r="S179">
        <f>HYPERLINK("https://klasma.github.io/Logging_2283/artfynd/A 29561-2025 artfynd.xlsx", "A 29561-2025")</f>
        <v/>
      </c>
      <c r="T179">
        <f>HYPERLINK("https://klasma.github.io/Logging_2283/kartor/A 29561-2025 karta.png", "A 29561-2025")</f>
        <v/>
      </c>
      <c r="V179">
        <f>HYPERLINK("https://klasma.github.io/Logging_2283/klagomål/A 29561-2025 FSC-klagomål.docx", "A 29561-2025")</f>
        <v/>
      </c>
      <c r="W179">
        <f>HYPERLINK("https://klasma.github.io/Logging_2283/klagomålsmail/A 29561-2025 FSC-klagomål mail.docx", "A 29561-2025")</f>
        <v/>
      </c>
      <c r="X179">
        <f>HYPERLINK("https://klasma.github.io/Logging_2283/tillsyn/A 29561-2025 tillsynsbegäran.docx", "A 29561-2025")</f>
        <v/>
      </c>
      <c r="Y179">
        <f>HYPERLINK("https://klasma.github.io/Logging_2283/tillsynsmail/A 29561-2025 tillsynsbegäran mail.docx", "A 29561-2025")</f>
        <v/>
      </c>
    </row>
    <row r="180" ht="15" customHeight="1">
      <c r="A180" t="inlineStr">
        <is>
          <t>A 2349-2025</t>
        </is>
      </c>
      <c r="B180" s="1" t="n">
        <v>45673.67807870371</v>
      </c>
      <c r="C180" s="1" t="n">
        <v>46075</v>
      </c>
      <c r="D180" t="inlineStr">
        <is>
          <t>VÄSTERNORRLANDS LÄN</t>
        </is>
      </c>
      <c r="E180" t="inlineStr">
        <is>
          <t>SOLLEFTEÅ</t>
        </is>
      </c>
      <c r="F180" t="inlineStr">
        <is>
          <t>SCA</t>
        </is>
      </c>
      <c r="G180" t="n">
        <v>3.5</v>
      </c>
      <c r="H180" t="n">
        <v>2</v>
      </c>
      <c r="I180" t="n">
        <v>0</v>
      </c>
      <c r="J180" t="n">
        <v>3</v>
      </c>
      <c r="K180" t="n">
        <v>0</v>
      </c>
      <c r="L180" t="n">
        <v>0</v>
      </c>
      <c r="M180" t="n">
        <v>0</v>
      </c>
      <c r="N180" t="n">
        <v>0</v>
      </c>
      <c r="O180" t="n">
        <v>3</v>
      </c>
      <c r="P180" t="n">
        <v>0</v>
      </c>
      <c r="Q180" t="n">
        <v>4</v>
      </c>
      <c r="R180" s="2" t="inlineStr">
        <is>
          <t>Garnlav
Spillkråka
Ullticka
Tjäder</t>
        </is>
      </c>
      <c r="S180">
        <f>HYPERLINK("https://klasma.github.io/Logging_2283/artfynd/A 2349-2025 artfynd.xlsx", "A 2349-2025")</f>
        <v/>
      </c>
      <c r="T180">
        <f>HYPERLINK("https://klasma.github.io/Logging_2283/kartor/A 2349-2025 karta.png", "A 2349-2025")</f>
        <v/>
      </c>
      <c r="V180">
        <f>HYPERLINK("https://klasma.github.io/Logging_2283/klagomål/A 2349-2025 FSC-klagomål.docx", "A 2349-2025")</f>
        <v/>
      </c>
      <c r="W180">
        <f>HYPERLINK("https://klasma.github.io/Logging_2283/klagomålsmail/A 2349-2025 FSC-klagomål mail.docx", "A 2349-2025")</f>
        <v/>
      </c>
      <c r="X180">
        <f>HYPERLINK("https://klasma.github.io/Logging_2283/tillsyn/A 2349-2025 tillsynsbegäran.docx", "A 2349-2025")</f>
        <v/>
      </c>
      <c r="Y180">
        <f>HYPERLINK("https://klasma.github.io/Logging_2283/tillsynsmail/A 2349-2025 tillsynsbegäran mail.docx", "A 2349-2025")</f>
        <v/>
      </c>
      <c r="Z180">
        <f>HYPERLINK("https://klasma.github.io/Logging_2283/fåglar/A 2349-2025 prioriterade fågelarter.docx", "A 2349-2025")</f>
        <v/>
      </c>
    </row>
    <row r="181" ht="15" customHeight="1">
      <c r="A181" t="inlineStr">
        <is>
          <t>A 40740-2025</t>
        </is>
      </c>
      <c r="B181" s="1" t="n">
        <v>45897.36840277778</v>
      </c>
      <c r="C181" s="1" t="n">
        <v>46075</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45030-2025</t>
        </is>
      </c>
      <c r="B182" s="1" t="n">
        <v>45918.69851851852</v>
      </c>
      <c r="C182" s="1" t="n">
        <v>46075</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5018-2025</t>
        </is>
      </c>
      <c r="B183" s="1" t="n">
        <v>45691</v>
      </c>
      <c r="C183" s="1" t="n">
        <v>46075</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50839-2023</t>
        </is>
      </c>
      <c r="B184" s="1" t="n">
        <v>45217</v>
      </c>
      <c r="C184" s="1" t="n">
        <v>46075</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59381-2024</t>
        </is>
      </c>
      <c r="B185" s="1" t="n">
        <v>45638</v>
      </c>
      <c r="C185" s="1" t="n">
        <v>46075</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36943-2025</t>
        </is>
      </c>
      <c r="B186" s="1" t="n">
        <v>45874.59422453704</v>
      </c>
      <c r="C186" s="1" t="n">
        <v>46075</v>
      </c>
      <c r="D186" t="inlineStr">
        <is>
          <t>VÄSTERNORRLANDS LÄN</t>
        </is>
      </c>
      <c r="E186" t="inlineStr">
        <is>
          <t>SOLLEFTEÅ</t>
        </is>
      </c>
      <c r="F186" t="inlineStr">
        <is>
          <t>SCA</t>
        </is>
      </c>
      <c r="G186" t="n">
        <v>5.3</v>
      </c>
      <c r="H186" t="n">
        <v>1</v>
      </c>
      <c r="I186" t="n">
        <v>1</v>
      </c>
      <c r="J186" t="n">
        <v>2</v>
      </c>
      <c r="K186" t="n">
        <v>1</v>
      </c>
      <c r="L186" t="n">
        <v>0</v>
      </c>
      <c r="M186" t="n">
        <v>0</v>
      </c>
      <c r="N186" t="n">
        <v>0</v>
      </c>
      <c r="O186" t="n">
        <v>3</v>
      </c>
      <c r="P186" t="n">
        <v>1</v>
      </c>
      <c r="Q186" t="n">
        <v>4</v>
      </c>
      <c r="R186" s="2" t="inlineStr">
        <is>
          <t>Doftticka
Garnlav
Lunglav
Luddlav</t>
        </is>
      </c>
      <c r="S186">
        <f>HYPERLINK("https://klasma.github.io/Logging_2283/artfynd/A 36943-2025 artfynd.xlsx", "A 36943-2025")</f>
        <v/>
      </c>
      <c r="T186">
        <f>HYPERLINK("https://klasma.github.io/Logging_2283/kartor/A 36943-2025 karta.png", "A 36943-2025")</f>
        <v/>
      </c>
      <c r="V186">
        <f>HYPERLINK("https://klasma.github.io/Logging_2283/klagomål/A 36943-2025 FSC-klagomål.docx", "A 36943-2025")</f>
        <v/>
      </c>
      <c r="W186">
        <f>HYPERLINK("https://klasma.github.io/Logging_2283/klagomålsmail/A 36943-2025 FSC-klagomål mail.docx", "A 36943-2025")</f>
        <v/>
      </c>
      <c r="X186">
        <f>HYPERLINK("https://klasma.github.io/Logging_2283/tillsyn/A 36943-2025 tillsynsbegäran.docx", "A 36943-2025")</f>
        <v/>
      </c>
      <c r="Y186">
        <f>HYPERLINK("https://klasma.github.io/Logging_2283/tillsynsmail/A 36943-2025 tillsynsbegäran mail.docx", "A 36943-2025")</f>
        <v/>
      </c>
    </row>
    <row r="187" ht="15" customHeight="1">
      <c r="A187" t="inlineStr">
        <is>
          <t>A 19898-2025</t>
        </is>
      </c>
      <c r="B187" s="1" t="n">
        <v>45771.58626157408</v>
      </c>
      <c r="C187" s="1" t="n">
        <v>46075</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56248-2023</t>
        </is>
      </c>
      <c r="B188" s="1" t="n">
        <v>45240</v>
      </c>
      <c r="C188" s="1" t="n">
        <v>46075</v>
      </c>
      <c r="D188" t="inlineStr">
        <is>
          <t>VÄSTERNORRLANDS LÄN</t>
        </is>
      </c>
      <c r="E188" t="inlineStr">
        <is>
          <t>SOLLEFTEÅ</t>
        </is>
      </c>
      <c r="F188" t="inlineStr">
        <is>
          <t>SCA</t>
        </is>
      </c>
      <c r="G188" t="n">
        <v>12.2</v>
      </c>
      <c r="H188" t="n">
        <v>3</v>
      </c>
      <c r="I188" t="n">
        <v>0</v>
      </c>
      <c r="J188" t="n">
        <v>3</v>
      </c>
      <c r="K188" t="n">
        <v>0</v>
      </c>
      <c r="L188" t="n">
        <v>0</v>
      </c>
      <c r="M188" t="n">
        <v>0</v>
      </c>
      <c r="N188" t="n">
        <v>0</v>
      </c>
      <c r="O188" t="n">
        <v>3</v>
      </c>
      <c r="P188" t="n">
        <v>0</v>
      </c>
      <c r="Q188" t="n">
        <v>4</v>
      </c>
      <c r="R188" s="2" t="inlineStr">
        <is>
          <t>Granticka
Mindre hackspett
Tretåig hackspett
Lavskrika</t>
        </is>
      </c>
      <c r="S188">
        <f>HYPERLINK("https://klasma.github.io/Logging_2283/artfynd/A 56248-2023 artfynd.xlsx", "A 56248-2023")</f>
        <v/>
      </c>
      <c r="T188">
        <f>HYPERLINK("https://klasma.github.io/Logging_2283/kartor/A 56248-2023 karta.png", "A 56248-2023")</f>
        <v/>
      </c>
      <c r="V188">
        <f>HYPERLINK("https://klasma.github.io/Logging_2283/klagomål/A 56248-2023 FSC-klagomål.docx", "A 56248-2023")</f>
        <v/>
      </c>
      <c r="W188">
        <f>HYPERLINK("https://klasma.github.io/Logging_2283/klagomålsmail/A 56248-2023 FSC-klagomål mail.docx", "A 56248-2023")</f>
        <v/>
      </c>
      <c r="X188">
        <f>HYPERLINK("https://klasma.github.io/Logging_2283/tillsyn/A 56248-2023 tillsynsbegäran.docx", "A 56248-2023")</f>
        <v/>
      </c>
      <c r="Y188">
        <f>HYPERLINK("https://klasma.github.io/Logging_2283/tillsynsmail/A 56248-2023 tillsynsbegäran mail.docx", "A 56248-2023")</f>
        <v/>
      </c>
      <c r="Z188">
        <f>HYPERLINK("https://klasma.github.io/Logging_2283/fåglar/A 56248-2023 prioriterade fågelarter.docx", "A 56248-2023")</f>
        <v/>
      </c>
    </row>
    <row r="189" ht="15" customHeight="1">
      <c r="A189" t="inlineStr">
        <is>
          <t>A 8885-2024</t>
        </is>
      </c>
      <c r="B189" s="1" t="n">
        <v>45357</v>
      </c>
      <c r="C189" s="1" t="n">
        <v>46075</v>
      </c>
      <c r="D189" t="inlineStr">
        <is>
          <t>VÄSTERNORRLANDS LÄN</t>
        </is>
      </c>
      <c r="E189" t="inlineStr">
        <is>
          <t>SOLLEFTEÅ</t>
        </is>
      </c>
      <c r="F189" t="inlineStr">
        <is>
          <t>SCA</t>
        </is>
      </c>
      <c r="G189" t="n">
        <v>4.5</v>
      </c>
      <c r="H189" t="n">
        <v>1</v>
      </c>
      <c r="I189" t="n">
        <v>1</v>
      </c>
      <c r="J189" t="n">
        <v>3</v>
      </c>
      <c r="K189" t="n">
        <v>0</v>
      </c>
      <c r="L189" t="n">
        <v>0</v>
      </c>
      <c r="M189" t="n">
        <v>0</v>
      </c>
      <c r="N189" t="n">
        <v>0</v>
      </c>
      <c r="O189" t="n">
        <v>3</v>
      </c>
      <c r="P189" t="n">
        <v>0</v>
      </c>
      <c r="Q189" t="n">
        <v>4</v>
      </c>
      <c r="R189" s="2" t="inlineStr">
        <is>
          <t>Gammelgransskål
Granticka
Tretåig hackspett
Vedticka</t>
        </is>
      </c>
      <c r="S189">
        <f>HYPERLINK("https://klasma.github.io/Logging_2283/artfynd/A 8885-2024 artfynd.xlsx", "A 8885-2024")</f>
        <v/>
      </c>
      <c r="T189">
        <f>HYPERLINK("https://klasma.github.io/Logging_2283/kartor/A 8885-2024 karta.png", "A 8885-2024")</f>
        <v/>
      </c>
      <c r="V189">
        <f>HYPERLINK("https://klasma.github.io/Logging_2283/klagomål/A 8885-2024 FSC-klagomål.docx", "A 8885-2024")</f>
        <v/>
      </c>
      <c r="W189">
        <f>HYPERLINK("https://klasma.github.io/Logging_2283/klagomålsmail/A 8885-2024 FSC-klagomål mail.docx", "A 8885-2024")</f>
        <v/>
      </c>
      <c r="X189">
        <f>HYPERLINK("https://klasma.github.io/Logging_2283/tillsyn/A 8885-2024 tillsynsbegäran.docx", "A 8885-2024")</f>
        <v/>
      </c>
      <c r="Y189">
        <f>HYPERLINK("https://klasma.github.io/Logging_2283/tillsynsmail/A 8885-2024 tillsynsbegäran mail.docx", "A 8885-2024")</f>
        <v/>
      </c>
      <c r="Z189">
        <f>HYPERLINK("https://klasma.github.io/Logging_2283/fåglar/A 8885-2024 prioriterade fågelarter.docx", "A 8885-2024")</f>
        <v/>
      </c>
    </row>
    <row r="190" ht="15" customHeight="1">
      <c r="A190" t="inlineStr">
        <is>
          <t>A 26338-2025</t>
        </is>
      </c>
      <c r="B190" s="1" t="n">
        <v>45805.69841435185</v>
      </c>
      <c r="C190" s="1" t="n">
        <v>46075</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54093-2024</t>
        </is>
      </c>
      <c r="B191" s="1" t="n">
        <v>45616.51100694444</v>
      </c>
      <c r="C191" s="1" t="n">
        <v>46075</v>
      </c>
      <c r="D191" t="inlineStr">
        <is>
          <t>VÄSTERNORRLANDS LÄN</t>
        </is>
      </c>
      <c r="E191" t="inlineStr">
        <is>
          <t>SOLLEFTEÅ</t>
        </is>
      </c>
      <c r="F191" t="inlineStr">
        <is>
          <t>SCA</t>
        </is>
      </c>
      <c r="G191" t="n">
        <v>3.9</v>
      </c>
      <c r="H191" t="n">
        <v>0</v>
      </c>
      <c r="I191" t="n">
        <v>0</v>
      </c>
      <c r="J191" t="n">
        <v>4</v>
      </c>
      <c r="K191" t="n">
        <v>0</v>
      </c>
      <c r="L191" t="n">
        <v>0</v>
      </c>
      <c r="M191" t="n">
        <v>0</v>
      </c>
      <c r="N191" t="n">
        <v>0</v>
      </c>
      <c r="O191" t="n">
        <v>4</v>
      </c>
      <c r="P191" t="n">
        <v>0</v>
      </c>
      <c r="Q191" t="n">
        <v>4</v>
      </c>
      <c r="R191" s="2" t="inlineStr">
        <is>
          <t>Garnlav
Lunglav
Rosenticka
Ullticka</t>
        </is>
      </c>
      <c r="S191">
        <f>HYPERLINK("https://klasma.github.io/Logging_2283/artfynd/A 54093-2024 artfynd.xlsx", "A 54093-2024")</f>
        <v/>
      </c>
      <c r="T191">
        <f>HYPERLINK("https://klasma.github.io/Logging_2283/kartor/A 54093-2024 karta.png", "A 54093-2024")</f>
        <v/>
      </c>
      <c r="V191">
        <f>HYPERLINK("https://klasma.github.io/Logging_2283/klagomål/A 54093-2024 FSC-klagomål.docx", "A 54093-2024")</f>
        <v/>
      </c>
      <c r="W191">
        <f>HYPERLINK("https://klasma.github.io/Logging_2283/klagomålsmail/A 54093-2024 FSC-klagomål mail.docx", "A 54093-2024")</f>
        <v/>
      </c>
      <c r="X191">
        <f>HYPERLINK("https://klasma.github.io/Logging_2283/tillsyn/A 54093-2024 tillsynsbegäran.docx", "A 54093-2024")</f>
        <v/>
      </c>
      <c r="Y191">
        <f>HYPERLINK("https://klasma.github.io/Logging_2283/tillsynsmail/A 54093-2024 tillsynsbegäran mail.docx", "A 54093-2024")</f>
        <v/>
      </c>
    </row>
    <row r="192" ht="15" customHeight="1">
      <c r="A192" t="inlineStr">
        <is>
          <t>A 25954-2025</t>
        </is>
      </c>
      <c r="B192" s="1" t="n">
        <v>45804</v>
      </c>
      <c r="C192" s="1" t="n">
        <v>46075</v>
      </c>
      <c r="D192" t="inlineStr">
        <is>
          <t>VÄSTERNORRLANDS LÄN</t>
        </is>
      </c>
      <c r="E192" t="inlineStr">
        <is>
          <t>SOLLEFTEÅ</t>
        </is>
      </c>
      <c r="G192" t="n">
        <v>3.2</v>
      </c>
      <c r="H192" t="n">
        <v>1</v>
      </c>
      <c r="I192" t="n">
        <v>3</v>
      </c>
      <c r="J192" t="n">
        <v>0</v>
      </c>
      <c r="K192" t="n">
        <v>0</v>
      </c>
      <c r="L192" t="n">
        <v>0</v>
      </c>
      <c r="M192" t="n">
        <v>0</v>
      </c>
      <c r="N192" t="n">
        <v>0</v>
      </c>
      <c r="O192" t="n">
        <v>0</v>
      </c>
      <c r="P192" t="n">
        <v>0</v>
      </c>
      <c r="Q192" t="n">
        <v>4</v>
      </c>
      <c r="R192" s="2" t="inlineStr">
        <is>
          <t>Dvärghäxört
Springkorn
Svart trolldruva
Revlummer</t>
        </is>
      </c>
      <c r="S192">
        <f>HYPERLINK("https://klasma.github.io/Logging_2283/artfynd/A 25954-2025 artfynd.xlsx", "A 25954-2025")</f>
        <v/>
      </c>
      <c r="T192">
        <f>HYPERLINK("https://klasma.github.io/Logging_2283/kartor/A 25954-2025 karta.png", "A 25954-2025")</f>
        <v/>
      </c>
      <c r="V192">
        <f>HYPERLINK("https://klasma.github.io/Logging_2283/klagomål/A 25954-2025 FSC-klagomål.docx", "A 25954-2025")</f>
        <v/>
      </c>
      <c r="W192">
        <f>HYPERLINK("https://klasma.github.io/Logging_2283/klagomålsmail/A 25954-2025 FSC-klagomål mail.docx", "A 25954-2025")</f>
        <v/>
      </c>
      <c r="X192">
        <f>HYPERLINK("https://klasma.github.io/Logging_2283/tillsyn/A 25954-2025 tillsynsbegäran.docx", "A 25954-2025")</f>
        <v/>
      </c>
      <c r="Y192">
        <f>HYPERLINK("https://klasma.github.io/Logging_2283/tillsynsmail/A 25954-2025 tillsynsbegäran mail.docx", "A 25954-2025")</f>
        <v/>
      </c>
    </row>
    <row r="193" ht="15" customHeight="1">
      <c r="A193" t="inlineStr">
        <is>
          <t>A 62638-2022</t>
        </is>
      </c>
      <c r="B193" s="1" t="n">
        <v>44925</v>
      </c>
      <c r="C193" s="1" t="n">
        <v>46075</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57081-2024</t>
        </is>
      </c>
      <c r="B194" s="1" t="n">
        <v>45629</v>
      </c>
      <c r="C194" s="1" t="n">
        <v>46075</v>
      </c>
      <c r="D194" t="inlineStr">
        <is>
          <t>VÄSTERNORRLANDS LÄN</t>
        </is>
      </c>
      <c r="E194" t="inlineStr">
        <is>
          <t>SOLLEFTEÅ</t>
        </is>
      </c>
      <c r="F194" t="inlineStr">
        <is>
          <t>SCA</t>
        </is>
      </c>
      <c r="G194" t="n">
        <v>0.7</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57081-2024 artfynd.xlsx", "A 57081-2024")</f>
        <v/>
      </c>
      <c r="T194">
        <f>HYPERLINK("https://klasma.github.io/Logging_2283/kartor/A 57081-2024 karta.png", "A 57081-2024")</f>
        <v/>
      </c>
      <c r="V194">
        <f>HYPERLINK("https://klasma.github.io/Logging_2283/klagomål/A 57081-2024 FSC-klagomål.docx", "A 57081-2024")</f>
        <v/>
      </c>
      <c r="W194">
        <f>HYPERLINK("https://klasma.github.io/Logging_2283/klagomålsmail/A 57081-2024 FSC-klagomål mail.docx", "A 57081-2024")</f>
        <v/>
      </c>
      <c r="X194">
        <f>HYPERLINK("https://klasma.github.io/Logging_2283/tillsyn/A 57081-2024 tillsynsbegäran.docx", "A 57081-2024")</f>
        <v/>
      </c>
      <c r="Y194">
        <f>HYPERLINK("https://klasma.github.io/Logging_2283/tillsynsmail/A 57081-2024 tillsynsbegäran mail.docx", "A 57081-2024")</f>
        <v/>
      </c>
      <c r="Z194">
        <f>HYPERLINK("https://klasma.github.io/Logging_2283/fåglar/A 57081-2024 prioriterade fågelarter.docx", "A 57081-2024")</f>
        <v/>
      </c>
    </row>
    <row r="195" ht="15" customHeight="1">
      <c r="A195" t="inlineStr">
        <is>
          <t>A 60260-2025</t>
        </is>
      </c>
      <c r="B195" s="1" t="n">
        <v>45994.61025462963</v>
      </c>
      <c r="C195" s="1" t="n">
        <v>46075</v>
      </c>
      <c r="D195" t="inlineStr">
        <is>
          <t>VÄSTERNORRLANDS LÄN</t>
        </is>
      </c>
      <c r="E195" t="inlineStr">
        <is>
          <t>SOLLEFTEÅ</t>
        </is>
      </c>
      <c r="G195" t="n">
        <v>2.2</v>
      </c>
      <c r="H195" t="n">
        <v>0</v>
      </c>
      <c r="I195" t="n">
        <v>1</v>
      </c>
      <c r="J195" t="n">
        <v>1</v>
      </c>
      <c r="K195" t="n">
        <v>2</v>
      </c>
      <c r="L195" t="n">
        <v>0</v>
      </c>
      <c r="M195" t="n">
        <v>0</v>
      </c>
      <c r="N195" t="n">
        <v>0</v>
      </c>
      <c r="O195" t="n">
        <v>3</v>
      </c>
      <c r="P195" t="n">
        <v>2</v>
      </c>
      <c r="Q195" t="n">
        <v>4</v>
      </c>
      <c r="R195" s="2" t="inlineStr">
        <is>
          <t>Liten aspgelélav
Sprickporing
Lunglav
Korallblylav</t>
        </is>
      </c>
      <c r="S195">
        <f>HYPERLINK("https://klasma.github.io/Logging_2283/artfynd/A 60260-2025 artfynd.xlsx", "A 60260-2025")</f>
        <v/>
      </c>
      <c r="T195">
        <f>HYPERLINK("https://klasma.github.io/Logging_2283/kartor/A 60260-2025 karta.png", "A 60260-2025")</f>
        <v/>
      </c>
      <c r="V195">
        <f>HYPERLINK("https://klasma.github.io/Logging_2283/klagomål/A 60260-2025 FSC-klagomål.docx", "A 60260-2025")</f>
        <v/>
      </c>
      <c r="W195">
        <f>HYPERLINK("https://klasma.github.io/Logging_2283/klagomålsmail/A 60260-2025 FSC-klagomål mail.docx", "A 60260-2025")</f>
        <v/>
      </c>
      <c r="X195">
        <f>HYPERLINK("https://klasma.github.io/Logging_2283/tillsyn/A 60260-2025 tillsynsbegäran.docx", "A 60260-2025")</f>
        <v/>
      </c>
      <c r="Y195">
        <f>HYPERLINK("https://klasma.github.io/Logging_2283/tillsynsmail/A 60260-2025 tillsynsbegäran mail.docx", "A 60260-2025")</f>
        <v/>
      </c>
    </row>
    <row r="196" ht="15" customHeight="1">
      <c r="A196" t="inlineStr">
        <is>
          <t>A 58155-2025</t>
        </is>
      </c>
      <c r="B196" s="1" t="n">
        <v>45982</v>
      </c>
      <c r="C196" s="1" t="n">
        <v>46075</v>
      </c>
      <c r="D196" t="inlineStr">
        <is>
          <t>VÄSTERNORRLANDS LÄN</t>
        </is>
      </c>
      <c r="E196" t="inlineStr">
        <is>
          <t>SOLLEFTEÅ</t>
        </is>
      </c>
      <c r="G196" t="n">
        <v>16.1</v>
      </c>
      <c r="H196" t="n">
        <v>1</v>
      </c>
      <c r="I196" t="n">
        <v>1</v>
      </c>
      <c r="J196" t="n">
        <v>3</v>
      </c>
      <c r="K196" t="n">
        <v>0</v>
      </c>
      <c r="L196" t="n">
        <v>0</v>
      </c>
      <c r="M196" t="n">
        <v>0</v>
      </c>
      <c r="N196" t="n">
        <v>0</v>
      </c>
      <c r="O196" t="n">
        <v>3</v>
      </c>
      <c r="P196" t="n">
        <v>0</v>
      </c>
      <c r="Q196" t="n">
        <v>4</v>
      </c>
      <c r="R196" s="2" t="inlineStr">
        <is>
          <t>Garnlav
Järpe
Ullticka
Dropptaggsvamp</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2409-2023</t>
        </is>
      </c>
      <c r="B197" s="1" t="n">
        <v>44942</v>
      </c>
      <c r="C197" s="1" t="n">
        <v>46075</v>
      </c>
      <c r="D197" t="inlineStr">
        <is>
          <t>VÄSTERNORRLANDS LÄN</t>
        </is>
      </c>
      <c r="E197" t="inlineStr">
        <is>
          <t>SOLLEFTEÅ</t>
        </is>
      </c>
      <c r="F197" t="inlineStr">
        <is>
          <t>SCA</t>
        </is>
      </c>
      <c r="G197" t="n">
        <v>2</v>
      </c>
      <c r="H197" t="n">
        <v>0</v>
      </c>
      <c r="I197" t="n">
        <v>1</v>
      </c>
      <c r="J197" t="n">
        <v>3</v>
      </c>
      <c r="K197" t="n">
        <v>0</v>
      </c>
      <c r="L197" t="n">
        <v>0</v>
      </c>
      <c r="M197" t="n">
        <v>0</v>
      </c>
      <c r="N197" t="n">
        <v>0</v>
      </c>
      <c r="O197" t="n">
        <v>3</v>
      </c>
      <c r="P197" t="n">
        <v>0</v>
      </c>
      <c r="Q197" t="n">
        <v>4</v>
      </c>
      <c r="R197" s="2" t="inlineStr">
        <is>
          <t>Rosenticka
Tallticka
Ullticka
Dropptaggsvamp</t>
        </is>
      </c>
      <c r="S197">
        <f>HYPERLINK("https://klasma.github.io/Logging_2283/artfynd/A 2409-2023 artfynd.xlsx", "A 2409-2023")</f>
        <v/>
      </c>
      <c r="T197">
        <f>HYPERLINK("https://klasma.github.io/Logging_2283/kartor/A 2409-2023 karta.png", "A 2409-2023")</f>
        <v/>
      </c>
      <c r="V197">
        <f>HYPERLINK("https://klasma.github.io/Logging_2283/klagomål/A 2409-2023 FSC-klagomål.docx", "A 2409-2023")</f>
        <v/>
      </c>
      <c r="W197">
        <f>HYPERLINK("https://klasma.github.io/Logging_2283/klagomålsmail/A 2409-2023 FSC-klagomål mail.docx", "A 2409-2023")</f>
        <v/>
      </c>
      <c r="X197">
        <f>HYPERLINK("https://klasma.github.io/Logging_2283/tillsyn/A 2409-2023 tillsynsbegäran.docx", "A 2409-2023")</f>
        <v/>
      </c>
      <c r="Y197">
        <f>HYPERLINK("https://klasma.github.io/Logging_2283/tillsynsmail/A 2409-2023 tillsynsbegäran mail.docx", "A 2409-2023")</f>
        <v/>
      </c>
    </row>
    <row r="198" ht="15" customHeight="1">
      <c r="A198" t="inlineStr">
        <is>
          <t>A 20572-2025</t>
        </is>
      </c>
      <c r="B198" s="1" t="n">
        <v>45775.67054398148</v>
      </c>
      <c r="C198" s="1" t="n">
        <v>46075</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39095-2025</t>
        </is>
      </c>
      <c r="B199" s="1" t="n">
        <v>45888</v>
      </c>
      <c r="C199" s="1" t="n">
        <v>46075</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26467-2024</t>
        </is>
      </c>
      <c r="B200" s="1" t="n">
        <v>45469</v>
      </c>
      <c r="C200" s="1" t="n">
        <v>46075</v>
      </c>
      <c r="D200" t="inlineStr">
        <is>
          <t>VÄSTERNORRLANDS LÄN</t>
        </is>
      </c>
      <c r="E200" t="inlineStr">
        <is>
          <t>SOLLEFTEÅ</t>
        </is>
      </c>
      <c r="G200" t="n">
        <v>1.1</v>
      </c>
      <c r="H200" t="n">
        <v>2</v>
      </c>
      <c r="I200" t="n">
        <v>1</v>
      </c>
      <c r="J200" t="n">
        <v>1</v>
      </c>
      <c r="K200" t="n">
        <v>0</v>
      </c>
      <c r="L200" t="n">
        <v>0</v>
      </c>
      <c r="M200" t="n">
        <v>0</v>
      </c>
      <c r="N200" t="n">
        <v>0</v>
      </c>
      <c r="O200" t="n">
        <v>1</v>
      </c>
      <c r="P200" t="n">
        <v>0</v>
      </c>
      <c r="Q200" t="n">
        <v>4</v>
      </c>
      <c r="R200" s="2" t="inlineStr">
        <is>
          <t>Rosenticka
Springkorn
Skogsrör
Revlummer</t>
        </is>
      </c>
      <c r="S200">
        <f>HYPERLINK("https://klasma.github.io/Logging_2283/artfynd/A 26467-2024 artfynd.xlsx", "A 26467-2024")</f>
        <v/>
      </c>
      <c r="T200">
        <f>HYPERLINK("https://klasma.github.io/Logging_2283/kartor/A 26467-2024 karta.png", "A 26467-2024")</f>
        <v/>
      </c>
      <c r="V200">
        <f>HYPERLINK("https://klasma.github.io/Logging_2283/klagomål/A 26467-2024 FSC-klagomål.docx", "A 26467-2024")</f>
        <v/>
      </c>
      <c r="W200">
        <f>HYPERLINK("https://klasma.github.io/Logging_2283/klagomålsmail/A 26467-2024 FSC-klagomål mail.docx", "A 26467-2024")</f>
        <v/>
      </c>
      <c r="X200">
        <f>HYPERLINK("https://klasma.github.io/Logging_2283/tillsyn/A 26467-2024 tillsynsbegäran.docx", "A 26467-2024")</f>
        <v/>
      </c>
      <c r="Y200">
        <f>HYPERLINK("https://klasma.github.io/Logging_2283/tillsynsmail/A 26467-2024 tillsynsbegäran mail.docx", "A 26467-2024")</f>
        <v/>
      </c>
    </row>
    <row r="201" ht="15" customHeight="1">
      <c r="A201" t="inlineStr">
        <is>
          <t>A 7905-2026</t>
        </is>
      </c>
      <c r="B201" s="1" t="n">
        <v>46063.35283564815</v>
      </c>
      <c r="C201" s="1" t="n">
        <v>46075</v>
      </c>
      <c r="D201" t="inlineStr">
        <is>
          <t>VÄSTERNORRLANDS LÄN</t>
        </is>
      </c>
      <c r="E201" t="inlineStr">
        <is>
          <t>SOLLEFTEÅ</t>
        </is>
      </c>
      <c r="G201" t="n">
        <v>3.2</v>
      </c>
      <c r="H201" t="n">
        <v>4</v>
      </c>
      <c r="I201" t="n">
        <v>0</v>
      </c>
      <c r="J201" t="n">
        <v>1</v>
      </c>
      <c r="K201" t="n">
        <v>0</v>
      </c>
      <c r="L201" t="n">
        <v>0</v>
      </c>
      <c r="M201" t="n">
        <v>0</v>
      </c>
      <c r="N201" t="n">
        <v>0</v>
      </c>
      <c r="O201" t="n">
        <v>1</v>
      </c>
      <c r="P201" t="n">
        <v>0</v>
      </c>
      <c r="Q201" t="n">
        <v>4</v>
      </c>
      <c r="R201" s="2" t="inlineStr">
        <is>
          <t>Talltita
Lavskrika
Orre
Tjäder</t>
        </is>
      </c>
      <c r="S201">
        <f>HYPERLINK("https://klasma.github.io/Logging_2283/artfynd/A 7905-2026 artfynd.xlsx", "A 7905-2026")</f>
        <v/>
      </c>
      <c r="T201">
        <f>HYPERLINK("https://klasma.github.io/Logging_2283/kartor/A 7905-2026 karta.png", "A 7905-2026")</f>
        <v/>
      </c>
      <c r="V201">
        <f>HYPERLINK("https://klasma.github.io/Logging_2283/klagomål/A 7905-2026 FSC-klagomål.docx", "A 7905-2026")</f>
        <v/>
      </c>
      <c r="W201">
        <f>HYPERLINK("https://klasma.github.io/Logging_2283/klagomålsmail/A 7905-2026 FSC-klagomål mail.docx", "A 7905-2026")</f>
        <v/>
      </c>
      <c r="X201">
        <f>HYPERLINK("https://klasma.github.io/Logging_2283/tillsyn/A 7905-2026 tillsynsbegäran.docx", "A 7905-2026")</f>
        <v/>
      </c>
      <c r="Y201">
        <f>HYPERLINK("https://klasma.github.io/Logging_2283/tillsynsmail/A 7905-2026 tillsynsbegäran mail.docx", "A 7905-2026")</f>
        <v/>
      </c>
      <c r="Z201">
        <f>HYPERLINK("https://klasma.github.io/Logging_2283/fåglar/A 7905-2026 prioriterade fågelarter.docx", "A 7905-2026")</f>
        <v/>
      </c>
    </row>
    <row r="202" ht="15" customHeight="1">
      <c r="A202" t="inlineStr">
        <is>
          <t>A 53898-2024</t>
        </is>
      </c>
      <c r="B202" s="1" t="n">
        <v>45615.69824074074</v>
      </c>
      <c r="C202" s="1" t="n">
        <v>46075</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32218-2023</t>
        </is>
      </c>
      <c r="B203" s="1" t="n">
        <v>45119</v>
      </c>
      <c r="C203" s="1" t="n">
        <v>46075</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9741-2026</t>
        </is>
      </c>
      <c r="B204" s="1" t="n">
        <v>46072.51131944444</v>
      </c>
      <c r="C204" s="1" t="n">
        <v>46075</v>
      </c>
      <c r="D204" t="inlineStr">
        <is>
          <t>VÄSTERNORRLANDS LÄN</t>
        </is>
      </c>
      <c r="E204" t="inlineStr">
        <is>
          <t>SOLLEFTEÅ</t>
        </is>
      </c>
      <c r="G204" t="n">
        <v>4.6</v>
      </c>
      <c r="H204" t="n">
        <v>0</v>
      </c>
      <c r="I204" t="n">
        <v>3</v>
      </c>
      <c r="J204" t="n">
        <v>1</v>
      </c>
      <c r="K204" t="n">
        <v>0</v>
      </c>
      <c r="L204" t="n">
        <v>0</v>
      </c>
      <c r="M204" t="n">
        <v>0</v>
      </c>
      <c r="N204" t="n">
        <v>0</v>
      </c>
      <c r="O204" t="n">
        <v>1</v>
      </c>
      <c r="P204" t="n">
        <v>0</v>
      </c>
      <c r="Q204" t="n">
        <v>4</v>
      </c>
      <c r="R204" s="2" t="inlineStr">
        <is>
          <t>Lunglav
Bårdlav
Dvärgtufs
Skinnlav</t>
        </is>
      </c>
      <c r="S204">
        <f>HYPERLINK("https://klasma.github.io/Logging_2283/artfynd/A 9741-2026 artfynd.xlsx", "A 9741-2026")</f>
        <v/>
      </c>
      <c r="T204">
        <f>HYPERLINK("https://klasma.github.io/Logging_2283/kartor/A 9741-2026 karta.png", "A 9741-2026")</f>
        <v/>
      </c>
      <c r="V204">
        <f>HYPERLINK("https://klasma.github.io/Logging_2283/klagomål/A 9741-2026 FSC-klagomål.docx", "A 9741-2026")</f>
        <v/>
      </c>
      <c r="W204">
        <f>HYPERLINK("https://klasma.github.io/Logging_2283/klagomålsmail/A 9741-2026 FSC-klagomål mail.docx", "A 9741-2026")</f>
        <v/>
      </c>
      <c r="X204">
        <f>HYPERLINK("https://klasma.github.io/Logging_2283/tillsyn/A 9741-2026 tillsynsbegäran.docx", "A 9741-2026")</f>
        <v/>
      </c>
      <c r="Y204">
        <f>HYPERLINK("https://klasma.github.io/Logging_2283/tillsynsmail/A 9741-2026 tillsynsbegäran mail.docx", "A 9741-2026")</f>
        <v/>
      </c>
    </row>
    <row r="205" ht="15" customHeight="1">
      <c r="A205" t="inlineStr">
        <is>
          <t>A 53130-2022</t>
        </is>
      </c>
      <c r="B205" s="1" t="n">
        <v>44873</v>
      </c>
      <c r="C205" s="1" t="n">
        <v>46075</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46075</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62632-2022</t>
        </is>
      </c>
      <c r="B207" s="1" t="n">
        <v>44925</v>
      </c>
      <c r="C207" s="1" t="n">
        <v>46075</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46075</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46075</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46075</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46075</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46075</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46075</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46075</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46075</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46075</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46075</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32070-2025</t>
        </is>
      </c>
      <c r="B218" s="1" t="n">
        <v>45835.44885416667</v>
      </c>
      <c r="C218" s="1" t="n">
        <v>46075</v>
      </c>
      <c r="D218" t="inlineStr">
        <is>
          <t>VÄSTERNORRLANDS LÄN</t>
        </is>
      </c>
      <c r="E218" t="inlineStr">
        <is>
          <t>SOLLEFTEÅ</t>
        </is>
      </c>
      <c r="F218" t="inlineStr">
        <is>
          <t>SCA</t>
        </is>
      </c>
      <c r="G218" t="n">
        <v>6.4</v>
      </c>
      <c r="H218" t="n">
        <v>0</v>
      </c>
      <c r="I218" t="n">
        <v>1</v>
      </c>
      <c r="J218" t="n">
        <v>1</v>
      </c>
      <c r="K218" t="n">
        <v>1</v>
      </c>
      <c r="L218" t="n">
        <v>0</v>
      </c>
      <c r="M218" t="n">
        <v>0</v>
      </c>
      <c r="N218" t="n">
        <v>0</v>
      </c>
      <c r="O218" t="n">
        <v>2</v>
      </c>
      <c r="P218" t="n">
        <v>1</v>
      </c>
      <c r="Q218" t="n">
        <v>3</v>
      </c>
      <c r="R218" s="2" t="inlineStr">
        <is>
          <t>Rynkskinn
Garnlav
Vedticka</t>
        </is>
      </c>
      <c r="S218">
        <f>HYPERLINK("https://klasma.github.io/Logging_2283/artfynd/A 32070-2025 artfynd.xlsx", "A 32070-2025")</f>
        <v/>
      </c>
      <c r="T218">
        <f>HYPERLINK("https://klasma.github.io/Logging_2283/kartor/A 32070-2025 karta.png", "A 32070-2025")</f>
        <v/>
      </c>
      <c r="V218">
        <f>HYPERLINK("https://klasma.github.io/Logging_2283/klagomål/A 32070-2025 FSC-klagomål.docx", "A 32070-2025")</f>
        <v/>
      </c>
      <c r="W218">
        <f>HYPERLINK("https://klasma.github.io/Logging_2283/klagomålsmail/A 32070-2025 FSC-klagomål mail.docx", "A 32070-2025")</f>
        <v/>
      </c>
      <c r="X218">
        <f>HYPERLINK("https://klasma.github.io/Logging_2283/tillsyn/A 32070-2025 tillsynsbegäran.docx", "A 32070-2025")</f>
        <v/>
      </c>
      <c r="Y218">
        <f>HYPERLINK("https://klasma.github.io/Logging_2283/tillsynsmail/A 32070-2025 tillsynsbegäran mail.docx", "A 32070-2025")</f>
        <v/>
      </c>
    </row>
    <row r="219" ht="15" customHeight="1">
      <c r="A219" t="inlineStr">
        <is>
          <t>A 48489-2023</t>
        </is>
      </c>
      <c r="B219" s="1" t="n">
        <v>45206</v>
      </c>
      <c r="C219" s="1" t="n">
        <v>46075</v>
      </c>
      <c r="D219" t="inlineStr">
        <is>
          <t>VÄSTERNORRLANDS LÄN</t>
        </is>
      </c>
      <c r="E219" t="inlineStr">
        <is>
          <t>SOLLEFTEÅ</t>
        </is>
      </c>
      <c r="F219" t="inlineStr">
        <is>
          <t>SCA</t>
        </is>
      </c>
      <c r="G219" t="n">
        <v>51.8</v>
      </c>
      <c r="H219" t="n">
        <v>3</v>
      </c>
      <c r="I219" t="n">
        <v>0</v>
      </c>
      <c r="J219" t="n">
        <v>2</v>
      </c>
      <c r="K219" t="n">
        <v>0</v>
      </c>
      <c r="L219" t="n">
        <v>0</v>
      </c>
      <c r="M219" t="n">
        <v>0</v>
      </c>
      <c r="N219" t="n">
        <v>0</v>
      </c>
      <c r="O219" t="n">
        <v>2</v>
      </c>
      <c r="P219" t="n">
        <v>0</v>
      </c>
      <c r="Q219" t="n">
        <v>3</v>
      </c>
      <c r="R219" s="2" t="inlineStr">
        <is>
          <t>Spillkråka
Talltita
Lavskrika</t>
        </is>
      </c>
      <c r="S219">
        <f>HYPERLINK("https://klasma.github.io/Logging_2283/artfynd/A 48489-2023 artfynd.xlsx", "A 48489-2023")</f>
        <v/>
      </c>
      <c r="T219">
        <f>HYPERLINK("https://klasma.github.io/Logging_2283/kartor/A 48489-2023 karta.png", "A 48489-2023")</f>
        <v/>
      </c>
      <c r="V219">
        <f>HYPERLINK("https://klasma.github.io/Logging_2283/klagomål/A 48489-2023 FSC-klagomål.docx", "A 48489-2023")</f>
        <v/>
      </c>
      <c r="W219">
        <f>HYPERLINK("https://klasma.github.io/Logging_2283/klagomålsmail/A 48489-2023 FSC-klagomål mail.docx", "A 48489-2023")</f>
        <v/>
      </c>
      <c r="X219">
        <f>HYPERLINK("https://klasma.github.io/Logging_2283/tillsyn/A 48489-2023 tillsynsbegäran.docx", "A 48489-2023")</f>
        <v/>
      </c>
      <c r="Y219">
        <f>HYPERLINK("https://klasma.github.io/Logging_2283/tillsynsmail/A 48489-2023 tillsynsbegäran mail.docx", "A 48489-2023")</f>
        <v/>
      </c>
      <c r="Z219">
        <f>HYPERLINK("https://klasma.github.io/Logging_2283/fåglar/A 48489-2023 prioriterade fågelarter.docx", "A 48489-2023")</f>
        <v/>
      </c>
    </row>
    <row r="220" ht="15" customHeight="1">
      <c r="A220" t="inlineStr">
        <is>
          <t>A 43279-2025</t>
        </is>
      </c>
      <c r="B220" s="1" t="n">
        <v>45910.59446759259</v>
      </c>
      <c r="C220" s="1" t="n">
        <v>46075</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50838-2023</t>
        </is>
      </c>
      <c r="B221" s="1" t="n">
        <v>45217</v>
      </c>
      <c r="C221" s="1" t="n">
        <v>46075</v>
      </c>
      <c r="D221" t="inlineStr">
        <is>
          <t>VÄSTERNORRLANDS LÄN</t>
        </is>
      </c>
      <c r="E221" t="inlineStr">
        <is>
          <t>SOLLEFTEÅ</t>
        </is>
      </c>
      <c r="F221" t="inlineStr">
        <is>
          <t>SCA</t>
        </is>
      </c>
      <c r="G221" t="n">
        <v>2.1</v>
      </c>
      <c r="H221" t="n">
        <v>2</v>
      </c>
      <c r="I221" t="n">
        <v>0</v>
      </c>
      <c r="J221" t="n">
        <v>1</v>
      </c>
      <c r="K221" t="n">
        <v>2</v>
      </c>
      <c r="L221" t="n">
        <v>0</v>
      </c>
      <c r="M221" t="n">
        <v>0</v>
      </c>
      <c r="N221" t="n">
        <v>0</v>
      </c>
      <c r="O221" t="n">
        <v>3</v>
      </c>
      <c r="P221" t="n">
        <v>2</v>
      </c>
      <c r="Q221" t="n">
        <v>3</v>
      </c>
      <c r="R221" s="2" t="inlineStr">
        <is>
          <t>Doftticka
Knärot
Lunglav</t>
        </is>
      </c>
      <c r="S221">
        <f>HYPERLINK("https://klasma.github.io/Logging_2283/artfynd/A 50838-2023 artfynd.xlsx", "A 50838-2023")</f>
        <v/>
      </c>
      <c r="T221">
        <f>HYPERLINK("https://klasma.github.io/Logging_2283/kartor/A 50838-2023 karta.png", "A 50838-2023")</f>
        <v/>
      </c>
      <c r="U221">
        <f>HYPERLINK("https://klasma.github.io/Logging_2283/knärot/A 50838-2023 karta knärot.png", "A 50838-2023")</f>
        <v/>
      </c>
      <c r="V221">
        <f>HYPERLINK("https://klasma.github.io/Logging_2283/klagomål/A 50838-2023 FSC-klagomål.docx", "A 50838-2023")</f>
        <v/>
      </c>
      <c r="W221">
        <f>HYPERLINK("https://klasma.github.io/Logging_2283/klagomålsmail/A 50838-2023 FSC-klagomål mail.docx", "A 50838-2023")</f>
        <v/>
      </c>
      <c r="X221">
        <f>HYPERLINK("https://klasma.github.io/Logging_2283/tillsyn/A 50838-2023 tillsynsbegäran.docx", "A 50838-2023")</f>
        <v/>
      </c>
      <c r="Y221">
        <f>HYPERLINK("https://klasma.github.io/Logging_2283/tillsynsmail/A 50838-2023 tillsynsbegäran mail.docx", "A 50838-2023")</f>
        <v/>
      </c>
    </row>
    <row r="222" ht="15" customHeight="1">
      <c r="A222" t="inlineStr">
        <is>
          <t>A 40866-2023</t>
        </is>
      </c>
      <c r="B222" s="1" t="n">
        <v>45173</v>
      </c>
      <c r="C222" s="1" t="n">
        <v>46075</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18012-2022</t>
        </is>
      </c>
      <c r="B223" s="1" t="n">
        <v>44683</v>
      </c>
      <c r="C223" s="1" t="n">
        <v>46075</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26341-2025</t>
        </is>
      </c>
      <c r="B224" s="1" t="n">
        <v>45805.69878472222</v>
      </c>
      <c r="C224" s="1" t="n">
        <v>46075</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25919-2025</t>
        </is>
      </c>
      <c r="B225" s="1" t="n">
        <v>45804</v>
      </c>
      <c r="C225" s="1" t="n">
        <v>46075</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54254-2025</t>
        </is>
      </c>
      <c r="B226" s="1" t="n">
        <v>45964.65668981482</v>
      </c>
      <c r="C226" s="1" t="n">
        <v>46075</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55125-2025</t>
        </is>
      </c>
      <c r="B227" s="1" t="n">
        <v>45968.40688657408</v>
      </c>
      <c r="C227" s="1" t="n">
        <v>46075</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48017-2024</t>
        </is>
      </c>
      <c r="B228" s="1" t="n">
        <v>45589.46935185185</v>
      </c>
      <c r="C228" s="1" t="n">
        <v>46075</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56783-2025</t>
        </is>
      </c>
      <c r="B229" s="1" t="n">
        <v>45978.40695601852</v>
      </c>
      <c r="C229" s="1" t="n">
        <v>46075</v>
      </c>
      <c r="D229" t="inlineStr">
        <is>
          <t>VÄSTERNORRLANDS LÄN</t>
        </is>
      </c>
      <c r="E229" t="inlineStr">
        <is>
          <t>SOLLEFTEÅ</t>
        </is>
      </c>
      <c r="F229" t="inlineStr">
        <is>
          <t>SCA</t>
        </is>
      </c>
      <c r="G229" t="n">
        <v>2.5</v>
      </c>
      <c r="H229" t="n">
        <v>0</v>
      </c>
      <c r="I229" t="n">
        <v>0</v>
      </c>
      <c r="J229" t="n">
        <v>3</v>
      </c>
      <c r="K229" t="n">
        <v>0</v>
      </c>
      <c r="L229" t="n">
        <v>0</v>
      </c>
      <c r="M229" t="n">
        <v>0</v>
      </c>
      <c r="N229" t="n">
        <v>0</v>
      </c>
      <c r="O229" t="n">
        <v>3</v>
      </c>
      <c r="P229" t="n">
        <v>0</v>
      </c>
      <c r="Q229" t="n">
        <v>3</v>
      </c>
      <c r="R229" s="2" t="inlineStr">
        <is>
          <t>Kolflarnlav
Lunglav
Orange taggsvamp</t>
        </is>
      </c>
      <c r="S229">
        <f>HYPERLINK("https://klasma.github.io/Logging_2283/artfynd/A 56783-2025 artfynd.xlsx", "A 56783-2025")</f>
        <v/>
      </c>
      <c r="T229">
        <f>HYPERLINK("https://klasma.github.io/Logging_2283/kartor/A 56783-2025 karta.png", "A 56783-2025")</f>
        <v/>
      </c>
      <c r="V229">
        <f>HYPERLINK("https://klasma.github.io/Logging_2283/klagomål/A 56783-2025 FSC-klagomål.docx", "A 56783-2025")</f>
        <v/>
      </c>
      <c r="W229">
        <f>HYPERLINK("https://klasma.github.io/Logging_2283/klagomålsmail/A 56783-2025 FSC-klagomål mail.docx", "A 56783-2025")</f>
        <v/>
      </c>
      <c r="X229">
        <f>HYPERLINK("https://klasma.github.io/Logging_2283/tillsyn/A 56783-2025 tillsynsbegäran.docx", "A 56783-2025")</f>
        <v/>
      </c>
      <c r="Y229">
        <f>HYPERLINK("https://klasma.github.io/Logging_2283/tillsynsmail/A 56783-2025 tillsynsbegäran mail.docx", "A 56783-2025")</f>
        <v/>
      </c>
    </row>
    <row r="230" ht="15" customHeight="1">
      <c r="A230" t="inlineStr">
        <is>
          <t>A 21097-2024</t>
        </is>
      </c>
      <c r="B230" s="1" t="n">
        <v>45439</v>
      </c>
      <c r="C230" s="1" t="n">
        <v>46075</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26374-2023</t>
        </is>
      </c>
      <c r="B231" s="1" t="n">
        <v>45091.94403935185</v>
      </c>
      <c r="C231" s="1" t="n">
        <v>46075</v>
      </c>
      <c r="D231" t="inlineStr">
        <is>
          <t>VÄSTERNORRLANDS LÄN</t>
        </is>
      </c>
      <c r="E231" t="inlineStr">
        <is>
          <t>SOLLEFTEÅ</t>
        </is>
      </c>
      <c r="F231" t="inlineStr">
        <is>
          <t>SCA</t>
        </is>
      </c>
      <c r="G231" t="n">
        <v>0.9</v>
      </c>
      <c r="H231" t="n">
        <v>0</v>
      </c>
      <c r="I231" t="n">
        <v>0</v>
      </c>
      <c r="J231" t="n">
        <v>2</v>
      </c>
      <c r="K231" t="n">
        <v>1</v>
      </c>
      <c r="L231" t="n">
        <v>0</v>
      </c>
      <c r="M231" t="n">
        <v>0</v>
      </c>
      <c r="N231" t="n">
        <v>0</v>
      </c>
      <c r="O231" t="n">
        <v>3</v>
      </c>
      <c r="P231" t="n">
        <v>1</v>
      </c>
      <c r="Q231" t="n">
        <v>3</v>
      </c>
      <c r="R231" s="2" t="inlineStr">
        <is>
          <t>Blackticka
Granticka
Ullticka</t>
        </is>
      </c>
      <c r="S231">
        <f>HYPERLINK("https://klasma.github.io/Logging_2283/artfynd/A 26374-2023 artfynd.xlsx", "A 26374-2023")</f>
        <v/>
      </c>
      <c r="T231">
        <f>HYPERLINK("https://klasma.github.io/Logging_2283/kartor/A 26374-2023 karta.png", "A 26374-2023")</f>
        <v/>
      </c>
      <c r="V231">
        <f>HYPERLINK("https://klasma.github.io/Logging_2283/klagomål/A 26374-2023 FSC-klagomål.docx", "A 26374-2023")</f>
        <v/>
      </c>
      <c r="W231">
        <f>HYPERLINK("https://klasma.github.io/Logging_2283/klagomålsmail/A 26374-2023 FSC-klagomål mail.docx", "A 26374-2023")</f>
        <v/>
      </c>
      <c r="X231">
        <f>HYPERLINK("https://klasma.github.io/Logging_2283/tillsyn/A 26374-2023 tillsynsbegäran.docx", "A 26374-2023")</f>
        <v/>
      </c>
      <c r="Y231">
        <f>HYPERLINK("https://klasma.github.io/Logging_2283/tillsynsmail/A 26374-2023 tillsynsbegäran mail.docx", "A 26374-2023")</f>
        <v/>
      </c>
    </row>
    <row r="232" ht="15" customHeight="1">
      <c r="A232" t="inlineStr">
        <is>
          <t>A 61676-2025</t>
        </is>
      </c>
      <c r="B232" s="1" t="n">
        <v>46002</v>
      </c>
      <c r="C232" s="1" t="n">
        <v>46075</v>
      </c>
      <c r="D232" t="inlineStr">
        <is>
          <t>VÄSTERNORRLANDS LÄN</t>
        </is>
      </c>
      <c r="E232" t="inlineStr">
        <is>
          <t>SOLLEFTEÅ</t>
        </is>
      </c>
      <c r="G232" t="n">
        <v>2.9</v>
      </c>
      <c r="H232" t="n">
        <v>1</v>
      </c>
      <c r="I232" t="n">
        <v>0</v>
      </c>
      <c r="J232" t="n">
        <v>3</v>
      </c>
      <c r="K232" t="n">
        <v>0</v>
      </c>
      <c r="L232" t="n">
        <v>0</v>
      </c>
      <c r="M232" t="n">
        <v>0</v>
      </c>
      <c r="N232" t="n">
        <v>0</v>
      </c>
      <c r="O232" t="n">
        <v>3</v>
      </c>
      <c r="P232" t="n">
        <v>0</v>
      </c>
      <c r="Q232" t="n">
        <v>3</v>
      </c>
      <c r="R232" s="2" t="inlineStr">
        <is>
          <t>Garnlav
Mörk kolflarnlav
Tretåig hackspett</t>
        </is>
      </c>
      <c r="S232">
        <f>HYPERLINK("https://klasma.github.io/Logging_2283/artfynd/A 61676-2025 artfynd.xlsx", "A 61676-2025")</f>
        <v/>
      </c>
      <c r="T232">
        <f>HYPERLINK("https://klasma.github.io/Logging_2283/kartor/A 61676-2025 karta.png", "A 61676-2025")</f>
        <v/>
      </c>
      <c r="V232">
        <f>HYPERLINK("https://klasma.github.io/Logging_2283/klagomål/A 61676-2025 FSC-klagomål.docx", "A 61676-2025")</f>
        <v/>
      </c>
      <c r="W232">
        <f>HYPERLINK("https://klasma.github.io/Logging_2283/klagomålsmail/A 61676-2025 FSC-klagomål mail.docx", "A 61676-2025")</f>
        <v/>
      </c>
      <c r="X232">
        <f>HYPERLINK("https://klasma.github.io/Logging_2283/tillsyn/A 61676-2025 tillsynsbegäran.docx", "A 61676-2025")</f>
        <v/>
      </c>
      <c r="Y232">
        <f>HYPERLINK("https://klasma.github.io/Logging_2283/tillsynsmail/A 61676-2025 tillsynsbegäran mail.docx", "A 61676-2025")</f>
        <v/>
      </c>
      <c r="Z232">
        <f>HYPERLINK("https://klasma.github.io/Logging_2283/fåglar/A 61676-2025 prioriterade fågelarter.docx", "A 61676-2025")</f>
        <v/>
      </c>
    </row>
    <row r="233" ht="15" customHeight="1">
      <c r="A233" t="inlineStr">
        <is>
          <t>A 3808-2026</t>
        </is>
      </c>
      <c r="B233" s="1" t="n">
        <v>46043.58349537037</v>
      </c>
      <c r="C233" s="1" t="n">
        <v>46075</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23939-2024</t>
        </is>
      </c>
      <c r="B234" s="1" t="n">
        <v>45455.96303240741</v>
      </c>
      <c r="C234" s="1" t="n">
        <v>46075</v>
      </c>
      <c r="D234" t="inlineStr">
        <is>
          <t>VÄSTERNORRLANDS LÄN</t>
        </is>
      </c>
      <c r="E234" t="inlineStr">
        <is>
          <t>SOLLEFTEÅ</t>
        </is>
      </c>
      <c r="F234" t="inlineStr">
        <is>
          <t>SCA</t>
        </is>
      </c>
      <c r="G234" t="n">
        <v>3</v>
      </c>
      <c r="H234" t="n">
        <v>1</v>
      </c>
      <c r="I234" t="n">
        <v>1</v>
      </c>
      <c r="J234" t="n">
        <v>2</v>
      </c>
      <c r="K234" t="n">
        <v>0</v>
      </c>
      <c r="L234" t="n">
        <v>0</v>
      </c>
      <c r="M234" t="n">
        <v>0</v>
      </c>
      <c r="N234" t="n">
        <v>0</v>
      </c>
      <c r="O234" t="n">
        <v>2</v>
      </c>
      <c r="P234" t="n">
        <v>0</v>
      </c>
      <c r="Q234" t="n">
        <v>3</v>
      </c>
      <c r="R234" s="2" t="inlineStr">
        <is>
          <t>Lunglav
Talltita
Stuplav</t>
        </is>
      </c>
      <c r="S234">
        <f>HYPERLINK("https://klasma.github.io/Logging_2283/artfynd/A 23939-2024 artfynd.xlsx", "A 23939-2024")</f>
        <v/>
      </c>
      <c r="T234">
        <f>HYPERLINK("https://klasma.github.io/Logging_2283/kartor/A 23939-2024 karta.png", "A 23939-2024")</f>
        <v/>
      </c>
      <c r="V234">
        <f>HYPERLINK("https://klasma.github.io/Logging_2283/klagomål/A 23939-2024 FSC-klagomål.docx", "A 23939-2024")</f>
        <v/>
      </c>
      <c r="W234">
        <f>HYPERLINK("https://klasma.github.io/Logging_2283/klagomålsmail/A 23939-2024 FSC-klagomål mail.docx", "A 23939-2024")</f>
        <v/>
      </c>
      <c r="X234">
        <f>HYPERLINK("https://klasma.github.io/Logging_2283/tillsyn/A 23939-2024 tillsynsbegäran.docx", "A 23939-2024")</f>
        <v/>
      </c>
      <c r="Y234">
        <f>HYPERLINK("https://klasma.github.io/Logging_2283/tillsynsmail/A 23939-2024 tillsynsbegäran mail.docx", "A 23939-2024")</f>
        <v/>
      </c>
      <c r="Z234">
        <f>HYPERLINK("https://klasma.github.io/Logging_2283/fåglar/A 23939-2024 prioriterade fågelarter.docx", "A 23939-2024")</f>
        <v/>
      </c>
    </row>
    <row r="235" ht="15" customHeight="1">
      <c r="A235" t="inlineStr">
        <is>
          <t>A 61670-2025</t>
        </is>
      </c>
      <c r="B235" s="1" t="n">
        <v>46002.47004629629</v>
      </c>
      <c r="C235" s="1" t="n">
        <v>46075</v>
      </c>
      <c r="D235" t="inlineStr">
        <is>
          <t>VÄSTERNORRLANDS LÄN</t>
        </is>
      </c>
      <c r="E235" t="inlineStr">
        <is>
          <t>SOLLEFTEÅ</t>
        </is>
      </c>
      <c r="G235" t="n">
        <v>4.5</v>
      </c>
      <c r="H235" t="n">
        <v>0</v>
      </c>
      <c r="I235" t="n">
        <v>1</v>
      </c>
      <c r="J235" t="n">
        <v>2</v>
      </c>
      <c r="K235" t="n">
        <v>0</v>
      </c>
      <c r="L235" t="n">
        <v>0</v>
      </c>
      <c r="M235" t="n">
        <v>0</v>
      </c>
      <c r="N235" t="n">
        <v>0</v>
      </c>
      <c r="O235" t="n">
        <v>2</v>
      </c>
      <c r="P235" t="n">
        <v>0</v>
      </c>
      <c r="Q235" t="n">
        <v>3</v>
      </c>
      <c r="R235" s="2" t="inlineStr">
        <is>
          <t>Garnlav
Rosenticka
Vedticka</t>
        </is>
      </c>
      <c r="S235">
        <f>HYPERLINK("https://klasma.github.io/Logging_2283/artfynd/A 61670-2025 artfynd.xlsx", "A 61670-2025")</f>
        <v/>
      </c>
      <c r="T235">
        <f>HYPERLINK("https://klasma.github.io/Logging_2283/kartor/A 61670-2025 karta.png", "A 61670-2025")</f>
        <v/>
      </c>
      <c r="V235">
        <f>HYPERLINK("https://klasma.github.io/Logging_2283/klagomål/A 61670-2025 FSC-klagomål.docx", "A 61670-2025")</f>
        <v/>
      </c>
      <c r="W235">
        <f>HYPERLINK("https://klasma.github.io/Logging_2283/klagomålsmail/A 61670-2025 FSC-klagomål mail.docx", "A 61670-2025")</f>
        <v/>
      </c>
      <c r="X235">
        <f>HYPERLINK("https://klasma.github.io/Logging_2283/tillsyn/A 61670-2025 tillsynsbegäran.docx", "A 61670-2025")</f>
        <v/>
      </c>
      <c r="Y235">
        <f>HYPERLINK("https://klasma.github.io/Logging_2283/tillsynsmail/A 61670-2025 tillsynsbegäran mail.docx", "A 61670-2025")</f>
        <v/>
      </c>
    </row>
    <row r="236" ht="15" customHeight="1">
      <c r="A236" t="inlineStr">
        <is>
          <t>A 54624-2024</t>
        </is>
      </c>
      <c r="B236" s="1" t="n">
        <v>45617</v>
      </c>
      <c r="C236" s="1" t="n">
        <v>46075</v>
      </c>
      <c r="D236" t="inlineStr">
        <is>
          <t>VÄSTERNORRLANDS LÄN</t>
        </is>
      </c>
      <c r="E236" t="inlineStr">
        <is>
          <t>SOLLEFTEÅ</t>
        </is>
      </c>
      <c r="G236" t="n">
        <v>11.5</v>
      </c>
      <c r="H236" t="n">
        <v>0</v>
      </c>
      <c r="I236" t="n">
        <v>2</v>
      </c>
      <c r="J236" t="n">
        <v>1</v>
      </c>
      <c r="K236" t="n">
        <v>0</v>
      </c>
      <c r="L236" t="n">
        <v>0</v>
      </c>
      <c r="M236" t="n">
        <v>0</v>
      </c>
      <c r="N236" t="n">
        <v>0</v>
      </c>
      <c r="O236" t="n">
        <v>1</v>
      </c>
      <c r="P236" t="n">
        <v>0</v>
      </c>
      <c r="Q236" t="n">
        <v>3</v>
      </c>
      <c r="R236" s="2" t="inlineStr">
        <is>
          <t>Ullticka
Stuplav
Vedticka</t>
        </is>
      </c>
      <c r="S236">
        <f>HYPERLINK("https://klasma.github.io/Logging_2283/artfynd/A 54624-2024 artfynd.xlsx", "A 54624-2024")</f>
        <v/>
      </c>
      <c r="T236">
        <f>HYPERLINK("https://klasma.github.io/Logging_2283/kartor/A 54624-2024 karta.png", "A 54624-2024")</f>
        <v/>
      </c>
      <c r="V236">
        <f>HYPERLINK("https://klasma.github.io/Logging_2283/klagomål/A 54624-2024 FSC-klagomål.docx", "A 54624-2024")</f>
        <v/>
      </c>
      <c r="W236">
        <f>HYPERLINK("https://klasma.github.io/Logging_2283/klagomålsmail/A 54624-2024 FSC-klagomål mail.docx", "A 54624-2024")</f>
        <v/>
      </c>
      <c r="X236">
        <f>HYPERLINK("https://klasma.github.io/Logging_2283/tillsyn/A 54624-2024 tillsynsbegäran.docx", "A 54624-2024")</f>
        <v/>
      </c>
      <c r="Y236">
        <f>HYPERLINK("https://klasma.github.io/Logging_2283/tillsynsmail/A 54624-2024 tillsynsbegäran mail.docx", "A 54624-2024")</f>
        <v/>
      </c>
    </row>
    <row r="237" ht="15" customHeight="1">
      <c r="A237" t="inlineStr">
        <is>
          <t>A 38096-2024</t>
        </is>
      </c>
      <c r="B237" s="1" t="n">
        <v>45545.345</v>
      </c>
      <c r="C237" s="1" t="n">
        <v>46075</v>
      </c>
      <c r="D237" t="inlineStr">
        <is>
          <t>VÄSTERNORRLANDS LÄN</t>
        </is>
      </c>
      <c r="E237" t="inlineStr">
        <is>
          <t>SOLLEFTEÅ</t>
        </is>
      </c>
      <c r="F237" t="inlineStr">
        <is>
          <t>SCA</t>
        </is>
      </c>
      <c r="G237" t="n">
        <v>5.2</v>
      </c>
      <c r="H237" t="n">
        <v>1</v>
      </c>
      <c r="I237" t="n">
        <v>2</v>
      </c>
      <c r="J237" t="n">
        <v>1</v>
      </c>
      <c r="K237" t="n">
        <v>0</v>
      </c>
      <c r="L237" t="n">
        <v>0</v>
      </c>
      <c r="M237" t="n">
        <v>0</v>
      </c>
      <c r="N237" t="n">
        <v>0</v>
      </c>
      <c r="O237" t="n">
        <v>1</v>
      </c>
      <c r="P237" t="n">
        <v>0</v>
      </c>
      <c r="Q237" t="n">
        <v>3</v>
      </c>
      <c r="R237" s="2" t="inlineStr">
        <is>
          <t>Lunglav
Bollvitmossa
Lappranunkel</t>
        </is>
      </c>
      <c r="S237">
        <f>HYPERLINK("https://klasma.github.io/Logging_2283/artfynd/A 38096-2024 artfynd.xlsx", "A 38096-2024")</f>
        <v/>
      </c>
      <c r="T237">
        <f>HYPERLINK("https://klasma.github.io/Logging_2283/kartor/A 38096-2024 karta.png", "A 38096-2024")</f>
        <v/>
      </c>
      <c r="V237">
        <f>HYPERLINK("https://klasma.github.io/Logging_2283/klagomål/A 38096-2024 FSC-klagomål.docx", "A 38096-2024")</f>
        <v/>
      </c>
      <c r="W237">
        <f>HYPERLINK("https://klasma.github.io/Logging_2283/klagomålsmail/A 38096-2024 FSC-klagomål mail.docx", "A 38096-2024")</f>
        <v/>
      </c>
      <c r="X237">
        <f>HYPERLINK("https://klasma.github.io/Logging_2283/tillsyn/A 38096-2024 tillsynsbegäran.docx", "A 38096-2024")</f>
        <v/>
      </c>
      <c r="Y237">
        <f>HYPERLINK("https://klasma.github.io/Logging_2283/tillsynsmail/A 38096-2024 tillsynsbegäran mail.docx", "A 38096-2024")</f>
        <v/>
      </c>
    </row>
    <row r="238" ht="15" customHeight="1">
      <c r="A238" t="inlineStr">
        <is>
          <t>A 61481-2021</t>
        </is>
      </c>
      <c r="B238" s="1" t="n">
        <v>44500</v>
      </c>
      <c r="C238" s="1" t="n">
        <v>46075</v>
      </c>
      <c r="D238" t="inlineStr">
        <is>
          <t>VÄSTERNORRLANDS LÄN</t>
        </is>
      </c>
      <c r="E238" t="inlineStr">
        <is>
          <t>SOLLEFTEÅ</t>
        </is>
      </c>
      <c r="F238" t="inlineStr">
        <is>
          <t>SCA</t>
        </is>
      </c>
      <c r="G238" t="n">
        <v>6.8</v>
      </c>
      <c r="H238" t="n">
        <v>0</v>
      </c>
      <c r="I238" t="n">
        <v>1</v>
      </c>
      <c r="J238" t="n">
        <v>2</v>
      </c>
      <c r="K238" t="n">
        <v>0</v>
      </c>
      <c r="L238" t="n">
        <v>0</v>
      </c>
      <c r="M238" t="n">
        <v>0</v>
      </c>
      <c r="N238" t="n">
        <v>0</v>
      </c>
      <c r="O238" t="n">
        <v>2</v>
      </c>
      <c r="P238" t="n">
        <v>0</v>
      </c>
      <c r="Q238" t="n">
        <v>3</v>
      </c>
      <c r="R238" s="2" t="inlineStr">
        <is>
          <t>Lunglav
Skrovellav
Kambräken</t>
        </is>
      </c>
      <c r="S238">
        <f>HYPERLINK("https://klasma.github.io/Logging_2283/artfynd/A 61481-2021 artfynd.xlsx", "A 61481-2021")</f>
        <v/>
      </c>
      <c r="T238">
        <f>HYPERLINK("https://klasma.github.io/Logging_2283/kartor/A 61481-2021 karta.png", "A 61481-2021")</f>
        <v/>
      </c>
      <c r="V238">
        <f>HYPERLINK("https://klasma.github.io/Logging_2283/klagomål/A 61481-2021 FSC-klagomål.docx", "A 61481-2021")</f>
        <v/>
      </c>
      <c r="W238">
        <f>HYPERLINK("https://klasma.github.io/Logging_2283/klagomålsmail/A 61481-2021 FSC-klagomål mail.docx", "A 61481-2021")</f>
        <v/>
      </c>
      <c r="X238">
        <f>HYPERLINK("https://klasma.github.io/Logging_2283/tillsyn/A 61481-2021 tillsynsbegäran.docx", "A 61481-2021")</f>
        <v/>
      </c>
      <c r="Y238">
        <f>HYPERLINK("https://klasma.github.io/Logging_2283/tillsynsmail/A 61481-2021 tillsynsbegäran mail.docx", "A 61481-2021")</f>
        <v/>
      </c>
    </row>
    <row r="239" ht="15" customHeight="1">
      <c r="A239" t="inlineStr">
        <is>
          <t>A 751-2026</t>
        </is>
      </c>
      <c r="B239" s="1" t="n">
        <v>46029.67748842593</v>
      </c>
      <c r="C239" s="1" t="n">
        <v>46075</v>
      </c>
      <c r="D239" t="inlineStr">
        <is>
          <t>VÄSTERNORRLANDS LÄN</t>
        </is>
      </c>
      <c r="E239" t="inlineStr">
        <is>
          <t>SOLLEFTEÅ</t>
        </is>
      </c>
      <c r="G239" t="n">
        <v>15.6</v>
      </c>
      <c r="H239" t="n">
        <v>1</v>
      </c>
      <c r="I239" t="n">
        <v>1</v>
      </c>
      <c r="J239" t="n">
        <v>2</v>
      </c>
      <c r="K239" t="n">
        <v>0</v>
      </c>
      <c r="L239" t="n">
        <v>0</v>
      </c>
      <c r="M239" t="n">
        <v>0</v>
      </c>
      <c r="N239" t="n">
        <v>0</v>
      </c>
      <c r="O239" t="n">
        <v>2</v>
      </c>
      <c r="P239" t="n">
        <v>0</v>
      </c>
      <c r="Q239" t="n">
        <v>3</v>
      </c>
      <c r="R239" s="2" t="inlineStr">
        <is>
          <t>Lunglav
Tretåig hackspett
Stuplav</t>
        </is>
      </c>
      <c r="S239">
        <f>HYPERLINK("https://klasma.github.io/Logging_2283/artfynd/A 751-2026 artfynd.xlsx", "A 751-2026")</f>
        <v/>
      </c>
      <c r="T239">
        <f>HYPERLINK("https://klasma.github.io/Logging_2283/kartor/A 751-2026 karta.png", "A 751-2026")</f>
        <v/>
      </c>
      <c r="V239">
        <f>HYPERLINK("https://klasma.github.io/Logging_2283/klagomål/A 751-2026 FSC-klagomål.docx", "A 751-2026")</f>
        <v/>
      </c>
      <c r="W239">
        <f>HYPERLINK("https://klasma.github.io/Logging_2283/klagomålsmail/A 751-2026 FSC-klagomål mail.docx", "A 751-2026")</f>
        <v/>
      </c>
      <c r="X239">
        <f>HYPERLINK("https://klasma.github.io/Logging_2283/tillsyn/A 751-2026 tillsynsbegäran.docx", "A 751-2026")</f>
        <v/>
      </c>
      <c r="Y239">
        <f>HYPERLINK("https://klasma.github.io/Logging_2283/tillsynsmail/A 751-2026 tillsynsbegäran mail.docx", "A 751-2026")</f>
        <v/>
      </c>
      <c r="Z239">
        <f>HYPERLINK("https://klasma.github.io/Logging_2283/fåglar/A 751-2026 prioriterade fågelarter.docx", "A 751-2026")</f>
        <v/>
      </c>
    </row>
    <row r="240" ht="15" customHeight="1">
      <c r="A240" t="inlineStr">
        <is>
          <t>A 8077-2025</t>
        </is>
      </c>
      <c r="B240" s="1" t="n">
        <v>45707.65659722222</v>
      </c>
      <c r="C240" s="1" t="n">
        <v>46075</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46075</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46075</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46075</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46075</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46075</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46075</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46075</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25707-2025</t>
        </is>
      </c>
      <c r="B248" s="1" t="n">
        <v>45803.67806712963</v>
      </c>
      <c r="C248" s="1" t="n">
        <v>46075</v>
      </c>
      <c r="D248" t="inlineStr">
        <is>
          <t>VÄSTERNORRLANDS LÄN</t>
        </is>
      </c>
      <c r="E248" t="inlineStr">
        <is>
          <t>SOLLEFTEÅ</t>
        </is>
      </c>
      <c r="F248" t="inlineStr">
        <is>
          <t>SCA</t>
        </is>
      </c>
      <c r="G248" t="n">
        <v>2.6</v>
      </c>
      <c r="H248" t="n">
        <v>1</v>
      </c>
      <c r="I248" t="n">
        <v>1</v>
      </c>
      <c r="J248" t="n">
        <v>2</v>
      </c>
      <c r="K248" t="n">
        <v>0</v>
      </c>
      <c r="L248" t="n">
        <v>0</v>
      </c>
      <c r="M248" t="n">
        <v>0</v>
      </c>
      <c r="N248" t="n">
        <v>0</v>
      </c>
      <c r="O248" t="n">
        <v>2</v>
      </c>
      <c r="P248" t="n">
        <v>0</v>
      </c>
      <c r="Q248" t="n">
        <v>3</v>
      </c>
      <c r="R248" s="2" t="inlineStr">
        <is>
          <t>Kolflarnlav
Talltita
Norrlandslav</t>
        </is>
      </c>
      <c r="S248">
        <f>HYPERLINK("https://klasma.github.io/Logging_2283/artfynd/A 25707-2025 artfynd.xlsx", "A 25707-2025")</f>
        <v/>
      </c>
      <c r="T248">
        <f>HYPERLINK("https://klasma.github.io/Logging_2283/kartor/A 25707-2025 karta.png", "A 25707-2025")</f>
        <v/>
      </c>
      <c r="V248">
        <f>HYPERLINK("https://klasma.github.io/Logging_2283/klagomål/A 25707-2025 FSC-klagomål.docx", "A 25707-2025")</f>
        <v/>
      </c>
      <c r="W248">
        <f>HYPERLINK("https://klasma.github.io/Logging_2283/klagomålsmail/A 25707-2025 FSC-klagomål mail.docx", "A 25707-2025")</f>
        <v/>
      </c>
      <c r="X248">
        <f>HYPERLINK("https://klasma.github.io/Logging_2283/tillsyn/A 25707-2025 tillsynsbegäran.docx", "A 25707-2025")</f>
        <v/>
      </c>
      <c r="Y248">
        <f>HYPERLINK("https://klasma.github.io/Logging_2283/tillsynsmail/A 25707-2025 tillsynsbegäran mail.docx", "A 25707-2025")</f>
        <v/>
      </c>
      <c r="Z248">
        <f>HYPERLINK("https://klasma.github.io/Logging_2283/fåglar/A 25707-2025 prioriterade fågelarter.docx", "A 25707-2025")</f>
        <v/>
      </c>
    </row>
    <row r="249" ht="15" customHeight="1">
      <c r="A249" t="inlineStr">
        <is>
          <t>A 32256-2024</t>
        </is>
      </c>
      <c r="B249" s="1" t="n">
        <v>45511</v>
      </c>
      <c r="C249" s="1" t="n">
        <v>46075</v>
      </c>
      <c r="D249" t="inlineStr">
        <is>
          <t>VÄSTERNORRLANDS LÄN</t>
        </is>
      </c>
      <c r="E249" t="inlineStr">
        <is>
          <t>SOLLEFTEÅ</t>
        </is>
      </c>
      <c r="F249" t="inlineStr">
        <is>
          <t>SCA</t>
        </is>
      </c>
      <c r="G249" t="n">
        <v>3.9</v>
      </c>
      <c r="H249" t="n">
        <v>1</v>
      </c>
      <c r="I249" t="n">
        <v>1</v>
      </c>
      <c r="J249" t="n">
        <v>2</v>
      </c>
      <c r="K249" t="n">
        <v>0</v>
      </c>
      <c r="L249" t="n">
        <v>0</v>
      </c>
      <c r="M249" t="n">
        <v>0</v>
      </c>
      <c r="N249" t="n">
        <v>0</v>
      </c>
      <c r="O249" t="n">
        <v>2</v>
      </c>
      <c r="P249" t="n">
        <v>0</v>
      </c>
      <c r="Q249" t="n">
        <v>3</v>
      </c>
      <c r="R249" s="2" t="inlineStr">
        <is>
          <t>Tretåig hackspett
Vedtrappmossa
Fjällig taggsvamp s.str.</t>
        </is>
      </c>
      <c r="S249">
        <f>HYPERLINK("https://klasma.github.io/Logging_2283/artfynd/A 32256-2024 artfynd.xlsx", "A 32256-2024")</f>
        <v/>
      </c>
      <c r="T249">
        <f>HYPERLINK("https://klasma.github.io/Logging_2283/kartor/A 32256-2024 karta.png", "A 32256-2024")</f>
        <v/>
      </c>
      <c r="V249">
        <f>HYPERLINK("https://klasma.github.io/Logging_2283/klagomål/A 32256-2024 FSC-klagomål.docx", "A 32256-2024")</f>
        <v/>
      </c>
      <c r="W249">
        <f>HYPERLINK("https://klasma.github.io/Logging_2283/klagomålsmail/A 32256-2024 FSC-klagomål mail.docx", "A 32256-2024")</f>
        <v/>
      </c>
      <c r="X249">
        <f>HYPERLINK("https://klasma.github.io/Logging_2283/tillsyn/A 32256-2024 tillsynsbegäran.docx", "A 32256-2024")</f>
        <v/>
      </c>
      <c r="Y249">
        <f>HYPERLINK("https://klasma.github.io/Logging_2283/tillsynsmail/A 32256-2024 tillsynsbegäran mail.docx", "A 32256-2024")</f>
        <v/>
      </c>
      <c r="Z249">
        <f>HYPERLINK("https://klasma.github.io/Logging_2283/fåglar/A 32256-2024 prioriterade fågelarter.docx", "A 32256-2024")</f>
        <v/>
      </c>
    </row>
    <row r="250" ht="15" customHeight="1">
      <c r="A250" t="inlineStr">
        <is>
          <t>A 13059-2022</t>
        </is>
      </c>
      <c r="B250" s="1" t="n">
        <v>44643</v>
      </c>
      <c r="C250" s="1" t="n">
        <v>46075</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46075</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46075</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46075</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46075</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46075</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46075</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46075</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46075</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46075</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46075</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46075</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46075</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46075</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46075</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46075</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46075</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46075</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27644-2024</t>
        </is>
      </c>
      <c r="B268" s="1" t="n">
        <v>45474</v>
      </c>
      <c r="C268" s="1" t="n">
        <v>46075</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11578-2025</t>
        </is>
      </c>
      <c r="B269" s="1" t="n">
        <v>45727.38609953703</v>
      </c>
      <c r="C269" s="1" t="n">
        <v>46075</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38911-2025</t>
        </is>
      </c>
      <c r="B270" s="1" t="n">
        <v>45887.61534722222</v>
      </c>
      <c r="C270" s="1" t="n">
        <v>46075</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29264-2024</t>
        </is>
      </c>
      <c r="B271" s="1" t="n">
        <v>45482</v>
      </c>
      <c r="C271" s="1" t="n">
        <v>46075</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27983-2021</t>
        </is>
      </c>
      <c r="B272" s="1" t="n">
        <v>44354</v>
      </c>
      <c r="C272" s="1" t="n">
        <v>46075</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30972-2025</t>
        </is>
      </c>
      <c r="B273" s="1" t="n">
        <v>45832.4615625</v>
      </c>
      <c r="C273" s="1" t="n">
        <v>46075</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46075</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32738-2025</t>
        </is>
      </c>
      <c r="B275" s="1" t="n">
        <v>45839.41827546297</v>
      </c>
      <c r="C275" s="1" t="n">
        <v>46075</v>
      </c>
      <c r="D275" t="inlineStr">
        <is>
          <t>VÄSTERNORRLANDS LÄN</t>
        </is>
      </c>
      <c r="E275" t="inlineStr">
        <is>
          <t>SOLLEFTEÅ</t>
        </is>
      </c>
      <c r="G275" t="n">
        <v>3.1</v>
      </c>
      <c r="H275" t="n">
        <v>2</v>
      </c>
      <c r="I275" t="n">
        <v>0</v>
      </c>
      <c r="J275" t="n">
        <v>1</v>
      </c>
      <c r="K275" t="n">
        <v>0</v>
      </c>
      <c r="L275" t="n">
        <v>0</v>
      </c>
      <c r="M275" t="n">
        <v>0</v>
      </c>
      <c r="N275" t="n">
        <v>0</v>
      </c>
      <c r="O275" t="n">
        <v>1</v>
      </c>
      <c r="P275" t="n">
        <v>0</v>
      </c>
      <c r="Q275" t="n">
        <v>2</v>
      </c>
      <c r="R275" s="2" t="inlineStr">
        <is>
          <t>Spillkråka
Tjäder</t>
        </is>
      </c>
      <c r="S275">
        <f>HYPERLINK("https://klasma.github.io/Logging_2283/artfynd/A 32738-2025 artfynd.xlsx", "A 32738-2025")</f>
        <v/>
      </c>
      <c r="T275">
        <f>HYPERLINK("https://klasma.github.io/Logging_2283/kartor/A 32738-2025 karta.png", "A 32738-2025")</f>
        <v/>
      </c>
      <c r="V275">
        <f>HYPERLINK("https://klasma.github.io/Logging_2283/klagomål/A 32738-2025 FSC-klagomål.docx", "A 32738-2025")</f>
        <v/>
      </c>
      <c r="W275">
        <f>HYPERLINK("https://klasma.github.io/Logging_2283/klagomålsmail/A 32738-2025 FSC-klagomål mail.docx", "A 32738-2025")</f>
        <v/>
      </c>
      <c r="X275">
        <f>HYPERLINK("https://klasma.github.io/Logging_2283/tillsyn/A 32738-2025 tillsynsbegäran.docx", "A 32738-2025")</f>
        <v/>
      </c>
      <c r="Y275">
        <f>HYPERLINK("https://klasma.github.io/Logging_2283/tillsynsmail/A 32738-2025 tillsynsbegäran mail.docx", "A 32738-2025")</f>
        <v/>
      </c>
      <c r="Z275">
        <f>HYPERLINK("https://klasma.github.io/Logging_2283/fåglar/A 32738-2025 prioriterade fågelarter.docx", "A 32738-2025")</f>
        <v/>
      </c>
    </row>
    <row r="276" ht="15" customHeight="1">
      <c r="A276" t="inlineStr">
        <is>
          <t>A 50751-2024</t>
        </is>
      </c>
      <c r="B276" s="1" t="n">
        <v>45602</v>
      </c>
      <c r="C276" s="1" t="n">
        <v>46075</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36912-2024</t>
        </is>
      </c>
      <c r="B277" s="1" t="n">
        <v>45538.63604166666</v>
      </c>
      <c r="C277" s="1" t="n">
        <v>46075</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36563-2025</t>
        </is>
      </c>
      <c r="B278" s="1" t="n">
        <v>45870.37332175926</v>
      </c>
      <c r="C278" s="1" t="n">
        <v>46075</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47216-2025</t>
        </is>
      </c>
      <c r="B279" s="1" t="n">
        <v>45930.38612268519</v>
      </c>
      <c r="C279" s="1" t="n">
        <v>46075</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7108-2024</t>
        </is>
      </c>
      <c r="B280" s="1" t="n">
        <v>45343</v>
      </c>
      <c r="C280" s="1" t="n">
        <v>46075</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13743-2025</t>
        </is>
      </c>
      <c r="B281" s="1" t="n">
        <v>45737.40663194445</v>
      </c>
      <c r="C281" s="1" t="n">
        <v>46075</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46075</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46075</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46075</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20836-2021</t>
        </is>
      </c>
      <c r="B285" s="1" t="n">
        <v>44318</v>
      </c>
      <c r="C285" s="1" t="n">
        <v>46075</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38017-2024</t>
        </is>
      </c>
      <c r="B286" s="1" t="n">
        <v>45544</v>
      </c>
      <c r="C286" s="1" t="n">
        <v>46075</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34814-2024</t>
        </is>
      </c>
      <c r="B287" s="1" t="n">
        <v>45526.70703703703</v>
      </c>
      <c r="C287" s="1" t="n">
        <v>46075</v>
      </c>
      <c r="D287" t="inlineStr">
        <is>
          <t>VÄSTERNORRLANDS LÄN</t>
        </is>
      </c>
      <c r="E287" t="inlineStr">
        <is>
          <t>SOLLEFTEÅ</t>
        </is>
      </c>
      <c r="F287" t="inlineStr">
        <is>
          <t>SCA</t>
        </is>
      </c>
      <c r="G287" t="n">
        <v>6.9</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34814-2024 artfynd.xlsx", "A 34814-2024")</f>
        <v/>
      </c>
      <c r="T287">
        <f>HYPERLINK("https://klasma.github.io/Logging_2283/kartor/A 34814-2024 karta.png", "A 34814-2024")</f>
        <v/>
      </c>
      <c r="V287">
        <f>HYPERLINK("https://klasma.github.io/Logging_2283/klagomål/A 34814-2024 FSC-klagomål.docx", "A 34814-2024")</f>
        <v/>
      </c>
      <c r="W287">
        <f>HYPERLINK("https://klasma.github.io/Logging_2283/klagomålsmail/A 34814-2024 FSC-klagomål mail.docx", "A 34814-2024")</f>
        <v/>
      </c>
      <c r="X287">
        <f>HYPERLINK("https://klasma.github.io/Logging_2283/tillsyn/A 34814-2024 tillsynsbegäran.docx", "A 34814-2024")</f>
        <v/>
      </c>
      <c r="Y287">
        <f>HYPERLINK("https://klasma.github.io/Logging_2283/tillsynsmail/A 34814-2024 tillsynsbegäran mail.docx", "A 34814-2024")</f>
        <v/>
      </c>
    </row>
    <row r="288" ht="15" customHeight="1">
      <c r="A288" t="inlineStr">
        <is>
          <t>A 17377-2021</t>
        </is>
      </c>
      <c r="B288" s="1" t="n">
        <v>44298</v>
      </c>
      <c r="C288" s="1" t="n">
        <v>46075</v>
      </c>
      <c r="D288" t="inlineStr">
        <is>
          <t>VÄSTERNORRLANDS LÄN</t>
        </is>
      </c>
      <c r="E288" t="inlineStr">
        <is>
          <t>SOLLEFTEÅ</t>
        </is>
      </c>
      <c r="G288" t="n">
        <v>5.1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17377-2021 artfynd.xlsx", "A 17377-2021")</f>
        <v/>
      </c>
      <c r="T288">
        <f>HYPERLINK("https://klasma.github.io/Logging_2283/kartor/A 17377-2021 karta.png", "A 17377-2021")</f>
        <v/>
      </c>
      <c r="V288">
        <f>HYPERLINK("https://klasma.github.io/Logging_2283/klagomål/A 17377-2021 FSC-klagomål.docx", "A 17377-2021")</f>
        <v/>
      </c>
      <c r="W288">
        <f>HYPERLINK("https://klasma.github.io/Logging_2283/klagomålsmail/A 17377-2021 FSC-klagomål mail.docx", "A 17377-2021")</f>
        <v/>
      </c>
      <c r="X288">
        <f>HYPERLINK("https://klasma.github.io/Logging_2283/tillsyn/A 17377-2021 tillsynsbegäran.docx", "A 17377-2021")</f>
        <v/>
      </c>
      <c r="Y288">
        <f>HYPERLINK("https://klasma.github.io/Logging_2283/tillsynsmail/A 17377-2021 tillsynsbegäran mail.docx", "A 17377-2021")</f>
        <v/>
      </c>
      <c r="Z288">
        <f>HYPERLINK("https://klasma.github.io/Logging_2283/fåglar/A 17377-2021 prioriterade fågelarter.docx", "A 17377-2021")</f>
        <v/>
      </c>
    </row>
    <row r="289" ht="15" customHeight="1">
      <c r="A289" t="inlineStr">
        <is>
          <t>A 54153-2021</t>
        </is>
      </c>
      <c r="B289" s="1" t="n">
        <v>44469</v>
      </c>
      <c r="C289" s="1" t="n">
        <v>46075</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60255-2025</t>
        </is>
      </c>
      <c r="B290" s="1" t="n">
        <v>45994.60180555555</v>
      </c>
      <c r="C290" s="1" t="n">
        <v>46075</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20347-2025</t>
        </is>
      </c>
      <c r="B291" s="1" t="n">
        <v>45775</v>
      </c>
      <c r="C291" s="1" t="n">
        <v>46075</v>
      </c>
      <c r="D291" t="inlineStr">
        <is>
          <t>VÄSTERNORRLANDS LÄN</t>
        </is>
      </c>
      <c r="E291" t="inlineStr">
        <is>
          <t>SOLLEFTEÅ</t>
        </is>
      </c>
      <c r="G291" t="n">
        <v>8.699999999999999</v>
      </c>
      <c r="H291" t="n">
        <v>1</v>
      </c>
      <c r="I291" t="n">
        <v>1</v>
      </c>
      <c r="J291" t="n">
        <v>0</v>
      </c>
      <c r="K291" t="n">
        <v>0</v>
      </c>
      <c r="L291" t="n">
        <v>0</v>
      </c>
      <c r="M291" t="n">
        <v>0</v>
      </c>
      <c r="N291" t="n">
        <v>0</v>
      </c>
      <c r="O291" t="n">
        <v>0</v>
      </c>
      <c r="P291" t="n">
        <v>0</v>
      </c>
      <c r="Q291" t="n">
        <v>2</v>
      </c>
      <c r="R291" s="2" t="inlineStr">
        <is>
          <t>Gräsull
Fläcknycklar</t>
        </is>
      </c>
      <c r="S291">
        <f>HYPERLINK("https://klasma.github.io/Logging_2283/artfynd/A 20347-2025 artfynd.xlsx", "A 20347-2025")</f>
        <v/>
      </c>
      <c r="T291">
        <f>HYPERLINK("https://klasma.github.io/Logging_2283/kartor/A 20347-2025 karta.png", "A 20347-2025")</f>
        <v/>
      </c>
      <c r="V291">
        <f>HYPERLINK("https://klasma.github.io/Logging_2283/klagomål/A 20347-2025 FSC-klagomål.docx", "A 20347-2025")</f>
        <v/>
      </c>
      <c r="W291">
        <f>HYPERLINK("https://klasma.github.io/Logging_2283/klagomålsmail/A 20347-2025 FSC-klagomål mail.docx", "A 20347-2025")</f>
        <v/>
      </c>
      <c r="X291">
        <f>HYPERLINK("https://klasma.github.io/Logging_2283/tillsyn/A 20347-2025 tillsynsbegäran.docx", "A 20347-2025")</f>
        <v/>
      </c>
      <c r="Y291">
        <f>HYPERLINK("https://klasma.github.io/Logging_2283/tillsynsmail/A 20347-2025 tillsynsbegäran mail.docx", "A 20347-2025")</f>
        <v/>
      </c>
    </row>
    <row r="292" ht="15" customHeight="1">
      <c r="A292" t="inlineStr">
        <is>
          <t>A 60596-2025</t>
        </is>
      </c>
      <c r="B292" s="1" t="n">
        <v>45996.34466435185</v>
      </c>
      <c r="C292" s="1" t="n">
        <v>46075</v>
      </c>
      <c r="D292" t="inlineStr">
        <is>
          <t>VÄSTERNORRLANDS LÄN</t>
        </is>
      </c>
      <c r="E292" t="inlineStr">
        <is>
          <t>SOLLEFTEÅ</t>
        </is>
      </c>
      <c r="F292" t="inlineStr">
        <is>
          <t>SCA</t>
        </is>
      </c>
      <c r="G292" t="n">
        <v>2.1</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60596-2025 artfynd.xlsx", "A 60596-2025")</f>
        <v/>
      </c>
      <c r="T292">
        <f>HYPERLINK("https://klasma.github.io/Logging_2283/kartor/A 60596-2025 karta.png", "A 60596-2025")</f>
        <v/>
      </c>
      <c r="V292">
        <f>HYPERLINK("https://klasma.github.io/Logging_2283/klagomål/A 60596-2025 FSC-klagomål.docx", "A 60596-2025")</f>
        <v/>
      </c>
      <c r="W292">
        <f>HYPERLINK("https://klasma.github.io/Logging_2283/klagomålsmail/A 60596-2025 FSC-klagomål mail.docx", "A 60596-2025")</f>
        <v/>
      </c>
      <c r="X292">
        <f>HYPERLINK("https://klasma.github.io/Logging_2283/tillsyn/A 60596-2025 tillsynsbegäran.docx", "A 60596-2025")</f>
        <v/>
      </c>
      <c r="Y292">
        <f>HYPERLINK("https://klasma.github.io/Logging_2283/tillsynsmail/A 60596-2025 tillsynsbegäran mail.docx", "A 60596-2025")</f>
        <v/>
      </c>
    </row>
    <row r="293" ht="15" customHeight="1">
      <c r="A293" t="inlineStr">
        <is>
          <t>A 61511-2025</t>
        </is>
      </c>
      <c r="B293" s="1" t="n">
        <v>46001.68375</v>
      </c>
      <c r="C293" s="1" t="n">
        <v>46075</v>
      </c>
      <c r="D293" t="inlineStr">
        <is>
          <t>VÄSTERNORRLANDS LÄN</t>
        </is>
      </c>
      <c r="E293" t="inlineStr">
        <is>
          <t>SOLLEFTEÅ</t>
        </is>
      </c>
      <c r="F293" t="inlineStr">
        <is>
          <t>SCA</t>
        </is>
      </c>
      <c r="G293" t="n">
        <v>5.7</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61511-2025 artfynd.xlsx", "A 61511-2025")</f>
        <v/>
      </c>
      <c r="T293">
        <f>HYPERLINK("https://klasma.github.io/Logging_2283/kartor/A 61511-2025 karta.png", "A 61511-2025")</f>
        <v/>
      </c>
      <c r="V293">
        <f>HYPERLINK("https://klasma.github.io/Logging_2283/klagomål/A 61511-2025 FSC-klagomål.docx", "A 61511-2025")</f>
        <v/>
      </c>
      <c r="W293">
        <f>HYPERLINK("https://klasma.github.io/Logging_2283/klagomålsmail/A 61511-2025 FSC-klagomål mail.docx", "A 61511-2025")</f>
        <v/>
      </c>
      <c r="X293">
        <f>HYPERLINK("https://klasma.github.io/Logging_2283/tillsyn/A 61511-2025 tillsynsbegäran.docx", "A 61511-2025")</f>
        <v/>
      </c>
      <c r="Y293">
        <f>HYPERLINK("https://klasma.github.io/Logging_2283/tillsynsmail/A 61511-2025 tillsynsbegäran mail.docx", "A 61511-2025")</f>
        <v/>
      </c>
    </row>
    <row r="294" ht="15" customHeight="1">
      <c r="A294" t="inlineStr">
        <is>
          <t>A 20329-2025</t>
        </is>
      </c>
      <c r="B294" s="1" t="n">
        <v>45775</v>
      </c>
      <c r="C294" s="1" t="n">
        <v>46075</v>
      </c>
      <c r="D294" t="inlineStr">
        <is>
          <t>VÄSTERNORRLANDS LÄN</t>
        </is>
      </c>
      <c r="E294" t="inlineStr">
        <is>
          <t>SOLLEFTEÅ</t>
        </is>
      </c>
      <c r="G294" t="n">
        <v>9.5</v>
      </c>
      <c r="H294" t="n">
        <v>2</v>
      </c>
      <c r="I294" t="n">
        <v>1</v>
      </c>
      <c r="J294" t="n">
        <v>0</v>
      </c>
      <c r="K294" t="n">
        <v>0</v>
      </c>
      <c r="L294" t="n">
        <v>0</v>
      </c>
      <c r="M294" t="n">
        <v>0</v>
      </c>
      <c r="N294" t="n">
        <v>0</v>
      </c>
      <c r="O294" t="n">
        <v>0</v>
      </c>
      <c r="P294" t="n">
        <v>0</v>
      </c>
      <c r="Q294" t="n">
        <v>2</v>
      </c>
      <c r="R294" s="2" t="inlineStr">
        <is>
          <t>Tvåblad
Fläcknycklar</t>
        </is>
      </c>
      <c r="S294">
        <f>HYPERLINK("https://klasma.github.io/Logging_2283/artfynd/A 20329-2025 artfynd.xlsx", "A 20329-2025")</f>
        <v/>
      </c>
      <c r="T294">
        <f>HYPERLINK("https://klasma.github.io/Logging_2283/kartor/A 20329-2025 karta.png", "A 20329-2025")</f>
        <v/>
      </c>
      <c r="V294">
        <f>HYPERLINK("https://klasma.github.io/Logging_2283/klagomål/A 20329-2025 FSC-klagomål.docx", "A 20329-2025")</f>
        <v/>
      </c>
      <c r="W294">
        <f>HYPERLINK("https://klasma.github.io/Logging_2283/klagomålsmail/A 20329-2025 FSC-klagomål mail.docx", "A 20329-2025")</f>
        <v/>
      </c>
      <c r="X294">
        <f>HYPERLINK("https://klasma.github.io/Logging_2283/tillsyn/A 20329-2025 tillsynsbegäran.docx", "A 20329-2025")</f>
        <v/>
      </c>
      <c r="Y294">
        <f>HYPERLINK("https://klasma.github.io/Logging_2283/tillsynsmail/A 20329-2025 tillsynsbegäran mail.docx", "A 20329-2025")</f>
        <v/>
      </c>
    </row>
    <row r="295" ht="15" customHeight="1">
      <c r="A295" t="inlineStr">
        <is>
          <t>A 5111-2026</t>
        </is>
      </c>
      <c r="B295" s="1" t="n">
        <v>46049.57377314815</v>
      </c>
      <c r="C295" s="1" t="n">
        <v>46075</v>
      </c>
      <c r="D295" t="inlineStr">
        <is>
          <t>VÄSTERNORRLANDS LÄN</t>
        </is>
      </c>
      <c r="E295" t="inlineStr">
        <is>
          <t>SOLLEFTEÅ</t>
        </is>
      </c>
      <c r="F295" t="inlineStr">
        <is>
          <t>SCA</t>
        </is>
      </c>
      <c r="G295" t="n">
        <v>4.4</v>
      </c>
      <c r="H295" t="n">
        <v>0</v>
      </c>
      <c r="I295" t="n">
        <v>0</v>
      </c>
      <c r="J295" t="n">
        <v>2</v>
      </c>
      <c r="K295" t="n">
        <v>0</v>
      </c>
      <c r="L295" t="n">
        <v>0</v>
      </c>
      <c r="M295" t="n">
        <v>0</v>
      </c>
      <c r="N295" t="n">
        <v>0</v>
      </c>
      <c r="O295" t="n">
        <v>2</v>
      </c>
      <c r="P295" t="n">
        <v>0</v>
      </c>
      <c r="Q295" t="n">
        <v>2</v>
      </c>
      <c r="R295" s="2" t="inlineStr">
        <is>
          <t>Lunglav
Ullticka</t>
        </is>
      </c>
      <c r="S295">
        <f>HYPERLINK("https://klasma.github.io/Logging_2283/artfynd/A 5111-2026 artfynd.xlsx", "A 5111-2026")</f>
        <v/>
      </c>
      <c r="T295">
        <f>HYPERLINK("https://klasma.github.io/Logging_2283/kartor/A 5111-2026 karta.png", "A 5111-2026")</f>
        <v/>
      </c>
      <c r="V295">
        <f>HYPERLINK("https://klasma.github.io/Logging_2283/klagomål/A 5111-2026 FSC-klagomål.docx", "A 5111-2026")</f>
        <v/>
      </c>
      <c r="W295">
        <f>HYPERLINK("https://klasma.github.io/Logging_2283/klagomålsmail/A 5111-2026 FSC-klagomål mail.docx", "A 5111-2026")</f>
        <v/>
      </c>
      <c r="X295">
        <f>HYPERLINK("https://klasma.github.io/Logging_2283/tillsyn/A 5111-2026 tillsynsbegäran.docx", "A 5111-2026")</f>
        <v/>
      </c>
      <c r="Y295">
        <f>HYPERLINK("https://klasma.github.io/Logging_2283/tillsynsmail/A 5111-2026 tillsynsbegäran mail.docx", "A 5111-2026")</f>
        <v/>
      </c>
    </row>
    <row r="296" ht="15" customHeight="1">
      <c r="A296" t="inlineStr">
        <is>
          <t>A 2515-2024</t>
        </is>
      </c>
      <c r="B296" s="1" t="n">
        <v>45313</v>
      </c>
      <c r="C296" s="1" t="n">
        <v>46075</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59997-2024</t>
        </is>
      </c>
      <c r="B297" s="1" t="n">
        <v>45642.40715277778</v>
      </c>
      <c r="C297" s="1" t="n">
        <v>46075</v>
      </c>
      <c r="D297" t="inlineStr">
        <is>
          <t>VÄSTERNORRLANDS LÄN</t>
        </is>
      </c>
      <c r="E297" t="inlineStr">
        <is>
          <t>SOLLEFTEÅ</t>
        </is>
      </c>
      <c r="F297" t="inlineStr">
        <is>
          <t>SCA</t>
        </is>
      </c>
      <c r="G297" t="n">
        <v>2.8</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59997-2024 artfynd.xlsx", "A 59997-2024")</f>
        <v/>
      </c>
      <c r="T297">
        <f>HYPERLINK("https://klasma.github.io/Logging_2283/kartor/A 59997-2024 karta.png", "A 59997-2024")</f>
        <v/>
      </c>
      <c r="U297">
        <f>HYPERLINK("https://klasma.github.io/Logging_2283/knärot/A 59997-2024 karta knärot.png", "A 59997-2024")</f>
        <v/>
      </c>
      <c r="V297">
        <f>HYPERLINK("https://klasma.github.io/Logging_2283/klagomål/A 59997-2024 FSC-klagomål.docx", "A 59997-2024")</f>
        <v/>
      </c>
      <c r="W297">
        <f>HYPERLINK("https://klasma.github.io/Logging_2283/klagomålsmail/A 59997-2024 FSC-klagomål mail.docx", "A 59997-2024")</f>
        <v/>
      </c>
      <c r="X297">
        <f>HYPERLINK("https://klasma.github.io/Logging_2283/tillsyn/A 59997-2024 tillsynsbegäran.docx", "A 59997-2024")</f>
        <v/>
      </c>
      <c r="Y297">
        <f>HYPERLINK("https://klasma.github.io/Logging_2283/tillsynsmail/A 59997-2024 tillsynsbegäran mail.docx", "A 59997-2024")</f>
        <v/>
      </c>
    </row>
    <row r="298" ht="15" customHeight="1">
      <c r="A298" t="inlineStr">
        <is>
          <t>A 8615-2026</t>
        </is>
      </c>
      <c r="B298" s="1" t="n">
        <v>46065.91516203704</v>
      </c>
      <c r="C298" s="1" t="n">
        <v>46075</v>
      </c>
      <c r="D298" t="inlineStr">
        <is>
          <t>VÄSTERNORRLANDS LÄN</t>
        </is>
      </c>
      <c r="E298" t="inlineStr">
        <is>
          <t>SOLLEFTEÅ</t>
        </is>
      </c>
      <c r="G298" t="n">
        <v>4.5</v>
      </c>
      <c r="H298" t="n">
        <v>0</v>
      </c>
      <c r="I298" t="n">
        <v>1</v>
      </c>
      <c r="J298" t="n">
        <v>1</v>
      </c>
      <c r="K298" t="n">
        <v>0</v>
      </c>
      <c r="L298" t="n">
        <v>0</v>
      </c>
      <c r="M298" t="n">
        <v>0</v>
      </c>
      <c r="N298" t="n">
        <v>0</v>
      </c>
      <c r="O298" t="n">
        <v>1</v>
      </c>
      <c r="P298" t="n">
        <v>0</v>
      </c>
      <c r="Q298" t="n">
        <v>2</v>
      </c>
      <c r="R298" s="2" t="inlineStr">
        <is>
          <t>Granticka
Springkorn</t>
        </is>
      </c>
      <c r="S298">
        <f>HYPERLINK("https://klasma.github.io/Logging_2283/artfynd/A 8615-2026 artfynd.xlsx", "A 8615-2026")</f>
        <v/>
      </c>
      <c r="T298">
        <f>HYPERLINK("https://klasma.github.io/Logging_2283/kartor/A 8615-2026 karta.png", "A 8615-2026")</f>
        <v/>
      </c>
      <c r="V298">
        <f>HYPERLINK("https://klasma.github.io/Logging_2283/klagomål/A 8615-2026 FSC-klagomål.docx", "A 8615-2026")</f>
        <v/>
      </c>
      <c r="W298">
        <f>HYPERLINK("https://klasma.github.io/Logging_2283/klagomålsmail/A 8615-2026 FSC-klagomål mail.docx", "A 8615-2026")</f>
        <v/>
      </c>
      <c r="X298">
        <f>HYPERLINK("https://klasma.github.io/Logging_2283/tillsyn/A 8615-2026 tillsynsbegäran.docx", "A 8615-2026")</f>
        <v/>
      </c>
      <c r="Y298">
        <f>HYPERLINK("https://klasma.github.io/Logging_2283/tillsynsmail/A 8615-2026 tillsynsbegäran mail.docx", "A 8615-2026")</f>
        <v/>
      </c>
    </row>
    <row r="299" ht="15" customHeight="1">
      <c r="A299" t="inlineStr">
        <is>
          <t>A 45083-2022</t>
        </is>
      </c>
      <c r="B299" s="1" t="n">
        <v>44841</v>
      </c>
      <c r="C299" s="1" t="n">
        <v>46075</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46075</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46075</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46075</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46075</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46075</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46075</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21742-2025</t>
        </is>
      </c>
      <c r="B306" s="1" t="n">
        <v>45783.59428240741</v>
      </c>
      <c r="C306" s="1" t="n">
        <v>46075</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21485-2025</t>
        </is>
      </c>
      <c r="B307" s="1" t="n">
        <v>45782.59512731482</v>
      </c>
      <c r="C307" s="1" t="n">
        <v>46075</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34812-2024</t>
        </is>
      </c>
      <c r="B308" s="1" t="n">
        <v>45526</v>
      </c>
      <c r="C308" s="1" t="n">
        <v>46075</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46075</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22518-2025</t>
        </is>
      </c>
      <c r="B310" s="1" t="n">
        <v>45786.67831018518</v>
      </c>
      <c r="C310" s="1" t="n">
        <v>46075</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22808-2025</t>
        </is>
      </c>
      <c r="B311" s="1" t="n">
        <v>45789</v>
      </c>
      <c r="C311" s="1" t="n">
        <v>46075</v>
      </c>
      <c r="D311" t="inlineStr">
        <is>
          <t>VÄSTERNORRLANDS LÄN</t>
        </is>
      </c>
      <c r="E311" t="inlineStr">
        <is>
          <t>SOLLEFTEÅ</t>
        </is>
      </c>
      <c r="G311" t="n">
        <v>0.7</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22808-2025 artfynd.xlsx", "A 22808-2025")</f>
        <v/>
      </c>
      <c r="T311">
        <f>HYPERLINK("https://klasma.github.io/Logging_2283/kartor/A 22808-2025 karta.png", "A 22808-2025")</f>
        <v/>
      </c>
      <c r="V311">
        <f>HYPERLINK("https://klasma.github.io/Logging_2283/klagomål/A 22808-2025 FSC-klagomål.docx", "A 22808-2025")</f>
        <v/>
      </c>
      <c r="W311">
        <f>HYPERLINK("https://klasma.github.io/Logging_2283/klagomålsmail/A 22808-2025 FSC-klagomål mail.docx", "A 22808-2025")</f>
        <v/>
      </c>
      <c r="X311">
        <f>HYPERLINK("https://klasma.github.io/Logging_2283/tillsyn/A 22808-2025 tillsynsbegäran.docx", "A 22808-2025")</f>
        <v/>
      </c>
      <c r="Y311">
        <f>HYPERLINK("https://klasma.github.io/Logging_2283/tillsynsmail/A 22808-2025 tillsynsbegäran mail.docx", "A 22808-2025")</f>
        <v/>
      </c>
    </row>
    <row r="312" ht="15" customHeight="1">
      <c r="A312" t="inlineStr">
        <is>
          <t>A 25522-2025</t>
        </is>
      </c>
      <c r="B312" s="1" t="n">
        <v>45803.38619212963</v>
      </c>
      <c r="C312" s="1" t="n">
        <v>46075</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46075</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46075</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46075</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46075</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46075</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46075</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46075</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46075</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46075</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46075</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46075</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46075</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53039-2023</t>
        </is>
      </c>
      <c r="B325" s="1" t="n">
        <v>45226</v>
      </c>
      <c r="C325" s="1" t="n">
        <v>46075</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Nordfladdermus</t>
        </is>
      </c>
      <c r="S325">
        <f>HYPERLINK("https://klasma.github.io/Logging_2283/artfynd/A 53039-2023 artfynd.xlsx", "A 53039-2023")</f>
        <v/>
      </c>
      <c r="T325">
        <f>HYPERLINK("https://klasma.github.io/Logging_2283/kartor/A 53039-2023 karta.png", "A 53039-2023")</f>
        <v/>
      </c>
      <c r="V325">
        <f>HYPERLINK("https://klasma.github.io/Logging_2283/klagomål/A 53039-2023 FSC-klagomål.docx", "A 53039-2023")</f>
        <v/>
      </c>
      <c r="W325">
        <f>HYPERLINK("https://klasma.github.io/Logging_2283/klagomålsmail/A 53039-2023 FSC-klagomål mail.docx", "A 53039-2023")</f>
        <v/>
      </c>
      <c r="X325">
        <f>HYPERLINK("https://klasma.github.io/Logging_2283/tillsyn/A 53039-2023 tillsynsbegäran.docx", "A 53039-2023")</f>
        <v/>
      </c>
      <c r="Y325">
        <f>HYPERLINK("https://klasma.github.io/Logging_2283/tillsynsmail/A 53039-2023 tillsynsbegäran mail.docx", "A 53039-2023")</f>
        <v/>
      </c>
    </row>
    <row r="326" ht="15" customHeight="1">
      <c r="A326" t="inlineStr">
        <is>
          <t>A 48087-2023</t>
        </is>
      </c>
      <c r="B326" s="1" t="n">
        <v>45204</v>
      </c>
      <c r="C326" s="1" t="n">
        <v>46075</v>
      </c>
      <c r="D326" t="inlineStr">
        <is>
          <t>VÄSTERNORRLANDS LÄN</t>
        </is>
      </c>
      <c r="E326" t="inlineStr">
        <is>
          <t>SOLLEFTEÅ</t>
        </is>
      </c>
      <c r="F326" t="inlineStr">
        <is>
          <t>SCA</t>
        </is>
      </c>
      <c r="G326" t="n">
        <v>0.6</v>
      </c>
      <c r="H326" t="n">
        <v>0</v>
      </c>
      <c r="I326" t="n">
        <v>0</v>
      </c>
      <c r="J326" t="n">
        <v>1</v>
      </c>
      <c r="K326" t="n">
        <v>0</v>
      </c>
      <c r="L326" t="n">
        <v>0</v>
      </c>
      <c r="M326" t="n">
        <v>0</v>
      </c>
      <c r="N326" t="n">
        <v>0</v>
      </c>
      <c r="O326" t="n">
        <v>1</v>
      </c>
      <c r="P326" t="n">
        <v>0</v>
      </c>
      <c r="Q326" t="n">
        <v>1</v>
      </c>
      <c r="R326" s="2" t="inlineStr">
        <is>
          <t>Doftskinn</t>
        </is>
      </c>
      <c r="S326">
        <f>HYPERLINK("https://klasma.github.io/Logging_2283/artfynd/A 48087-2023 artfynd.xlsx", "A 48087-2023")</f>
        <v/>
      </c>
      <c r="T326">
        <f>HYPERLINK("https://klasma.github.io/Logging_2283/kartor/A 48087-2023 karta.png", "A 48087-2023")</f>
        <v/>
      </c>
      <c r="V326">
        <f>HYPERLINK("https://klasma.github.io/Logging_2283/klagomål/A 48087-2023 FSC-klagomål.docx", "A 48087-2023")</f>
        <v/>
      </c>
      <c r="W326">
        <f>HYPERLINK("https://klasma.github.io/Logging_2283/klagomålsmail/A 48087-2023 FSC-klagomål mail.docx", "A 48087-2023")</f>
        <v/>
      </c>
      <c r="X326">
        <f>HYPERLINK("https://klasma.github.io/Logging_2283/tillsyn/A 48087-2023 tillsynsbegäran.docx", "A 48087-2023")</f>
        <v/>
      </c>
      <c r="Y326">
        <f>HYPERLINK("https://klasma.github.io/Logging_2283/tillsynsmail/A 48087-2023 tillsynsbegäran mail.docx", "A 48087-2023")</f>
        <v/>
      </c>
    </row>
    <row r="327" ht="15" customHeight="1">
      <c r="A327" t="inlineStr">
        <is>
          <t>A 3959-2024</t>
        </is>
      </c>
      <c r="B327" s="1" t="n">
        <v>45322</v>
      </c>
      <c r="C327" s="1" t="n">
        <v>46075</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11667-2025</t>
        </is>
      </c>
      <c r="B328" s="1" t="n">
        <v>45727.51074074074</v>
      </c>
      <c r="C328" s="1" t="n">
        <v>46075</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25310-2023</t>
        </is>
      </c>
      <c r="B329" s="1" t="n">
        <v>45086</v>
      </c>
      <c r="C329" s="1" t="n">
        <v>46075</v>
      </c>
      <c r="D329" t="inlineStr">
        <is>
          <t>VÄSTERNORRLANDS LÄN</t>
        </is>
      </c>
      <c r="E329" t="inlineStr">
        <is>
          <t>SOLLEFTEÅ</t>
        </is>
      </c>
      <c r="F329" t="inlineStr">
        <is>
          <t>SCA</t>
        </is>
      </c>
      <c r="G329" t="n">
        <v>1.1</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25310-2023 artfynd.xlsx", "A 25310-2023")</f>
        <v/>
      </c>
      <c r="T329">
        <f>HYPERLINK("https://klasma.github.io/Logging_2283/kartor/A 25310-2023 karta.png", "A 25310-2023")</f>
        <v/>
      </c>
      <c r="V329">
        <f>HYPERLINK("https://klasma.github.io/Logging_2283/klagomål/A 25310-2023 FSC-klagomål.docx", "A 25310-2023")</f>
        <v/>
      </c>
      <c r="W329">
        <f>HYPERLINK("https://klasma.github.io/Logging_2283/klagomålsmail/A 25310-2023 FSC-klagomål mail.docx", "A 25310-2023")</f>
        <v/>
      </c>
      <c r="X329">
        <f>HYPERLINK("https://klasma.github.io/Logging_2283/tillsyn/A 25310-2023 tillsynsbegäran.docx", "A 25310-2023")</f>
        <v/>
      </c>
      <c r="Y329">
        <f>HYPERLINK("https://klasma.github.io/Logging_2283/tillsynsmail/A 25310-2023 tillsynsbegäran mail.docx", "A 25310-2023")</f>
        <v/>
      </c>
      <c r="Z329">
        <f>HYPERLINK("https://klasma.github.io/Logging_2283/fåglar/A 25310-2023 prioriterade fågelarter.docx", "A 25310-2023")</f>
        <v/>
      </c>
    </row>
    <row r="330" ht="15" customHeight="1">
      <c r="A330" t="inlineStr">
        <is>
          <t>A 22428-2025</t>
        </is>
      </c>
      <c r="B330" s="1" t="n">
        <v>45786.57351851852</v>
      </c>
      <c r="C330" s="1" t="n">
        <v>46075</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30948-2025</t>
        </is>
      </c>
      <c r="B331" s="1" t="n">
        <v>45832.42745370371</v>
      </c>
      <c r="C331" s="1" t="n">
        <v>46075</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32101-2025</t>
        </is>
      </c>
      <c r="B332" s="1" t="n">
        <v>45835.46914351852</v>
      </c>
      <c r="C332" s="1" t="n">
        <v>46075</v>
      </c>
      <c r="D332" t="inlineStr">
        <is>
          <t>VÄSTERNORRLANDS LÄN</t>
        </is>
      </c>
      <c r="E332" t="inlineStr">
        <is>
          <t>SOLLEFTEÅ</t>
        </is>
      </c>
      <c r="F332" t="inlineStr">
        <is>
          <t>SCA</t>
        </is>
      </c>
      <c r="G332" t="n">
        <v>2.2</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32101-2025 artfynd.xlsx", "A 32101-2025")</f>
        <v/>
      </c>
      <c r="T332">
        <f>HYPERLINK("https://klasma.github.io/Logging_2283/kartor/A 32101-2025 karta.png", "A 32101-2025")</f>
        <v/>
      </c>
      <c r="V332">
        <f>HYPERLINK("https://klasma.github.io/Logging_2283/klagomål/A 32101-2025 FSC-klagomål.docx", "A 32101-2025")</f>
        <v/>
      </c>
      <c r="W332">
        <f>HYPERLINK("https://klasma.github.io/Logging_2283/klagomålsmail/A 32101-2025 FSC-klagomål mail.docx", "A 32101-2025")</f>
        <v/>
      </c>
      <c r="X332">
        <f>HYPERLINK("https://klasma.github.io/Logging_2283/tillsyn/A 32101-2025 tillsynsbegäran.docx", "A 32101-2025")</f>
        <v/>
      </c>
      <c r="Y332">
        <f>HYPERLINK("https://klasma.github.io/Logging_2283/tillsynsmail/A 32101-2025 tillsynsbegäran mail.docx", "A 32101-2025")</f>
        <v/>
      </c>
      <c r="Z332">
        <f>HYPERLINK("https://klasma.github.io/Logging_2283/fåglar/A 32101-2025 prioriterade fågelarter.docx", "A 32101-2025")</f>
        <v/>
      </c>
    </row>
    <row r="333" ht="15" customHeight="1">
      <c r="A333" t="inlineStr">
        <is>
          <t>A 42554-2025</t>
        </is>
      </c>
      <c r="B333" s="1" t="n">
        <v>45905.59445601852</v>
      </c>
      <c r="C333" s="1" t="n">
        <v>46075</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33853-2025</t>
        </is>
      </c>
      <c r="B334" s="1" t="n">
        <v>45842.51097222222</v>
      </c>
      <c r="C334" s="1" t="n">
        <v>46075</v>
      </c>
      <c r="D334" t="inlineStr">
        <is>
          <t>VÄSTERNORRLANDS LÄN</t>
        </is>
      </c>
      <c r="E334" t="inlineStr">
        <is>
          <t>SOLLEFTEÅ</t>
        </is>
      </c>
      <c r="F334" t="inlineStr">
        <is>
          <t>SCA</t>
        </is>
      </c>
      <c r="G334" t="n">
        <v>6.5</v>
      </c>
      <c r="H334" t="n">
        <v>1</v>
      </c>
      <c r="I334" t="n">
        <v>0</v>
      </c>
      <c r="J334" t="n">
        <v>0</v>
      </c>
      <c r="K334" t="n">
        <v>0</v>
      </c>
      <c r="L334" t="n">
        <v>0</v>
      </c>
      <c r="M334" t="n">
        <v>0</v>
      </c>
      <c r="N334" t="n">
        <v>0</v>
      </c>
      <c r="O334" t="n">
        <v>0</v>
      </c>
      <c r="P334" t="n">
        <v>0</v>
      </c>
      <c r="Q334" t="n">
        <v>1</v>
      </c>
      <c r="R334" s="2" t="inlineStr">
        <is>
          <t>Tjäder</t>
        </is>
      </c>
      <c r="S334">
        <f>HYPERLINK("https://klasma.github.io/Logging_2283/artfynd/A 33853-2025 artfynd.xlsx", "A 33853-2025")</f>
        <v/>
      </c>
      <c r="T334">
        <f>HYPERLINK("https://klasma.github.io/Logging_2283/kartor/A 33853-2025 karta.png", "A 33853-2025")</f>
        <v/>
      </c>
      <c r="V334">
        <f>HYPERLINK("https://klasma.github.io/Logging_2283/klagomål/A 33853-2025 FSC-klagomål.docx", "A 33853-2025")</f>
        <v/>
      </c>
      <c r="W334">
        <f>HYPERLINK("https://klasma.github.io/Logging_2283/klagomålsmail/A 33853-2025 FSC-klagomål mail.docx", "A 33853-2025")</f>
        <v/>
      </c>
      <c r="X334">
        <f>HYPERLINK("https://klasma.github.io/Logging_2283/tillsyn/A 33853-2025 tillsynsbegäran.docx", "A 33853-2025")</f>
        <v/>
      </c>
      <c r="Y334">
        <f>HYPERLINK("https://klasma.github.io/Logging_2283/tillsynsmail/A 33853-2025 tillsynsbegäran mail.docx", "A 33853-2025")</f>
        <v/>
      </c>
      <c r="Z334">
        <f>HYPERLINK("https://klasma.github.io/Logging_2283/fåglar/A 33853-2025 prioriterade fågelarter.docx", "A 33853-2025")</f>
        <v/>
      </c>
    </row>
    <row r="335" ht="15" customHeight="1">
      <c r="A335" t="inlineStr">
        <is>
          <t>A 34865-2025</t>
        </is>
      </c>
      <c r="B335" s="1" t="n">
        <v>45849.4421412037</v>
      </c>
      <c r="C335" s="1" t="n">
        <v>46075</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39897-2024</t>
        </is>
      </c>
      <c r="B336" s="1" t="n">
        <v>45553.48841435185</v>
      </c>
      <c r="C336" s="1" t="n">
        <v>46075</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39565-2023</t>
        </is>
      </c>
      <c r="B337" s="1" t="n">
        <v>45167</v>
      </c>
      <c r="C337" s="1" t="n">
        <v>46075</v>
      </c>
      <c r="D337" t="inlineStr">
        <is>
          <t>VÄSTERNORRLANDS LÄN</t>
        </is>
      </c>
      <c r="E337" t="inlineStr">
        <is>
          <t>SOLLEFTEÅ</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39565-2023 artfynd.xlsx", "A 39565-2023")</f>
        <v/>
      </c>
      <c r="T337">
        <f>HYPERLINK("https://klasma.github.io/Logging_2283/kartor/A 39565-2023 karta.png", "A 39565-2023")</f>
        <v/>
      </c>
      <c r="V337">
        <f>HYPERLINK("https://klasma.github.io/Logging_2283/klagomål/A 39565-2023 FSC-klagomål.docx", "A 39565-2023")</f>
        <v/>
      </c>
      <c r="W337">
        <f>HYPERLINK("https://klasma.github.io/Logging_2283/klagomålsmail/A 39565-2023 FSC-klagomål mail.docx", "A 39565-2023")</f>
        <v/>
      </c>
      <c r="X337">
        <f>HYPERLINK("https://klasma.github.io/Logging_2283/tillsyn/A 39565-2023 tillsynsbegäran.docx", "A 39565-2023")</f>
        <v/>
      </c>
      <c r="Y337">
        <f>HYPERLINK("https://klasma.github.io/Logging_2283/tillsynsmail/A 39565-2023 tillsynsbegäran mail.docx", "A 39565-2023")</f>
        <v/>
      </c>
    </row>
    <row r="338" ht="15" customHeight="1">
      <c r="A338" t="inlineStr">
        <is>
          <t>A 35217-2025</t>
        </is>
      </c>
      <c r="B338" s="1" t="n">
        <v>45853.49020833334</v>
      </c>
      <c r="C338" s="1" t="n">
        <v>46075</v>
      </c>
      <c r="D338" t="inlineStr">
        <is>
          <t>VÄSTERNORRLANDS LÄN</t>
        </is>
      </c>
      <c r="E338" t="inlineStr">
        <is>
          <t>SOLLEFTEÅ</t>
        </is>
      </c>
      <c r="F338" t="inlineStr">
        <is>
          <t>SCA</t>
        </is>
      </c>
      <c r="G338" t="n">
        <v>2.1</v>
      </c>
      <c r="H338" t="n">
        <v>1</v>
      </c>
      <c r="I338" t="n">
        <v>0</v>
      </c>
      <c r="J338" t="n">
        <v>0</v>
      </c>
      <c r="K338" t="n">
        <v>0</v>
      </c>
      <c r="L338" t="n">
        <v>0</v>
      </c>
      <c r="M338" t="n">
        <v>0</v>
      </c>
      <c r="N338" t="n">
        <v>0</v>
      </c>
      <c r="O338" t="n">
        <v>0</v>
      </c>
      <c r="P338" t="n">
        <v>0</v>
      </c>
      <c r="Q338" t="n">
        <v>1</v>
      </c>
      <c r="R338" s="2" t="inlineStr">
        <is>
          <t>Mattlummer</t>
        </is>
      </c>
      <c r="S338">
        <f>HYPERLINK("https://klasma.github.io/Logging_2283/artfynd/A 35217-2025 artfynd.xlsx", "A 35217-2025")</f>
        <v/>
      </c>
      <c r="T338">
        <f>HYPERLINK("https://klasma.github.io/Logging_2283/kartor/A 35217-2025 karta.png", "A 35217-2025")</f>
        <v/>
      </c>
      <c r="V338">
        <f>HYPERLINK("https://klasma.github.io/Logging_2283/klagomål/A 35217-2025 FSC-klagomål.docx", "A 35217-2025")</f>
        <v/>
      </c>
      <c r="W338">
        <f>HYPERLINK("https://klasma.github.io/Logging_2283/klagomålsmail/A 35217-2025 FSC-klagomål mail.docx", "A 35217-2025")</f>
        <v/>
      </c>
      <c r="X338">
        <f>HYPERLINK("https://klasma.github.io/Logging_2283/tillsyn/A 35217-2025 tillsynsbegäran.docx", "A 35217-2025")</f>
        <v/>
      </c>
      <c r="Y338">
        <f>HYPERLINK("https://klasma.github.io/Logging_2283/tillsynsmail/A 35217-2025 tillsynsbegäran mail.docx", "A 35217-2025")</f>
        <v/>
      </c>
    </row>
    <row r="339" ht="15" customHeight="1">
      <c r="A339" t="inlineStr">
        <is>
          <t>A 35618-2025</t>
        </is>
      </c>
      <c r="B339" s="1" t="n">
        <v>45859.41335648148</v>
      </c>
      <c r="C339" s="1" t="n">
        <v>46075</v>
      </c>
      <c r="D339" t="inlineStr">
        <is>
          <t>VÄSTERNORRLANDS LÄN</t>
        </is>
      </c>
      <c r="E339" t="inlineStr">
        <is>
          <t>SOLLEFTEÅ</t>
        </is>
      </c>
      <c r="G339" t="n">
        <v>6.9</v>
      </c>
      <c r="H339" t="n">
        <v>1</v>
      </c>
      <c r="I339" t="n">
        <v>0</v>
      </c>
      <c r="J339" t="n">
        <v>1</v>
      </c>
      <c r="K339" t="n">
        <v>0</v>
      </c>
      <c r="L339" t="n">
        <v>0</v>
      </c>
      <c r="M339" t="n">
        <v>0</v>
      </c>
      <c r="N339" t="n">
        <v>0</v>
      </c>
      <c r="O339" t="n">
        <v>1</v>
      </c>
      <c r="P339" t="n">
        <v>0</v>
      </c>
      <c r="Q339" t="n">
        <v>1</v>
      </c>
      <c r="R339" s="2" t="inlineStr">
        <is>
          <t>Spillkråka</t>
        </is>
      </c>
      <c r="S339">
        <f>HYPERLINK("https://klasma.github.io/Logging_2283/artfynd/A 35618-2025 artfynd.xlsx", "A 35618-2025")</f>
        <v/>
      </c>
      <c r="T339">
        <f>HYPERLINK("https://klasma.github.io/Logging_2283/kartor/A 35618-2025 karta.png", "A 35618-2025")</f>
        <v/>
      </c>
      <c r="V339">
        <f>HYPERLINK("https://klasma.github.io/Logging_2283/klagomål/A 35618-2025 FSC-klagomål.docx", "A 35618-2025")</f>
        <v/>
      </c>
      <c r="W339">
        <f>HYPERLINK("https://klasma.github.io/Logging_2283/klagomålsmail/A 35618-2025 FSC-klagomål mail.docx", "A 35618-2025")</f>
        <v/>
      </c>
      <c r="X339">
        <f>HYPERLINK("https://klasma.github.io/Logging_2283/tillsyn/A 35618-2025 tillsynsbegäran.docx", "A 35618-2025")</f>
        <v/>
      </c>
      <c r="Y339">
        <f>HYPERLINK("https://klasma.github.io/Logging_2283/tillsynsmail/A 35618-2025 tillsynsbegäran mail.docx", "A 35618-2025")</f>
        <v/>
      </c>
      <c r="Z339">
        <f>HYPERLINK("https://klasma.github.io/Logging_2283/fåglar/A 35618-2025 prioriterade fågelarter.docx", "A 35618-2025")</f>
        <v/>
      </c>
    </row>
    <row r="340" ht="15" customHeight="1">
      <c r="A340" t="inlineStr">
        <is>
          <t>A 27106-2022</t>
        </is>
      </c>
      <c r="B340" s="1" t="n">
        <v>44741</v>
      </c>
      <c r="C340" s="1" t="n">
        <v>46075</v>
      </c>
      <c r="D340" t="inlineStr">
        <is>
          <t>VÄSTERNORRLANDS LÄN</t>
        </is>
      </c>
      <c r="E340" t="inlineStr">
        <is>
          <t>SOLLEFTEÅ</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HYPERLINK("https://klasma.github.io/Logging_2283/artfynd/A 27106-2022 artfynd.xlsx", "A 27106-2022")</f>
        <v/>
      </c>
      <c r="T340">
        <f>HYPERLINK("https://klasma.github.io/Logging_2283/kartor/A 27106-2022 karta.png", "A 27106-2022")</f>
        <v/>
      </c>
      <c r="V340">
        <f>HYPERLINK("https://klasma.github.io/Logging_2283/klagomål/A 27106-2022 FSC-klagomål.docx", "A 27106-2022")</f>
        <v/>
      </c>
      <c r="W340">
        <f>HYPERLINK("https://klasma.github.io/Logging_2283/klagomålsmail/A 27106-2022 FSC-klagomål mail.docx", "A 27106-2022")</f>
        <v/>
      </c>
      <c r="X340">
        <f>HYPERLINK("https://klasma.github.io/Logging_2283/tillsyn/A 27106-2022 tillsynsbegäran.docx", "A 27106-2022")</f>
        <v/>
      </c>
      <c r="Y340">
        <f>HYPERLINK("https://klasma.github.io/Logging_2283/tillsynsmail/A 27106-2022 tillsynsbegäran mail.docx", "A 27106-2022")</f>
        <v/>
      </c>
    </row>
    <row r="341" ht="15" customHeight="1">
      <c r="A341" t="inlineStr">
        <is>
          <t>A 8541-2024</t>
        </is>
      </c>
      <c r="B341" s="1" t="n">
        <v>45351</v>
      </c>
      <c r="C341" s="1" t="n">
        <v>46075</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48526-2025</t>
        </is>
      </c>
      <c r="B342" s="1" t="n">
        <v>45936.40723379629</v>
      </c>
      <c r="C342" s="1" t="n">
        <v>46075</v>
      </c>
      <c r="D342" t="inlineStr">
        <is>
          <t>VÄSTERNORRLANDS LÄN</t>
        </is>
      </c>
      <c r="E342" t="inlineStr">
        <is>
          <t>SOLLEFTEÅ</t>
        </is>
      </c>
      <c r="F342" t="inlineStr">
        <is>
          <t>SCA</t>
        </is>
      </c>
      <c r="G342" t="n">
        <v>6.9</v>
      </c>
      <c r="H342" t="n">
        <v>1</v>
      </c>
      <c r="I342" t="n">
        <v>0</v>
      </c>
      <c r="J342" t="n">
        <v>0</v>
      </c>
      <c r="K342" t="n">
        <v>0</v>
      </c>
      <c r="L342" t="n">
        <v>0</v>
      </c>
      <c r="M342" t="n">
        <v>0</v>
      </c>
      <c r="N342" t="n">
        <v>0</v>
      </c>
      <c r="O342" t="n">
        <v>0</v>
      </c>
      <c r="P342" t="n">
        <v>0</v>
      </c>
      <c r="Q342" t="n">
        <v>1</v>
      </c>
      <c r="R342" s="2" t="inlineStr">
        <is>
          <t>Revlummer</t>
        </is>
      </c>
      <c r="S342">
        <f>HYPERLINK("https://klasma.github.io/Logging_2283/artfynd/A 48526-2025 artfynd.xlsx", "A 48526-2025")</f>
        <v/>
      </c>
      <c r="T342">
        <f>HYPERLINK("https://klasma.github.io/Logging_2283/kartor/A 48526-2025 karta.png", "A 48526-2025")</f>
        <v/>
      </c>
      <c r="V342">
        <f>HYPERLINK("https://klasma.github.io/Logging_2283/klagomål/A 48526-2025 FSC-klagomål.docx", "A 48526-2025")</f>
        <v/>
      </c>
      <c r="W342">
        <f>HYPERLINK("https://klasma.github.io/Logging_2283/klagomålsmail/A 48526-2025 FSC-klagomål mail.docx", "A 48526-2025")</f>
        <v/>
      </c>
      <c r="X342">
        <f>HYPERLINK("https://klasma.github.io/Logging_2283/tillsyn/A 48526-2025 tillsynsbegäran.docx", "A 48526-2025")</f>
        <v/>
      </c>
      <c r="Y342">
        <f>HYPERLINK("https://klasma.github.io/Logging_2283/tillsynsmail/A 48526-2025 tillsynsbegäran mail.docx", "A 48526-2025")</f>
        <v/>
      </c>
    </row>
    <row r="343" ht="15" customHeight="1">
      <c r="A343" t="inlineStr">
        <is>
          <t>A 49651-2025</t>
        </is>
      </c>
      <c r="B343" s="1" t="n">
        <v>45939.62670138889</v>
      </c>
      <c r="C343" s="1" t="n">
        <v>46075</v>
      </c>
      <c r="D343" t="inlineStr">
        <is>
          <t>VÄSTERNORRLANDS LÄN</t>
        </is>
      </c>
      <c r="E343" t="inlineStr">
        <is>
          <t>SOLLEFTEÅ</t>
        </is>
      </c>
      <c r="G343" t="n">
        <v>1.5</v>
      </c>
      <c r="H343" t="n">
        <v>1</v>
      </c>
      <c r="I343" t="n">
        <v>0</v>
      </c>
      <c r="J343" t="n">
        <v>1</v>
      </c>
      <c r="K343" t="n">
        <v>0</v>
      </c>
      <c r="L343" t="n">
        <v>0</v>
      </c>
      <c r="M343" t="n">
        <v>0</v>
      </c>
      <c r="N343" t="n">
        <v>0</v>
      </c>
      <c r="O343" t="n">
        <v>1</v>
      </c>
      <c r="P343" t="n">
        <v>0</v>
      </c>
      <c r="Q343" t="n">
        <v>1</v>
      </c>
      <c r="R343" s="2" t="inlineStr">
        <is>
          <t>Järpe</t>
        </is>
      </c>
      <c r="S343">
        <f>HYPERLINK("https://klasma.github.io/Logging_2283/artfynd/A 49651-2025 artfynd.xlsx", "A 49651-2025")</f>
        <v/>
      </c>
      <c r="T343">
        <f>HYPERLINK("https://klasma.github.io/Logging_2283/kartor/A 49651-2025 karta.png", "A 49651-2025")</f>
        <v/>
      </c>
      <c r="V343">
        <f>HYPERLINK("https://klasma.github.io/Logging_2283/klagomål/A 49651-2025 FSC-klagomål.docx", "A 49651-2025")</f>
        <v/>
      </c>
      <c r="W343">
        <f>HYPERLINK("https://klasma.github.io/Logging_2283/klagomålsmail/A 49651-2025 FSC-klagomål mail.docx", "A 49651-2025")</f>
        <v/>
      </c>
      <c r="X343">
        <f>HYPERLINK("https://klasma.github.io/Logging_2283/tillsyn/A 49651-2025 tillsynsbegäran.docx", "A 49651-2025")</f>
        <v/>
      </c>
      <c r="Y343">
        <f>HYPERLINK("https://klasma.github.io/Logging_2283/tillsynsmail/A 49651-2025 tillsynsbegäran mail.docx", "A 49651-2025")</f>
        <v/>
      </c>
      <c r="Z343">
        <f>HYPERLINK("https://klasma.github.io/Logging_2283/fåglar/A 49651-2025 prioriterade fågelarter.docx", "A 49651-2025")</f>
        <v/>
      </c>
    </row>
    <row r="344" ht="15" customHeight="1">
      <c r="A344" t="inlineStr">
        <is>
          <t>A 22862-2021</t>
        </is>
      </c>
      <c r="B344" s="1" t="n">
        <v>44326</v>
      </c>
      <c r="C344" s="1" t="n">
        <v>46075</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49251-2025</t>
        </is>
      </c>
      <c r="B345" s="1" t="n">
        <v>45938</v>
      </c>
      <c r="C345" s="1" t="n">
        <v>46075</v>
      </c>
      <c r="D345" t="inlineStr">
        <is>
          <t>VÄSTERNORRLANDS LÄN</t>
        </is>
      </c>
      <c r="E345" t="inlineStr">
        <is>
          <t>SOLLEFTEÅ</t>
        </is>
      </c>
      <c r="F345" t="inlineStr">
        <is>
          <t>SCA</t>
        </is>
      </c>
      <c r="G345" t="n">
        <v>2.5</v>
      </c>
      <c r="H345" t="n">
        <v>0</v>
      </c>
      <c r="I345" t="n">
        <v>0</v>
      </c>
      <c r="J345" t="n">
        <v>1</v>
      </c>
      <c r="K345" t="n">
        <v>0</v>
      </c>
      <c r="L345" t="n">
        <v>0</v>
      </c>
      <c r="M345" t="n">
        <v>0</v>
      </c>
      <c r="N345" t="n">
        <v>0</v>
      </c>
      <c r="O345" t="n">
        <v>1</v>
      </c>
      <c r="P345" t="n">
        <v>0</v>
      </c>
      <c r="Q345" t="n">
        <v>1</v>
      </c>
      <c r="R345" s="2" t="inlineStr">
        <is>
          <t>Granticka</t>
        </is>
      </c>
      <c r="S345">
        <f>HYPERLINK("https://klasma.github.io/Logging_2283/artfynd/A 49251-2025 artfynd.xlsx", "A 49251-2025")</f>
        <v/>
      </c>
      <c r="T345">
        <f>HYPERLINK("https://klasma.github.io/Logging_2283/kartor/A 49251-2025 karta.png", "A 49251-2025")</f>
        <v/>
      </c>
      <c r="V345">
        <f>HYPERLINK("https://klasma.github.io/Logging_2283/klagomål/A 49251-2025 FSC-klagomål.docx", "A 49251-2025")</f>
        <v/>
      </c>
      <c r="W345">
        <f>HYPERLINK("https://klasma.github.io/Logging_2283/klagomålsmail/A 49251-2025 FSC-klagomål mail.docx", "A 49251-2025")</f>
        <v/>
      </c>
      <c r="X345">
        <f>HYPERLINK("https://klasma.github.io/Logging_2283/tillsyn/A 49251-2025 tillsynsbegäran.docx", "A 49251-2025")</f>
        <v/>
      </c>
      <c r="Y345">
        <f>HYPERLINK("https://klasma.github.io/Logging_2283/tillsynsmail/A 49251-2025 tillsynsbegäran mail.docx", "A 49251-2025")</f>
        <v/>
      </c>
    </row>
    <row r="346" ht="15" customHeight="1">
      <c r="A346" t="inlineStr">
        <is>
          <t>A 51786-2025</t>
        </is>
      </c>
      <c r="B346" s="1" t="n">
        <v>45951.67787037037</v>
      </c>
      <c r="C346" s="1" t="n">
        <v>46075</v>
      </c>
      <c r="D346" t="inlineStr">
        <is>
          <t>VÄSTERNORRLANDS LÄN</t>
        </is>
      </c>
      <c r="E346" t="inlineStr">
        <is>
          <t>SOLLEFTEÅ</t>
        </is>
      </c>
      <c r="F346" t="inlineStr">
        <is>
          <t>SCA</t>
        </is>
      </c>
      <c r="G346" t="n">
        <v>19.8</v>
      </c>
      <c r="H346" t="n">
        <v>0</v>
      </c>
      <c r="I346" t="n">
        <v>0</v>
      </c>
      <c r="J346" t="n">
        <v>1</v>
      </c>
      <c r="K346" t="n">
        <v>0</v>
      </c>
      <c r="L346" t="n">
        <v>0</v>
      </c>
      <c r="M346" t="n">
        <v>0</v>
      </c>
      <c r="N346" t="n">
        <v>0</v>
      </c>
      <c r="O346" t="n">
        <v>1</v>
      </c>
      <c r="P346" t="n">
        <v>0</v>
      </c>
      <c r="Q346" t="n">
        <v>1</v>
      </c>
      <c r="R346" s="2" t="inlineStr">
        <is>
          <t>Motaggsvamp</t>
        </is>
      </c>
      <c r="S346">
        <f>HYPERLINK("https://klasma.github.io/Logging_2283/artfynd/A 51786-2025 artfynd.xlsx", "A 51786-2025")</f>
        <v/>
      </c>
      <c r="T346">
        <f>HYPERLINK("https://klasma.github.io/Logging_2283/kartor/A 51786-2025 karta.png", "A 51786-2025")</f>
        <v/>
      </c>
      <c r="V346">
        <f>HYPERLINK("https://klasma.github.io/Logging_2283/klagomål/A 51786-2025 FSC-klagomål.docx", "A 51786-2025")</f>
        <v/>
      </c>
      <c r="W346">
        <f>HYPERLINK("https://klasma.github.io/Logging_2283/klagomålsmail/A 51786-2025 FSC-klagomål mail.docx", "A 51786-2025")</f>
        <v/>
      </c>
      <c r="X346">
        <f>HYPERLINK("https://klasma.github.io/Logging_2283/tillsyn/A 51786-2025 tillsynsbegäran.docx", "A 51786-2025")</f>
        <v/>
      </c>
      <c r="Y346">
        <f>HYPERLINK("https://klasma.github.io/Logging_2283/tillsynsmail/A 51786-2025 tillsynsbegäran mail.docx", "A 51786-2025")</f>
        <v/>
      </c>
    </row>
    <row r="347" ht="15" customHeight="1">
      <c r="A347" t="inlineStr">
        <is>
          <t>A 35295-2023</t>
        </is>
      </c>
      <c r="B347" s="1" t="n">
        <v>45145</v>
      </c>
      <c r="C347" s="1" t="n">
        <v>46075</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52218-2025</t>
        </is>
      </c>
      <c r="B348" s="1" t="n">
        <v>45953.43634259259</v>
      </c>
      <c r="C348" s="1" t="n">
        <v>46075</v>
      </c>
      <c r="D348" t="inlineStr">
        <is>
          <t>VÄSTERNORRLANDS LÄN</t>
        </is>
      </c>
      <c r="E348" t="inlineStr">
        <is>
          <t>SOLLEFTEÅ</t>
        </is>
      </c>
      <c r="G348" t="n">
        <v>6.7</v>
      </c>
      <c r="H348" t="n">
        <v>1</v>
      </c>
      <c r="I348" t="n">
        <v>0</v>
      </c>
      <c r="J348" t="n">
        <v>0</v>
      </c>
      <c r="K348" t="n">
        <v>0</v>
      </c>
      <c r="L348" t="n">
        <v>0</v>
      </c>
      <c r="M348" t="n">
        <v>0</v>
      </c>
      <c r="N348" t="n">
        <v>0</v>
      </c>
      <c r="O348" t="n">
        <v>0</v>
      </c>
      <c r="P348" t="n">
        <v>0</v>
      </c>
      <c r="Q348" t="n">
        <v>1</v>
      </c>
      <c r="R348" s="2" t="inlineStr">
        <is>
          <t>Revlummer</t>
        </is>
      </c>
      <c r="S348">
        <f>HYPERLINK("https://klasma.github.io/Logging_2283/artfynd/A 52218-2025 artfynd.xlsx", "A 52218-2025")</f>
        <v/>
      </c>
      <c r="T348">
        <f>HYPERLINK("https://klasma.github.io/Logging_2283/kartor/A 52218-2025 karta.png", "A 52218-2025")</f>
        <v/>
      </c>
      <c r="V348">
        <f>HYPERLINK("https://klasma.github.io/Logging_2283/klagomål/A 52218-2025 FSC-klagomål.docx", "A 52218-2025")</f>
        <v/>
      </c>
      <c r="W348">
        <f>HYPERLINK("https://klasma.github.io/Logging_2283/klagomålsmail/A 52218-2025 FSC-klagomål mail.docx", "A 52218-2025")</f>
        <v/>
      </c>
      <c r="X348">
        <f>HYPERLINK("https://klasma.github.io/Logging_2283/tillsyn/A 52218-2025 tillsynsbegäran.docx", "A 52218-2025")</f>
        <v/>
      </c>
      <c r="Y348">
        <f>HYPERLINK("https://klasma.github.io/Logging_2283/tillsynsmail/A 52218-2025 tillsynsbegäran mail.docx", "A 52218-2025")</f>
        <v/>
      </c>
    </row>
    <row r="349" ht="15" customHeight="1">
      <c r="A349" t="inlineStr">
        <is>
          <t>A 53822-2025</t>
        </is>
      </c>
      <c r="B349" s="1" t="n">
        <v>45961.32806712963</v>
      </c>
      <c r="C349" s="1" t="n">
        <v>46075</v>
      </c>
      <c r="D349" t="inlineStr">
        <is>
          <t>VÄSTERNORRLANDS LÄN</t>
        </is>
      </c>
      <c r="E349" t="inlineStr">
        <is>
          <t>SOLLEFTEÅ</t>
        </is>
      </c>
      <c r="G349" t="n">
        <v>2.1</v>
      </c>
      <c r="H349" t="n">
        <v>1</v>
      </c>
      <c r="I349" t="n">
        <v>0</v>
      </c>
      <c r="J349" t="n">
        <v>0</v>
      </c>
      <c r="K349" t="n">
        <v>0</v>
      </c>
      <c r="L349" t="n">
        <v>0</v>
      </c>
      <c r="M349" t="n">
        <v>0</v>
      </c>
      <c r="N349" t="n">
        <v>0</v>
      </c>
      <c r="O349" t="n">
        <v>0</v>
      </c>
      <c r="P349" t="n">
        <v>0</v>
      </c>
      <c r="Q349" t="n">
        <v>1</v>
      </c>
      <c r="R349" s="2" t="inlineStr">
        <is>
          <t>Sångsvan</t>
        </is>
      </c>
      <c r="S349">
        <f>HYPERLINK("https://klasma.github.io/Logging_2283/artfynd/A 53822-2025 artfynd.xlsx", "A 53822-2025")</f>
        <v/>
      </c>
      <c r="T349">
        <f>HYPERLINK("https://klasma.github.io/Logging_2283/kartor/A 53822-2025 karta.png", "A 53822-2025")</f>
        <v/>
      </c>
      <c r="V349">
        <f>HYPERLINK("https://klasma.github.io/Logging_2283/klagomål/A 53822-2025 FSC-klagomål.docx", "A 53822-2025")</f>
        <v/>
      </c>
      <c r="W349">
        <f>HYPERLINK("https://klasma.github.io/Logging_2283/klagomålsmail/A 53822-2025 FSC-klagomål mail.docx", "A 53822-2025")</f>
        <v/>
      </c>
      <c r="X349">
        <f>HYPERLINK("https://klasma.github.io/Logging_2283/tillsyn/A 53822-2025 tillsynsbegäran.docx", "A 53822-2025")</f>
        <v/>
      </c>
      <c r="Y349">
        <f>HYPERLINK("https://klasma.github.io/Logging_2283/tillsynsmail/A 53822-2025 tillsynsbegäran mail.docx", "A 53822-2025")</f>
        <v/>
      </c>
      <c r="Z349">
        <f>HYPERLINK("https://klasma.github.io/Logging_2283/fåglar/A 53822-2025 prioriterade fågelarter.docx", "A 53822-2025")</f>
        <v/>
      </c>
    </row>
    <row r="350" ht="15" customHeight="1">
      <c r="A350" t="inlineStr">
        <is>
          <t>A 21708-2022</t>
        </is>
      </c>
      <c r="B350" s="1" t="n">
        <v>44707</v>
      </c>
      <c r="C350" s="1" t="n">
        <v>46075</v>
      </c>
      <c r="D350" t="inlineStr">
        <is>
          <t>VÄSTERNORRLANDS LÄN</t>
        </is>
      </c>
      <c r="E350" t="inlineStr">
        <is>
          <t>SOLLEFTEÅ</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HYPERLINK("https://klasma.github.io/Logging_2283/artfynd/A 21708-2022 artfynd.xlsx", "A 21708-2022")</f>
        <v/>
      </c>
      <c r="T350">
        <f>HYPERLINK("https://klasma.github.io/Logging_2283/kartor/A 21708-2022 karta.png", "A 21708-2022")</f>
        <v/>
      </c>
      <c r="V350">
        <f>HYPERLINK("https://klasma.github.io/Logging_2283/klagomål/A 21708-2022 FSC-klagomål.docx", "A 21708-2022")</f>
        <v/>
      </c>
      <c r="W350">
        <f>HYPERLINK("https://klasma.github.io/Logging_2283/klagomålsmail/A 21708-2022 FSC-klagomål mail.docx", "A 21708-2022")</f>
        <v/>
      </c>
      <c r="X350">
        <f>HYPERLINK("https://klasma.github.io/Logging_2283/tillsyn/A 21708-2022 tillsynsbegäran.docx", "A 21708-2022")</f>
        <v/>
      </c>
      <c r="Y350">
        <f>HYPERLINK("https://klasma.github.io/Logging_2283/tillsynsmail/A 21708-2022 tillsynsbegäran mail.docx", "A 21708-2022")</f>
        <v/>
      </c>
    </row>
    <row r="351" ht="15" customHeight="1">
      <c r="A351" t="inlineStr">
        <is>
          <t>A 21962-2025</t>
        </is>
      </c>
      <c r="B351" s="1" t="n">
        <v>45784</v>
      </c>
      <c r="C351" s="1" t="n">
        <v>46075</v>
      </c>
      <c r="D351" t="inlineStr">
        <is>
          <t>VÄSTERNORRLANDS LÄN</t>
        </is>
      </c>
      <c r="E351" t="inlineStr">
        <is>
          <t>SOLLEFTEÅ</t>
        </is>
      </c>
      <c r="F351" t="inlineStr">
        <is>
          <t>SCA</t>
        </is>
      </c>
      <c r="G351" t="n">
        <v>22.5</v>
      </c>
      <c r="H351" t="n">
        <v>1</v>
      </c>
      <c r="I351" t="n">
        <v>0</v>
      </c>
      <c r="J351" t="n">
        <v>1</v>
      </c>
      <c r="K351" t="n">
        <v>0</v>
      </c>
      <c r="L351" t="n">
        <v>0</v>
      </c>
      <c r="M351" t="n">
        <v>0</v>
      </c>
      <c r="N351" t="n">
        <v>0</v>
      </c>
      <c r="O351" t="n">
        <v>1</v>
      </c>
      <c r="P351" t="n">
        <v>0</v>
      </c>
      <c r="Q351" t="n">
        <v>1</v>
      </c>
      <c r="R351" s="2" t="inlineStr">
        <is>
          <t>Järpe</t>
        </is>
      </c>
      <c r="S351">
        <f>HYPERLINK("https://klasma.github.io/Logging_2283/artfynd/A 21962-2025 artfynd.xlsx", "A 21962-2025")</f>
        <v/>
      </c>
      <c r="T351">
        <f>HYPERLINK("https://klasma.github.io/Logging_2283/kartor/A 21962-2025 karta.png", "A 21962-2025")</f>
        <v/>
      </c>
      <c r="V351">
        <f>HYPERLINK("https://klasma.github.io/Logging_2283/klagomål/A 21962-2025 FSC-klagomål.docx", "A 21962-2025")</f>
        <v/>
      </c>
      <c r="W351">
        <f>HYPERLINK("https://klasma.github.io/Logging_2283/klagomålsmail/A 21962-2025 FSC-klagomål mail.docx", "A 21962-2025")</f>
        <v/>
      </c>
      <c r="X351">
        <f>HYPERLINK("https://klasma.github.io/Logging_2283/tillsyn/A 21962-2025 tillsynsbegäran.docx", "A 21962-2025")</f>
        <v/>
      </c>
      <c r="Y351">
        <f>HYPERLINK("https://klasma.github.io/Logging_2283/tillsynsmail/A 21962-2025 tillsynsbegäran mail.docx", "A 21962-2025")</f>
        <v/>
      </c>
      <c r="Z351">
        <f>HYPERLINK("https://klasma.github.io/Logging_2283/fåglar/A 21962-2025 prioriterade fågelarter.docx", "A 21962-2025")</f>
        <v/>
      </c>
    </row>
    <row r="352" ht="15" customHeight="1">
      <c r="A352" t="inlineStr">
        <is>
          <t>A 55722-2025</t>
        </is>
      </c>
      <c r="B352" s="1" t="n">
        <v>45972.51136574074</v>
      </c>
      <c r="C352" s="1" t="n">
        <v>46075</v>
      </c>
      <c r="D352" t="inlineStr">
        <is>
          <t>VÄSTERNORRLANDS LÄN</t>
        </is>
      </c>
      <c r="E352" t="inlineStr">
        <is>
          <t>SOLLEFTEÅ</t>
        </is>
      </c>
      <c r="F352" t="inlineStr">
        <is>
          <t>SCA</t>
        </is>
      </c>
      <c r="G352" t="n">
        <v>3.3</v>
      </c>
      <c r="H352" t="n">
        <v>0</v>
      </c>
      <c r="I352" t="n">
        <v>0</v>
      </c>
      <c r="J352" t="n">
        <v>1</v>
      </c>
      <c r="K352" t="n">
        <v>0</v>
      </c>
      <c r="L352" t="n">
        <v>0</v>
      </c>
      <c r="M352" t="n">
        <v>0</v>
      </c>
      <c r="N352" t="n">
        <v>0</v>
      </c>
      <c r="O352" t="n">
        <v>1</v>
      </c>
      <c r="P352" t="n">
        <v>0</v>
      </c>
      <c r="Q352" t="n">
        <v>1</v>
      </c>
      <c r="R352" s="2" t="inlineStr">
        <is>
          <t>Violettgrå tagellav</t>
        </is>
      </c>
      <c r="S352">
        <f>HYPERLINK("https://klasma.github.io/Logging_2283/artfynd/A 55722-2025 artfynd.xlsx", "A 55722-2025")</f>
        <v/>
      </c>
      <c r="T352">
        <f>HYPERLINK("https://klasma.github.io/Logging_2283/kartor/A 55722-2025 karta.png", "A 55722-2025")</f>
        <v/>
      </c>
      <c r="V352">
        <f>HYPERLINK("https://klasma.github.io/Logging_2283/klagomål/A 55722-2025 FSC-klagomål.docx", "A 55722-2025")</f>
        <v/>
      </c>
      <c r="W352">
        <f>HYPERLINK("https://klasma.github.io/Logging_2283/klagomålsmail/A 55722-2025 FSC-klagomål mail.docx", "A 55722-2025")</f>
        <v/>
      </c>
      <c r="X352">
        <f>HYPERLINK("https://klasma.github.io/Logging_2283/tillsyn/A 55722-2025 tillsynsbegäran.docx", "A 55722-2025")</f>
        <v/>
      </c>
      <c r="Y352">
        <f>HYPERLINK("https://klasma.github.io/Logging_2283/tillsynsmail/A 55722-2025 tillsynsbegäran mail.docx", "A 55722-2025")</f>
        <v/>
      </c>
    </row>
    <row r="353" ht="15" customHeight="1">
      <c r="A353" t="inlineStr">
        <is>
          <t>A 56421-2025</t>
        </is>
      </c>
      <c r="B353" s="1" t="n">
        <v>45975.34498842592</v>
      </c>
      <c r="C353" s="1" t="n">
        <v>46075</v>
      </c>
      <c r="D353" t="inlineStr">
        <is>
          <t>VÄSTERNORRLANDS LÄN</t>
        </is>
      </c>
      <c r="E353" t="inlineStr">
        <is>
          <t>SOLLEFTEÅ</t>
        </is>
      </c>
      <c r="F353" t="inlineStr">
        <is>
          <t>SCA</t>
        </is>
      </c>
      <c r="G353" t="n">
        <v>2.2</v>
      </c>
      <c r="H353" t="n">
        <v>0</v>
      </c>
      <c r="I353" t="n">
        <v>0</v>
      </c>
      <c r="J353" t="n">
        <v>1</v>
      </c>
      <c r="K353" t="n">
        <v>0</v>
      </c>
      <c r="L353" t="n">
        <v>0</v>
      </c>
      <c r="M353" t="n">
        <v>0</v>
      </c>
      <c r="N353" t="n">
        <v>0</v>
      </c>
      <c r="O353" t="n">
        <v>1</v>
      </c>
      <c r="P353" t="n">
        <v>0</v>
      </c>
      <c r="Q353" t="n">
        <v>1</v>
      </c>
      <c r="R353" s="2" t="inlineStr">
        <is>
          <t>Harticka</t>
        </is>
      </c>
      <c r="S353">
        <f>HYPERLINK("https://klasma.github.io/Logging_2283/artfynd/A 56421-2025 artfynd.xlsx", "A 56421-2025")</f>
        <v/>
      </c>
      <c r="T353">
        <f>HYPERLINK("https://klasma.github.io/Logging_2283/kartor/A 56421-2025 karta.png", "A 56421-2025")</f>
        <v/>
      </c>
      <c r="V353">
        <f>HYPERLINK("https://klasma.github.io/Logging_2283/klagomål/A 56421-2025 FSC-klagomål.docx", "A 56421-2025")</f>
        <v/>
      </c>
      <c r="W353">
        <f>HYPERLINK("https://klasma.github.io/Logging_2283/klagomålsmail/A 56421-2025 FSC-klagomål mail.docx", "A 56421-2025")</f>
        <v/>
      </c>
      <c r="X353">
        <f>HYPERLINK("https://klasma.github.io/Logging_2283/tillsyn/A 56421-2025 tillsynsbegäran.docx", "A 56421-2025")</f>
        <v/>
      </c>
      <c r="Y353">
        <f>HYPERLINK("https://klasma.github.io/Logging_2283/tillsynsmail/A 56421-2025 tillsynsbegäran mail.docx", "A 56421-2025")</f>
        <v/>
      </c>
    </row>
    <row r="354" ht="15" customHeight="1">
      <c r="A354" t="inlineStr">
        <is>
          <t>A 56444-2025</t>
        </is>
      </c>
      <c r="B354" s="1" t="n">
        <v>45975.3480324074</v>
      </c>
      <c r="C354" s="1" t="n">
        <v>46075</v>
      </c>
      <c r="D354" t="inlineStr">
        <is>
          <t>VÄSTERNORRLANDS LÄN</t>
        </is>
      </c>
      <c r="E354" t="inlineStr">
        <is>
          <t>SOLLEFTEÅ</t>
        </is>
      </c>
      <c r="F354" t="inlineStr">
        <is>
          <t>SCA</t>
        </is>
      </c>
      <c r="G354" t="n">
        <v>4.1</v>
      </c>
      <c r="H354" t="n">
        <v>1</v>
      </c>
      <c r="I354" t="n">
        <v>1</v>
      </c>
      <c r="J354" t="n">
        <v>0</v>
      </c>
      <c r="K354" t="n">
        <v>0</v>
      </c>
      <c r="L354" t="n">
        <v>0</v>
      </c>
      <c r="M354" t="n">
        <v>0</v>
      </c>
      <c r="N354" t="n">
        <v>0</v>
      </c>
      <c r="O354" t="n">
        <v>0</v>
      </c>
      <c r="P354" t="n">
        <v>0</v>
      </c>
      <c r="Q354" t="n">
        <v>1</v>
      </c>
      <c r="R354" s="2" t="inlineStr">
        <is>
          <t>Plattlummer</t>
        </is>
      </c>
      <c r="S354">
        <f>HYPERLINK("https://klasma.github.io/Logging_2283/artfynd/A 56444-2025 artfynd.xlsx", "A 56444-2025")</f>
        <v/>
      </c>
      <c r="T354">
        <f>HYPERLINK("https://klasma.github.io/Logging_2283/kartor/A 56444-2025 karta.png", "A 56444-2025")</f>
        <v/>
      </c>
      <c r="V354">
        <f>HYPERLINK("https://klasma.github.io/Logging_2283/klagomål/A 56444-2025 FSC-klagomål.docx", "A 56444-2025")</f>
        <v/>
      </c>
      <c r="W354">
        <f>HYPERLINK("https://klasma.github.io/Logging_2283/klagomålsmail/A 56444-2025 FSC-klagomål mail.docx", "A 56444-2025")</f>
        <v/>
      </c>
      <c r="X354">
        <f>HYPERLINK("https://klasma.github.io/Logging_2283/tillsyn/A 56444-2025 tillsynsbegäran.docx", "A 56444-2025")</f>
        <v/>
      </c>
      <c r="Y354">
        <f>HYPERLINK("https://klasma.github.io/Logging_2283/tillsynsmail/A 56444-2025 tillsynsbegäran mail.docx", "A 56444-2025")</f>
        <v/>
      </c>
    </row>
    <row r="355" ht="15" customHeight="1">
      <c r="A355" t="inlineStr">
        <is>
          <t>A 56048-2025</t>
        </is>
      </c>
      <c r="B355" s="1" t="n">
        <v>45973</v>
      </c>
      <c r="C355" s="1" t="n">
        <v>46075</v>
      </c>
      <c r="D355" t="inlineStr">
        <is>
          <t>VÄSTERNORRLANDS LÄN</t>
        </is>
      </c>
      <c r="E355" t="inlineStr">
        <is>
          <t>SOLLEFTEÅ</t>
        </is>
      </c>
      <c r="G355" t="n">
        <v>3.6</v>
      </c>
      <c r="H355" t="n">
        <v>1</v>
      </c>
      <c r="I355" t="n">
        <v>0</v>
      </c>
      <c r="J355" t="n">
        <v>0</v>
      </c>
      <c r="K355" t="n">
        <v>0</v>
      </c>
      <c r="L355" t="n">
        <v>0</v>
      </c>
      <c r="M355" t="n">
        <v>0</v>
      </c>
      <c r="N355" t="n">
        <v>0</v>
      </c>
      <c r="O355" t="n">
        <v>0</v>
      </c>
      <c r="P355" t="n">
        <v>0</v>
      </c>
      <c r="Q355" t="n">
        <v>1</v>
      </c>
      <c r="R355" s="2" t="inlineStr">
        <is>
          <t>Tjäder</t>
        </is>
      </c>
      <c r="S355">
        <f>HYPERLINK("https://klasma.github.io/Logging_2283/artfynd/A 56048-2025 artfynd.xlsx", "A 56048-2025")</f>
        <v/>
      </c>
      <c r="T355">
        <f>HYPERLINK("https://klasma.github.io/Logging_2283/kartor/A 56048-2025 karta.png", "A 56048-2025")</f>
        <v/>
      </c>
      <c r="V355">
        <f>HYPERLINK("https://klasma.github.io/Logging_2283/klagomål/A 56048-2025 FSC-klagomål.docx", "A 56048-2025")</f>
        <v/>
      </c>
      <c r="W355">
        <f>HYPERLINK("https://klasma.github.io/Logging_2283/klagomålsmail/A 56048-2025 FSC-klagomål mail.docx", "A 56048-2025")</f>
        <v/>
      </c>
      <c r="X355">
        <f>HYPERLINK("https://klasma.github.io/Logging_2283/tillsyn/A 56048-2025 tillsynsbegäran.docx", "A 56048-2025")</f>
        <v/>
      </c>
      <c r="Y355">
        <f>HYPERLINK("https://klasma.github.io/Logging_2283/tillsynsmail/A 56048-2025 tillsynsbegäran mail.docx", "A 56048-2025")</f>
        <v/>
      </c>
      <c r="Z355">
        <f>HYPERLINK("https://klasma.github.io/Logging_2283/fåglar/A 56048-2025 prioriterade fågelarter.docx", "A 56048-2025")</f>
        <v/>
      </c>
    </row>
    <row r="356" ht="15" customHeight="1">
      <c r="A356" t="inlineStr">
        <is>
          <t>A 21360-2021</t>
        </is>
      </c>
      <c r="B356" s="1" t="n">
        <v>44320</v>
      </c>
      <c r="C356" s="1" t="n">
        <v>46075</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57987-2025</t>
        </is>
      </c>
      <c r="B357" s="1" t="n">
        <v>45982.41984953704</v>
      </c>
      <c r="C357" s="1" t="n">
        <v>46075</v>
      </c>
      <c r="D357" t="inlineStr">
        <is>
          <t>VÄSTERNORRLANDS LÄN</t>
        </is>
      </c>
      <c r="E357" t="inlineStr">
        <is>
          <t>SOLLEFTEÅ</t>
        </is>
      </c>
      <c r="G357" t="n">
        <v>2.8</v>
      </c>
      <c r="H357" t="n">
        <v>0</v>
      </c>
      <c r="I357" t="n">
        <v>1</v>
      </c>
      <c r="J357" t="n">
        <v>0</v>
      </c>
      <c r="K357" t="n">
        <v>0</v>
      </c>
      <c r="L357" t="n">
        <v>0</v>
      </c>
      <c r="M357" t="n">
        <v>0</v>
      </c>
      <c r="N357" t="n">
        <v>0</v>
      </c>
      <c r="O357" t="n">
        <v>0</v>
      </c>
      <c r="P357" t="n">
        <v>0</v>
      </c>
      <c r="Q357" t="n">
        <v>1</v>
      </c>
      <c r="R357" s="2" t="inlineStr">
        <is>
          <t>Stuplav</t>
        </is>
      </c>
      <c r="S357">
        <f>HYPERLINK("https://klasma.github.io/Logging_2283/artfynd/A 57987-2025 artfynd.xlsx", "A 57987-2025")</f>
        <v/>
      </c>
      <c r="T357">
        <f>HYPERLINK("https://klasma.github.io/Logging_2283/kartor/A 57987-2025 karta.png", "A 57987-2025")</f>
        <v/>
      </c>
      <c r="V357">
        <f>HYPERLINK("https://klasma.github.io/Logging_2283/klagomål/A 57987-2025 FSC-klagomål.docx", "A 57987-2025")</f>
        <v/>
      </c>
      <c r="W357">
        <f>HYPERLINK("https://klasma.github.io/Logging_2283/klagomålsmail/A 57987-2025 FSC-klagomål mail.docx", "A 57987-2025")</f>
        <v/>
      </c>
      <c r="X357">
        <f>HYPERLINK("https://klasma.github.io/Logging_2283/tillsyn/A 57987-2025 tillsynsbegäran.docx", "A 57987-2025")</f>
        <v/>
      </c>
      <c r="Y357">
        <f>HYPERLINK("https://klasma.github.io/Logging_2283/tillsynsmail/A 57987-2025 tillsynsbegäran mail.docx", "A 57987-2025")</f>
        <v/>
      </c>
    </row>
    <row r="358" ht="15" customHeight="1">
      <c r="A358" t="inlineStr">
        <is>
          <t>A 54734-2024</t>
        </is>
      </c>
      <c r="B358" s="1" t="n">
        <v>45618.43879629629</v>
      </c>
      <c r="C358" s="1" t="n">
        <v>46075</v>
      </c>
      <c r="D358" t="inlineStr">
        <is>
          <t>VÄSTERNORRLANDS LÄN</t>
        </is>
      </c>
      <c r="E358" t="inlineStr">
        <is>
          <t>SOLLEFTEÅ</t>
        </is>
      </c>
      <c r="F358" t="inlineStr">
        <is>
          <t>SCA</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54734-2024 artfynd.xlsx", "A 54734-2024")</f>
        <v/>
      </c>
      <c r="T358">
        <f>HYPERLINK("https://klasma.github.io/Logging_2283/kartor/A 54734-2024 karta.png", "A 54734-2024")</f>
        <v/>
      </c>
      <c r="V358">
        <f>HYPERLINK("https://klasma.github.io/Logging_2283/klagomål/A 54734-2024 FSC-klagomål.docx", "A 54734-2024")</f>
        <v/>
      </c>
      <c r="W358">
        <f>HYPERLINK("https://klasma.github.io/Logging_2283/klagomålsmail/A 54734-2024 FSC-klagomål mail.docx", "A 54734-2024")</f>
        <v/>
      </c>
      <c r="X358">
        <f>HYPERLINK("https://klasma.github.io/Logging_2283/tillsyn/A 54734-2024 tillsynsbegäran.docx", "A 54734-2024")</f>
        <v/>
      </c>
      <c r="Y358">
        <f>HYPERLINK("https://klasma.github.io/Logging_2283/tillsynsmail/A 54734-2024 tillsynsbegäran mail.docx", "A 54734-2024")</f>
        <v/>
      </c>
    </row>
    <row r="359" ht="15" customHeight="1">
      <c r="A359" t="inlineStr">
        <is>
          <t>A 17215-2025</t>
        </is>
      </c>
      <c r="B359" s="1" t="n">
        <v>45756.44856481482</v>
      </c>
      <c r="C359" s="1" t="n">
        <v>46075</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49367-2024</t>
        </is>
      </c>
      <c r="B360" s="1" t="n">
        <v>45595.63591435185</v>
      </c>
      <c r="C360" s="1" t="n">
        <v>46075</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46075</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49189-2025</t>
        </is>
      </c>
      <c r="B362" s="1" t="n">
        <v>45938</v>
      </c>
      <c r="C362" s="1" t="n">
        <v>46075</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1343-2025</t>
        </is>
      </c>
      <c r="B363" s="1" t="n">
        <v>45667.6043287037</v>
      </c>
      <c r="C363" s="1" t="n">
        <v>46075</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62256-2025</t>
        </is>
      </c>
      <c r="B364" s="1" t="n">
        <v>46006.61503472222</v>
      </c>
      <c r="C364" s="1" t="n">
        <v>46075</v>
      </c>
      <c r="D364" t="inlineStr">
        <is>
          <t>VÄSTERNORRLANDS LÄN</t>
        </is>
      </c>
      <c r="E364" t="inlineStr">
        <is>
          <t>SOLLEFTEÅ</t>
        </is>
      </c>
      <c r="F364" t="inlineStr">
        <is>
          <t>SCA</t>
        </is>
      </c>
      <c r="G364" t="n">
        <v>9</v>
      </c>
      <c r="H364" t="n">
        <v>0</v>
      </c>
      <c r="I364" t="n">
        <v>0</v>
      </c>
      <c r="J364" t="n">
        <v>1</v>
      </c>
      <c r="K364" t="n">
        <v>0</v>
      </c>
      <c r="L364" t="n">
        <v>0</v>
      </c>
      <c r="M364" t="n">
        <v>0</v>
      </c>
      <c r="N364" t="n">
        <v>0</v>
      </c>
      <c r="O364" t="n">
        <v>1</v>
      </c>
      <c r="P364" t="n">
        <v>0</v>
      </c>
      <c r="Q364" t="n">
        <v>1</v>
      </c>
      <c r="R364" s="2" t="inlineStr">
        <is>
          <t>Harticka</t>
        </is>
      </c>
      <c r="S364">
        <f>HYPERLINK("https://klasma.github.io/Logging_2283/artfynd/A 62256-2025 artfynd.xlsx", "A 62256-2025")</f>
        <v/>
      </c>
      <c r="T364">
        <f>HYPERLINK("https://klasma.github.io/Logging_2283/kartor/A 62256-2025 karta.png", "A 62256-2025")</f>
        <v/>
      </c>
      <c r="V364">
        <f>HYPERLINK("https://klasma.github.io/Logging_2283/klagomål/A 62256-2025 FSC-klagomål.docx", "A 62256-2025")</f>
        <v/>
      </c>
      <c r="W364">
        <f>HYPERLINK("https://klasma.github.io/Logging_2283/klagomålsmail/A 62256-2025 FSC-klagomål mail.docx", "A 62256-2025")</f>
        <v/>
      </c>
      <c r="X364">
        <f>HYPERLINK("https://klasma.github.io/Logging_2283/tillsyn/A 62256-2025 tillsynsbegäran.docx", "A 62256-2025")</f>
        <v/>
      </c>
      <c r="Y364">
        <f>HYPERLINK("https://klasma.github.io/Logging_2283/tillsynsmail/A 62256-2025 tillsynsbegäran mail.docx", "A 62256-2025")</f>
        <v/>
      </c>
    </row>
    <row r="365" ht="15" customHeight="1">
      <c r="A365" t="inlineStr">
        <is>
          <t>A 5048-2026</t>
        </is>
      </c>
      <c r="B365" s="1" t="n">
        <v>46049.46950231482</v>
      </c>
      <c r="C365" s="1" t="n">
        <v>46075</v>
      </c>
      <c r="D365" t="inlineStr">
        <is>
          <t>VÄSTERNORRLANDS LÄN</t>
        </is>
      </c>
      <c r="E365" t="inlineStr">
        <is>
          <t>SOLLEFTEÅ</t>
        </is>
      </c>
      <c r="F365" t="inlineStr">
        <is>
          <t>SCA</t>
        </is>
      </c>
      <c r="G365" t="n">
        <v>5.2</v>
      </c>
      <c r="H365" t="n">
        <v>0</v>
      </c>
      <c r="I365" t="n">
        <v>0</v>
      </c>
      <c r="J365" t="n">
        <v>1</v>
      </c>
      <c r="K365" t="n">
        <v>0</v>
      </c>
      <c r="L365" t="n">
        <v>0</v>
      </c>
      <c r="M365" t="n">
        <v>0</v>
      </c>
      <c r="N365" t="n">
        <v>0</v>
      </c>
      <c r="O365" t="n">
        <v>1</v>
      </c>
      <c r="P365" t="n">
        <v>0</v>
      </c>
      <c r="Q365" t="n">
        <v>1</v>
      </c>
      <c r="R365" s="2" t="inlineStr">
        <is>
          <t>Motaggsvamp</t>
        </is>
      </c>
      <c r="S365">
        <f>HYPERLINK("https://klasma.github.io/Logging_2283/artfynd/A 5048-2026 artfynd.xlsx", "A 5048-2026")</f>
        <v/>
      </c>
      <c r="T365">
        <f>HYPERLINK("https://klasma.github.io/Logging_2283/kartor/A 5048-2026 karta.png", "A 5048-2026")</f>
        <v/>
      </c>
      <c r="V365">
        <f>HYPERLINK("https://klasma.github.io/Logging_2283/klagomål/A 5048-2026 FSC-klagomål.docx", "A 5048-2026")</f>
        <v/>
      </c>
      <c r="W365">
        <f>HYPERLINK("https://klasma.github.io/Logging_2283/klagomålsmail/A 5048-2026 FSC-klagomål mail.docx", "A 5048-2026")</f>
        <v/>
      </c>
      <c r="X365">
        <f>HYPERLINK("https://klasma.github.io/Logging_2283/tillsyn/A 5048-2026 tillsynsbegäran.docx", "A 5048-2026")</f>
        <v/>
      </c>
      <c r="Y365">
        <f>HYPERLINK("https://klasma.github.io/Logging_2283/tillsynsmail/A 5048-2026 tillsynsbegäran mail.docx", "A 5048-2026")</f>
        <v/>
      </c>
    </row>
    <row r="366" ht="15" customHeight="1">
      <c r="A366" t="inlineStr">
        <is>
          <t>A 3804-2026</t>
        </is>
      </c>
      <c r="B366" s="1" t="n">
        <v>46043.58314814815</v>
      </c>
      <c r="C366" s="1" t="n">
        <v>46075</v>
      </c>
      <c r="D366" t="inlineStr">
        <is>
          <t>VÄSTERNORRLANDS LÄN</t>
        </is>
      </c>
      <c r="E366" t="inlineStr">
        <is>
          <t>SOLLEFTEÅ</t>
        </is>
      </c>
      <c r="F366" t="inlineStr">
        <is>
          <t>SCA</t>
        </is>
      </c>
      <c r="G366" t="n">
        <v>11.8</v>
      </c>
      <c r="H366" t="n">
        <v>0</v>
      </c>
      <c r="I366" t="n">
        <v>0</v>
      </c>
      <c r="J366" t="n">
        <v>1</v>
      </c>
      <c r="K366" t="n">
        <v>0</v>
      </c>
      <c r="L366" t="n">
        <v>0</v>
      </c>
      <c r="M366" t="n">
        <v>0</v>
      </c>
      <c r="N366" t="n">
        <v>0</v>
      </c>
      <c r="O366" t="n">
        <v>1</v>
      </c>
      <c r="P366" t="n">
        <v>0</v>
      </c>
      <c r="Q366" t="n">
        <v>1</v>
      </c>
      <c r="R366" s="2" t="inlineStr">
        <is>
          <t>Dofttaggsvamp</t>
        </is>
      </c>
      <c r="S366">
        <f>HYPERLINK("https://klasma.github.io/Logging_2283/artfynd/A 3804-2026 artfynd.xlsx", "A 3804-2026")</f>
        <v/>
      </c>
      <c r="T366">
        <f>HYPERLINK("https://klasma.github.io/Logging_2283/kartor/A 3804-2026 karta.png", "A 3804-2026")</f>
        <v/>
      </c>
      <c r="V366">
        <f>HYPERLINK("https://klasma.github.io/Logging_2283/klagomål/A 3804-2026 FSC-klagomål.docx", "A 3804-2026")</f>
        <v/>
      </c>
      <c r="W366">
        <f>HYPERLINK("https://klasma.github.io/Logging_2283/klagomålsmail/A 3804-2026 FSC-klagomål mail.docx", "A 3804-2026")</f>
        <v/>
      </c>
      <c r="X366">
        <f>HYPERLINK("https://klasma.github.io/Logging_2283/tillsyn/A 3804-2026 tillsynsbegäran.docx", "A 3804-2026")</f>
        <v/>
      </c>
      <c r="Y366">
        <f>HYPERLINK("https://klasma.github.io/Logging_2283/tillsynsmail/A 3804-2026 tillsynsbegäran mail.docx", "A 3804-2026")</f>
        <v/>
      </c>
    </row>
    <row r="367" ht="15" customHeight="1">
      <c r="A367" t="inlineStr">
        <is>
          <t>A 31920-2023</t>
        </is>
      </c>
      <c r="B367" s="1" t="n">
        <v>45118</v>
      </c>
      <c r="C367" s="1" t="n">
        <v>46075</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46075</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63874-2025</t>
        </is>
      </c>
      <c r="B369" s="1" t="n">
        <v>46020.53168981482</v>
      </c>
      <c r="C369" s="1" t="n">
        <v>46075</v>
      </c>
      <c r="D369" t="inlineStr">
        <is>
          <t>VÄSTERNORRLANDS LÄN</t>
        </is>
      </c>
      <c r="E369" t="inlineStr">
        <is>
          <t>SOLLEFTEÅ</t>
        </is>
      </c>
      <c r="G369" t="n">
        <v>1.2</v>
      </c>
      <c r="H369" t="n">
        <v>0</v>
      </c>
      <c r="I369" t="n">
        <v>1</v>
      </c>
      <c r="J369" t="n">
        <v>0</v>
      </c>
      <c r="K369" t="n">
        <v>0</v>
      </c>
      <c r="L369" t="n">
        <v>0</v>
      </c>
      <c r="M369" t="n">
        <v>0</v>
      </c>
      <c r="N369" t="n">
        <v>0</v>
      </c>
      <c r="O369" t="n">
        <v>0</v>
      </c>
      <c r="P369" t="n">
        <v>0</v>
      </c>
      <c r="Q369" t="n">
        <v>1</v>
      </c>
      <c r="R369" s="2" t="inlineStr">
        <is>
          <t>Stuplav</t>
        </is>
      </c>
      <c r="S369">
        <f>HYPERLINK("https://klasma.github.io/Logging_2283/artfynd/A 63874-2025 artfynd.xlsx", "A 63874-2025")</f>
        <v/>
      </c>
      <c r="T369">
        <f>HYPERLINK("https://klasma.github.io/Logging_2283/kartor/A 63874-2025 karta.png", "A 63874-2025")</f>
        <v/>
      </c>
      <c r="V369">
        <f>HYPERLINK("https://klasma.github.io/Logging_2283/klagomål/A 63874-2025 FSC-klagomål.docx", "A 63874-2025")</f>
        <v/>
      </c>
      <c r="W369">
        <f>HYPERLINK("https://klasma.github.io/Logging_2283/klagomålsmail/A 63874-2025 FSC-klagomål mail.docx", "A 63874-2025")</f>
        <v/>
      </c>
      <c r="X369">
        <f>HYPERLINK("https://klasma.github.io/Logging_2283/tillsyn/A 63874-2025 tillsynsbegäran.docx", "A 63874-2025")</f>
        <v/>
      </c>
      <c r="Y369">
        <f>HYPERLINK("https://klasma.github.io/Logging_2283/tillsynsmail/A 63874-2025 tillsynsbegäran mail.docx", "A 63874-2025")</f>
        <v/>
      </c>
    </row>
    <row r="370" ht="15" customHeight="1">
      <c r="A370" t="inlineStr">
        <is>
          <t>A 54558-2022</t>
        </is>
      </c>
      <c r="B370" s="1" t="n">
        <v>44882</v>
      </c>
      <c r="C370" s="1" t="n">
        <v>46075</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46075</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46075</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46075</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9458-2026</t>
        </is>
      </c>
      <c r="B374" s="1" t="n">
        <v>46071.49013888889</v>
      </c>
      <c r="C374" s="1" t="n">
        <v>46075</v>
      </c>
      <c r="D374" t="inlineStr">
        <is>
          <t>VÄSTERNORRLANDS LÄN</t>
        </is>
      </c>
      <c r="E374" t="inlineStr">
        <is>
          <t>SOLLEFTEÅ</t>
        </is>
      </c>
      <c r="G374" t="n">
        <v>3.4</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9458-2026 artfynd.xlsx", "A 9458-2026")</f>
        <v/>
      </c>
      <c r="T374">
        <f>HYPERLINK("https://klasma.github.io/Logging_2283/kartor/A 9458-2026 karta.png", "A 9458-2026")</f>
        <v/>
      </c>
      <c r="U374">
        <f>HYPERLINK("https://klasma.github.io/Logging_2283/knärot/A 9458-2026 karta knärot.png", "A 9458-2026")</f>
        <v/>
      </c>
      <c r="V374">
        <f>HYPERLINK("https://klasma.github.io/Logging_2283/klagomål/A 9458-2026 FSC-klagomål.docx", "A 9458-2026")</f>
        <v/>
      </c>
      <c r="W374">
        <f>HYPERLINK("https://klasma.github.io/Logging_2283/klagomålsmail/A 9458-2026 FSC-klagomål mail.docx", "A 9458-2026")</f>
        <v/>
      </c>
      <c r="X374">
        <f>HYPERLINK("https://klasma.github.io/Logging_2283/tillsyn/A 9458-2026 tillsynsbegäran.docx", "A 9458-2026")</f>
        <v/>
      </c>
      <c r="Y374">
        <f>HYPERLINK("https://klasma.github.io/Logging_2283/tillsynsmail/A 9458-2026 tillsynsbegäran mail.docx", "A 9458-2026")</f>
        <v/>
      </c>
      <c r="Z374">
        <f>HYPERLINK("https://klasma.github.io/Logging_2283/fåglar/A 9458-2026 prioriterade fågelarter.docx", "A 9458-2026")</f>
        <v/>
      </c>
    </row>
    <row r="375" ht="15" customHeight="1">
      <c r="A375" t="inlineStr">
        <is>
          <t>A 10067-2026</t>
        </is>
      </c>
      <c r="B375" s="1" t="n">
        <v>46073.6360300926</v>
      </c>
      <c r="C375" s="1" t="n">
        <v>46075</v>
      </c>
      <c r="D375" t="inlineStr">
        <is>
          <t>VÄSTERNORRLANDS LÄN</t>
        </is>
      </c>
      <c r="E375" t="inlineStr">
        <is>
          <t>SOLLEFTEÅ</t>
        </is>
      </c>
      <c r="F375" t="inlineStr">
        <is>
          <t>SCA</t>
        </is>
      </c>
      <c r="G375" t="n">
        <v>1.3</v>
      </c>
      <c r="H375" t="n">
        <v>0</v>
      </c>
      <c r="I375" t="n">
        <v>0</v>
      </c>
      <c r="J375" t="n">
        <v>1</v>
      </c>
      <c r="K375" t="n">
        <v>0</v>
      </c>
      <c r="L375" t="n">
        <v>0</v>
      </c>
      <c r="M375" t="n">
        <v>0</v>
      </c>
      <c r="N375" t="n">
        <v>0</v>
      </c>
      <c r="O375" t="n">
        <v>1</v>
      </c>
      <c r="P375" t="n">
        <v>0</v>
      </c>
      <c r="Q375" t="n">
        <v>1</v>
      </c>
      <c r="R375" s="2" t="inlineStr">
        <is>
          <t>Ullticka</t>
        </is>
      </c>
      <c r="S375">
        <f>HYPERLINK("https://klasma.github.io/Logging_2283/artfynd/A 10067-2026 artfynd.xlsx", "A 10067-2026")</f>
        <v/>
      </c>
      <c r="T375">
        <f>HYPERLINK("https://klasma.github.io/Logging_2283/kartor/A 10067-2026 karta.png", "A 10067-2026")</f>
        <v/>
      </c>
      <c r="V375">
        <f>HYPERLINK("https://klasma.github.io/Logging_2283/klagomål/A 10067-2026 FSC-klagomål.docx", "A 10067-2026")</f>
        <v/>
      </c>
      <c r="W375">
        <f>HYPERLINK("https://klasma.github.io/Logging_2283/klagomålsmail/A 10067-2026 FSC-klagomål mail.docx", "A 10067-2026")</f>
        <v/>
      </c>
      <c r="X375">
        <f>HYPERLINK("https://klasma.github.io/Logging_2283/tillsyn/A 10067-2026 tillsynsbegäran.docx", "A 10067-2026")</f>
        <v/>
      </c>
      <c r="Y375">
        <f>HYPERLINK("https://klasma.github.io/Logging_2283/tillsynsmail/A 10067-2026 tillsynsbegäran mail.docx", "A 10067-2026")</f>
        <v/>
      </c>
    </row>
    <row r="376" ht="15" customHeight="1">
      <c r="A376" t="inlineStr">
        <is>
          <t>A 39995-2024</t>
        </is>
      </c>
      <c r="B376" s="1" t="n">
        <v>45553.63572916666</v>
      </c>
      <c r="C376" s="1" t="n">
        <v>46075</v>
      </c>
      <c r="D376" t="inlineStr">
        <is>
          <t>VÄSTERNORRLANDS LÄN</t>
        </is>
      </c>
      <c r="E376" t="inlineStr">
        <is>
          <t>SOLLEFTEÅ</t>
        </is>
      </c>
      <c r="F376" t="inlineStr">
        <is>
          <t>SCA</t>
        </is>
      </c>
      <c r="G376" t="n">
        <v>3.5</v>
      </c>
      <c r="H376" t="n">
        <v>0</v>
      </c>
      <c r="I376" t="n">
        <v>0</v>
      </c>
      <c r="J376" t="n">
        <v>1</v>
      </c>
      <c r="K376" t="n">
        <v>0</v>
      </c>
      <c r="L376" t="n">
        <v>0</v>
      </c>
      <c r="M376" t="n">
        <v>0</v>
      </c>
      <c r="N376" t="n">
        <v>0</v>
      </c>
      <c r="O376" t="n">
        <v>1</v>
      </c>
      <c r="P376" t="n">
        <v>0</v>
      </c>
      <c r="Q376" t="n">
        <v>1</v>
      </c>
      <c r="R376" s="2" t="inlineStr">
        <is>
          <t>Garnlav</t>
        </is>
      </c>
      <c r="S376">
        <f>HYPERLINK("https://klasma.github.io/Logging_2283/artfynd/A 39995-2024 artfynd.xlsx", "A 39995-2024")</f>
        <v/>
      </c>
      <c r="T376">
        <f>HYPERLINK("https://klasma.github.io/Logging_2283/kartor/A 39995-2024 karta.png", "A 39995-2024")</f>
        <v/>
      </c>
      <c r="V376">
        <f>HYPERLINK("https://klasma.github.io/Logging_2283/klagomål/A 39995-2024 FSC-klagomål.docx", "A 39995-2024")</f>
        <v/>
      </c>
      <c r="W376">
        <f>HYPERLINK("https://klasma.github.io/Logging_2283/klagomålsmail/A 39995-2024 FSC-klagomål mail.docx", "A 39995-2024")</f>
        <v/>
      </c>
      <c r="X376">
        <f>HYPERLINK("https://klasma.github.io/Logging_2283/tillsyn/A 39995-2024 tillsynsbegäran.docx", "A 39995-2024")</f>
        <v/>
      </c>
      <c r="Y376">
        <f>HYPERLINK("https://klasma.github.io/Logging_2283/tillsynsmail/A 39995-2024 tillsynsbegäran mail.docx", "A 39995-2024")</f>
        <v/>
      </c>
    </row>
    <row r="377" ht="15" customHeight="1">
      <c r="A377" t="inlineStr">
        <is>
          <t>A 38363-2022</t>
        </is>
      </c>
      <c r="B377" s="1" t="n">
        <v>44812</v>
      </c>
      <c r="C377" s="1" t="n">
        <v>46075</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49366-2024</t>
        </is>
      </c>
      <c r="B378" s="1" t="n">
        <v>45595.63572916666</v>
      </c>
      <c r="C378" s="1" t="n">
        <v>46075</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5033-2024</t>
        </is>
      </c>
      <c r="B379" s="1" t="n">
        <v>45329</v>
      </c>
      <c r="C379" s="1" t="n">
        <v>46075</v>
      </c>
      <c r="D379" t="inlineStr">
        <is>
          <t>VÄSTERNORRLANDS LÄN</t>
        </is>
      </c>
      <c r="E379" t="inlineStr">
        <is>
          <t>SOLLEFTEÅ</t>
        </is>
      </c>
      <c r="F379" t="inlineStr">
        <is>
          <t>Övriga Aktiebolag</t>
        </is>
      </c>
      <c r="G379" t="n">
        <v>3.2</v>
      </c>
      <c r="H379" t="n">
        <v>0</v>
      </c>
      <c r="I379" t="n">
        <v>1</v>
      </c>
      <c r="J379" t="n">
        <v>0</v>
      </c>
      <c r="K379" t="n">
        <v>0</v>
      </c>
      <c r="L379" t="n">
        <v>0</v>
      </c>
      <c r="M379" t="n">
        <v>0</v>
      </c>
      <c r="N379" t="n">
        <v>0</v>
      </c>
      <c r="O379" t="n">
        <v>0</v>
      </c>
      <c r="P379" t="n">
        <v>0</v>
      </c>
      <c r="Q379" t="n">
        <v>1</v>
      </c>
      <c r="R379" s="2" t="inlineStr">
        <is>
          <t>Kransrams</t>
        </is>
      </c>
      <c r="S379">
        <f>HYPERLINK("https://klasma.github.io/Logging_2283/artfynd/A 5033-2024 artfynd.xlsx", "A 5033-2024")</f>
        <v/>
      </c>
      <c r="T379">
        <f>HYPERLINK("https://klasma.github.io/Logging_2283/kartor/A 5033-2024 karta.png", "A 5033-2024")</f>
        <v/>
      </c>
      <c r="V379">
        <f>HYPERLINK("https://klasma.github.io/Logging_2283/klagomål/A 5033-2024 FSC-klagomål.docx", "A 5033-2024")</f>
        <v/>
      </c>
      <c r="W379">
        <f>HYPERLINK("https://klasma.github.io/Logging_2283/klagomålsmail/A 5033-2024 FSC-klagomål mail.docx", "A 5033-2024")</f>
        <v/>
      </c>
      <c r="X379">
        <f>HYPERLINK("https://klasma.github.io/Logging_2283/tillsyn/A 5033-2024 tillsynsbegäran.docx", "A 5033-2024")</f>
        <v/>
      </c>
      <c r="Y379">
        <f>HYPERLINK("https://klasma.github.io/Logging_2283/tillsynsmail/A 5033-2024 tillsynsbegäran mail.docx", "A 5033-2024")</f>
        <v/>
      </c>
    </row>
    <row r="380" ht="15" customHeight="1">
      <c r="A380" t="inlineStr">
        <is>
          <t>A 5790-2025</t>
        </is>
      </c>
      <c r="B380" s="1" t="n">
        <v>45694.65657407408</v>
      </c>
      <c r="C380" s="1" t="n">
        <v>46075</v>
      </c>
      <c r="D380" t="inlineStr">
        <is>
          <t>VÄSTERNORRLANDS LÄN</t>
        </is>
      </c>
      <c r="E380" t="inlineStr">
        <is>
          <t>SOLLEFTEÅ</t>
        </is>
      </c>
      <c r="F380" t="inlineStr">
        <is>
          <t>SCA</t>
        </is>
      </c>
      <c r="G380" t="n">
        <v>32.7</v>
      </c>
      <c r="H380" t="n">
        <v>0</v>
      </c>
      <c r="I380" t="n">
        <v>0</v>
      </c>
      <c r="J380" t="n">
        <v>1</v>
      </c>
      <c r="K380" t="n">
        <v>0</v>
      </c>
      <c r="L380" t="n">
        <v>0</v>
      </c>
      <c r="M380" t="n">
        <v>0</v>
      </c>
      <c r="N380" t="n">
        <v>0</v>
      </c>
      <c r="O380" t="n">
        <v>1</v>
      </c>
      <c r="P380" t="n">
        <v>0</v>
      </c>
      <c r="Q380" t="n">
        <v>1</v>
      </c>
      <c r="R380" s="2" t="inlineStr">
        <is>
          <t>Lunglav</t>
        </is>
      </c>
      <c r="S380">
        <f>HYPERLINK("https://klasma.github.io/Logging_2283/artfynd/A 5790-2025 artfynd.xlsx", "A 5790-2025")</f>
        <v/>
      </c>
      <c r="T380">
        <f>HYPERLINK("https://klasma.github.io/Logging_2283/kartor/A 5790-2025 karta.png", "A 5790-2025")</f>
        <v/>
      </c>
      <c r="V380">
        <f>HYPERLINK("https://klasma.github.io/Logging_2283/klagomål/A 5790-2025 FSC-klagomål.docx", "A 5790-2025")</f>
        <v/>
      </c>
      <c r="W380">
        <f>HYPERLINK("https://klasma.github.io/Logging_2283/klagomålsmail/A 5790-2025 FSC-klagomål mail.docx", "A 5790-2025")</f>
        <v/>
      </c>
      <c r="X380">
        <f>HYPERLINK("https://klasma.github.io/Logging_2283/tillsyn/A 5790-2025 tillsynsbegäran.docx", "A 5790-2025")</f>
        <v/>
      </c>
      <c r="Y380">
        <f>HYPERLINK("https://klasma.github.io/Logging_2283/tillsynsmail/A 5790-2025 tillsynsbegäran mail.docx", "A 5790-2025")</f>
        <v/>
      </c>
    </row>
    <row r="381" ht="15" customHeight="1">
      <c r="A381" t="inlineStr">
        <is>
          <t>A 53059-2023</t>
        </is>
      </c>
      <c r="B381" s="1" t="n">
        <v>45226</v>
      </c>
      <c r="C381" s="1" t="n">
        <v>46075</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16269-2022</t>
        </is>
      </c>
      <c r="B382" s="1" t="n">
        <v>44670</v>
      </c>
      <c r="C382" s="1" t="n">
        <v>46075</v>
      </c>
      <c r="D382" t="inlineStr">
        <is>
          <t>VÄSTERNORRLANDS LÄN</t>
        </is>
      </c>
      <c r="E382" t="inlineStr">
        <is>
          <t>SOLLEFTEÅ</t>
        </is>
      </c>
      <c r="F382" t="inlineStr">
        <is>
          <t>Holmen skog AB</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16269-2022 artfynd.xlsx", "A 16269-2022")</f>
        <v/>
      </c>
      <c r="T382">
        <f>HYPERLINK("https://klasma.github.io/Logging_2283/kartor/A 16269-2022 karta.png", "A 16269-2022")</f>
        <v/>
      </c>
      <c r="V382">
        <f>HYPERLINK("https://klasma.github.io/Logging_2283/klagomål/A 16269-2022 FSC-klagomål.docx", "A 16269-2022")</f>
        <v/>
      </c>
      <c r="W382">
        <f>HYPERLINK("https://klasma.github.io/Logging_2283/klagomålsmail/A 16269-2022 FSC-klagomål mail.docx", "A 16269-2022")</f>
        <v/>
      </c>
      <c r="X382">
        <f>HYPERLINK("https://klasma.github.io/Logging_2283/tillsyn/A 16269-2022 tillsynsbegäran.docx", "A 16269-2022")</f>
        <v/>
      </c>
      <c r="Y382">
        <f>HYPERLINK("https://klasma.github.io/Logging_2283/tillsynsmail/A 16269-2022 tillsynsbegäran mail.docx", "A 16269-2022")</f>
        <v/>
      </c>
      <c r="Z382">
        <f>HYPERLINK("https://klasma.github.io/Logging_2283/fåglar/A 16269-2022 prioriterade fågelarter.docx", "A 16269-2022")</f>
        <v/>
      </c>
    </row>
    <row r="383" ht="15" customHeight="1">
      <c r="A383" t="inlineStr">
        <is>
          <t>A 48948-2024</t>
        </is>
      </c>
      <c r="B383" s="1" t="n">
        <v>45594.42767361111</v>
      </c>
      <c r="C383" s="1" t="n">
        <v>46075</v>
      </c>
      <c r="D383" t="inlineStr">
        <is>
          <t>VÄSTERNORRLANDS LÄN</t>
        </is>
      </c>
      <c r="E383" t="inlineStr">
        <is>
          <t>SOLLEFTEÅ</t>
        </is>
      </c>
      <c r="F383" t="inlineStr">
        <is>
          <t>SCA</t>
        </is>
      </c>
      <c r="G383" t="n">
        <v>15</v>
      </c>
      <c r="H383" t="n">
        <v>1</v>
      </c>
      <c r="I383" t="n">
        <v>0</v>
      </c>
      <c r="J383" t="n">
        <v>0</v>
      </c>
      <c r="K383" t="n">
        <v>0</v>
      </c>
      <c r="L383" t="n">
        <v>0</v>
      </c>
      <c r="M383" t="n">
        <v>0</v>
      </c>
      <c r="N383" t="n">
        <v>0</v>
      </c>
      <c r="O383" t="n">
        <v>0</v>
      </c>
      <c r="P383" t="n">
        <v>0</v>
      </c>
      <c r="Q383" t="n">
        <v>1</v>
      </c>
      <c r="R383" s="2" t="inlineStr">
        <is>
          <t>Mattlummer</t>
        </is>
      </c>
      <c r="S383">
        <f>HYPERLINK("https://klasma.github.io/Logging_2283/artfynd/A 48948-2024 artfynd.xlsx", "A 48948-2024")</f>
        <v/>
      </c>
      <c r="T383">
        <f>HYPERLINK("https://klasma.github.io/Logging_2283/kartor/A 48948-2024 karta.png", "A 48948-2024")</f>
        <v/>
      </c>
      <c r="V383">
        <f>HYPERLINK("https://klasma.github.io/Logging_2283/klagomål/A 48948-2024 FSC-klagomål.docx", "A 48948-2024")</f>
        <v/>
      </c>
      <c r="W383">
        <f>HYPERLINK("https://klasma.github.io/Logging_2283/klagomålsmail/A 48948-2024 FSC-klagomål mail.docx", "A 48948-2024")</f>
        <v/>
      </c>
      <c r="X383">
        <f>HYPERLINK("https://klasma.github.io/Logging_2283/tillsyn/A 48948-2024 tillsynsbegäran.docx", "A 48948-2024")</f>
        <v/>
      </c>
      <c r="Y383">
        <f>HYPERLINK("https://klasma.github.io/Logging_2283/tillsynsmail/A 48948-2024 tillsynsbegäran mail.docx", "A 48948-2024")</f>
        <v/>
      </c>
    </row>
    <row r="384" ht="15" customHeight="1">
      <c r="A384" t="inlineStr">
        <is>
          <t>A 14805-2024</t>
        </is>
      </c>
      <c r="B384" s="1" t="n">
        <v>45397</v>
      </c>
      <c r="C384" s="1" t="n">
        <v>46075</v>
      </c>
      <c r="D384" t="inlineStr">
        <is>
          <t>VÄSTERNORRLANDS LÄN</t>
        </is>
      </c>
      <c r="E384" t="inlineStr">
        <is>
          <t>SOLLEFTEÅ</t>
        </is>
      </c>
      <c r="F384" t="inlineStr">
        <is>
          <t>SCA</t>
        </is>
      </c>
      <c r="G384" t="n">
        <v>3.5</v>
      </c>
      <c r="H384" t="n">
        <v>0</v>
      </c>
      <c r="I384" t="n">
        <v>0</v>
      </c>
      <c r="J384" t="n">
        <v>1</v>
      </c>
      <c r="K384" t="n">
        <v>0</v>
      </c>
      <c r="L384" t="n">
        <v>0</v>
      </c>
      <c r="M384" t="n">
        <v>0</v>
      </c>
      <c r="N384" t="n">
        <v>0</v>
      </c>
      <c r="O384" t="n">
        <v>1</v>
      </c>
      <c r="P384" t="n">
        <v>0</v>
      </c>
      <c r="Q384" t="n">
        <v>1</v>
      </c>
      <c r="R384" s="2" t="inlineStr">
        <is>
          <t>Dvärgbägarlav</t>
        </is>
      </c>
      <c r="S384">
        <f>HYPERLINK("https://klasma.github.io/Logging_2283/artfynd/A 14805-2024 artfynd.xlsx", "A 14805-2024")</f>
        <v/>
      </c>
      <c r="T384">
        <f>HYPERLINK("https://klasma.github.io/Logging_2283/kartor/A 14805-2024 karta.png", "A 14805-2024")</f>
        <v/>
      </c>
      <c r="V384">
        <f>HYPERLINK("https://klasma.github.io/Logging_2283/klagomål/A 14805-2024 FSC-klagomål.docx", "A 14805-2024")</f>
        <v/>
      </c>
      <c r="W384">
        <f>HYPERLINK("https://klasma.github.io/Logging_2283/klagomålsmail/A 14805-2024 FSC-klagomål mail.docx", "A 14805-2024")</f>
        <v/>
      </c>
      <c r="X384">
        <f>HYPERLINK("https://klasma.github.io/Logging_2283/tillsyn/A 14805-2024 tillsynsbegäran.docx", "A 14805-2024")</f>
        <v/>
      </c>
      <c r="Y384">
        <f>HYPERLINK("https://klasma.github.io/Logging_2283/tillsynsmail/A 14805-2024 tillsynsbegäran mail.docx", "A 14805-2024")</f>
        <v/>
      </c>
    </row>
    <row r="385" ht="15" customHeight="1">
      <c r="A385" t="inlineStr">
        <is>
          <t>A 18697-2025</t>
        </is>
      </c>
      <c r="B385" s="1" t="n">
        <v>45763.61592592593</v>
      </c>
      <c r="C385" s="1" t="n">
        <v>46075</v>
      </c>
      <c r="D385" t="inlineStr">
        <is>
          <t>VÄSTERNORRLANDS LÄN</t>
        </is>
      </c>
      <c r="E385" t="inlineStr">
        <is>
          <t>SOLLEFTEÅ</t>
        </is>
      </c>
      <c r="F385" t="inlineStr">
        <is>
          <t>SCA</t>
        </is>
      </c>
      <c r="G385" t="n">
        <v>6.4</v>
      </c>
      <c r="H385" t="n">
        <v>0</v>
      </c>
      <c r="I385" t="n">
        <v>0</v>
      </c>
      <c r="J385" t="n">
        <v>1</v>
      </c>
      <c r="K385" t="n">
        <v>0</v>
      </c>
      <c r="L385" t="n">
        <v>0</v>
      </c>
      <c r="M385" t="n">
        <v>0</v>
      </c>
      <c r="N385" t="n">
        <v>0</v>
      </c>
      <c r="O385" t="n">
        <v>1</v>
      </c>
      <c r="P385" t="n">
        <v>0</v>
      </c>
      <c r="Q385" t="n">
        <v>1</v>
      </c>
      <c r="R385" s="2" t="inlineStr">
        <is>
          <t>Kolflarnlav</t>
        </is>
      </c>
      <c r="S385">
        <f>HYPERLINK("https://klasma.github.io/Logging_2283/artfynd/A 18697-2025 artfynd.xlsx", "A 18697-2025")</f>
        <v/>
      </c>
      <c r="T385">
        <f>HYPERLINK("https://klasma.github.io/Logging_2283/kartor/A 18697-2025 karta.png", "A 18697-2025")</f>
        <v/>
      </c>
      <c r="V385">
        <f>HYPERLINK("https://klasma.github.io/Logging_2283/klagomål/A 18697-2025 FSC-klagomål.docx", "A 18697-2025")</f>
        <v/>
      </c>
      <c r="W385">
        <f>HYPERLINK("https://klasma.github.io/Logging_2283/klagomålsmail/A 18697-2025 FSC-klagomål mail.docx", "A 18697-2025")</f>
        <v/>
      </c>
      <c r="X385">
        <f>HYPERLINK("https://klasma.github.io/Logging_2283/tillsyn/A 18697-2025 tillsynsbegäran.docx", "A 18697-2025")</f>
        <v/>
      </c>
      <c r="Y385">
        <f>HYPERLINK("https://klasma.github.io/Logging_2283/tillsynsmail/A 18697-2025 tillsynsbegäran mail.docx", "A 18697-2025")</f>
        <v/>
      </c>
    </row>
    <row r="386" ht="15" customHeight="1">
      <c r="A386" t="inlineStr">
        <is>
          <t>A 22345-2025</t>
        </is>
      </c>
      <c r="B386" s="1" t="n">
        <v>45786.44869212963</v>
      </c>
      <c r="C386" s="1" t="n">
        <v>46075</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22768-2025</t>
        </is>
      </c>
      <c r="B387" s="1" t="n">
        <v>45789.63329861111</v>
      </c>
      <c r="C387" s="1" t="n">
        <v>46075</v>
      </c>
      <c r="D387" t="inlineStr">
        <is>
          <t>VÄSTERNORRLANDS LÄN</t>
        </is>
      </c>
      <c r="E387" t="inlineStr">
        <is>
          <t>SOLLEFTEÅ</t>
        </is>
      </c>
      <c r="G387" t="n">
        <v>1.9</v>
      </c>
      <c r="H387" t="n">
        <v>0</v>
      </c>
      <c r="I387" t="n">
        <v>0</v>
      </c>
      <c r="J387" t="n">
        <v>1</v>
      </c>
      <c r="K387" t="n">
        <v>0</v>
      </c>
      <c r="L387" t="n">
        <v>0</v>
      </c>
      <c r="M387" t="n">
        <v>0</v>
      </c>
      <c r="N387" t="n">
        <v>0</v>
      </c>
      <c r="O387" t="n">
        <v>1</v>
      </c>
      <c r="P387" t="n">
        <v>0</v>
      </c>
      <c r="Q387" t="n">
        <v>1</v>
      </c>
      <c r="R387" s="2" t="inlineStr">
        <is>
          <t>Granticka</t>
        </is>
      </c>
      <c r="S387">
        <f>HYPERLINK("https://klasma.github.io/Logging_2283/artfynd/A 22768-2025 artfynd.xlsx", "A 22768-2025")</f>
        <v/>
      </c>
      <c r="T387">
        <f>HYPERLINK("https://klasma.github.io/Logging_2283/kartor/A 22768-2025 karta.png", "A 22768-2025")</f>
        <v/>
      </c>
      <c r="V387">
        <f>HYPERLINK("https://klasma.github.io/Logging_2283/klagomål/A 22768-2025 FSC-klagomål.docx", "A 22768-2025")</f>
        <v/>
      </c>
      <c r="W387">
        <f>HYPERLINK("https://klasma.github.io/Logging_2283/klagomålsmail/A 22768-2025 FSC-klagomål mail.docx", "A 22768-2025")</f>
        <v/>
      </c>
      <c r="X387">
        <f>HYPERLINK("https://klasma.github.io/Logging_2283/tillsyn/A 22768-2025 tillsynsbegäran.docx", "A 22768-2025")</f>
        <v/>
      </c>
      <c r="Y387">
        <f>HYPERLINK("https://klasma.github.io/Logging_2283/tillsynsmail/A 22768-2025 tillsynsbegäran mail.docx", "A 22768-2025")</f>
        <v/>
      </c>
    </row>
    <row r="388" ht="15" customHeight="1">
      <c r="A388" t="inlineStr">
        <is>
          <t>A 27901-2024</t>
        </is>
      </c>
      <c r="B388" s="1" t="n">
        <v>45475.92859953704</v>
      </c>
      <c r="C388" s="1" t="n">
        <v>46075</v>
      </c>
      <c r="D388" t="inlineStr">
        <is>
          <t>VÄSTERNORRLANDS LÄN</t>
        </is>
      </c>
      <c r="E388" t="inlineStr">
        <is>
          <t>SOLLEFTEÅ</t>
        </is>
      </c>
      <c r="G388" t="n">
        <v>12.7</v>
      </c>
      <c r="H388" t="n">
        <v>0</v>
      </c>
      <c r="I388" t="n">
        <v>0</v>
      </c>
      <c r="J388" t="n">
        <v>1</v>
      </c>
      <c r="K388" t="n">
        <v>0</v>
      </c>
      <c r="L388" t="n">
        <v>0</v>
      </c>
      <c r="M388" t="n">
        <v>0</v>
      </c>
      <c r="N388" t="n">
        <v>0</v>
      </c>
      <c r="O388" t="n">
        <v>1</v>
      </c>
      <c r="P388" t="n">
        <v>0</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23169-2025</t>
        </is>
      </c>
      <c r="B389" s="1" t="n">
        <v>45791.42752314815</v>
      </c>
      <c r="C389" s="1" t="n">
        <v>46075</v>
      </c>
      <c r="D389" t="inlineStr">
        <is>
          <t>VÄSTERNORRLANDS LÄN</t>
        </is>
      </c>
      <c r="E389" t="inlineStr">
        <is>
          <t>SOLLEFTEÅ</t>
        </is>
      </c>
      <c r="F389" t="inlineStr">
        <is>
          <t>SCA</t>
        </is>
      </c>
      <c r="G389" t="n">
        <v>1.8</v>
      </c>
      <c r="H389" t="n">
        <v>1</v>
      </c>
      <c r="I389" t="n">
        <v>0</v>
      </c>
      <c r="J389" t="n">
        <v>1</v>
      </c>
      <c r="K389" t="n">
        <v>0</v>
      </c>
      <c r="L389" t="n">
        <v>0</v>
      </c>
      <c r="M389" t="n">
        <v>0</v>
      </c>
      <c r="N389" t="n">
        <v>0</v>
      </c>
      <c r="O389" t="n">
        <v>1</v>
      </c>
      <c r="P389" t="n">
        <v>0</v>
      </c>
      <c r="Q389" t="n">
        <v>1</v>
      </c>
      <c r="R389" s="2" t="inlineStr">
        <is>
          <t>Järpe</t>
        </is>
      </c>
      <c r="S389">
        <f>HYPERLINK("https://klasma.github.io/Logging_2283/artfynd/A 23169-2025 artfynd.xlsx", "A 23169-2025")</f>
        <v/>
      </c>
      <c r="T389">
        <f>HYPERLINK("https://klasma.github.io/Logging_2283/kartor/A 23169-2025 karta.png", "A 23169-2025")</f>
        <v/>
      </c>
      <c r="V389">
        <f>HYPERLINK("https://klasma.github.io/Logging_2283/klagomål/A 23169-2025 FSC-klagomål.docx", "A 23169-2025")</f>
        <v/>
      </c>
      <c r="W389">
        <f>HYPERLINK("https://klasma.github.io/Logging_2283/klagomålsmail/A 23169-2025 FSC-klagomål mail.docx", "A 23169-2025")</f>
        <v/>
      </c>
      <c r="X389">
        <f>HYPERLINK("https://klasma.github.io/Logging_2283/tillsyn/A 23169-2025 tillsynsbegäran.docx", "A 23169-2025")</f>
        <v/>
      </c>
      <c r="Y389">
        <f>HYPERLINK("https://klasma.github.io/Logging_2283/tillsynsmail/A 23169-2025 tillsynsbegäran mail.docx", "A 23169-2025")</f>
        <v/>
      </c>
      <c r="Z389">
        <f>HYPERLINK("https://klasma.github.io/Logging_2283/fåglar/A 23169-2025 prioriterade fågelarter.docx", "A 23169-2025")</f>
        <v/>
      </c>
    </row>
    <row r="390" ht="15" customHeight="1">
      <c r="A390" t="inlineStr">
        <is>
          <t>A 22214-2025</t>
        </is>
      </c>
      <c r="B390" s="1" t="n">
        <v>45785.65792824074</v>
      </c>
      <c r="C390" s="1" t="n">
        <v>46075</v>
      </c>
      <c r="D390" t="inlineStr">
        <is>
          <t>VÄSTERNORRLANDS LÄN</t>
        </is>
      </c>
      <c r="E390" t="inlineStr">
        <is>
          <t>SOLLEFTEÅ</t>
        </is>
      </c>
      <c r="F390" t="inlineStr">
        <is>
          <t>SCA</t>
        </is>
      </c>
      <c r="G390" t="n">
        <v>4.6</v>
      </c>
      <c r="H390" t="n">
        <v>0</v>
      </c>
      <c r="I390" t="n">
        <v>0</v>
      </c>
      <c r="J390" t="n">
        <v>1</v>
      </c>
      <c r="K390" t="n">
        <v>0</v>
      </c>
      <c r="L390" t="n">
        <v>0</v>
      </c>
      <c r="M390" t="n">
        <v>0</v>
      </c>
      <c r="N390" t="n">
        <v>0</v>
      </c>
      <c r="O390" t="n">
        <v>1</v>
      </c>
      <c r="P390" t="n">
        <v>0</v>
      </c>
      <c r="Q390" t="n">
        <v>1</v>
      </c>
      <c r="R390" s="2" t="inlineStr">
        <is>
          <t>Reliktbock</t>
        </is>
      </c>
      <c r="S390">
        <f>HYPERLINK("https://klasma.github.io/Logging_2283/artfynd/A 22214-2025 artfynd.xlsx", "A 22214-2025")</f>
        <v/>
      </c>
      <c r="T390">
        <f>HYPERLINK("https://klasma.github.io/Logging_2283/kartor/A 22214-2025 karta.png", "A 22214-2025")</f>
        <v/>
      </c>
      <c r="V390">
        <f>HYPERLINK("https://klasma.github.io/Logging_2283/klagomål/A 22214-2025 FSC-klagomål.docx", "A 22214-2025")</f>
        <v/>
      </c>
      <c r="W390">
        <f>HYPERLINK("https://klasma.github.io/Logging_2283/klagomålsmail/A 22214-2025 FSC-klagomål mail.docx", "A 22214-2025")</f>
        <v/>
      </c>
      <c r="X390">
        <f>HYPERLINK("https://klasma.github.io/Logging_2283/tillsyn/A 22214-2025 tillsynsbegäran.docx", "A 22214-2025")</f>
        <v/>
      </c>
      <c r="Y390">
        <f>HYPERLINK("https://klasma.github.io/Logging_2283/tillsynsmail/A 22214-2025 tillsynsbegäran mail.docx", "A 22214-2025")</f>
        <v/>
      </c>
    </row>
    <row r="391" ht="15" customHeight="1">
      <c r="A391" t="inlineStr">
        <is>
          <t>A 26019-2025</t>
        </is>
      </c>
      <c r="B391" s="1" t="n">
        <v>45804.67811342593</v>
      </c>
      <c r="C391" s="1" t="n">
        <v>46075</v>
      </c>
      <c r="D391" t="inlineStr">
        <is>
          <t>VÄSTERNORRLANDS LÄN</t>
        </is>
      </c>
      <c r="E391" t="inlineStr">
        <is>
          <t>SOLLEFTEÅ</t>
        </is>
      </c>
      <c r="F391" t="inlineStr">
        <is>
          <t>SCA</t>
        </is>
      </c>
      <c r="G391" t="n">
        <v>3.7</v>
      </c>
      <c r="H391" t="n">
        <v>0</v>
      </c>
      <c r="I391" t="n">
        <v>0</v>
      </c>
      <c r="J391" t="n">
        <v>1</v>
      </c>
      <c r="K391" t="n">
        <v>0</v>
      </c>
      <c r="L391" t="n">
        <v>0</v>
      </c>
      <c r="M391" t="n">
        <v>0</v>
      </c>
      <c r="N391" t="n">
        <v>0</v>
      </c>
      <c r="O391" t="n">
        <v>1</v>
      </c>
      <c r="P391" t="n">
        <v>0</v>
      </c>
      <c r="Q391" t="n">
        <v>1</v>
      </c>
      <c r="R391" s="2" t="inlineStr">
        <is>
          <t>Rosenticka</t>
        </is>
      </c>
      <c r="S391">
        <f>HYPERLINK("https://klasma.github.io/Logging_2283/artfynd/A 26019-2025 artfynd.xlsx", "A 26019-2025")</f>
        <v/>
      </c>
      <c r="T391">
        <f>HYPERLINK("https://klasma.github.io/Logging_2283/kartor/A 26019-2025 karta.png", "A 26019-2025")</f>
        <v/>
      </c>
      <c r="V391">
        <f>HYPERLINK("https://klasma.github.io/Logging_2283/klagomål/A 26019-2025 FSC-klagomål.docx", "A 26019-2025")</f>
        <v/>
      </c>
      <c r="W391">
        <f>HYPERLINK("https://klasma.github.io/Logging_2283/klagomålsmail/A 26019-2025 FSC-klagomål mail.docx", "A 26019-2025")</f>
        <v/>
      </c>
      <c r="X391">
        <f>HYPERLINK("https://klasma.github.io/Logging_2283/tillsyn/A 26019-2025 tillsynsbegäran.docx", "A 26019-2025")</f>
        <v/>
      </c>
      <c r="Y391">
        <f>HYPERLINK("https://klasma.github.io/Logging_2283/tillsynsmail/A 26019-2025 tillsynsbegäran mail.docx", "A 26019-2025")</f>
        <v/>
      </c>
    </row>
    <row r="392" ht="15" customHeight="1">
      <c r="A392" t="inlineStr">
        <is>
          <t>A 26501-2025</t>
        </is>
      </c>
      <c r="B392" s="1" t="n">
        <v>45807</v>
      </c>
      <c r="C392" s="1" t="n">
        <v>46075</v>
      </c>
      <c r="D392" t="inlineStr">
        <is>
          <t>VÄSTERNORRLANDS LÄN</t>
        </is>
      </c>
      <c r="E392" t="inlineStr">
        <is>
          <t>SOLLEFTEÅ</t>
        </is>
      </c>
      <c r="F392" t="inlineStr">
        <is>
          <t>SCA</t>
        </is>
      </c>
      <c r="G392" t="n">
        <v>3.9</v>
      </c>
      <c r="H392" t="n">
        <v>0</v>
      </c>
      <c r="I392" t="n">
        <v>0</v>
      </c>
      <c r="J392" t="n">
        <v>1</v>
      </c>
      <c r="K392" t="n">
        <v>0</v>
      </c>
      <c r="L392" t="n">
        <v>0</v>
      </c>
      <c r="M392" t="n">
        <v>0</v>
      </c>
      <c r="N392" t="n">
        <v>0</v>
      </c>
      <c r="O392" t="n">
        <v>1</v>
      </c>
      <c r="P392" t="n">
        <v>0</v>
      </c>
      <c r="Q392" t="n">
        <v>1</v>
      </c>
      <c r="R392" s="2" t="inlineStr">
        <is>
          <t>Vedflikmossa</t>
        </is>
      </c>
      <c r="S392">
        <f>HYPERLINK("https://klasma.github.io/Logging_2283/artfynd/A 26501-2025 artfynd.xlsx", "A 26501-2025")</f>
        <v/>
      </c>
      <c r="T392">
        <f>HYPERLINK("https://klasma.github.io/Logging_2283/kartor/A 26501-2025 karta.png", "A 26501-2025")</f>
        <v/>
      </c>
      <c r="V392">
        <f>HYPERLINK("https://klasma.github.io/Logging_2283/klagomål/A 26501-2025 FSC-klagomål.docx", "A 26501-2025")</f>
        <v/>
      </c>
      <c r="W392">
        <f>HYPERLINK("https://klasma.github.io/Logging_2283/klagomålsmail/A 26501-2025 FSC-klagomål mail.docx", "A 26501-2025")</f>
        <v/>
      </c>
      <c r="X392">
        <f>HYPERLINK("https://klasma.github.io/Logging_2283/tillsyn/A 26501-2025 tillsynsbegäran.docx", "A 26501-2025")</f>
        <v/>
      </c>
      <c r="Y392">
        <f>HYPERLINK("https://klasma.github.io/Logging_2283/tillsynsmail/A 26501-2025 tillsynsbegäran mail.docx", "A 26501-2025")</f>
        <v/>
      </c>
    </row>
    <row r="393" ht="15" customHeight="1">
      <c r="A393" t="inlineStr">
        <is>
          <t>A 49181-2022</t>
        </is>
      </c>
      <c r="B393" s="1" t="n">
        <v>44860.95321759259</v>
      </c>
      <c r="C393" s="1" t="n">
        <v>46075</v>
      </c>
      <c r="D393" t="inlineStr">
        <is>
          <t>VÄSTERNORRLANDS LÄN</t>
        </is>
      </c>
      <c r="E393" t="inlineStr">
        <is>
          <t>SOLLEFTEÅ</t>
        </is>
      </c>
      <c r="F393" t="inlineStr">
        <is>
          <t>SCA</t>
        </is>
      </c>
      <c r="G393" t="n">
        <v>6</v>
      </c>
      <c r="H393" t="n">
        <v>0</v>
      </c>
      <c r="I393" t="n">
        <v>0</v>
      </c>
      <c r="J393" t="n">
        <v>0</v>
      </c>
      <c r="K393" t="n">
        <v>0</v>
      </c>
      <c r="L393" t="n">
        <v>0</v>
      </c>
      <c r="M393" t="n">
        <v>0</v>
      </c>
      <c r="N393" t="n">
        <v>0</v>
      </c>
      <c r="O393" t="n">
        <v>0</v>
      </c>
      <c r="P393" t="n">
        <v>0</v>
      </c>
      <c r="Q393" t="n">
        <v>0</v>
      </c>
      <c r="R393" s="2" t="inlineStr"/>
    </row>
    <row r="394" ht="15" customHeight="1">
      <c r="A394" t="inlineStr">
        <is>
          <t>A 51104-2021</t>
        </is>
      </c>
      <c r="B394" s="1" t="n">
        <v>44459</v>
      </c>
      <c r="C394" s="1" t="n">
        <v>46075</v>
      </c>
      <c r="D394" t="inlineStr">
        <is>
          <t>VÄSTERNORRLANDS LÄN</t>
        </is>
      </c>
      <c r="E394" t="inlineStr">
        <is>
          <t>SOLLEFTEÅ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21350-2021</t>
        </is>
      </c>
      <c r="B395" s="1" t="n">
        <v>44320.95533564815</v>
      </c>
      <c r="C395" s="1" t="n">
        <v>46075</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18761-2021</t>
        </is>
      </c>
      <c r="B396" s="1" t="n">
        <v>44307</v>
      </c>
      <c r="C396" s="1" t="n">
        <v>46075</v>
      </c>
      <c r="D396" t="inlineStr">
        <is>
          <t>VÄSTERNORRLANDS LÄN</t>
        </is>
      </c>
      <c r="E396" t="inlineStr">
        <is>
          <t>SOLLEFTEÅ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21532-2021</t>
        </is>
      </c>
      <c r="B397" s="1" t="n">
        <v>44321</v>
      </c>
      <c r="C397" s="1" t="n">
        <v>46075</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12564-2022</t>
        </is>
      </c>
      <c r="B398" s="1" t="n">
        <v>44638.94256944444</v>
      </c>
      <c r="C398" s="1" t="n">
        <v>46075</v>
      </c>
      <c r="D398" t="inlineStr">
        <is>
          <t>VÄSTERNORRLANDS LÄN</t>
        </is>
      </c>
      <c r="E398" t="inlineStr">
        <is>
          <t>SOLLEFTEÅ</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37835-2022</t>
        </is>
      </c>
      <c r="B399" s="1" t="n">
        <v>44810</v>
      </c>
      <c r="C399" s="1" t="n">
        <v>46075</v>
      </c>
      <c r="D399" t="inlineStr">
        <is>
          <t>VÄSTERNORRLANDS LÄN</t>
        </is>
      </c>
      <c r="E399" t="inlineStr">
        <is>
          <t>SOLLEFTEÅ</t>
        </is>
      </c>
      <c r="F399" t="inlineStr">
        <is>
          <t>SCA</t>
        </is>
      </c>
      <c r="G399" t="n">
        <v>8.5</v>
      </c>
      <c r="H399" t="n">
        <v>0</v>
      </c>
      <c r="I399" t="n">
        <v>0</v>
      </c>
      <c r="J399" t="n">
        <v>0</v>
      </c>
      <c r="K399" t="n">
        <v>0</v>
      </c>
      <c r="L399" t="n">
        <v>0</v>
      </c>
      <c r="M399" t="n">
        <v>0</v>
      </c>
      <c r="N399" t="n">
        <v>0</v>
      </c>
      <c r="O399" t="n">
        <v>0</v>
      </c>
      <c r="P399" t="n">
        <v>0</v>
      </c>
      <c r="Q399" t="n">
        <v>0</v>
      </c>
      <c r="R399" s="2" t="inlineStr"/>
    </row>
    <row r="400" ht="15" customHeight="1">
      <c r="A400" t="inlineStr">
        <is>
          <t>A 41455-2022</t>
        </is>
      </c>
      <c r="B400" s="1" t="n">
        <v>44826</v>
      </c>
      <c r="C400" s="1" t="n">
        <v>46075</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45187-2021</t>
        </is>
      </c>
      <c r="B401" s="1" t="n">
        <v>44439</v>
      </c>
      <c r="C401" s="1" t="n">
        <v>46075</v>
      </c>
      <c r="D401" t="inlineStr">
        <is>
          <t>VÄSTERNORRLANDS LÄN</t>
        </is>
      </c>
      <c r="E401" t="inlineStr">
        <is>
          <t>SOLLEFTEÅ</t>
        </is>
      </c>
      <c r="G401" t="n">
        <v>3.2</v>
      </c>
      <c r="H401" t="n">
        <v>0</v>
      </c>
      <c r="I401" t="n">
        <v>0</v>
      </c>
      <c r="J401" t="n">
        <v>0</v>
      </c>
      <c r="K401" t="n">
        <v>0</v>
      </c>
      <c r="L401" t="n">
        <v>0</v>
      </c>
      <c r="M401" t="n">
        <v>0</v>
      </c>
      <c r="N401" t="n">
        <v>0</v>
      </c>
      <c r="O401" t="n">
        <v>0</v>
      </c>
      <c r="P401" t="n">
        <v>0</v>
      </c>
      <c r="Q401" t="n">
        <v>0</v>
      </c>
      <c r="R401" s="2" t="inlineStr"/>
    </row>
    <row r="402" ht="15" customHeight="1">
      <c r="A402" t="inlineStr">
        <is>
          <t>A 30937-2022</t>
        </is>
      </c>
      <c r="B402" s="1" t="n">
        <v>44767.94092592593</v>
      </c>
      <c r="C402" s="1" t="n">
        <v>46075</v>
      </c>
      <c r="D402" t="inlineStr">
        <is>
          <t>VÄSTERNORRLANDS LÄN</t>
        </is>
      </c>
      <c r="E402" t="inlineStr">
        <is>
          <t>SOLLEFTEÅ</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15461-2021</t>
        </is>
      </c>
      <c r="B403" s="1" t="n">
        <v>44285</v>
      </c>
      <c r="C403" s="1" t="n">
        <v>46075</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28288-2021</t>
        </is>
      </c>
      <c r="B404" s="1" t="n">
        <v>44355</v>
      </c>
      <c r="C404" s="1" t="n">
        <v>46075</v>
      </c>
      <c r="D404" t="inlineStr">
        <is>
          <t>VÄSTERNORRLANDS LÄN</t>
        </is>
      </c>
      <c r="E404" t="inlineStr">
        <is>
          <t>SOLLEFTEÅ</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18867-2021</t>
        </is>
      </c>
      <c r="B405" s="1" t="n">
        <v>44307</v>
      </c>
      <c r="C405" s="1" t="n">
        <v>46075</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34542-2022</t>
        </is>
      </c>
      <c r="B406" s="1" t="n">
        <v>44793</v>
      </c>
      <c r="C406" s="1" t="n">
        <v>46075</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58486-2021</t>
        </is>
      </c>
      <c r="B407" s="1" t="n">
        <v>44488</v>
      </c>
      <c r="C407" s="1" t="n">
        <v>46075</v>
      </c>
      <c r="D407" t="inlineStr">
        <is>
          <t>VÄSTERNORRLANDS LÄN</t>
        </is>
      </c>
      <c r="E407" t="inlineStr">
        <is>
          <t>SOLLEFTEÅ</t>
        </is>
      </c>
      <c r="G407" t="n">
        <v>2.4</v>
      </c>
      <c r="H407" t="n">
        <v>0</v>
      </c>
      <c r="I407" t="n">
        <v>0</v>
      </c>
      <c r="J407" t="n">
        <v>0</v>
      </c>
      <c r="K407" t="n">
        <v>0</v>
      </c>
      <c r="L407" t="n">
        <v>0</v>
      </c>
      <c r="M407" t="n">
        <v>0</v>
      </c>
      <c r="N407" t="n">
        <v>0</v>
      </c>
      <c r="O407" t="n">
        <v>0</v>
      </c>
      <c r="P407" t="n">
        <v>0</v>
      </c>
      <c r="Q407" t="n">
        <v>0</v>
      </c>
      <c r="R407" s="2" t="inlineStr"/>
    </row>
    <row r="408" ht="15" customHeight="1">
      <c r="A408" t="inlineStr">
        <is>
          <t>A 29623-2021</t>
        </is>
      </c>
      <c r="B408" s="1" t="n">
        <v>44361</v>
      </c>
      <c r="C408" s="1" t="n">
        <v>46075</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32779-2022</t>
        </is>
      </c>
      <c r="B409" s="1" t="n">
        <v>44783.94623842592</v>
      </c>
      <c r="C409" s="1" t="n">
        <v>46075</v>
      </c>
      <c r="D409" t="inlineStr">
        <is>
          <t>VÄSTERNORRLANDS LÄN</t>
        </is>
      </c>
      <c r="E409" t="inlineStr">
        <is>
          <t>SOLLEFTEÅ</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71350-2021</t>
        </is>
      </c>
      <c r="B410" s="1" t="n">
        <v>44539</v>
      </c>
      <c r="C410" s="1" t="n">
        <v>46075</v>
      </c>
      <c r="D410" t="inlineStr">
        <is>
          <t>VÄSTERNORRLANDS LÄN</t>
        </is>
      </c>
      <c r="E410" t="inlineStr">
        <is>
          <t>SOLLEFTEÅ</t>
        </is>
      </c>
      <c r="G410" t="n">
        <v>0</v>
      </c>
      <c r="H410" t="n">
        <v>0</v>
      </c>
      <c r="I410" t="n">
        <v>0</v>
      </c>
      <c r="J410" t="n">
        <v>0</v>
      </c>
      <c r="K410" t="n">
        <v>0</v>
      </c>
      <c r="L410" t="n">
        <v>0</v>
      </c>
      <c r="M410" t="n">
        <v>0</v>
      </c>
      <c r="N410" t="n">
        <v>0</v>
      </c>
      <c r="O410" t="n">
        <v>0</v>
      </c>
      <c r="P410" t="n">
        <v>0</v>
      </c>
      <c r="Q410" t="n">
        <v>0</v>
      </c>
      <c r="R410" s="2" t="inlineStr"/>
    </row>
    <row r="411" ht="15" customHeight="1">
      <c r="A411" t="inlineStr">
        <is>
          <t>A 39372-2022</t>
        </is>
      </c>
      <c r="B411" s="1" t="n">
        <v>44817.94298611111</v>
      </c>
      <c r="C411" s="1" t="n">
        <v>46075</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9461-2021</t>
        </is>
      </c>
      <c r="B412" s="1" t="n">
        <v>44251</v>
      </c>
      <c r="C412" s="1" t="n">
        <v>46075</v>
      </c>
      <c r="D412" t="inlineStr">
        <is>
          <t>VÄSTERNORRLANDS LÄN</t>
        </is>
      </c>
      <c r="E412" t="inlineStr">
        <is>
          <t>SOLLEFTEÅ</t>
        </is>
      </c>
      <c r="G412" t="n">
        <v>0.7</v>
      </c>
      <c r="H412" t="n">
        <v>0</v>
      </c>
      <c r="I412" t="n">
        <v>0</v>
      </c>
      <c r="J412" t="n">
        <v>0</v>
      </c>
      <c r="K412" t="n">
        <v>0</v>
      </c>
      <c r="L412" t="n">
        <v>0</v>
      </c>
      <c r="M412" t="n">
        <v>0</v>
      </c>
      <c r="N412" t="n">
        <v>0</v>
      </c>
      <c r="O412" t="n">
        <v>0</v>
      </c>
      <c r="P412" t="n">
        <v>0</v>
      </c>
      <c r="Q412" t="n">
        <v>0</v>
      </c>
      <c r="R412" s="2" t="inlineStr"/>
    </row>
    <row r="413" ht="15" customHeight="1">
      <c r="A413" t="inlineStr">
        <is>
          <t>A 17045-2022</t>
        </is>
      </c>
      <c r="B413" s="1" t="n">
        <v>44676</v>
      </c>
      <c r="C413" s="1" t="n">
        <v>46075</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11710-2021</t>
        </is>
      </c>
      <c r="B414" s="1" t="n">
        <v>44264</v>
      </c>
      <c r="C414" s="1" t="n">
        <v>46075</v>
      </c>
      <c r="D414" t="inlineStr">
        <is>
          <t>VÄSTERNORRLANDS LÄN</t>
        </is>
      </c>
      <c r="E414" t="inlineStr">
        <is>
          <t>SOLLEFTEÅ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46075</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46075</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46075</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18015-2022</t>
        </is>
      </c>
      <c r="B418" s="1" t="n">
        <v>44683.94319444444</v>
      </c>
      <c r="C418" s="1" t="n">
        <v>46075</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46075</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4555-2022</t>
        </is>
      </c>
      <c r="B420" s="1" t="n">
        <v>44590.93231481482</v>
      </c>
      <c r="C420" s="1" t="n">
        <v>46075</v>
      </c>
      <c r="D420" t="inlineStr">
        <is>
          <t>VÄSTERNORRLANDS LÄN</t>
        </is>
      </c>
      <c r="E420" t="inlineStr">
        <is>
          <t>SOLLEFTEÅ</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46075</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27282-2022</t>
        </is>
      </c>
      <c r="B422" s="1" t="n">
        <v>44741</v>
      </c>
      <c r="C422" s="1" t="n">
        <v>46075</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24322-2022</t>
        </is>
      </c>
      <c r="B423" s="1" t="n">
        <v>44725.94471064815</v>
      </c>
      <c r="C423" s="1" t="n">
        <v>46075</v>
      </c>
      <c r="D423" t="inlineStr">
        <is>
          <t>VÄSTERNORRLANDS LÄN</t>
        </is>
      </c>
      <c r="E423" t="inlineStr">
        <is>
          <t>SOLLEFTEÅ</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39006-2022</t>
        </is>
      </c>
      <c r="B424" s="1" t="n">
        <v>44816.94675925926</v>
      </c>
      <c r="C424" s="1" t="n">
        <v>46075</v>
      </c>
      <c r="D424" t="inlineStr">
        <is>
          <t>VÄSTERNORRLANDS LÄN</t>
        </is>
      </c>
      <c r="E424" t="inlineStr">
        <is>
          <t>SOLLEFTEÅ</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46075</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46075</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21711-2021</t>
        </is>
      </c>
      <c r="B427" s="1" t="n">
        <v>44322</v>
      </c>
      <c r="C427" s="1" t="n">
        <v>46075</v>
      </c>
      <c r="D427" t="inlineStr">
        <is>
          <t>VÄSTERNORRLANDS LÄN</t>
        </is>
      </c>
      <c r="E427" t="inlineStr">
        <is>
          <t>SOLLEFTEÅ</t>
        </is>
      </c>
      <c r="F427" t="inlineStr">
        <is>
          <t>Kyrkan</t>
        </is>
      </c>
      <c r="G427" t="n">
        <v>22.2</v>
      </c>
      <c r="H427" t="n">
        <v>0</v>
      </c>
      <c r="I427" t="n">
        <v>0</v>
      </c>
      <c r="J427" t="n">
        <v>0</v>
      </c>
      <c r="K427" t="n">
        <v>0</v>
      </c>
      <c r="L427" t="n">
        <v>0</v>
      </c>
      <c r="M427" t="n">
        <v>0</v>
      </c>
      <c r="N427" t="n">
        <v>0</v>
      </c>
      <c r="O427" t="n">
        <v>0</v>
      </c>
      <c r="P427" t="n">
        <v>0</v>
      </c>
      <c r="Q427" t="n">
        <v>0</v>
      </c>
      <c r="R427" s="2" t="inlineStr"/>
    </row>
    <row r="428" ht="15" customHeight="1">
      <c r="A428" t="inlineStr">
        <is>
          <t>A 30043-2022</t>
        </is>
      </c>
      <c r="B428" s="1" t="n">
        <v>44756</v>
      </c>
      <c r="C428" s="1" t="n">
        <v>46075</v>
      </c>
      <c r="D428" t="inlineStr">
        <is>
          <t>VÄSTERNORRLANDS LÄN</t>
        </is>
      </c>
      <c r="E428" t="inlineStr">
        <is>
          <t>SOLLEFTEÅ</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22441-2021</t>
        </is>
      </c>
      <c r="B429" s="1" t="n">
        <v>44323</v>
      </c>
      <c r="C429" s="1" t="n">
        <v>46075</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46075</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21714-2022</t>
        </is>
      </c>
      <c r="B431" s="1" t="n">
        <v>44707.94015046296</v>
      </c>
      <c r="C431" s="1" t="n">
        <v>46075</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10417-2022</t>
        </is>
      </c>
      <c r="B432" s="1" t="n">
        <v>44623</v>
      </c>
      <c r="C432" s="1" t="n">
        <v>46075</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67085-2021</t>
        </is>
      </c>
      <c r="B433" s="1" t="n">
        <v>44522.94458333333</v>
      </c>
      <c r="C433" s="1" t="n">
        <v>46075</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45423-2022</t>
        </is>
      </c>
      <c r="B434" s="1" t="n">
        <v>44844.95256944445</v>
      </c>
      <c r="C434" s="1" t="n">
        <v>46075</v>
      </c>
      <c r="D434" t="inlineStr">
        <is>
          <t>VÄSTERNORRLANDS LÄN</t>
        </is>
      </c>
      <c r="E434" t="inlineStr">
        <is>
          <t>SOLLEFTEÅ</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42219-2021</t>
        </is>
      </c>
      <c r="B435" s="1" t="n">
        <v>44426.87444444445</v>
      </c>
      <c r="C435" s="1" t="n">
        <v>46075</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41172-2022</t>
        </is>
      </c>
      <c r="B436" s="1" t="n">
        <v>44825.94738425926</v>
      </c>
      <c r="C436" s="1" t="n">
        <v>46075</v>
      </c>
      <c r="D436" t="inlineStr">
        <is>
          <t>VÄSTERNORRLANDS LÄN</t>
        </is>
      </c>
      <c r="E436" t="inlineStr">
        <is>
          <t>SOLLEFTEÅ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1987-2022</t>
        </is>
      </c>
      <c r="B437" s="1" t="n">
        <v>44575</v>
      </c>
      <c r="C437" s="1" t="n">
        <v>46075</v>
      </c>
      <c r="D437" t="inlineStr">
        <is>
          <t>VÄSTERNORRLANDS LÄN</t>
        </is>
      </c>
      <c r="E437" t="inlineStr">
        <is>
          <t>SOLLEFTEÅ</t>
        </is>
      </c>
      <c r="G437" t="n">
        <v>2</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46075</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12278-2021</t>
        </is>
      </c>
      <c r="B439" s="1" t="n">
        <v>44266</v>
      </c>
      <c r="C439" s="1" t="n">
        <v>46075</v>
      </c>
      <c r="D439" t="inlineStr">
        <is>
          <t>VÄSTERNORRLANDS LÄN</t>
        </is>
      </c>
      <c r="E439" t="inlineStr">
        <is>
          <t>SOLLEFTEÅ</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46075</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46075</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31490-2022</t>
        </is>
      </c>
      <c r="B442" s="1" t="n">
        <v>44774.94451388889</v>
      </c>
      <c r="C442" s="1" t="n">
        <v>46075</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46075</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46075</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46075</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46075</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48923-2022</t>
        </is>
      </c>
      <c r="B447" s="1" t="n">
        <v>44859.95590277778</v>
      </c>
      <c r="C447" s="1" t="n">
        <v>46075</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46075</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46075</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46075</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25329-2021</t>
        </is>
      </c>
      <c r="B451" s="1" t="n">
        <v>44342</v>
      </c>
      <c r="C451" s="1" t="n">
        <v>46075</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44454-2022</t>
        </is>
      </c>
      <c r="B452" s="1" t="n">
        <v>44839.95543981482</v>
      </c>
      <c r="C452" s="1" t="n">
        <v>46075</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14299-2022</t>
        </is>
      </c>
      <c r="B453" s="1" t="n">
        <v>44651.93903935186</v>
      </c>
      <c r="C453" s="1" t="n">
        <v>46075</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46075</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41475-2022</t>
        </is>
      </c>
      <c r="B455" s="1" t="n">
        <v>44826</v>
      </c>
      <c r="C455" s="1" t="n">
        <v>46075</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3699-2022</t>
        </is>
      </c>
      <c r="B456" s="1" t="n">
        <v>44586.58597222222</v>
      </c>
      <c r="C456" s="1" t="n">
        <v>46075</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18197-2022</t>
        </is>
      </c>
      <c r="B457" s="1" t="n">
        <v>44684</v>
      </c>
      <c r="C457" s="1" t="n">
        <v>46075</v>
      </c>
      <c r="D457" t="inlineStr">
        <is>
          <t>VÄSTERNORRLANDS LÄN</t>
        </is>
      </c>
      <c r="E457" t="inlineStr">
        <is>
          <t>SOLLEFTEÅ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12562-2022</t>
        </is>
      </c>
      <c r="B458" s="1" t="n">
        <v>44638.94247685185</v>
      </c>
      <c r="C458" s="1" t="n">
        <v>46075</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55209-2022</t>
        </is>
      </c>
      <c r="B459" s="1" t="n">
        <v>44886.96086805555</v>
      </c>
      <c r="C459" s="1" t="n">
        <v>46075</v>
      </c>
      <c r="D459" t="inlineStr">
        <is>
          <t>VÄSTERNORRLANDS LÄN</t>
        </is>
      </c>
      <c r="E459" t="inlineStr">
        <is>
          <t>SOLLEFTEÅ</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20994-2022</t>
        </is>
      </c>
      <c r="B460" s="1" t="n">
        <v>44703</v>
      </c>
      <c r="C460" s="1" t="n">
        <v>46075</v>
      </c>
      <c r="D460" t="inlineStr">
        <is>
          <t>VÄSTERNORRLANDS LÄN</t>
        </is>
      </c>
      <c r="E460" t="inlineStr">
        <is>
          <t>SOLLEFTEÅ</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20996-2022</t>
        </is>
      </c>
      <c r="B461" s="1" t="n">
        <v>44703</v>
      </c>
      <c r="C461" s="1" t="n">
        <v>46075</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49694-2022</t>
        </is>
      </c>
      <c r="B462" s="1" t="n">
        <v>44859</v>
      </c>
      <c r="C462" s="1" t="n">
        <v>46075</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46075</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46075</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46075</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46075</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46075</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46075</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46075</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46075</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46075</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46075</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46075</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46075</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46075</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51442-2021</t>
        </is>
      </c>
      <c r="B476" s="1" t="n">
        <v>44461.94450231481</v>
      </c>
      <c r="C476" s="1" t="n">
        <v>46075</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51443-2021</t>
        </is>
      </c>
      <c r="B477" s="1" t="n">
        <v>44461</v>
      </c>
      <c r="C477" s="1" t="n">
        <v>46075</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46075</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46075</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18013-2022</t>
        </is>
      </c>
      <c r="B480" s="1" t="n">
        <v>44683.94355324074</v>
      </c>
      <c r="C480" s="1" t="n">
        <v>46075</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21404-2022</t>
        </is>
      </c>
      <c r="B481" s="1" t="n">
        <v>44705.94037037037</v>
      </c>
      <c r="C481" s="1" t="n">
        <v>46075</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46075</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64939-2021</t>
        </is>
      </c>
      <c r="B483" s="1" t="n">
        <v>44512</v>
      </c>
      <c r="C483" s="1" t="n">
        <v>46075</v>
      </c>
      <c r="D483" t="inlineStr">
        <is>
          <t>VÄSTERNORRLANDS LÄN</t>
        </is>
      </c>
      <c r="E483" t="inlineStr">
        <is>
          <t>SOLLEFTEÅ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46075</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46075</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46075</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46075</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46075</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23639-2021</t>
        </is>
      </c>
      <c r="B489" s="1" t="n">
        <v>44334</v>
      </c>
      <c r="C489" s="1" t="n">
        <v>46075</v>
      </c>
      <c r="D489" t="inlineStr">
        <is>
          <t>VÄSTERNORRLANDS LÄN</t>
        </is>
      </c>
      <c r="E489" t="inlineStr">
        <is>
          <t>SOLLEFTEÅ</t>
        </is>
      </c>
      <c r="F489" t="inlineStr">
        <is>
          <t>Kyrkan</t>
        </is>
      </c>
      <c r="G489" t="n">
        <v>5.4</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46075</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46075</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46075</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46075</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46075</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46075</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46075</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46075</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46075</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46075</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46075</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46075</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46075</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46075</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46075</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46075</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46075</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46075</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46075</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46075</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46075</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46075</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46075</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46075</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46075</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46075</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46075</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46075</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46075</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46075</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46075</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46075</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46075</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51020-2021</t>
        </is>
      </c>
      <c r="B523" s="1" t="n">
        <v>44460</v>
      </c>
      <c r="C523" s="1" t="n">
        <v>46075</v>
      </c>
      <c r="D523" t="inlineStr">
        <is>
          <t>VÄSTERNORRLANDS LÄN</t>
        </is>
      </c>
      <c r="E523" t="inlineStr">
        <is>
          <t>SOLLEFTEÅ</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46075</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46075</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46075</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46075</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46075</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46075</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46075</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46075</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46075</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46075</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46075</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46075</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46075</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46075</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46075</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46075</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46075</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46075</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46075</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46075</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46075</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46075</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46075</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46075</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46075</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46075</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46075</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46075</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46075</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46075</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46075</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46075</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46075</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46075</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46075</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46075</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46075</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46075</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46075</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46075</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46075</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43766-2022</t>
        </is>
      </c>
      <c r="B565" s="1" t="n">
        <v>44837.92642361111</v>
      </c>
      <c r="C565" s="1" t="n">
        <v>46075</v>
      </c>
      <c r="D565" t="inlineStr">
        <is>
          <t>VÄSTERNORRLANDS LÄN</t>
        </is>
      </c>
      <c r="E565" t="inlineStr">
        <is>
          <t>SOLLEFTEÅ</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46075</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46075</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14302-2022</t>
        </is>
      </c>
      <c r="B568" s="1" t="n">
        <v>44651</v>
      </c>
      <c r="C568" s="1" t="n">
        <v>46075</v>
      </c>
      <c r="D568" t="inlineStr">
        <is>
          <t>VÄSTERNORRLANDS LÄN</t>
        </is>
      </c>
      <c r="E568" t="inlineStr">
        <is>
          <t>SOLLEFTEÅ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46075</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48240-2022</t>
        </is>
      </c>
      <c r="B570" s="1" t="n">
        <v>44858</v>
      </c>
      <c r="C570" s="1" t="n">
        <v>46075</v>
      </c>
      <c r="D570" t="inlineStr">
        <is>
          <t>VÄSTERNORRLANDS LÄN</t>
        </is>
      </c>
      <c r="E570" t="inlineStr">
        <is>
          <t>SOLLEFTEÅ</t>
        </is>
      </c>
      <c r="G570" t="n">
        <v>0.3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46075</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46075</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46075</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24734-2022</t>
        </is>
      </c>
      <c r="B574" s="1" t="n">
        <v>44727.94329861111</v>
      </c>
      <c r="C574" s="1" t="n">
        <v>46075</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46075</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39944-2022</t>
        </is>
      </c>
      <c r="B576" s="1" t="n">
        <v>44819</v>
      </c>
      <c r="C576" s="1" t="n">
        <v>46075</v>
      </c>
      <c r="D576" t="inlineStr">
        <is>
          <t>VÄSTERNORRLANDS LÄN</t>
        </is>
      </c>
      <c r="E576" t="inlineStr">
        <is>
          <t>SOLLEFTEÅ</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46075</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46075</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46075</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46075</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46075</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46075</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46075</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46075</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46075</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46075</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46075</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46075</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46075</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46075</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46075</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46075</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46075</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46075</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46075</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46075</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46075</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24720-2021</t>
        </is>
      </c>
      <c r="B598" s="1" t="n">
        <v>44340</v>
      </c>
      <c r="C598" s="1" t="n">
        <v>46075</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46075</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46075</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46075</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46075</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46075</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46075</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46075</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20296-2022</t>
        </is>
      </c>
      <c r="B606" s="1" t="n">
        <v>44698</v>
      </c>
      <c r="C606" s="1" t="n">
        <v>46075</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46075</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46075</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46075</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46075</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46075</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46075</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46075</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46075</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46075</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46075</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46075</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12191-2022</t>
        </is>
      </c>
      <c r="B618" s="1" t="n">
        <v>44636.9250925926</v>
      </c>
      <c r="C618" s="1" t="n">
        <v>46075</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46075</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46075</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46075</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46075</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46075</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46075</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46075</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46075</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46075</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46075</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46075</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46075</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46075</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46075</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46075</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46075</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61345-2022</t>
        </is>
      </c>
      <c r="B635" s="1" t="n">
        <v>44915</v>
      </c>
      <c r="C635" s="1" t="n">
        <v>46075</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61383-2022</t>
        </is>
      </c>
      <c r="B636" s="1" t="n">
        <v>44915</v>
      </c>
      <c r="C636" s="1" t="n">
        <v>46075</v>
      </c>
      <c r="D636" t="inlineStr">
        <is>
          <t>VÄSTERNORRLANDS LÄN</t>
        </is>
      </c>
      <c r="E636" t="inlineStr">
        <is>
          <t>SOLLEFTEÅ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8959-2023</t>
        </is>
      </c>
      <c r="B637" s="1" t="n">
        <v>44974</v>
      </c>
      <c r="C637" s="1" t="n">
        <v>46075</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58357-2024</t>
        </is>
      </c>
      <c r="B638" s="1" t="n">
        <v>45632</v>
      </c>
      <c r="C638" s="1" t="n">
        <v>46075</v>
      </c>
      <c r="D638" t="inlineStr">
        <is>
          <t>VÄSTERNORRLANDS LÄN</t>
        </is>
      </c>
      <c r="E638" t="inlineStr">
        <is>
          <t>SOLLEFTEÅ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58360-2024</t>
        </is>
      </c>
      <c r="B639" s="1" t="n">
        <v>45632</v>
      </c>
      <c r="C639" s="1" t="n">
        <v>46075</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46075</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33241-2024</t>
        </is>
      </c>
      <c r="B641" s="1" t="n">
        <v>45518.60484953703</v>
      </c>
      <c r="C641" s="1" t="n">
        <v>46075</v>
      </c>
      <c r="D641" t="inlineStr">
        <is>
          <t>VÄSTERNORRLANDS LÄN</t>
        </is>
      </c>
      <c r="E641" t="inlineStr">
        <is>
          <t>SOLLEFTEÅ</t>
        </is>
      </c>
      <c r="G641" t="n">
        <v>4.1</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46075</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5001-2023</t>
        </is>
      </c>
      <c r="B643" s="1" t="n">
        <v>44956</v>
      </c>
      <c r="C643" s="1" t="n">
        <v>46075</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20458-2025</t>
        </is>
      </c>
      <c r="B644" s="1" t="n">
        <v>45775.52623842593</v>
      </c>
      <c r="C644" s="1" t="n">
        <v>46075</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29914-2024</t>
        </is>
      </c>
      <c r="B645" s="1" t="n">
        <v>45487.92814814814</v>
      </c>
      <c r="C645" s="1" t="n">
        <v>46075</v>
      </c>
      <c r="D645" t="inlineStr">
        <is>
          <t>VÄSTERNORRLANDS LÄN</t>
        </is>
      </c>
      <c r="E645" t="inlineStr">
        <is>
          <t>SOLLEFTEÅ</t>
        </is>
      </c>
      <c r="G645" t="n">
        <v>6.3</v>
      </c>
      <c r="H645" t="n">
        <v>0</v>
      </c>
      <c r="I645" t="n">
        <v>0</v>
      </c>
      <c r="J645" t="n">
        <v>0</v>
      </c>
      <c r="K645" t="n">
        <v>0</v>
      </c>
      <c r="L645" t="n">
        <v>0</v>
      </c>
      <c r="M645" t="n">
        <v>0</v>
      </c>
      <c r="N645" t="n">
        <v>0</v>
      </c>
      <c r="O645" t="n">
        <v>0</v>
      </c>
      <c r="P645" t="n">
        <v>0</v>
      </c>
      <c r="Q645" t="n">
        <v>0</v>
      </c>
      <c r="R645" s="2" t="inlineStr"/>
    </row>
    <row r="646" ht="15" customHeight="1">
      <c r="A646" t="inlineStr">
        <is>
          <t>A 24199-2024</t>
        </is>
      </c>
      <c r="B646" s="1" t="n">
        <v>45456.96634259259</v>
      </c>
      <c r="C646" s="1" t="n">
        <v>46075</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24208-2024</t>
        </is>
      </c>
      <c r="B647" s="1" t="n">
        <v>45456.9678125</v>
      </c>
      <c r="C647" s="1" t="n">
        <v>46075</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24211-2024</t>
        </is>
      </c>
      <c r="B648" s="1" t="n">
        <v>45456.9681712963</v>
      </c>
      <c r="C648" s="1" t="n">
        <v>46075</v>
      </c>
      <c r="D648" t="inlineStr">
        <is>
          <t>VÄSTERNORRLANDS LÄN</t>
        </is>
      </c>
      <c r="E648" t="inlineStr">
        <is>
          <t>SOLLEFTEÅ</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46075</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46075</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46075</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19633-2025</t>
        </is>
      </c>
      <c r="B652" s="1" t="n">
        <v>45770.64655092593</v>
      </c>
      <c r="C652" s="1" t="n">
        <v>46075</v>
      </c>
      <c r="D652" t="inlineStr">
        <is>
          <t>VÄSTERNORRLANDS LÄN</t>
        </is>
      </c>
      <c r="E652" t="inlineStr">
        <is>
          <t>SOLLEFTEÅ</t>
        </is>
      </c>
      <c r="G652" t="n">
        <v>9.9</v>
      </c>
      <c r="H652" t="n">
        <v>0</v>
      </c>
      <c r="I652" t="n">
        <v>0</v>
      </c>
      <c r="J652" t="n">
        <v>0</v>
      </c>
      <c r="K652" t="n">
        <v>0</v>
      </c>
      <c r="L652" t="n">
        <v>0</v>
      </c>
      <c r="M652" t="n">
        <v>0</v>
      </c>
      <c r="N652" t="n">
        <v>0</v>
      </c>
      <c r="O652" t="n">
        <v>0</v>
      </c>
      <c r="P652" t="n">
        <v>0</v>
      </c>
      <c r="Q652" t="n">
        <v>0</v>
      </c>
      <c r="R652" s="2" t="inlineStr"/>
    </row>
    <row r="653" ht="15" customHeight="1">
      <c r="A653" t="inlineStr">
        <is>
          <t>A 31477-2024</t>
        </is>
      </c>
      <c r="B653" s="1" t="n">
        <v>45505</v>
      </c>
      <c r="C653" s="1" t="n">
        <v>46075</v>
      </c>
      <c r="D653" t="inlineStr">
        <is>
          <t>VÄSTERNORRLANDS LÄN</t>
        </is>
      </c>
      <c r="E653" t="inlineStr">
        <is>
          <t>SOLLEFTEÅ</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31537-2024</t>
        </is>
      </c>
      <c r="B654" s="1" t="n">
        <v>45505.96146990741</v>
      </c>
      <c r="C654" s="1" t="n">
        <v>46075</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20550-2025</t>
        </is>
      </c>
      <c r="B655" s="1" t="n">
        <v>45775.6360300926</v>
      </c>
      <c r="C655" s="1" t="n">
        <v>46075</v>
      </c>
      <c r="D655" t="inlineStr">
        <is>
          <t>VÄSTERNORRLANDS LÄN</t>
        </is>
      </c>
      <c r="E655" t="inlineStr">
        <is>
          <t>SOLLEFTEÅ</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46075</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46075</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33709-2023</t>
        </is>
      </c>
      <c r="B658" s="1" t="n">
        <v>45132.92300925926</v>
      </c>
      <c r="C658" s="1" t="n">
        <v>46075</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35502-2024</t>
        </is>
      </c>
      <c r="B659" s="1" t="n">
        <v>45531</v>
      </c>
      <c r="C659" s="1" t="n">
        <v>46075</v>
      </c>
      <c r="D659" t="inlineStr">
        <is>
          <t>VÄSTERNORRLANDS LÄN</t>
        </is>
      </c>
      <c r="E659" t="inlineStr">
        <is>
          <t>SOLLEFTEÅ</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35509-2024</t>
        </is>
      </c>
      <c r="B660" s="1" t="n">
        <v>45531</v>
      </c>
      <c r="C660" s="1" t="n">
        <v>46075</v>
      </c>
      <c r="D660" t="inlineStr">
        <is>
          <t>VÄSTERNORRLANDS LÄN</t>
        </is>
      </c>
      <c r="E660" t="inlineStr">
        <is>
          <t>SOLLEFTEÅ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47175-2024</t>
        </is>
      </c>
      <c r="B661" s="1" t="n">
        <v>45586</v>
      </c>
      <c r="C661" s="1" t="n">
        <v>46075</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46075</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62357-2023</t>
        </is>
      </c>
      <c r="B663" s="1" t="n">
        <v>45267.95109953704</v>
      </c>
      <c r="C663" s="1" t="n">
        <v>46075</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31914-2023</t>
        </is>
      </c>
      <c r="B664" s="1" t="n">
        <v>45118</v>
      </c>
      <c r="C664" s="1" t="n">
        <v>46075</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46075</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5862-2025</t>
        </is>
      </c>
      <c r="B666" s="1" t="n">
        <v>45695.35061342592</v>
      </c>
      <c r="C666" s="1" t="n">
        <v>46075</v>
      </c>
      <c r="D666" t="inlineStr">
        <is>
          <t>VÄSTERNORRLANDS LÄN</t>
        </is>
      </c>
      <c r="E666" t="inlineStr">
        <is>
          <t>SOLLEFTEÅ</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2114-2023</t>
        </is>
      </c>
      <c r="B667" s="1" t="n">
        <v>44939.93809027778</v>
      </c>
      <c r="C667" s="1" t="n">
        <v>46075</v>
      </c>
      <c r="D667" t="inlineStr">
        <is>
          <t>VÄSTERNORRLANDS LÄN</t>
        </is>
      </c>
      <c r="E667" t="inlineStr">
        <is>
          <t>SOLLEFTEÅ</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45118-2022</t>
        </is>
      </c>
      <c r="B668" s="1" t="n">
        <v>44843</v>
      </c>
      <c r="C668" s="1" t="n">
        <v>46075</v>
      </c>
      <c r="D668" t="inlineStr">
        <is>
          <t>VÄSTERNORRLANDS LÄN</t>
        </is>
      </c>
      <c r="E668" t="inlineStr">
        <is>
          <t>SOLLEFTEÅ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19949-2025</t>
        </is>
      </c>
      <c r="B669" s="1" t="n">
        <v>45771.65688657408</v>
      </c>
      <c r="C669" s="1" t="n">
        <v>46075</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46075</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46075</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45679.59986111111</v>
      </c>
      <c r="C672" s="1" t="n">
        <v>46075</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48021-2024</t>
        </is>
      </c>
      <c r="B673" s="1" t="n">
        <v>45589.47032407407</v>
      </c>
      <c r="C673" s="1" t="n">
        <v>46075</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46075</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32969-2022</t>
        </is>
      </c>
      <c r="B675" s="1" t="n">
        <v>44784.9402662037</v>
      </c>
      <c r="C675" s="1" t="n">
        <v>46075</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34311-2023</t>
        </is>
      </c>
      <c r="B676" s="1" t="n">
        <v>45138.92317129629</v>
      </c>
      <c r="C676" s="1" t="n">
        <v>46075</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8670-2023</t>
        </is>
      </c>
      <c r="B677" s="1" t="n">
        <v>44977</v>
      </c>
      <c r="C677" s="1" t="n">
        <v>46075</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5038-2024</t>
        </is>
      </c>
      <c r="B678" s="1" t="n">
        <v>45329.88456018519</v>
      </c>
      <c r="C678" s="1" t="n">
        <v>46075</v>
      </c>
      <c r="D678" t="inlineStr">
        <is>
          <t>VÄSTERNORRLANDS LÄN</t>
        </is>
      </c>
      <c r="E678" t="inlineStr">
        <is>
          <t>SOLLEFTEÅ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17422-2025</t>
        </is>
      </c>
      <c r="B679" s="1" t="n">
        <v>45757.38570601852</v>
      </c>
      <c r="C679" s="1" t="n">
        <v>46075</v>
      </c>
      <c r="D679" t="inlineStr">
        <is>
          <t>VÄSTERNORRLANDS LÄN</t>
        </is>
      </c>
      <c r="E679" t="inlineStr">
        <is>
          <t>SOLLEFTEÅ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18149-2023</t>
        </is>
      </c>
      <c r="B680" s="1" t="n">
        <v>45040</v>
      </c>
      <c r="C680" s="1" t="n">
        <v>46075</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46075</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46075</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60495-2024</t>
        </is>
      </c>
      <c r="B683" s="1" t="n">
        <v>45643.65700231482</v>
      </c>
      <c r="C683" s="1" t="n">
        <v>46075</v>
      </c>
      <c r="D683" t="inlineStr">
        <is>
          <t>VÄSTERNORRLANDS LÄN</t>
        </is>
      </c>
      <c r="E683" t="inlineStr">
        <is>
          <t>SOLLEFTEÅ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46075</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62099-2023</t>
        </is>
      </c>
      <c r="B685" s="1" t="n">
        <v>45266</v>
      </c>
      <c r="C685" s="1" t="n">
        <v>46075</v>
      </c>
      <c r="D685" t="inlineStr">
        <is>
          <t>VÄSTERNORRLANDS LÄN</t>
        </is>
      </c>
      <c r="E685" t="inlineStr">
        <is>
          <t>SOLLEFTEÅ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64013-2023</t>
        </is>
      </c>
      <c r="B686" s="1" t="n">
        <v>45278</v>
      </c>
      <c r="C686" s="1" t="n">
        <v>46075</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10077-2023</t>
        </is>
      </c>
      <c r="B687" s="1" t="n">
        <v>44985.94408564815</v>
      </c>
      <c r="C687" s="1" t="n">
        <v>46075</v>
      </c>
      <c r="D687" t="inlineStr">
        <is>
          <t>VÄSTERNORRLANDS LÄN</t>
        </is>
      </c>
      <c r="E687" t="inlineStr">
        <is>
          <t>SOLLEFTEÅ</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282-2023</t>
        </is>
      </c>
      <c r="B688" s="1" t="n">
        <v>44928</v>
      </c>
      <c r="C688" s="1" t="n">
        <v>46075</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10437-2025</t>
        </is>
      </c>
      <c r="B689" s="1" t="n">
        <v>45720.67740740741</v>
      </c>
      <c r="C689" s="1" t="n">
        <v>46075</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55859-2023</t>
        </is>
      </c>
      <c r="B690" s="1" t="n">
        <v>45239</v>
      </c>
      <c r="C690" s="1" t="n">
        <v>46075</v>
      </c>
      <c r="D690" t="inlineStr">
        <is>
          <t>VÄSTERNORRLANDS LÄN</t>
        </is>
      </c>
      <c r="E690" t="inlineStr">
        <is>
          <t>SOLLEFTEÅ</t>
        </is>
      </c>
      <c r="F690" t="inlineStr">
        <is>
          <t>Kommuner</t>
        </is>
      </c>
      <c r="G690" t="n">
        <v>0.1</v>
      </c>
      <c r="H690" t="n">
        <v>0</v>
      </c>
      <c r="I690" t="n">
        <v>0</v>
      </c>
      <c r="J690" t="n">
        <v>0</v>
      </c>
      <c r="K690" t="n">
        <v>0</v>
      </c>
      <c r="L690" t="n">
        <v>0</v>
      </c>
      <c r="M690" t="n">
        <v>0</v>
      </c>
      <c r="N690" t="n">
        <v>0</v>
      </c>
      <c r="O690" t="n">
        <v>0</v>
      </c>
      <c r="P690" t="n">
        <v>0</v>
      </c>
      <c r="Q690" t="n">
        <v>0</v>
      </c>
      <c r="R690" s="2" t="inlineStr"/>
    </row>
    <row r="691" ht="15" customHeight="1">
      <c r="A691" t="inlineStr">
        <is>
          <t>A 4897-2025</t>
        </is>
      </c>
      <c r="B691" s="1" t="n">
        <v>45688.67913194445</v>
      </c>
      <c r="C691" s="1" t="n">
        <v>46075</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47741-2023</t>
        </is>
      </c>
      <c r="B692" s="1" t="n">
        <v>45198</v>
      </c>
      <c r="C692" s="1" t="n">
        <v>46075</v>
      </c>
      <c r="D692" t="inlineStr">
        <is>
          <t>VÄSTERNORRLANDS LÄN</t>
        </is>
      </c>
      <c r="E692" t="inlineStr">
        <is>
          <t>SOLLEFTEÅ</t>
        </is>
      </c>
      <c r="G692" t="n">
        <v>5</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46075</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45744.67740740741</v>
      </c>
      <c r="C694" s="1" t="n">
        <v>46075</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10438-2025</t>
        </is>
      </c>
      <c r="B695" s="1" t="n">
        <v>45720.67761574074</v>
      </c>
      <c r="C695" s="1" t="n">
        <v>46075</v>
      </c>
      <c r="D695" t="inlineStr">
        <is>
          <t>VÄSTERNORRLANDS LÄN</t>
        </is>
      </c>
      <c r="E695" t="inlineStr">
        <is>
          <t>SOLLEFTEÅ</t>
        </is>
      </c>
      <c r="F695" t="inlineStr">
        <is>
          <t>SCA</t>
        </is>
      </c>
      <c r="G695" t="n">
        <v>14.6</v>
      </c>
      <c r="H695" t="n">
        <v>0</v>
      </c>
      <c r="I695" t="n">
        <v>0</v>
      </c>
      <c r="J695" t="n">
        <v>0</v>
      </c>
      <c r="K695" t="n">
        <v>0</v>
      </c>
      <c r="L695" t="n">
        <v>0</v>
      </c>
      <c r="M695" t="n">
        <v>0</v>
      </c>
      <c r="N695" t="n">
        <v>0</v>
      </c>
      <c r="O695" t="n">
        <v>0</v>
      </c>
      <c r="P695" t="n">
        <v>0</v>
      </c>
      <c r="Q695" t="n">
        <v>0</v>
      </c>
      <c r="R695" s="2" t="inlineStr"/>
    </row>
    <row r="696" ht="15" customHeight="1">
      <c r="A696" t="inlineStr">
        <is>
          <t>A 8244-2024</t>
        </is>
      </c>
      <c r="B696" s="1" t="n">
        <v>45351</v>
      </c>
      <c r="C696" s="1" t="n">
        <v>46075</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29956-2023</t>
        </is>
      </c>
      <c r="B697" s="1" t="n">
        <v>45107</v>
      </c>
      <c r="C697" s="1" t="n">
        <v>46075</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18185-2025</t>
        </is>
      </c>
      <c r="B698" s="1" t="n">
        <v>45761.66724537037</v>
      </c>
      <c r="C698" s="1" t="n">
        <v>46075</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18263-2025</t>
        </is>
      </c>
      <c r="B699" s="1" t="n">
        <v>45762.36509259259</v>
      </c>
      <c r="C699" s="1" t="n">
        <v>46075</v>
      </c>
      <c r="D699" t="inlineStr">
        <is>
          <t>VÄSTERNORRLANDS LÄN</t>
        </is>
      </c>
      <c r="E699" t="inlineStr">
        <is>
          <t>SOLLEFTEÅ</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17999-2022</t>
        </is>
      </c>
      <c r="B700" s="1" t="n">
        <v>44683</v>
      </c>
      <c r="C700" s="1" t="n">
        <v>46075</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15978-2023</t>
        </is>
      </c>
      <c r="B701" s="1" t="n">
        <v>45022.94188657407</v>
      </c>
      <c r="C701" s="1" t="n">
        <v>46075</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2045-2025</t>
        </is>
      </c>
      <c r="B702" s="1" t="n">
        <v>45672.51086805556</v>
      </c>
      <c r="C702" s="1" t="n">
        <v>46075</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59501-2023</t>
        </is>
      </c>
      <c r="B703" s="1" t="n">
        <v>45254</v>
      </c>
      <c r="C703" s="1" t="n">
        <v>46075</v>
      </c>
      <c r="D703" t="inlineStr">
        <is>
          <t>VÄSTERNORRLANDS LÄN</t>
        </is>
      </c>
      <c r="E703" t="inlineStr">
        <is>
          <t>SOLLEFTEÅ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54538-2022</t>
        </is>
      </c>
      <c r="B704" s="1" t="n">
        <v>44882.77261574074</v>
      </c>
      <c r="C704" s="1" t="n">
        <v>46075</v>
      </c>
      <c r="D704" t="inlineStr">
        <is>
          <t>VÄSTERNORRLANDS LÄN</t>
        </is>
      </c>
      <c r="E704" t="inlineStr">
        <is>
          <t>SOLLEFTEÅ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61784-2023</t>
        </is>
      </c>
      <c r="B705" s="1" t="n">
        <v>45265</v>
      </c>
      <c r="C705" s="1" t="n">
        <v>46075</v>
      </c>
      <c r="D705" t="inlineStr">
        <is>
          <t>VÄSTERNORRLANDS LÄN</t>
        </is>
      </c>
      <c r="E705" t="inlineStr">
        <is>
          <t>SOLLEFTEÅ</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58994-2024</t>
        </is>
      </c>
      <c r="B706" s="1" t="n">
        <v>45636.63717592593</v>
      </c>
      <c r="C706" s="1" t="n">
        <v>46075</v>
      </c>
      <c r="D706" t="inlineStr">
        <is>
          <t>VÄSTERNORRLANDS LÄN</t>
        </is>
      </c>
      <c r="E706" t="inlineStr">
        <is>
          <t>SOLLEFTEÅ</t>
        </is>
      </c>
      <c r="G706" t="n">
        <v>2.6</v>
      </c>
      <c r="H706" t="n">
        <v>0</v>
      </c>
      <c r="I706" t="n">
        <v>0</v>
      </c>
      <c r="J706" t="n">
        <v>0</v>
      </c>
      <c r="K706" t="n">
        <v>0</v>
      </c>
      <c r="L706" t="n">
        <v>0</v>
      </c>
      <c r="M706" t="n">
        <v>0</v>
      </c>
      <c r="N706" t="n">
        <v>0</v>
      </c>
      <c r="O706" t="n">
        <v>0</v>
      </c>
      <c r="P706" t="n">
        <v>0</v>
      </c>
      <c r="Q706" t="n">
        <v>0</v>
      </c>
      <c r="R706" s="2" t="inlineStr"/>
    </row>
    <row r="707" ht="15" customHeight="1">
      <c r="A707" t="inlineStr">
        <is>
          <t>A 9120-2024</t>
        </is>
      </c>
      <c r="B707" s="1" t="n">
        <v>45358.04091435186</v>
      </c>
      <c r="C707" s="1" t="n">
        <v>46075</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9122-2024</t>
        </is>
      </c>
      <c r="B708" s="1" t="n">
        <v>45358.04107638889</v>
      </c>
      <c r="C708" s="1" t="n">
        <v>46075</v>
      </c>
      <c r="D708" t="inlineStr">
        <is>
          <t>VÄSTERNORRLANDS LÄN</t>
        </is>
      </c>
      <c r="E708" t="inlineStr">
        <is>
          <t>SOLLEFTEÅ</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16086-2024</t>
        </is>
      </c>
      <c r="B709" s="1" t="n">
        <v>45406</v>
      </c>
      <c r="C709" s="1" t="n">
        <v>46075</v>
      </c>
      <c r="D709" t="inlineStr">
        <is>
          <t>VÄSTERNORRLANDS LÄN</t>
        </is>
      </c>
      <c r="E709" t="inlineStr">
        <is>
          <t>SOLLEFTEÅ</t>
        </is>
      </c>
      <c r="G709" t="n">
        <v>15.9</v>
      </c>
      <c r="H709" t="n">
        <v>0</v>
      </c>
      <c r="I709" t="n">
        <v>0</v>
      </c>
      <c r="J709" t="n">
        <v>0</v>
      </c>
      <c r="K709" t="n">
        <v>0</v>
      </c>
      <c r="L709" t="n">
        <v>0</v>
      </c>
      <c r="M709" t="n">
        <v>0</v>
      </c>
      <c r="N709" t="n">
        <v>0</v>
      </c>
      <c r="O709" t="n">
        <v>0</v>
      </c>
      <c r="P709" t="n">
        <v>0</v>
      </c>
      <c r="Q709" t="n">
        <v>0</v>
      </c>
      <c r="R709" s="2" t="inlineStr"/>
    </row>
    <row r="710" ht="15" customHeight="1">
      <c r="A710" t="inlineStr">
        <is>
          <t>A 16726-2024</t>
        </is>
      </c>
      <c r="B710" s="1" t="n">
        <v>45409.98535879629</v>
      </c>
      <c r="C710" s="1" t="n">
        <v>46075</v>
      </c>
      <c r="D710" t="inlineStr">
        <is>
          <t>VÄSTERNORRLANDS LÄN</t>
        </is>
      </c>
      <c r="E710" t="inlineStr">
        <is>
          <t>SOLLEFTEÅ</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11094-2023</t>
        </is>
      </c>
      <c r="B711" s="1" t="n">
        <v>44986</v>
      </c>
      <c r="C711" s="1" t="n">
        <v>46075</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16468-2024</t>
        </is>
      </c>
      <c r="B712" s="1" t="n">
        <v>45408.0508449074</v>
      </c>
      <c r="C712" s="1" t="n">
        <v>46075</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10554-2022</t>
        </is>
      </c>
      <c r="B713" s="1" t="n">
        <v>44623.93775462963</v>
      </c>
      <c r="C713" s="1" t="n">
        <v>46075</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34281-2022</t>
        </is>
      </c>
      <c r="B714" s="1" t="n">
        <v>44791</v>
      </c>
      <c r="C714" s="1" t="n">
        <v>46075</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43843-2024</t>
        </is>
      </c>
      <c r="B715" s="1" t="n">
        <v>45572</v>
      </c>
      <c r="C715" s="1" t="n">
        <v>46075</v>
      </c>
      <c r="D715" t="inlineStr">
        <is>
          <t>VÄSTERNORRLANDS LÄN</t>
        </is>
      </c>
      <c r="E715" t="inlineStr">
        <is>
          <t>SOLLEFTEÅ</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46075</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19892-2025</t>
        </is>
      </c>
      <c r="B717" s="1" t="n">
        <v>45771.57461805556</v>
      </c>
      <c r="C717" s="1" t="n">
        <v>46075</v>
      </c>
      <c r="D717" t="inlineStr">
        <is>
          <t>VÄSTERNORRLANDS LÄN</t>
        </is>
      </c>
      <c r="E717" t="inlineStr">
        <is>
          <t>SOLLEFTEÅ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46075</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57487-2024</t>
        </is>
      </c>
      <c r="B719" s="1" t="n">
        <v>45630.36166666666</v>
      </c>
      <c r="C719" s="1" t="n">
        <v>46075</v>
      </c>
      <c r="D719" t="inlineStr">
        <is>
          <t>VÄSTERNORRLANDS LÄN</t>
        </is>
      </c>
      <c r="E719" t="inlineStr">
        <is>
          <t>SOLLEFTEÅ</t>
        </is>
      </c>
      <c r="F719" t="inlineStr">
        <is>
          <t>Holmen skog AB</t>
        </is>
      </c>
      <c r="G719" t="n">
        <v>0.8</v>
      </c>
      <c r="H719" t="n">
        <v>0</v>
      </c>
      <c r="I719" t="n">
        <v>0</v>
      </c>
      <c r="J719" t="n">
        <v>0</v>
      </c>
      <c r="K719" t="n">
        <v>0</v>
      </c>
      <c r="L719" t="n">
        <v>0</v>
      </c>
      <c r="M719" t="n">
        <v>0</v>
      </c>
      <c r="N719" t="n">
        <v>0</v>
      </c>
      <c r="O719" t="n">
        <v>0</v>
      </c>
      <c r="P719" t="n">
        <v>0</v>
      </c>
      <c r="Q719" t="n">
        <v>0</v>
      </c>
      <c r="R719" s="2" t="inlineStr"/>
    </row>
    <row r="720" ht="15" customHeight="1">
      <c r="A720" t="inlineStr">
        <is>
          <t>A 30692-2021</t>
        </is>
      </c>
      <c r="B720" s="1" t="n">
        <v>44365</v>
      </c>
      <c r="C720" s="1" t="n">
        <v>46075</v>
      </c>
      <c r="D720" t="inlineStr">
        <is>
          <t>VÄSTERNORRLANDS LÄN</t>
        </is>
      </c>
      <c r="E720" t="inlineStr">
        <is>
          <t>SOLLEFTEÅ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34397-2021</t>
        </is>
      </c>
      <c r="B721" s="1" t="n">
        <v>44379</v>
      </c>
      <c r="C721" s="1" t="n">
        <v>46075</v>
      </c>
      <c r="D721" t="inlineStr">
        <is>
          <t>VÄSTERNORRLANDS LÄN</t>
        </is>
      </c>
      <c r="E721" t="inlineStr">
        <is>
          <t>SOLLEFTEÅ</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14055-2022</t>
        </is>
      </c>
      <c r="B722" s="1" t="n">
        <v>44650.93824074074</v>
      </c>
      <c r="C722" s="1" t="n">
        <v>46075</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54618-2023</t>
        </is>
      </c>
      <c r="B723" s="1" t="n">
        <v>45233</v>
      </c>
      <c r="C723" s="1" t="n">
        <v>46075</v>
      </c>
      <c r="D723" t="inlineStr">
        <is>
          <t>VÄSTERNORRLANDS LÄN</t>
        </is>
      </c>
      <c r="E723" t="inlineStr">
        <is>
          <t>SOLLEFTEÅ</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55710-2024</t>
        </is>
      </c>
      <c r="B724" s="1" t="n">
        <v>45622.6985300926</v>
      </c>
      <c r="C724" s="1" t="n">
        <v>46075</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51227-2024</t>
        </is>
      </c>
      <c r="B725" s="1" t="n">
        <v>45603.65729166667</v>
      </c>
      <c r="C725" s="1" t="n">
        <v>46075</v>
      </c>
      <c r="D725" t="inlineStr">
        <is>
          <t>VÄSTERNORRLANDS LÄN</t>
        </is>
      </c>
      <c r="E725" t="inlineStr">
        <is>
          <t>SOLLEFTEÅ</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63652-2023</t>
        </is>
      </c>
      <c r="B726" s="1" t="n">
        <v>45275</v>
      </c>
      <c r="C726" s="1" t="n">
        <v>46075</v>
      </c>
      <c r="D726" t="inlineStr">
        <is>
          <t>VÄSTERNORRLANDS LÄN</t>
        </is>
      </c>
      <c r="E726" t="inlineStr">
        <is>
          <t>SOLLEFTEÅ</t>
        </is>
      </c>
      <c r="G726" t="n">
        <v>4.5</v>
      </c>
      <c r="H726" t="n">
        <v>0</v>
      </c>
      <c r="I726" t="n">
        <v>0</v>
      </c>
      <c r="J726" t="n">
        <v>0</v>
      </c>
      <c r="K726" t="n">
        <v>0</v>
      </c>
      <c r="L726" t="n">
        <v>0</v>
      </c>
      <c r="M726" t="n">
        <v>0</v>
      </c>
      <c r="N726" t="n">
        <v>0</v>
      </c>
      <c r="O726" t="n">
        <v>0</v>
      </c>
      <c r="P726" t="n">
        <v>0</v>
      </c>
      <c r="Q726" t="n">
        <v>0</v>
      </c>
      <c r="R726" s="2" t="inlineStr"/>
    </row>
    <row r="727" ht="15" customHeight="1">
      <c r="A727" t="inlineStr">
        <is>
          <t>A 33642-2023</t>
        </is>
      </c>
      <c r="B727" s="1" t="n">
        <v>45119</v>
      </c>
      <c r="C727" s="1" t="n">
        <v>46075</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46850-2024</t>
        </is>
      </c>
      <c r="B728" s="1" t="n">
        <v>45583.61513888889</v>
      </c>
      <c r="C728" s="1" t="n">
        <v>46075</v>
      </c>
      <c r="D728" t="inlineStr">
        <is>
          <t>VÄSTERNORRLANDS LÄN</t>
        </is>
      </c>
      <c r="E728" t="inlineStr">
        <is>
          <t>SOLLEFTEÅ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46075</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5059-2024</t>
        </is>
      </c>
      <c r="B730" s="1" t="n">
        <v>45329</v>
      </c>
      <c r="C730" s="1" t="n">
        <v>46075</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51029-2021</t>
        </is>
      </c>
      <c r="B731" s="1" t="n">
        <v>44460.94086805556</v>
      </c>
      <c r="C731" s="1" t="n">
        <v>46075</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3424-2025</t>
        </is>
      </c>
      <c r="B732" s="1" t="n">
        <v>45680</v>
      </c>
      <c r="C732" s="1" t="n">
        <v>46075</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27382-2023</t>
        </is>
      </c>
      <c r="B733" s="1" t="n">
        <v>45096.93920138889</v>
      </c>
      <c r="C733" s="1" t="n">
        <v>46075</v>
      </c>
      <c r="D733" t="inlineStr">
        <is>
          <t>VÄSTERNORRLANDS LÄN</t>
        </is>
      </c>
      <c r="E733" t="inlineStr">
        <is>
          <t>SOLLEFTEÅ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27384-2023</t>
        </is>
      </c>
      <c r="B734" s="1" t="n">
        <v>45096.939375</v>
      </c>
      <c r="C734" s="1" t="n">
        <v>46075</v>
      </c>
      <c r="D734" t="inlineStr">
        <is>
          <t>VÄSTERNORRLANDS LÄN</t>
        </is>
      </c>
      <c r="E734" t="inlineStr">
        <is>
          <t>SOLLEFTEÅ</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27391-2023</t>
        </is>
      </c>
      <c r="B735" s="1" t="n">
        <v>45096.93991898148</v>
      </c>
      <c r="C735" s="1" t="n">
        <v>46075</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13639-2025</t>
        </is>
      </c>
      <c r="B736" s="1" t="n">
        <v>45736.65710648148</v>
      </c>
      <c r="C736" s="1" t="n">
        <v>46075</v>
      </c>
      <c r="D736" t="inlineStr">
        <is>
          <t>VÄSTERNORRLANDS LÄN</t>
        </is>
      </c>
      <c r="E736" t="inlineStr">
        <is>
          <t>SOLLEFTEÅ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2456-2025</t>
        </is>
      </c>
      <c r="B737" s="1" t="n">
        <v>45673</v>
      </c>
      <c r="C737" s="1" t="n">
        <v>46075</v>
      </c>
      <c r="D737" t="inlineStr">
        <is>
          <t>VÄSTERNORRLANDS LÄN</t>
        </is>
      </c>
      <c r="E737" t="inlineStr">
        <is>
          <t>SOLLEFTEÅ</t>
        </is>
      </c>
      <c r="F737" t="inlineStr">
        <is>
          <t>Kommuner</t>
        </is>
      </c>
      <c r="G737" t="n">
        <v>2.7</v>
      </c>
      <c r="H737" t="n">
        <v>0</v>
      </c>
      <c r="I737" t="n">
        <v>0</v>
      </c>
      <c r="J737" t="n">
        <v>0</v>
      </c>
      <c r="K737" t="n">
        <v>0</v>
      </c>
      <c r="L737" t="n">
        <v>0</v>
      </c>
      <c r="M737" t="n">
        <v>0</v>
      </c>
      <c r="N737" t="n">
        <v>0</v>
      </c>
      <c r="O737" t="n">
        <v>0</v>
      </c>
      <c r="P737" t="n">
        <v>0</v>
      </c>
      <c r="Q737" t="n">
        <v>0</v>
      </c>
      <c r="R737" s="2" t="inlineStr"/>
    </row>
    <row r="738" ht="15" customHeight="1">
      <c r="A738" t="inlineStr">
        <is>
          <t>A 36513-2023</t>
        </is>
      </c>
      <c r="B738" s="1" t="n">
        <v>45152.9537037037</v>
      </c>
      <c r="C738" s="1" t="n">
        <v>46075</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45778-2024</t>
        </is>
      </c>
      <c r="B739" s="1" t="n">
        <v>45579.66471064815</v>
      </c>
      <c r="C739" s="1" t="n">
        <v>46075</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55622-2023</t>
        </is>
      </c>
      <c r="B740" s="1" t="n">
        <v>45238</v>
      </c>
      <c r="C740" s="1" t="n">
        <v>46075</v>
      </c>
      <c r="D740" t="inlineStr">
        <is>
          <t>VÄSTERNORRLANDS LÄN</t>
        </is>
      </c>
      <c r="E740" t="inlineStr">
        <is>
          <t>SOLLEFTEÅ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57019-2022</t>
        </is>
      </c>
      <c r="B741" s="1" t="n">
        <v>44894.95877314815</v>
      </c>
      <c r="C741" s="1" t="n">
        <v>46075</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10240-2025</t>
        </is>
      </c>
      <c r="B742" s="1" t="n">
        <v>45720.34508101852</v>
      </c>
      <c r="C742" s="1" t="n">
        <v>46075</v>
      </c>
      <c r="D742" t="inlineStr">
        <is>
          <t>VÄSTERNORRLANDS LÄN</t>
        </is>
      </c>
      <c r="E742" t="inlineStr">
        <is>
          <t>SOLLEFTEÅ</t>
        </is>
      </c>
      <c r="F742" t="inlineStr">
        <is>
          <t>SCA</t>
        </is>
      </c>
      <c r="G742" t="n">
        <v>18.8</v>
      </c>
      <c r="H742" t="n">
        <v>0</v>
      </c>
      <c r="I742" t="n">
        <v>0</v>
      </c>
      <c r="J742" t="n">
        <v>0</v>
      </c>
      <c r="K742" t="n">
        <v>0</v>
      </c>
      <c r="L742" t="n">
        <v>0</v>
      </c>
      <c r="M742" t="n">
        <v>0</v>
      </c>
      <c r="N742" t="n">
        <v>0</v>
      </c>
      <c r="O742" t="n">
        <v>0</v>
      </c>
      <c r="P742" t="n">
        <v>0</v>
      </c>
      <c r="Q742" t="n">
        <v>0</v>
      </c>
      <c r="R742" s="2" t="inlineStr"/>
    </row>
    <row r="743" ht="15" customHeight="1">
      <c r="A743" t="inlineStr">
        <is>
          <t>A 11334-2024</t>
        </is>
      </c>
      <c r="B743" s="1" t="n">
        <v>45372</v>
      </c>
      <c r="C743" s="1" t="n">
        <v>46075</v>
      </c>
      <c r="D743" t="inlineStr">
        <is>
          <t>VÄSTERNORRLANDS LÄN</t>
        </is>
      </c>
      <c r="E743" t="inlineStr">
        <is>
          <t>SOLLEFTEÅ</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42664-2022</t>
        </is>
      </c>
      <c r="B744" s="1" t="n">
        <v>44831</v>
      </c>
      <c r="C744" s="1" t="n">
        <v>46075</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3211-2024</t>
        </is>
      </c>
      <c r="B745" s="1" t="n">
        <v>45316</v>
      </c>
      <c r="C745" s="1" t="n">
        <v>46075</v>
      </c>
      <c r="D745" t="inlineStr">
        <is>
          <t>VÄSTERNORRLANDS LÄN</t>
        </is>
      </c>
      <c r="E745" t="inlineStr">
        <is>
          <t>SOLLEFTEÅ</t>
        </is>
      </c>
      <c r="G745" t="n">
        <v>2.6</v>
      </c>
      <c r="H745" t="n">
        <v>0</v>
      </c>
      <c r="I745" t="n">
        <v>0</v>
      </c>
      <c r="J745" t="n">
        <v>0</v>
      </c>
      <c r="K745" t="n">
        <v>0</v>
      </c>
      <c r="L745" t="n">
        <v>0</v>
      </c>
      <c r="M745" t="n">
        <v>0</v>
      </c>
      <c r="N745" t="n">
        <v>0</v>
      </c>
      <c r="O745" t="n">
        <v>0</v>
      </c>
      <c r="P745" t="n">
        <v>0</v>
      </c>
      <c r="Q745" t="n">
        <v>0</v>
      </c>
      <c r="R745" s="2" t="inlineStr"/>
    </row>
    <row r="746" ht="15" customHeight="1">
      <c r="A746" t="inlineStr">
        <is>
          <t>A 8414-2024</t>
        </is>
      </c>
      <c r="B746" s="1" t="n">
        <v>45352</v>
      </c>
      <c r="C746" s="1" t="n">
        <v>46075</v>
      </c>
      <c r="D746" t="inlineStr">
        <is>
          <t>VÄSTERNORRLANDS LÄN</t>
        </is>
      </c>
      <c r="E746" t="inlineStr">
        <is>
          <t>SOLLEFTEÅ</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45940-2024</t>
        </is>
      </c>
      <c r="B747" s="1" t="n">
        <v>45580.53167824074</v>
      </c>
      <c r="C747" s="1" t="n">
        <v>46075</v>
      </c>
      <c r="D747" t="inlineStr">
        <is>
          <t>VÄSTERNORRLANDS LÄN</t>
        </is>
      </c>
      <c r="E747" t="inlineStr">
        <is>
          <t>SOLLEFTEÅ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45975-2024</t>
        </is>
      </c>
      <c r="B748" s="1" t="n">
        <v>45580.59425925926</v>
      </c>
      <c r="C748" s="1" t="n">
        <v>46075</v>
      </c>
      <c r="D748" t="inlineStr">
        <is>
          <t>VÄSTERNORRLANDS LÄN</t>
        </is>
      </c>
      <c r="E748" t="inlineStr">
        <is>
          <t>SOLLEFTEÅ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22471-2024</t>
        </is>
      </c>
      <c r="B749" s="1" t="n">
        <v>45446</v>
      </c>
      <c r="C749" s="1" t="n">
        <v>46075</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35277-2023</t>
        </is>
      </c>
      <c r="B750" s="1" t="n">
        <v>45145</v>
      </c>
      <c r="C750" s="1" t="n">
        <v>46075</v>
      </c>
      <c r="D750" t="inlineStr">
        <is>
          <t>VÄSTERNORRLANDS LÄN</t>
        </is>
      </c>
      <c r="E750" t="inlineStr">
        <is>
          <t>SOLLEFTEÅ</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25799-2024</t>
        </is>
      </c>
      <c r="B751" s="1" t="n">
        <v>45463</v>
      </c>
      <c r="C751" s="1" t="n">
        <v>46075</v>
      </c>
      <c r="D751" t="inlineStr">
        <is>
          <t>VÄSTERNORRLANDS LÄN</t>
        </is>
      </c>
      <c r="E751" t="inlineStr">
        <is>
          <t>SOLLEFTEÅ</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31005-2022</t>
        </is>
      </c>
      <c r="B752" s="1" t="n">
        <v>44768</v>
      </c>
      <c r="C752" s="1" t="n">
        <v>46075</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46075</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51544-2022</t>
        </is>
      </c>
      <c r="B754" s="1" t="n">
        <v>44869</v>
      </c>
      <c r="C754" s="1" t="n">
        <v>46075</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20061-2022</t>
        </is>
      </c>
      <c r="B755" s="1" t="n">
        <v>44697.94140046297</v>
      </c>
      <c r="C755" s="1" t="n">
        <v>46075</v>
      </c>
      <c r="D755" t="inlineStr">
        <is>
          <t>VÄSTERNORRLANDS LÄN</t>
        </is>
      </c>
      <c r="E755" t="inlineStr">
        <is>
          <t>SOLLEFTEÅ</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769-2025</t>
        </is>
      </c>
      <c r="B756" s="1" t="n">
        <v>45659</v>
      </c>
      <c r="C756" s="1" t="n">
        <v>46075</v>
      </c>
      <c r="D756" t="inlineStr">
        <is>
          <t>VÄSTERNORRLANDS LÄN</t>
        </is>
      </c>
      <c r="E756" t="inlineStr">
        <is>
          <t>SOLLEFTEÅ</t>
        </is>
      </c>
      <c r="G756" t="n">
        <v>3.6</v>
      </c>
      <c r="H756" t="n">
        <v>0</v>
      </c>
      <c r="I756" t="n">
        <v>0</v>
      </c>
      <c r="J756" t="n">
        <v>0</v>
      </c>
      <c r="K756" t="n">
        <v>0</v>
      </c>
      <c r="L756" t="n">
        <v>0</v>
      </c>
      <c r="M756" t="n">
        <v>0</v>
      </c>
      <c r="N756" t="n">
        <v>0</v>
      </c>
      <c r="O756" t="n">
        <v>0</v>
      </c>
      <c r="P756" t="n">
        <v>0</v>
      </c>
      <c r="Q756" t="n">
        <v>0</v>
      </c>
      <c r="R756" s="2" t="inlineStr"/>
    </row>
    <row r="757" ht="15" customHeight="1">
      <c r="A757" t="inlineStr">
        <is>
          <t>A 33312-2024</t>
        </is>
      </c>
      <c r="B757" s="1" t="n">
        <v>45518.97113425926</v>
      </c>
      <c r="C757" s="1" t="n">
        <v>46075</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43008-2024</t>
        </is>
      </c>
      <c r="B758" s="1" t="n">
        <v>45567.38574074074</v>
      </c>
      <c r="C758" s="1" t="n">
        <v>46075</v>
      </c>
      <c r="D758" t="inlineStr">
        <is>
          <t>VÄSTERNORRLANDS LÄN</t>
        </is>
      </c>
      <c r="E758" t="inlineStr">
        <is>
          <t>SOLLEFTEÅ</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8104-2025</t>
        </is>
      </c>
      <c r="B759" s="1" t="n">
        <v>45707.69835648148</v>
      </c>
      <c r="C759" s="1" t="n">
        <v>46075</v>
      </c>
      <c r="D759" t="inlineStr">
        <is>
          <t>VÄSTERNORRLANDS LÄN</t>
        </is>
      </c>
      <c r="E759" t="inlineStr">
        <is>
          <t>SOLLEFTEÅ</t>
        </is>
      </c>
      <c r="F759" t="inlineStr">
        <is>
          <t>SCA</t>
        </is>
      </c>
      <c r="G759" t="n">
        <v>8.4</v>
      </c>
      <c r="H759" t="n">
        <v>0</v>
      </c>
      <c r="I759" t="n">
        <v>0</v>
      </c>
      <c r="J759" t="n">
        <v>0</v>
      </c>
      <c r="K759" t="n">
        <v>0</v>
      </c>
      <c r="L759" t="n">
        <v>0</v>
      </c>
      <c r="M759" t="n">
        <v>0</v>
      </c>
      <c r="N759" t="n">
        <v>0</v>
      </c>
      <c r="O759" t="n">
        <v>0</v>
      </c>
      <c r="P759" t="n">
        <v>0</v>
      </c>
      <c r="Q759" t="n">
        <v>0</v>
      </c>
      <c r="R759" s="2" t="inlineStr"/>
    </row>
    <row r="760" ht="15" customHeight="1">
      <c r="A760" t="inlineStr">
        <is>
          <t>A 8124-2025</t>
        </is>
      </c>
      <c r="B760" s="1" t="n">
        <v>45707</v>
      </c>
      <c r="C760" s="1" t="n">
        <v>46075</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2044-2025</t>
        </is>
      </c>
      <c r="B761" s="1" t="n">
        <v>45672</v>
      </c>
      <c r="C761" s="1" t="n">
        <v>46075</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37354-2024</t>
        </is>
      </c>
      <c r="B762" s="1" t="n">
        <v>45540.54201388889</v>
      </c>
      <c r="C762" s="1" t="n">
        <v>46075</v>
      </c>
      <c r="D762" t="inlineStr">
        <is>
          <t>VÄSTERNORRLANDS LÄN</t>
        </is>
      </c>
      <c r="E762" t="inlineStr">
        <is>
          <t>SOLLEFTEÅ</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15955-2025</t>
        </is>
      </c>
      <c r="B763" s="1" t="n">
        <v>45749.5113425926</v>
      </c>
      <c r="C763" s="1" t="n">
        <v>46075</v>
      </c>
      <c r="D763" t="inlineStr">
        <is>
          <t>VÄSTERNORRLANDS LÄN</t>
        </is>
      </c>
      <c r="E763" t="inlineStr">
        <is>
          <t>SOLLEFTEÅ</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34395-2021</t>
        </is>
      </c>
      <c r="B764" s="1" t="n">
        <v>44379</v>
      </c>
      <c r="C764" s="1" t="n">
        <v>46075</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36211-2023</t>
        </is>
      </c>
      <c r="B765" s="1" t="n">
        <v>45149.95234953704</v>
      </c>
      <c r="C765" s="1" t="n">
        <v>46075</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12164-2023</t>
        </is>
      </c>
      <c r="B766" s="1" t="n">
        <v>44995</v>
      </c>
      <c r="C766" s="1" t="n">
        <v>46075</v>
      </c>
      <c r="D766" t="inlineStr">
        <is>
          <t>VÄSTERNORRLANDS LÄN</t>
        </is>
      </c>
      <c r="E766" t="inlineStr">
        <is>
          <t>SOLLEFTEÅ</t>
        </is>
      </c>
      <c r="G766" t="n">
        <v>18.3</v>
      </c>
      <c r="H766" t="n">
        <v>0</v>
      </c>
      <c r="I766" t="n">
        <v>0</v>
      </c>
      <c r="J766" t="n">
        <v>0</v>
      </c>
      <c r="K766" t="n">
        <v>0</v>
      </c>
      <c r="L766" t="n">
        <v>0</v>
      </c>
      <c r="M766" t="n">
        <v>0</v>
      </c>
      <c r="N766" t="n">
        <v>0</v>
      </c>
      <c r="O766" t="n">
        <v>0</v>
      </c>
      <c r="P766" t="n">
        <v>0</v>
      </c>
      <c r="Q766" t="n">
        <v>0</v>
      </c>
      <c r="R766" s="2" t="inlineStr"/>
    </row>
    <row r="767" ht="15" customHeight="1">
      <c r="A767" t="inlineStr">
        <is>
          <t>A 15809-2022</t>
        </is>
      </c>
      <c r="B767" s="1" t="n">
        <v>44663</v>
      </c>
      <c r="C767" s="1" t="n">
        <v>46075</v>
      </c>
      <c r="D767" t="inlineStr">
        <is>
          <t>VÄSTERNORRLANDS LÄN</t>
        </is>
      </c>
      <c r="E767" t="inlineStr">
        <is>
          <t>SOLLEFTEÅ</t>
        </is>
      </c>
      <c r="F767" t="inlineStr">
        <is>
          <t>SCA</t>
        </is>
      </c>
      <c r="G767" t="n">
        <v>16.3</v>
      </c>
      <c r="H767" t="n">
        <v>0</v>
      </c>
      <c r="I767" t="n">
        <v>0</v>
      </c>
      <c r="J767" t="n">
        <v>0</v>
      </c>
      <c r="K767" t="n">
        <v>0</v>
      </c>
      <c r="L767" t="n">
        <v>0</v>
      </c>
      <c r="M767" t="n">
        <v>0</v>
      </c>
      <c r="N767" t="n">
        <v>0</v>
      </c>
      <c r="O767" t="n">
        <v>0</v>
      </c>
      <c r="P767" t="n">
        <v>0</v>
      </c>
      <c r="Q767" t="n">
        <v>0</v>
      </c>
      <c r="R767" s="2" t="inlineStr"/>
    </row>
    <row r="768" ht="15" customHeight="1">
      <c r="A768" t="inlineStr">
        <is>
          <t>A 48490-2024</t>
        </is>
      </c>
      <c r="B768" s="1" t="n">
        <v>45592</v>
      </c>
      <c r="C768" s="1" t="n">
        <v>46075</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48491-2024</t>
        </is>
      </c>
      <c r="B769" s="1" t="n">
        <v>45592</v>
      </c>
      <c r="C769" s="1" t="n">
        <v>46075</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16562-2023</t>
        </is>
      </c>
      <c r="B770" s="1" t="n">
        <v>45029</v>
      </c>
      <c r="C770" s="1" t="n">
        <v>46075</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10549-2023</t>
        </is>
      </c>
      <c r="B771" s="1" t="n">
        <v>44987</v>
      </c>
      <c r="C771" s="1" t="n">
        <v>46075</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1464-2025</t>
        </is>
      </c>
      <c r="B772" s="1" t="n">
        <v>45670.365</v>
      </c>
      <c r="C772" s="1" t="n">
        <v>46075</v>
      </c>
      <c r="D772" t="inlineStr">
        <is>
          <t>VÄSTERNORRLANDS LÄN</t>
        </is>
      </c>
      <c r="E772" t="inlineStr">
        <is>
          <t>SOLLEFTEÅ</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43531-2023</t>
        </is>
      </c>
      <c r="B773" s="1" t="n">
        <v>45184.52731481481</v>
      </c>
      <c r="C773" s="1" t="n">
        <v>46075</v>
      </c>
      <c r="D773" t="inlineStr">
        <is>
          <t>VÄSTERNORRLANDS LÄN</t>
        </is>
      </c>
      <c r="E773" t="inlineStr">
        <is>
          <t>SOLLEFTEÅ</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50844-2023</t>
        </is>
      </c>
      <c r="B774" s="1" t="n">
        <v>45217</v>
      </c>
      <c r="C774" s="1" t="n">
        <v>46075</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23394-2021</t>
        </is>
      </c>
      <c r="B775" s="1" t="n">
        <v>44333</v>
      </c>
      <c r="C775" s="1" t="n">
        <v>46075</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8099-2025</t>
        </is>
      </c>
      <c r="B776" s="1" t="n">
        <v>45707.69086805556</v>
      </c>
      <c r="C776" s="1" t="n">
        <v>46075</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62098-2023</t>
        </is>
      </c>
      <c r="B777" s="1" t="n">
        <v>45266</v>
      </c>
      <c r="C777" s="1" t="n">
        <v>46075</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58179-2021</t>
        </is>
      </c>
      <c r="B778" s="1" t="n">
        <v>44487</v>
      </c>
      <c r="C778" s="1" t="n">
        <v>46075</v>
      </c>
      <c r="D778" t="inlineStr">
        <is>
          <t>VÄSTERNORRLANDS LÄN</t>
        </is>
      </c>
      <c r="E778" t="inlineStr">
        <is>
          <t>SOLLEFTEÅ</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60420-2022</t>
        </is>
      </c>
      <c r="B779" s="1" t="n">
        <v>44910</v>
      </c>
      <c r="C779" s="1" t="n">
        <v>46075</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51735-2024</t>
        </is>
      </c>
      <c r="B780" s="1" t="n">
        <v>45607.40127314815</v>
      </c>
      <c r="C780" s="1" t="n">
        <v>46075</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7003-2025</t>
        </is>
      </c>
      <c r="B781" s="1" t="n">
        <v>45701</v>
      </c>
      <c r="C781" s="1" t="n">
        <v>46075</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279-2023</t>
        </is>
      </c>
      <c r="B782" s="1" t="n">
        <v>44928</v>
      </c>
      <c r="C782" s="1" t="n">
        <v>46075</v>
      </c>
      <c r="D782" t="inlineStr">
        <is>
          <t>VÄSTERNORRLANDS LÄN</t>
        </is>
      </c>
      <c r="E782" t="inlineStr">
        <is>
          <t>SOLLEFTEÅ</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20507-2024</t>
        </is>
      </c>
      <c r="B783" s="1" t="n">
        <v>45435</v>
      </c>
      <c r="C783" s="1" t="n">
        <v>46075</v>
      </c>
      <c r="D783" t="inlineStr">
        <is>
          <t>VÄSTERNORRLANDS LÄN</t>
        </is>
      </c>
      <c r="E783" t="inlineStr">
        <is>
          <t>SOLLEFTEÅ</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14712-2025</t>
        </is>
      </c>
      <c r="B784" s="1" t="n">
        <v>45742.61008101852</v>
      </c>
      <c r="C784" s="1" t="n">
        <v>46075</v>
      </c>
      <c r="D784" t="inlineStr">
        <is>
          <t>VÄSTERNORRLANDS LÄN</t>
        </is>
      </c>
      <c r="E784" t="inlineStr">
        <is>
          <t>SOLLEFTEÅ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40354-2024</t>
        </is>
      </c>
      <c r="B785" s="1" t="n">
        <v>45555.36525462963</v>
      </c>
      <c r="C785" s="1" t="n">
        <v>46075</v>
      </c>
      <c r="D785" t="inlineStr">
        <is>
          <t>VÄSTERNORRLANDS LÄN</t>
        </is>
      </c>
      <c r="E785" t="inlineStr">
        <is>
          <t>SOLLEFTEÅ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24596-2023</t>
        </is>
      </c>
      <c r="B786" s="1" t="n">
        <v>45083.94011574074</v>
      </c>
      <c r="C786" s="1" t="n">
        <v>46075</v>
      </c>
      <c r="D786" t="inlineStr">
        <is>
          <t>VÄSTERNORRLANDS LÄN</t>
        </is>
      </c>
      <c r="E786" t="inlineStr">
        <is>
          <t>SOLLEFTEÅ</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4935-2025</t>
        </is>
      </c>
      <c r="B787" s="1" t="n">
        <v>45688.68496527777</v>
      </c>
      <c r="C787" s="1" t="n">
        <v>46075</v>
      </c>
      <c r="D787" t="inlineStr">
        <is>
          <t>VÄSTERNORRLANDS LÄN</t>
        </is>
      </c>
      <c r="E787" t="inlineStr">
        <is>
          <t>SOLLEFTEÅ</t>
        </is>
      </c>
      <c r="G787" t="n">
        <v>6.5</v>
      </c>
      <c r="H787" t="n">
        <v>0</v>
      </c>
      <c r="I787" t="n">
        <v>0</v>
      </c>
      <c r="J787" t="n">
        <v>0</v>
      </c>
      <c r="K787" t="n">
        <v>0</v>
      </c>
      <c r="L787" t="n">
        <v>0</v>
      </c>
      <c r="M787" t="n">
        <v>0</v>
      </c>
      <c r="N787" t="n">
        <v>0</v>
      </c>
      <c r="O787" t="n">
        <v>0</v>
      </c>
      <c r="P787" t="n">
        <v>0</v>
      </c>
      <c r="Q787" t="n">
        <v>0</v>
      </c>
      <c r="R787" s="2" t="inlineStr"/>
    </row>
    <row r="788" ht="15" customHeight="1">
      <c r="A788" t="inlineStr">
        <is>
          <t>A 44392-2023</t>
        </is>
      </c>
      <c r="B788" s="1" t="n">
        <v>45188.94527777778</v>
      </c>
      <c r="C788" s="1" t="n">
        <v>46075</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47177-2023</t>
        </is>
      </c>
      <c r="B789" s="1" t="n">
        <v>45201</v>
      </c>
      <c r="C789" s="1" t="n">
        <v>46075</v>
      </c>
      <c r="D789" t="inlineStr">
        <is>
          <t>VÄSTERNORRLANDS LÄN</t>
        </is>
      </c>
      <c r="E789" t="inlineStr">
        <is>
          <t>SOLLEFTEÅ</t>
        </is>
      </c>
      <c r="F789" t="inlineStr">
        <is>
          <t>SCA</t>
        </is>
      </c>
      <c r="G789" t="n">
        <v>7.8</v>
      </c>
      <c r="H789" t="n">
        <v>0</v>
      </c>
      <c r="I789" t="n">
        <v>0</v>
      </c>
      <c r="J789" t="n">
        <v>0</v>
      </c>
      <c r="K789" t="n">
        <v>0</v>
      </c>
      <c r="L789" t="n">
        <v>0</v>
      </c>
      <c r="M789" t="n">
        <v>0</v>
      </c>
      <c r="N789" t="n">
        <v>0</v>
      </c>
      <c r="O789" t="n">
        <v>0</v>
      </c>
      <c r="P789" t="n">
        <v>0</v>
      </c>
      <c r="Q789" t="n">
        <v>0</v>
      </c>
      <c r="R789" s="2" t="inlineStr"/>
    </row>
    <row r="790" ht="15" customHeight="1">
      <c r="A790" t="inlineStr">
        <is>
          <t>A 10428-2023</t>
        </is>
      </c>
      <c r="B790" s="1" t="n">
        <v>44981</v>
      </c>
      <c r="C790" s="1" t="n">
        <v>46075</v>
      </c>
      <c r="D790" t="inlineStr">
        <is>
          <t>VÄSTERNORRLANDS LÄN</t>
        </is>
      </c>
      <c r="E790" t="inlineStr">
        <is>
          <t>SOLLEFTEÅ</t>
        </is>
      </c>
      <c r="G790" t="n">
        <v>4.3</v>
      </c>
      <c r="H790" t="n">
        <v>0</v>
      </c>
      <c r="I790" t="n">
        <v>0</v>
      </c>
      <c r="J790" t="n">
        <v>0</v>
      </c>
      <c r="K790" t="n">
        <v>0</v>
      </c>
      <c r="L790" t="n">
        <v>0</v>
      </c>
      <c r="M790" t="n">
        <v>0</v>
      </c>
      <c r="N790" t="n">
        <v>0</v>
      </c>
      <c r="O790" t="n">
        <v>0</v>
      </c>
      <c r="P790" t="n">
        <v>0</v>
      </c>
      <c r="Q790" t="n">
        <v>0</v>
      </c>
      <c r="R790" s="2" t="inlineStr"/>
    </row>
    <row r="791" ht="15" customHeight="1">
      <c r="A791" t="inlineStr">
        <is>
          <t>A 13637-2025</t>
        </is>
      </c>
      <c r="B791" s="1" t="n">
        <v>45736.65681712963</v>
      </c>
      <c r="C791" s="1" t="n">
        <v>46075</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13652-2025</t>
        </is>
      </c>
      <c r="B792" s="1" t="n">
        <v>45736.71909722222</v>
      </c>
      <c r="C792" s="1" t="n">
        <v>46075</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56260-2023</t>
        </is>
      </c>
      <c r="B793" s="1" t="n">
        <v>45240</v>
      </c>
      <c r="C793" s="1" t="n">
        <v>46075</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54307-2023</t>
        </is>
      </c>
      <c r="B794" s="1" t="n">
        <v>45225</v>
      </c>
      <c r="C794" s="1" t="n">
        <v>46075</v>
      </c>
      <c r="D794" t="inlineStr">
        <is>
          <t>VÄSTERNORRLANDS LÄN</t>
        </is>
      </c>
      <c r="E794" t="inlineStr">
        <is>
          <t>SOLLEFTEÅ</t>
        </is>
      </c>
      <c r="G794" t="n">
        <v>2.9</v>
      </c>
      <c r="H794" t="n">
        <v>0</v>
      </c>
      <c r="I794" t="n">
        <v>0</v>
      </c>
      <c r="J794" t="n">
        <v>0</v>
      </c>
      <c r="K794" t="n">
        <v>0</v>
      </c>
      <c r="L794" t="n">
        <v>0</v>
      </c>
      <c r="M794" t="n">
        <v>0</v>
      </c>
      <c r="N794" t="n">
        <v>0</v>
      </c>
      <c r="O794" t="n">
        <v>0</v>
      </c>
      <c r="P794" t="n">
        <v>0</v>
      </c>
      <c r="Q794" t="n">
        <v>0</v>
      </c>
      <c r="R794" s="2" t="inlineStr"/>
    </row>
    <row r="795" ht="15" customHeight="1">
      <c r="A795" t="inlineStr">
        <is>
          <t>A 326-2025</t>
        </is>
      </c>
      <c r="B795" s="1" t="n">
        <v>45660.65653935185</v>
      </c>
      <c r="C795" s="1" t="n">
        <v>46075</v>
      </c>
      <c r="D795" t="inlineStr">
        <is>
          <t>VÄSTERNORRLANDS LÄN</t>
        </is>
      </c>
      <c r="E795" t="inlineStr">
        <is>
          <t>SOLLEFTEÅ</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5255-2024</t>
        </is>
      </c>
      <c r="B796" s="1" t="n">
        <v>45330</v>
      </c>
      <c r="C796" s="1" t="n">
        <v>46075</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12107-2023</t>
        </is>
      </c>
      <c r="B797" s="1" t="n">
        <v>44995</v>
      </c>
      <c r="C797" s="1" t="n">
        <v>46075</v>
      </c>
      <c r="D797" t="inlineStr">
        <is>
          <t>VÄSTERNORRLANDS LÄN</t>
        </is>
      </c>
      <c r="E797" t="inlineStr">
        <is>
          <t>SOLLEFTEÅ</t>
        </is>
      </c>
      <c r="G797" t="n">
        <v>2</v>
      </c>
      <c r="H797" t="n">
        <v>0</v>
      </c>
      <c r="I797" t="n">
        <v>0</v>
      </c>
      <c r="J797" t="n">
        <v>0</v>
      </c>
      <c r="K797" t="n">
        <v>0</v>
      </c>
      <c r="L797" t="n">
        <v>0</v>
      </c>
      <c r="M797" t="n">
        <v>0</v>
      </c>
      <c r="N797" t="n">
        <v>0</v>
      </c>
      <c r="O797" t="n">
        <v>0</v>
      </c>
      <c r="P797" t="n">
        <v>0</v>
      </c>
      <c r="Q797" t="n">
        <v>0</v>
      </c>
      <c r="R797" s="2" t="inlineStr"/>
    </row>
    <row r="798" ht="15" customHeight="1">
      <c r="A798" t="inlineStr">
        <is>
          <t>A 19682-2025</t>
        </is>
      </c>
      <c r="B798" s="1" t="n">
        <v>45770.85163194445</v>
      </c>
      <c r="C798" s="1" t="n">
        <v>46075</v>
      </c>
      <c r="D798" t="inlineStr">
        <is>
          <t>VÄSTERNORRLANDS LÄN</t>
        </is>
      </c>
      <c r="E798" t="inlineStr">
        <is>
          <t>SOLLEFTEÅ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55439-2024</t>
        </is>
      </c>
      <c r="B799" s="1" t="n">
        <v>45622.40663194445</v>
      </c>
      <c r="C799" s="1" t="n">
        <v>46075</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295-2025</t>
        </is>
      </c>
      <c r="B800" s="1" t="n">
        <v>45660.53206018519</v>
      </c>
      <c r="C800" s="1" t="n">
        <v>46075</v>
      </c>
      <c r="D800" t="inlineStr">
        <is>
          <t>VÄSTERNORRLANDS LÄN</t>
        </is>
      </c>
      <c r="E800" t="inlineStr">
        <is>
          <t>SOLLEFTEÅ</t>
        </is>
      </c>
      <c r="F800" t="inlineStr">
        <is>
          <t>SCA</t>
        </is>
      </c>
      <c r="G800" t="n">
        <v>30.7</v>
      </c>
      <c r="H800" t="n">
        <v>0</v>
      </c>
      <c r="I800" t="n">
        <v>0</v>
      </c>
      <c r="J800" t="n">
        <v>0</v>
      </c>
      <c r="K800" t="n">
        <v>0</v>
      </c>
      <c r="L800" t="n">
        <v>0</v>
      </c>
      <c r="M800" t="n">
        <v>0</v>
      </c>
      <c r="N800" t="n">
        <v>0</v>
      </c>
      <c r="O800" t="n">
        <v>0</v>
      </c>
      <c r="P800" t="n">
        <v>0</v>
      </c>
      <c r="Q800" t="n">
        <v>0</v>
      </c>
      <c r="R800" s="2" t="inlineStr"/>
    </row>
    <row r="801" ht="15" customHeight="1">
      <c r="A801" t="inlineStr">
        <is>
          <t>A 48088-2023</t>
        </is>
      </c>
      <c r="B801" s="1" t="n">
        <v>45204.94657407407</v>
      </c>
      <c r="C801" s="1" t="n">
        <v>46075</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52438-2024</t>
        </is>
      </c>
      <c r="B802" s="1" t="n">
        <v>45609.48300925926</v>
      </c>
      <c r="C802" s="1" t="n">
        <v>46075</v>
      </c>
      <c r="D802" t="inlineStr">
        <is>
          <t>VÄSTERNORRLANDS LÄN</t>
        </is>
      </c>
      <c r="E802" t="inlineStr">
        <is>
          <t>SOLLEFTEÅ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40115-2023</t>
        </is>
      </c>
      <c r="B803" s="1" t="n">
        <v>45168.93859953704</v>
      </c>
      <c r="C803" s="1" t="n">
        <v>46075</v>
      </c>
      <c r="D803" t="inlineStr">
        <is>
          <t>VÄSTERNORRLANDS LÄN</t>
        </is>
      </c>
      <c r="E803" t="inlineStr">
        <is>
          <t>SOLLEFTEÅ</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12730-2023</t>
        </is>
      </c>
      <c r="B804" s="1" t="n">
        <v>45000.92381944445</v>
      </c>
      <c r="C804" s="1" t="n">
        <v>46075</v>
      </c>
      <c r="D804" t="inlineStr">
        <is>
          <t>VÄSTERNORRLANDS LÄN</t>
        </is>
      </c>
      <c r="E804" t="inlineStr">
        <is>
          <t>SOLLEFTEÅ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12733-2023</t>
        </is>
      </c>
      <c r="B805" s="1" t="n">
        <v>45000</v>
      </c>
      <c r="C805" s="1" t="n">
        <v>46075</v>
      </c>
      <c r="D805" t="inlineStr">
        <is>
          <t>VÄSTERNORRLANDS LÄN</t>
        </is>
      </c>
      <c r="E805" t="inlineStr">
        <is>
          <t>SOLLEFTEÅ</t>
        </is>
      </c>
      <c r="G805" t="n">
        <v>0.8</v>
      </c>
      <c r="H805" t="n">
        <v>0</v>
      </c>
      <c r="I805" t="n">
        <v>0</v>
      </c>
      <c r="J805" t="n">
        <v>0</v>
      </c>
      <c r="K805" t="n">
        <v>0</v>
      </c>
      <c r="L805" t="n">
        <v>0</v>
      </c>
      <c r="M805" t="n">
        <v>0</v>
      </c>
      <c r="N805" t="n">
        <v>0</v>
      </c>
      <c r="O805" t="n">
        <v>0</v>
      </c>
      <c r="P805" t="n">
        <v>0</v>
      </c>
      <c r="Q805" t="n">
        <v>0</v>
      </c>
      <c r="R805" s="2" t="inlineStr"/>
    </row>
    <row r="806" ht="15" customHeight="1">
      <c r="A806" t="inlineStr">
        <is>
          <t>A 4895-2025</t>
        </is>
      </c>
      <c r="B806" s="1" t="n">
        <v>45688.67891203704</v>
      </c>
      <c r="C806" s="1" t="n">
        <v>46075</v>
      </c>
      <c r="D806" t="inlineStr">
        <is>
          <t>VÄSTERNORRLANDS LÄN</t>
        </is>
      </c>
      <c r="E806" t="inlineStr">
        <is>
          <t>SOLLEFTEÅ</t>
        </is>
      </c>
      <c r="F806" t="inlineStr">
        <is>
          <t>SCA</t>
        </is>
      </c>
      <c r="G806" t="n">
        <v>0.3</v>
      </c>
      <c r="H806" t="n">
        <v>0</v>
      </c>
      <c r="I806" t="n">
        <v>0</v>
      </c>
      <c r="J806" t="n">
        <v>0</v>
      </c>
      <c r="K806" t="n">
        <v>0</v>
      </c>
      <c r="L806" t="n">
        <v>0</v>
      </c>
      <c r="M806" t="n">
        <v>0</v>
      </c>
      <c r="N806" t="n">
        <v>0</v>
      </c>
      <c r="O806" t="n">
        <v>0</v>
      </c>
      <c r="P806" t="n">
        <v>0</v>
      </c>
      <c r="Q806" t="n">
        <v>0</v>
      </c>
      <c r="R806" s="2" t="inlineStr"/>
    </row>
    <row r="807" ht="15" customHeight="1">
      <c r="A807" t="inlineStr">
        <is>
          <t>A 12022-2022</t>
        </is>
      </c>
      <c r="B807" s="1" t="n">
        <v>44635.94396990741</v>
      </c>
      <c r="C807" s="1" t="n">
        <v>46075</v>
      </c>
      <c r="D807" t="inlineStr">
        <is>
          <t>VÄSTERNORRLANDS LÄN</t>
        </is>
      </c>
      <c r="E807" t="inlineStr">
        <is>
          <t>SOLLEFTEÅ</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4909-2025</t>
        </is>
      </c>
      <c r="B808" s="1" t="n">
        <v>45688</v>
      </c>
      <c r="C808" s="1" t="n">
        <v>46075</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25079-2023</t>
        </is>
      </c>
      <c r="B809" s="1" t="n">
        <v>45086</v>
      </c>
      <c r="C809" s="1" t="n">
        <v>46075</v>
      </c>
      <c r="D809" t="inlineStr">
        <is>
          <t>VÄSTERNORRLANDS LÄN</t>
        </is>
      </c>
      <c r="E809" t="inlineStr">
        <is>
          <t>SOLLEFTEÅ</t>
        </is>
      </c>
      <c r="F809" t="inlineStr">
        <is>
          <t>Kommuner</t>
        </is>
      </c>
      <c r="G809" t="n">
        <v>0.9</v>
      </c>
      <c r="H809" t="n">
        <v>0</v>
      </c>
      <c r="I809" t="n">
        <v>0</v>
      </c>
      <c r="J809" t="n">
        <v>0</v>
      </c>
      <c r="K809" t="n">
        <v>0</v>
      </c>
      <c r="L809" t="n">
        <v>0</v>
      </c>
      <c r="M809" t="n">
        <v>0</v>
      </c>
      <c r="N809" t="n">
        <v>0</v>
      </c>
      <c r="O809" t="n">
        <v>0</v>
      </c>
      <c r="P809" t="n">
        <v>0</v>
      </c>
      <c r="Q809" t="n">
        <v>0</v>
      </c>
      <c r="R809" s="2" t="inlineStr"/>
    </row>
    <row r="810" ht="15" customHeight="1">
      <c r="A810" t="inlineStr">
        <is>
          <t>A 37381-2023</t>
        </is>
      </c>
      <c r="B810" s="1" t="n">
        <v>45155</v>
      </c>
      <c r="C810" s="1" t="n">
        <v>46075</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34316-2024</t>
        </is>
      </c>
      <c r="B811" s="1" t="n">
        <v>45524</v>
      </c>
      <c r="C811" s="1" t="n">
        <v>46075</v>
      </c>
      <c r="D811" t="inlineStr">
        <is>
          <t>VÄSTERNORRLANDS LÄN</t>
        </is>
      </c>
      <c r="E811" t="inlineStr">
        <is>
          <t>SOLLEFTEÅ</t>
        </is>
      </c>
      <c r="F811" t="inlineStr">
        <is>
          <t>Övriga statliga verk och myndigheter</t>
        </is>
      </c>
      <c r="G811" t="n">
        <v>0.5</v>
      </c>
      <c r="H811" t="n">
        <v>0</v>
      </c>
      <c r="I811" t="n">
        <v>0</v>
      </c>
      <c r="J811" t="n">
        <v>0</v>
      </c>
      <c r="K811" t="n">
        <v>0</v>
      </c>
      <c r="L811" t="n">
        <v>0</v>
      </c>
      <c r="M811" t="n">
        <v>0</v>
      </c>
      <c r="N811" t="n">
        <v>0</v>
      </c>
      <c r="O811" t="n">
        <v>0</v>
      </c>
      <c r="P811" t="n">
        <v>0</v>
      </c>
      <c r="Q811" t="n">
        <v>0</v>
      </c>
      <c r="R811" s="2" t="inlineStr"/>
    </row>
    <row r="812" ht="15" customHeight="1">
      <c r="A812" t="inlineStr">
        <is>
          <t>A 49417-2023</t>
        </is>
      </c>
      <c r="B812" s="1" t="n">
        <v>45205</v>
      </c>
      <c r="C812" s="1" t="n">
        <v>46075</v>
      </c>
      <c r="D812" t="inlineStr">
        <is>
          <t>VÄSTERNORRLANDS LÄN</t>
        </is>
      </c>
      <c r="E812" t="inlineStr">
        <is>
          <t>SOLLEFTEÅ</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14718-2023</t>
        </is>
      </c>
      <c r="B813" s="1" t="n">
        <v>45012</v>
      </c>
      <c r="C813" s="1" t="n">
        <v>46075</v>
      </c>
      <c r="D813" t="inlineStr">
        <is>
          <t>VÄSTERNORRLANDS LÄN</t>
        </is>
      </c>
      <c r="E813" t="inlineStr">
        <is>
          <t>SOLLEFTEÅ</t>
        </is>
      </c>
      <c r="G813" t="n">
        <v>6</v>
      </c>
      <c r="H813" t="n">
        <v>0</v>
      </c>
      <c r="I813" t="n">
        <v>0</v>
      </c>
      <c r="J813" t="n">
        <v>0</v>
      </c>
      <c r="K813" t="n">
        <v>0</v>
      </c>
      <c r="L813" t="n">
        <v>0</v>
      </c>
      <c r="M813" t="n">
        <v>0</v>
      </c>
      <c r="N813" t="n">
        <v>0</v>
      </c>
      <c r="O813" t="n">
        <v>0</v>
      </c>
      <c r="P813" t="n">
        <v>0</v>
      </c>
      <c r="Q813" t="n">
        <v>0</v>
      </c>
      <c r="R813" s="2" t="inlineStr"/>
    </row>
    <row r="814" ht="15" customHeight="1">
      <c r="A814" t="inlineStr">
        <is>
          <t>A 56261-2023</t>
        </is>
      </c>
      <c r="B814" s="1" t="n">
        <v>45240</v>
      </c>
      <c r="C814" s="1" t="n">
        <v>46075</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32733-2023</t>
        </is>
      </c>
      <c r="B815" s="1" t="n">
        <v>45121</v>
      </c>
      <c r="C815" s="1" t="n">
        <v>46075</v>
      </c>
      <c r="D815" t="inlineStr">
        <is>
          <t>VÄSTERNORRLANDS LÄN</t>
        </is>
      </c>
      <c r="E815" t="inlineStr">
        <is>
          <t>SOLLEFTEÅ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30464-2024</t>
        </is>
      </c>
      <c r="B816" s="1" t="n">
        <v>45491.94599537037</v>
      </c>
      <c r="C816" s="1" t="n">
        <v>46075</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30466-2024</t>
        </is>
      </c>
      <c r="B817" s="1" t="n">
        <v>45491.94641203704</v>
      </c>
      <c r="C817" s="1" t="n">
        <v>46075</v>
      </c>
      <c r="D817" t="inlineStr">
        <is>
          <t>VÄSTERNORRLANDS LÄN</t>
        </is>
      </c>
      <c r="E817" t="inlineStr">
        <is>
          <t>SOLLEFTEÅ</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7332-2023</t>
        </is>
      </c>
      <c r="B818" s="1" t="n">
        <v>44970</v>
      </c>
      <c r="C818" s="1" t="n">
        <v>46075</v>
      </c>
      <c r="D818" t="inlineStr">
        <is>
          <t>VÄSTERNORRLANDS LÄN</t>
        </is>
      </c>
      <c r="E818" t="inlineStr">
        <is>
          <t>SOLLEFTEÅ</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53379-2023</t>
        </is>
      </c>
      <c r="B819" s="1" t="n">
        <v>45222</v>
      </c>
      <c r="C819" s="1" t="n">
        <v>46075</v>
      </c>
      <c r="D819" t="inlineStr">
        <is>
          <t>VÄSTERNORRLANDS LÄN</t>
        </is>
      </c>
      <c r="E819" t="inlineStr">
        <is>
          <t>SOLLEFTEÅ</t>
        </is>
      </c>
      <c r="G819" t="n">
        <v>3.2</v>
      </c>
      <c r="H819" t="n">
        <v>0</v>
      </c>
      <c r="I819" t="n">
        <v>0</v>
      </c>
      <c r="J819" t="n">
        <v>0</v>
      </c>
      <c r="K819" t="n">
        <v>0</v>
      </c>
      <c r="L819" t="n">
        <v>0</v>
      </c>
      <c r="M819" t="n">
        <v>0</v>
      </c>
      <c r="N819" t="n">
        <v>0</v>
      </c>
      <c r="O819" t="n">
        <v>0</v>
      </c>
      <c r="P819" t="n">
        <v>0</v>
      </c>
      <c r="Q819" t="n">
        <v>0</v>
      </c>
      <c r="R819" s="2" t="inlineStr"/>
    </row>
    <row r="820" ht="15" customHeight="1">
      <c r="A820" t="inlineStr">
        <is>
          <t>A 21364-2024</t>
        </is>
      </c>
      <c r="B820" s="1" t="n">
        <v>45440.95248842592</v>
      </c>
      <c r="C820" s="1" t="n">
        <v>46075</v>
      </c>
      <c r="D820" t="inlineStr">
        <is>
          <t>VÄSTERNORRLANDS LÄN</t>
        </is>
      </c>
      <c r="E820" t="inlineStr">
        <is>
          <t>SOLLEFTEÅ</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48489-2024</t>
        </is>
      </c>
      <c r="B821" s="1" t="n">
        <v>45592</v>
      </c>
      <c r="C821" s="1" t="n">
        <v>46075</v>
      </c>
      <c r="D821" t="inlineStr">
        <is>
          <t>VÄSTERNORRLANDS LÄN</t>
        </is>
      </c>
      <c r="E821" t="inlineStr">
        <is>
          <t>SOLLEFTEÅ</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10725-2025</t>
        </is>
      </c>
      <c r="B822" s="1" t="n">
        <v>45722</v>
      </c>
      <c r="C822" s="1" t="n">
        <v>46075</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61790-2024</t>
        </is>
      </c>
      <c r="B823" s="1" t="n">
        <v>45649</v>
      </c>
      <c r="C823" s="1" t="n">
        <v>46075</v>
      </c>
      <c r="D823" t="inlineStr">
        <is>
          <t>VÄSTERNORRLANDS LÄN</t>
        </is>
      </c>
      <c r="E823" t="inlineStr">
        <is>
          <t>SOLLEFTEÅ</t>
        </is>
      </c>
      <c r="F823" t="inlineStr">
        <is>
          <t>Övriga statliga verk och myndigheter</t>
        </is>
      </c>
      <c r="G823" t="n">
        <v>3.5</v>
      </c>
      <c r="H823" t="n">
        <v>0</v>
      </c>
      <c r="I823" t="n">
        <v>0</v>
      </c>
      <c r="J823" t="n">
        <v>0</v>
      </c>
      <c r="K823" t="n">
        <v>0</v>
      </c>
      <c r="L823" t="n">
        <v>0</v>
      </c>
      <c r="M823" t="n">
        <v>0</v>
      </c>
      <c r="N823" t="n">
        <v>0</v>
      </c>
      <c r="O823" t="n">
        <v>0</v>
      </c>
      <c r="P823" t="n">
        <v>0</v>
      </c>
      <c r="Q823" t="n">
        <v>0</v>
      </c>
      <c r="R823" s="2" t="inlineStr"/>
    </row>
    <row r="824" ht="15" customHeight="1">
      <c r="A824" t="inlineStr">
        <is>
          <t>A 31562-2024</t>
        </is>
      </c>
      <c r="B824" s="1" t="n">
        <v>45505</v>
      </c>
      <c r="C824" s="1" t="n">
        <v>46075</v>
      </c>
      <c r="D824" t="inlineStr">
        <is>
          <t>VÄSTERNORRLANDS LÄN</t>
        </is>
      </c>
      <c r="E824" t="inlineStr">
        <is>
          <t>SOLLEFTEÅ</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59579-2023</t>
        </is>
      </c>
      <c r="B825" s="1" t="n">
        <v>45253</v>
      </c>
      <c r="C825" s="1" t="n">
        <v>46075</v>
      </c>
      <c r="D825" t="inlineStr">
        <is>
          <t>VÄSTERNORRLANDS LÄN</t>
        </is>
      </c>
      <c r="E825" t="inlineStr">
        <is>
          <t>SOLLEFTEÅ</t>
        </is>
      </c>
      <c r="G825" t="n">
        <v>6.2</v>
      </c>
      <c r="H825" t="n">
        <v>0</v>
      </c>
      <c r="I825" t="n">
        <v>0</v>
      </c>
      <c r="J825" t="n">
        <v>0</v>
      </c>
      <c r="K825" t="n">
        <v>0</v>
      </c>
      <c r="L825" t="n">
        <v>0</v>
      </c>
      <c r="M825" t="n">
        <v>0</v>
      </c>
      <c r="N825" t="n">
        <v>0</v>
      </c>
      <c r="O825" t="n">
        <v>0</v>
      </c>
      <c r="P825" t="n">
        <v>0</v>
      </c>
      <c r="Q825" t="n">
        <v>0</v>
      </c>
      <c r="R825" s="2" t="inlineStr"/>
    </row>
    <row r="826" ht="15" customHeight="1">
      <c r="A826" t="inlineStr">
        <is>
          <t>A 9950-2025</t>
        </is>
      </c>
      <c r="B826" s="1" t="n">
        <v>45719.34416666667</v>
      </c>
      <c r="C826" s="1" t="n">
        <v>46075</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27593-2022</t>
        </is>
      </c>
      <c r="B827" s="1" t="n">
        <v>44742</v>
      </c>
      <c r="C827" s="1" t="n">
        <v>46075</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47471-2024</t>
        </is>
      </c>
      <c r="B828" s="1" t="n">
        <v>45587.57324074074</v>
      </c>
      <c r="C828" s="1" t="n">
        <v>46075</v>
      </c>
      <c r="D828" t="inlineStr">
        <is>
          <t>VÄSTERNORRLANDS LÄN</t>
        </is>
      </c>
      <c r="E828" t="inlineStr">
        <is>
          <t>SOLLEFTEÅ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60328-2023</t>
        </is>
      </c>
      <c r="B829" s="1" t="n">
        <v>45258</v>
      </c>
      <c r="C829" s="1" t="n">
        <v>46075</v>
      </c>
      <c r="D829" t="inlineStr">
        <is>
          <t>VÄSTERNORRLANDS LÄN</t>
        </is>
      </c>
      <c r="E829" t="inlineStr">
        <is>
          <t>SOLLEFTEÅ</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32735-2023</t>
        </is>
      </c>
      <c r="B830" s="1" t="n">
        <v>45121</v>
      </c>
      <c r="C830" s="1" t="n">
        <v>46075</v>
      </c>
      <c r="D830" t="inlineStr">
        <is>
          <t>VÄSTERNORRLANDS LÄN</t>
        </is>
      </c>
      <c r="E830" t="inlineStr">
        <is>
          <t>SOLLEFTEÅ</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57107-2024</t>
        </is>
      </c>
      <c r="B831" s="1" t="n">
        <v>45629</v>
      </c>
      <c r="C831" s="1" t="n">
        <v>46075</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11039-2023</t>
        </is>
      </c>
      <c r="B832" s="1" t="n">
        <v>44991.94622685185</v>
      </c>
      <c r="C832" s="1" t="n">
        <v>46075</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61089-2024</t>
        </is>
      </c>
      <c r="B833" s="1" t="n">
        <v>45644</v>
      </c>
      <c r="C833" s="1" t="n">
        <v>46075</v>
      </c>
      <c r="D833" t="inlineStr">
        <is>
          <t>VÄSTERNORRLANDS LÄN</t>
        </is>
      </c>
      <c r="E833" t="inlineStr">
        <is>
          <t>SOLLEFTEÅ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52709-2024</t>
        </is>
      </c>
      <c r="B834" s="1" t="n">
        <v>45610.42753472222</v>
      </c>
      <c r="C834" s="1" t="n">
        <v>46075</v>
      </c>
      <c r="D834" t="inlineStr">
        <is>
          <t>VÄSTERNORRLANDS LÄN</t>
        </is>
      </c>
      <c r="E834" t="inlineStr">
        <is>
          <t>SOLLEFTEÅ</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15154-2024</t>
        </is>
      </c>
      <c r="B835" s="1" t="n">
        <v>45399.94466435185</v>
      </c>
      <c r="C835" s="1" t="n">
        <v>46075</v>
      </c>
      <c r="D835" t="inlineStr">
        <is>
          <t>VÄSTERNORRLANDS LÄN</t>
        </is>
      </c>
      <c r="E835" t="inlineStr">
        <is>
          <t>SOLLEFTEÅ</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44533-2023</t>
        </is>
      </c>
      <c r="B836" s="1" t="n">
        <v>45183</v>
      </c>
      <c r="C836" s="1" t="n">
        <v>46075</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25847-2024</t>
        </is>
      </c>
      <c r="B837" s="1" t="n">
        <v>45467</v>
      </c>
      <c r="C837" s="1" t="n">
        <v>46075</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25851-2024</t>
        </is>
      </c>
      <c r="B838" s="1" t="n">
        <v>45467.44688657407</v>
      </c>
      <c r="C838" s="1" t="n">
        <v>46075</v>
      </c>
      <c r="D838" t="inlineStr">
        <is>
          <t>VÄSTERNORRLANDS LÄN</t>
        </is>
      </c>
      <c r="E838" t="inlineStr">
        <is>
          <t>SOLLEFTEÅ</t>
        </is>
      </c>
      <c r="G838" t="n">
        <v>1.1</v>
      </c>
      <c r="H838" t="n">
        <v>0</v>
      </c>
      <c r="I838" t="n">
        <v>0</v>
      </c>
      <c r="J838" t="n">
        <v>0</v>
      </c>
      <c r="K838" t="n">
        <v>0</v>
      </c>
      <c r="L838" t="n">
        <v>0</v>
      </c>
      <c r="M838" t="n">
        <v>0</v>
      </c>
      <c r="N838" t="n">
        <v>0</v>
      </c>
      <c r="O838" t="n">
        <v>0</v>
      </c>
      <c r="P838" t="n">
        <v>0</v>
      </c>
      <c r="Q838" t="n">
        <v>0</v>
      </c>
      <c r="R838" s="2" t="inlineStr"/>
    </row>
    <row r="839" ht="15" customHeight="1">
      <c r="A839" t="inlineStr">
        <is>
          <t>A 6284-2025</t>
        </is>
      </c>
      <c r="B839" s="1" t="n">
        <v>45698.63611111111</v>
      </c>
      <c r="C839" s="1" t="n">
        <v>46075</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8033-2024</t>
        </is>
      </c>
      <c r="B840" s="1" t="n">
        <v>45350.95284722222</v>
      </c>
      <c r="C840" s="1" t="n">
        <v>46075</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10256-2023</t>
        </is>
      </c>
      <c r="B841" s="1" t="n">
        <v>44980</v>
      </c>
      <c r="C841" s="1" t="n">
        <v>46075</v>
      </c>
      <c r="D841" t="inlineStr">
        <is>
          <t>VÄSTERNORRLANDS LÄN</t>
        </is>
      </c>
      <c r="E841" t="inlineStr">
        <is>
          <t>SOLLEFTEÅ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9966-2025</t>
        </is>
      </c>
      <c r="B842" s="1" t="n">
        <v>45719</v>
      </c>
      <c r="C842" s="1" t="n">
        <v>46075</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20204-2025</t>
        </is>
      </c>
      <c r="B843" s="1" t="n">
        <v>45772.61537037037</v>
      </c>
      <c r="C843" s="1" t="n">
        <v>46075</v>
      </c>
      <c r="D843" t="inlineStr">
        <is>
          <t>VÄSTERNORRLANDS LÄN</t>
        </is>
      </c>
      <c r="E843" t="inlineStr">
        <is>
          <t>SOLLEFTEÅ</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35795-2024</t>
        </is>
      </c>
      <c r="B844" s="1" t="n">
        <v>45532</v>
      </c>
      <c r="C844" s="1" t="n">
        <v>46075</v>
      </c>
      <c r="D844" t="inlineStr">
        <is>
          <t>VÄSTERNORRLANDS LÄN</t>
        </is>
      </c>
      <c r="E844" t="inlineStr">
        <is>
          <t>SOLLEFTEÅ</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35803-2024</t>
        </is>
      </c>
      <c r="B845" s="1" t="n">
        <v>45532.64506944444</v>
      </c>
      <c r="C845" s="1" t="n">
        <v>46075</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7184-2025</t>
        </is>
      </c>
      <c r="B846" s="1" t="n">
        <v>45702</v>
      </c>
      <c r="C846" s="1" t="n">
        <v>46075</v>
      </c>
      <c r="D846" t="inlineStr">
        <is>
          <t>VÄSTERNORRLANDS LÄN</t>
        </is>
      </c>
      <c r="E846" t="inlineStr">
        <is>
          <t>SOLLEFTEÅ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24461-2024</t>
        </is>
      </c>
      <c r="B847" s="1" t="n">
        <v>45457.96806712963</v>
      </c>
      <c r="C847" s="1" t="n">
        <v>46075</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39449-2024</t>
        </is>
      </c>
      <c r="B848" s="1" t="n">
        <v>45551.61609953704</v>
      </c>
      <c r="C848" s="1" t="n">
        <v>46075</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6172-2022</t>
        </is>
      </c>
      <c r="B849" s="1" t="n">
        <v>44599.93700231481</v>
      </c>
      <c r="C849" s="1" t="n">
        <v>46075</v>
      </c>
      <c r="D849" t="inlineStr">
        <is>
          <t>VÄSTERNORRLANDS LÄN</t>
        </is>
      </c>
      <c r="E849" t="inlineStr">
        <is>
          <t>SOLLEFTEÅ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19433-2021</t>
        </is>
      </c>
      <c r="B850" s="1" t="n">
        <v>44309.94400462963</v>
      </c>
      <c r="C850" s="1" t="n">
        <v>46075</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27789-2024</t>
        </is>
      </c>
      <c r="B851" s="1" t="n">
        <v>45475</v>
      </c>
      <c r="C851" s="1" t="n">
        <v>46075</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66178-2021</t>
        </is>
      </c>
      <c r="B852" s="1" t="n">
        <v>44517</v>
      </c>
      <c r="C852" s="1" t="n">
        <v>46075</v>
      </c>
      <c r="D852" t="inlineStr">
        <is>
          <t>VÄSTERNORRLANDS LÄN</t>
        </is>
      </c>
      <c r="E852" t="inlineStr">
        <is>
          <t>SOLLEFTEÅ</t>
        </is>
      </c>
      <c r="F852" t="inlineStr">
        <is>
          <t>SCA</t>
        </is>
      </c>
      <c r="G852" t="n">
        <v>31.7</v>
      </c>
      <c r="H852" t="n">
        <v>0</v>
      </c>
      <c r="I852" t="n">
        <v>0</v>
      </c>
      <c r="J852" t="n">
        <v>0</v>
      </c>
      <c r="K852" t="n">
        <v>0</v>
      </c>
      <c r="L852" t="n">
        <v>0</v>
      </c>
      <c r="M852" t="n">
        <v>0</v>
      </c>
      <c r="N852" t="n">
        <v>0</v>
      </c>
      <c r="O852" t="n">
        <v>0</v>
      </c>
      <c r="P852" t="n">
        <v>0</v>
      </c>
      <c r="Q852" t="n">
        <v>0</v>
      </c>
      <c r="R852" s="2" t="inlineStr"/>
    </row>
    <row r="853" ht="15" customHeight="1">
      <c r="A853" t="inlineStr">
        <is>
          <t>A 7014-2025</t>
        </is>
      </c>
      <c r="B853" s="1" t="n">
        <v>45701.61085648148</v>
      </c>
      <c r="C853" s="1" t="n">
        <v>46075</v>
      </c>
      <c r="D853" t="inlineStr">
        <is>
          <t>VÄSTERNORRLANDS LÄN</t>
        </is>
      </c>
      <c r="E853" t="inlineStr">
        <is>
          <t>SOLLEFTEÅ</t>
        </is>
      </c>
      <c r="G853" t="n">
        <v>9.6</v>
      </c>
      <c r="H853" t="n">
        <v>0</v>
      </c>
      <c r="I853" t="n">
        <v>0</v>
      </c>
      <c r="J853" t="n">
        <v>0</v>
      </c>
      <c r="K853" t="n">
        <v>0</v>
      </c>
      <c r="L853" t="n">
        <v>0</v>
      </c>
      <c r="M853" t="n">
        <v>0</v>
      </c>
      <c r="N853" t="n">
        <v>0</v>
      </c>
      <c r="O853" t="n">
        <v>0</v>
      </c>
      <c r="P853" t="n">
        <v>0</v>
      </c>
      <c r="Q853" t="n">
        <v>0</v>
      </c>
      <c r="R853" s="2" t="inlineStr"/>
    </row>
    <row r="854" ht="15" customHeight="1">
      <c r="A854" t="inlineStr">
        <is>
          <t>A 41413-2024</t>
        </is>
      </c>
      <c r="B854" s="1" t="n">
        <v>45560.345</v>
      </c>
      <c r="C854" s="1" t="n">
        <v>46075</v>
      </c>
      <c r="D854" t="inlineStr">
        <is>
          <t>VÄSTERNORRLANDS LÄN</t>
        </is>
      </c>
      <c r="E854" t="inlineStr">
        <is>
          <t>SOLLEFTEÅ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51505-2024</t>
        </is>
      </c>
      <c r="B855" s="1" t="n">
        <v>45604</v>
      </c>
      <c r="C855" s="1" t="n">
        <v>46075</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54575-2024</t>
        </is>
      </c>
      <c r="B856" s="1" t="n">
        <v>45617.65232638889</v>
      </c>
      <c r="C856" s="1" t="n">
        <v>46075</v>
      </c>
      <c r="D856" t="inlineStr">
        <is>
          <t>VÄSTERNORRLANDS LÄN</t>
        </is>
      </c>
      <c r="E856" t="inlineStr">
        <is>
          <t>SOLLEFTEÅ</t>
        </is>
      </c>
      <c r="F856" t="inlineStr">
        <is>
          <t>Holmen skog AB</t>
        </is>
      </c>
      <c r="G856" t="n">
        <v>1.7</v>
      </c>
      <c r="H856" t="n">
        <v>0</v>
      </c>
      <c r="I856" t="n">
        <v>0</v>
      </c>
      <c r="J856" t="n">
        <v>0</v>
      </c>
      <c r="K856" t="n">
        <v>0</v>
      </c>
      <c r="L856" t="n">
        <v>0</v>
      </c>
      <c r="M856" t="n">
        <v>0</v>
      </c>
      <c r="N856" t="n">
        <v>0</v>
      </c>
      <c r="O856" t="n">
        <v>0</v>
      </c>
      <c r="P856" t="n">
        <v>0</v>
      </c>
      <c r="Q856" t="n">
        <v>0</v>
      </c>
      <c r="R856" s="2" t="inlineStr"/>
      <c r="U856">
        <f>HYPERLINK("https://klasma.github.io/Logging_2283/knärot/A 54575-2024 karta knärot.png", "A 54575-2024")</f>
        <v/>
      </c>
      <c r="V856">
        <f>HYPERLINK("https://klasma.github.io/Logging_2283/klagomål/A 54575-2024 FSC-klagomål.docx", "A 54575-2024")</f>
        <v/>
      </c>
      <c r="W856">
        <f>HYPERLINK("https://klasma.github.io/Logging_2283/klagomålsmail/A 54575-2024 FSC-klagomål mail.docx", "A 54575-2024")</f>
        <v/>
      </c>
      <c r="X856">
        <f>HYPERLINK("https://klasma.github.io/Logging_2283/tillsyn/A 54575-2024 tillsynsbegäran.docx", "A 54575-2024")</f>
        <v/>
      </c>
      <c r="Y856">
        <f>HYPERLINK("https://klasma.github.io/Logging_2283/tillsynsmail/A 54575-2024 tillsynsbegäran mail.docx", "A 54575-2024")</f>
        <v/>
      </c>
    </row>
    <row r="857" ht="15" customHeight="1">
      <c r="A857" t="inlineStr">
        <is>
          <t>A 61201-2024</t>
        </is>
      </c>
      <c r="B857" s="1" t="n">
        <v>45645.6360300926</v>
      </c>
      <c r="C857" s="1" t="n">
        <v>46075</v>
      </c>
      <c r="D857" t="inlineStr">
        <is>
          <t>VÄSTERNORRLANDS LÄN</t>
        </is>
      </c>
      <c r="E857" t="inlineStr">
        <is>
          <t>SOLLEFTEÅ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47955-2024</t>
        </is>
      </c>
      <c r="B858" s="1" t="n">
        <v>45589.3703125</v>
      </c>
      <c r="C858" s="1" t="n">
        <v>46075</v>
      </c>
      <c r="D858" t="inlineStr">
        <is>
          <t>VÄSTERNORRLANDS LÄN</t>
        </is>
      </c>
      <c r="E858" t="inlineStr">
        <is>
          <t>SOLLEFTEÅ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28579-2025</t>
        </is>
      </c>
      <c r="B859" s="1" t="n">
        <v>45819.57334490741</v>
      </c>
      <c r="C859" s="1" t="n">
        <v>46075</v>
      </c>
      <c r="D859" t="inlineStr">
        <is>
          <t>VÄSTERNORRLANDS LÄN</t>
        </is>
      </c>
      <c r="E859" t="inlineStr">
        <is>
          <t>SOLLEFTEÅ</t>
        </is>
      </c>
      <c r="G859" t="n">
        <v>5.2</v>
      </c>
      <c r="H859" t="n">
        <v>0</v>
      </c>
      <c r="I859" t="n">
        <v>0</v>
      </c>
      <c r="J859" t="n">
        <v>0</v>
      </c>
      <c r="K859" t="n">
        <v>0</v>
      </c>
      <c r="L859" t="n">
        <v>0</v>
      </c>
      <c r="M859" t="n">
        <v>0</v>
      </c>
      <c r="N859" t="n">
        <v>0</v>
      </c>
      <c r="O859" t="n">
        <v>0</v>
      </c>
      <c r="P859" t="n">
        <v>0</v>
      </c>
      <c r="Q859" t="n">
        <v>0</v>
      </c>
      <c r="R859" s="2" t="inlineStr"/>
    </row>
    <row r="860" ht="15" customHeight="1">
      <c r="A860" t="inlineStr">
        <is>
          <t>A 22750-2023</t>
        </is>
      </c>
      <c r="B860" s="1" t="n">
        <v>45071.94090277778</v>
      </c>
      <c r="C860" s="1" t="n">
        <v>46075</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61384-2022</t>
        </is>
      </c>
      <c r="B861" s="1" t="n">
        <v>44915</v>
      </c>
      <c r="C861" s="1" t="n">
        <v>46075</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38562-2025</t>
        </is>
      </c>
      <c r="B862" s="1" t="n">
        <v>45884.44865740741</v>
      </c>
      <c r="C862" s="1" t="n">
        <v>46075</v>
      </c>
      <c r="D862" t="inlineStr">
        <is>
          <t>VÄSTERNORRLANDS LÄN</t>
        </is>
      </c>
      <c r="E862" t="inlineStr">
        <is>
          <t>SOLLEFTEÅ</t>
        </is>
      </c>
      <c r="G862" t="n">
        <v>7.1</v>
      </c>
      <c r="H862" t="n">
        <v>0</v>
      </c>
      <c r="I862" t="n">
        <v>0</v>
      </c>
      <c r="J862" t="n">
        <v>0</v>
      </c>
      <c r="K862" t="n">
        <v>0</v>
      </c>
      <c r="L862" t="n">
        <v>0</v>
      </c>
      <c r="M862" t="n">
        <v>0</v>
      </c>
      <c r="N862" t="n">
        <v>0</v>
      </c>
      <c r="O862" t="n">
        <v>0</v>
      </c>
      <c r="P862" t="n">
        <v>0</v>
      </c>
      <c r="Q862" t="n">
        <v>0</v>
      </c>
      <c r="R862" s="2" t="inlineStr"/>
    </row>
    <row r="863" ht="15" customHeight="1">
      <c r="A863" t="inlineStr">
        <is>
          <t>A 657-2025</t>
        </is>
      </c>
      <c r="B863" s="1" t="n">
        <v>45664.67766203704</v>
      </c>
      <c r="C863" s="1" t="n">
        <v>46075</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28686-2025</t>
        </is>
      </c>
      <c r="B864" s="1" t="n">
        <v>45819</v>
      </c>
      <c r="C864" s="1" t="n">
        <v>46075</v>
      </c>
      <c r="D864" t="inlineStr">
        <is>
          <t>VÄSTERNORRLANDS LÄN</t>
        </is>
      </c>
      <c r="E864" t="inlineStr">
        <is>
          <t>SOLLEFTEÅ</t>
        </is>
      </c>
      <c r="G864" t="n">
        <v>5.7</v>
      </c>
      <c r="H864" t="n">
        <v>0</v>
      </c>
      <c r="I864" t="n">
        <v>0</v>
      </c>
      <c r="J864" t="n">
        <v>0</v>
      </c>
      <c r="K864" t="n">
        <v>0</v>
      </c>
      <c r="L864" t="n">
        <v>0</v>
      </c>
      <c r="M864" t="n">
        <v>0</v>
      </c>
      <c r="N864" t="n">
        <v>0</v>
      </c>
      <c r="O864" t="n">
        <v>0</v>
      </c>
      <c r="P864" t="n">
        <v>0</v>
      </c>
      <c r="Q864" t="n">
        <v>0</v>
      </c>
      <c r="R864" s="2" t="inlineStr"/>
    </row>
    <row r="865" ht="15" customHeight="1">
      <c r="A865" t="inlineStr">
        <is>
          <t>A 14656-2025</t>
        </is>
      </c>
      <c r="B865" s="1" t="n">
        <v>45742.51074074074</v>
      </c>
      <c r="C865" s="1" t="n">
        <v>46075</v>
      </c>
      <c r="D865" t="inlineStr">
        <is>
          <t>VÄSTERNORRLANDS LÄN</t>
        </is>
      </c>
      <c r="E865" t="inlineStr">
        <is>
          <t>SOLLEFTEÅ</t>
        </is>
      </c>
      <c r="F865" t="inlineStr">
        <is>
          <t>SCA</t>
        </is>
      </c>
      <c r="G865" t="n">
        <v>7.1</v>
      </c>
      <c r="H865" t="n">
        <v>0</v>
      </c>
      <c r="I865" t="n">
        <v>0</v>
      </c>
      <c r="J865" t="n">
        <v>0</v>
      </c>
      <c r="K865" t="n">
        <v>0</v>
      </c>
      <c r="L865" t="n">
        <v>0</v>
      </c>
      <c r="M865" t="n">
        <v>0</v>
      </c>
      <c r="N865" t="n">
        <v>0</v>
      </c>
      <c r="O865" t="n">
        <v>0</v>
      </c>
      <c r="P865" t="n">
        <v>0</v>
      </c>
      <c r="Q865" t="n">
        <v>0</v>
      </c>
      <c r="R865" s="2" t="inlineStr"/>
    </row>
    <row r="866" ht="15" customHeight="1">
      <c r="A866" t="inlineStr">
        <is>
          <t>A 6896-2025</t>
        </is>
      </c>
      <c r="B866" s="1" t="n">
        <v>45701.38577546296</v>
      </c>
      <c r="C866" s="1" t="n">
        <v>46075</v>
      </c>
      <c r="D866" t="inlineStr">
        <is>
          <t>VÄSTERNORRLANDS LÄN</t>
        </is>
      </c>
      <c r="E866" t="inlineStr">
        <is>
          <t>SOLLEFTEÅ</t>
        </is>
      </c>
      <c r="F866" t="inlineStr">
        <is>
          <t>SCA</t>
        </is>
      </c>
      <c r="G866" t="n">
        <v>6.8</v>
      </c>
      <c r="H866" t="n">
        <v>0</v>
      </c>
      <c r="I866" t="n">
        <v>0</v>
      </c>
      <c r="J866" t="n">
        <v>0</v>
      </c>
      <c r="K866" t="n">
        <v>0</v>
      </c>
      <c r="L866" t="n">
        <v>0</v>
      </c>
      <c r="M866" t="n">
        <v>0</v>
      </c>
      <c r="N866" t="n">
        <v>0</v>
      </c>
      <c r="O866" t="n">
        <v>0</v>
      </c>
      <c r="P866" t="n">
        <v>0</v>
      </c>
      <c r="Q866" t="n">
        <v>0</v>
      </c>
      <c r="R866" s="2" t="inlineStr"/>
    </row>
    <row r="867" ht="15" customHeight="1">
      <c r="A867" t="inlineStr">
        <is>
          <t>A 3001-2022</t>
        </is>
      </c>
      <c r="B867" s="1" t="n">
        <v>44581</v>
      </c>
      <c r="C867" s="1" t="n">
        <v>46075</v>
      </c>
      <c r="D867" t="inlineStr">
        <is>
          <t>VÄSTERNORRLANDS LÄN</t>
        </is>
      </c>
      <c r="E867" t="inlineStr">
        <is>
          <t>SOLLEFTEÅ</t>
        </is>
      </c>
      <c r="G867" t="n">
        <v>4.2</v>
      </c>
      <c r="H867" t="n">
        <v>0</v>
      </c>
      <c r="I867" t="n">
        <v>0</v>
      </c>
      <c r="J867" t="n">
        <v>0</v>
      </c>
      <c r="K867" t="n">
        <v>0</v>
      </c>
      <c r="L867" t="n">
        <v>0</v>
      </c>
      <c r="M867" t="n">
        <v>0</v>
      </c>
      <c r="N867" t="n">
        <v>0</v>
      </c>
      <c r="O867" t="n">
        <v>0</v>
      </c>
      <c r="P867" t="n">
        <v>0</v>
      </c>
      <c r="Q867" t="n">
        <v>0</v>
      </c>
      <c r="R867" s="2" t="inlineStr"/>
    </row>
    <row r="868" ht="15" customHeight="1">
      <c r="A868" t="inlineStr">
        <is>
          <t>A 38958-2025</t>
        </is>
      </c>
      <c r="B868" s="1" t="n">
        <v>45887.67751157407</v>
      </c>
      <c r="C868" s="1" t="n">
        <v>46075</v>
      </c>
      <c r="D868" t="inlineStr">
        <is>
          <t>VÄSTERNORRLANDS LÄN</t>
        </is>
      </c>
      <c r="E868" t="inlineStr">
        <is>
          <t>SOLLEFTEÅ</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28672-2025</t>
        </is>
      </c>
      <c r="B869" s="1" t="n">
        <v>45819.6754050926</v>
      </c>
      <c r="C869" s="1" t="n">
        <v>46075</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600-2025</t>
        </is>
      </c>
      <c r="B870" s="1" t="n">
        <v>45664.59428240741</v>
      </c>
      <c r="C870" s="1" t="n">
        <v>46075</v>
      </c>
      <c r="D870" t="inlineStr">
        <is>
          <t>VÄSTERNORRLANDS LÄN</t>
        </is>
      </c>
      <c r="E870" t="inlineStr">
        <is>
          <t>SOLLEFTEÅ</t>
        </is>
      </c>
      <c r="F870" t="inlineStr">
        <is>
          <t>SCA</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21092-2024</t>
        </is>
      </c>
      <c r="B871" s="1" t="n">
        <v>45439.95009259259</v>
      </c>
      <c r="C871" s="1" t="n">
        <v>46075</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44661-2024</t>
        </is>
      </c>
      <c r="B872" s="1" t="n">
        <v>45574.53180555555</v>
      </c>
      <c r="C872" s="1" t="n">
        <v>46075</v>
      </c>
      <c r="D872" t="inlineStr">
        <is>
          <t>VÄSTERNORRLANDS LÄN</t>
        </is>
      </c>
      <c r="E872" t="inlineStr">
        <is>
          <t>SOLLEFTEÅ</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38560-2025</t>
        </is>
      </c>
      <c r="B873" s="1" t="n">
        <v>45884.44844907407</v>
      </c>
      <c r="C873" s="1" t="n">
        <v>46075</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38561-2025</t>
        </is>
      </c>
      <c r="B874" s="1" t="n">
        <v>45884.44849537037</v>
      </c>
      <c r="C874" s="1" t="n">
        <v>46075</v>
      </c>
      <c r="D874" t="inlineStr">
        <is>
          <t>VÄSTERNORRLANDS LÄN</t>
        </is>
      </c>
      <c r="E874" t="inlineStr">
        <is>
          <t>SOLLEFTEÅ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38931-2025</t>
        </is>
      </c>
      <c r="B875" s="1" t="n">
        <v>45887.63664351852</v>
      </c>
      <c r="C875" s="1" t="n">
        <v>46075</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1466-2025</t>
        </is>
      </c>
      <c r="B876" s="1" t="n">
        <v>45670</v>
      </c>
      <c r="C876" s="1" t="n">
        <v>46075</v>
      </c>
      <c r="D876" t="inlineStr">
        <is>
          <t>VÄSTERNORRLANDS LÄN</t>
        </is>
      </c>
      <c r="E876" t="inlineStr">
        <is>
          <t>SOLLEFTEÅ</t>
        </is>
      </c>
      <c r="G876" t="n">
        <v>5.2</v>
      </c>
      <c r="H876" t="n">
        <v>0</v>
      </c>
      <c r="I876" t="n">
        <v>0</v>
      </c>
      <c r="J876" t="n">
        <v>0</v>
      </c>
      <c r="K876" t="n">
        <v>0</v>
      </c>
      <c r="L876" t="n">
        <v>0</v>
      </c>
      <c r="M876" t="n">
        <v>0</v>
      </c>
      <c r="N876" t="n">
        <v>0</v>
      </c>
      <c r="O876" t="n">
        <v>0</v>
      </c>
      <c r="P876" t="n">
        <v>0</v>
      </c>
      <c r="Q876" t="n">
        <v>0</v>
      </c>
      <c r="R876" s="2" t="inlineStr"/>
    </row>
    <row r="877" ht="15" customHeight="1">
      <c r="A877" t="inlineStr">
        <is>
          <t>A 38492-2025</t>
        </is>
      </c>
      <c r="B877" s="1" t="n">
        <v>45884.36496527777</v>
      </c>
      <c r="C877" s="1" t="n">
        <v>46075</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28142-2025</t>
        </is>
      </c>
      <c r="B878" s="1" t="n">
        <v>45818.34538194445</v>
      </c>
      <c r="C878" s="1" t="n">
        <v>46075</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28195-2025</t>
        </is>
      </c>
      <c r="B879" s="1" t="n">
        <v>45818</v>
      </c>
      <c r="C879" s="1" t="n">
        <v>46075</v>
      </c>
      <c r="D879" t="inlineStr">
        <is>
          <t>VÄSTERNORRLANDS LÄN</t>
        </is>
      </c>
      <c r="E879" t="inlineStr">
        <is>
          <t>SOLLEFTEÅ</t>
        </is>
      </c>
      <c r="G879" t="n">
        <v>5.2</v>
      </c>
      <c r="H879" t="n">
        <v>0</v>
      </c>
      <c r="I879" t="n">
        <v>0</v>
      </c>
      <c r="J879" t="n">
        <v>0</v>
      </c>
      <c r="K879" t="n">
        <v>0</v>
      </c>
      <c r="L879" t="n">
        <v>0</v>
      </c>
      <c r="M879" t="n">
        <v>0</v>
      </c>
      <c r="N879" t="n">
        <v>0</v>
      </c>
      <c r="O879" t="n">
        <v>0</v>
      </c>
      <c r="P879" t="n">
        <v>0</v>
      </c>
      <c r="Q879" t="n">
        <v>0</v>
      </c>
      <c r="R879" s="2" t="inlineStr"/>
    </row>
    <row r="880" ht="15" customHeight="1">
      <c r="A880" t="inlineStr">
        <is>
          <t>A 19556-2024</t>
        </is>
      </c>
      <c r="B880" s="1" t="n">
        <v>45429</v>
      </c>
      <c r="C880" s="1" t="n">
        <v>46075</v>
      </c>
      <c r="D880" t="inlineStr">
        <is>
          <t>VÄSTERNORRLANDS LÄN</t>
        </is>
      </c>
      <c r="E880" t="inlineStr">
        <is>
          <t>SOLLEFTEÅ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29142-2025</t>
        </is>
      </c>
      <c r="B881" s="1" t="n">
        <v>45821.61518518518</v>
      </c>
      <c r="C881" s="1" t="n">
        <v>46075</v>
      </c>
      <c r="D881" t="inlineStr">
        <is>
          <t>VÄSTERNORRLANDS LÄN</t>
        </is>
      </c>
      <c r="E881" t="inlineStr">
        <is>
          <t>SOLLEFTEÅ</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28698-2025</t>
        </is>
      </c>
      <c r="B882" s="1" t="n">
        <v>45819.925625</v>
      </c>
      <c r="C882" s="1" t="n">
        <v>46075</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29103-2025</t>
        </is>
      </c>
      <c r="B883" s="1" t="n">
        <v>45821.57219907407</v>
      </c>
      <c r="C883" s="1" t="n">
        <v>46075</v>
      </c>
      <c r="D883" t="inlineStr">
        <is>
          <t>VÄSTERNORRLANDS LÄN</t>
        </is>
      </c>
      <c r="E883" t="inlineStr">
        <is>
          <t>SOLLEFTEÅ</t>
        </is>
      </c>
      <c r="G883" t="n">
        <v>9.1</v>
      </c>
      <c r="H883" t="n">
        <v>0</v>
      </c>
      <c r="I883" t="n">
        <v>0</v>
      </c>
      <c r="J883" t="n">
        <v>0</v>
      </c>
      <c r="K883" t="n">
        <v>0</v>
      </c>
      <c r="L883" t="n">
        <v>0</v>
      </c>
      <c r="M883" t="n">
        <v>0</v>
      </c>
      <c r="N883" t="n">
        <v>0</v>
      </c>
      <c r="O883" t="n">
        <v>0</v>
      </c>
      <c r="P883" t="n">
        <v>0</v>
      </c>
      <c r="Q883" t="n">
        <v>0</v>
      </c>
      <c r="R883" s="2" t="inlineStr"/>
    </row>
    <row r="884" ht="15" customHeight="1">
      <c r="A884" t="inlineStr">
        <is>
          <t>A 54330-2023</t>
        </is>
      </c>
      <c r="B884" s="1" t="n">
        <v>45232.95814814815</v>
      </c>
      <c r="C884" s="1" t="n">
        <v>46075</v>
      </c>
      <c r="D884" t="inlineStr">
        <is>
          <t>VÄSTERNORRLANDS LÄN</t>
        </is>
      </c>
      <c r="E884" t="inlineStr">
        <is>
          <t>SOLLEFTEÅ</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63529-2023</t>
        </is>
      </c>
      <c r="B885" s="1" t="n">
        <v>45274.94859953703</v>
      </c>
      <c r="C885" s="1" t="n">
        <v>46075</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28715-2025</t>
        </is>
      </c>
      <c r="B886" s="1" t="n">
        <v>45820</v>
      </c>
      <c r="C886" s="1" t="n">
        <v>46075</v>
      </c>
      <c r="D886" t="inlineStr">
        <is>
          <t>VÄSTERNORRLANDS LÄN</t>
        </is>
      </c>
      <c r="E886" t="inlineStr">
        <is>
          <t>SOLLEFTEÅ</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28719-2025</t>
        </is>
      </c>
      <c r="B887" s="1" t="n">
        <v>45820</v>
      </c>
      <c r="C887" s="1" t="n">
        <v>46075</v>
      </c>
      <c r="D887" t="inlineStr">
        <is>
          <t>VÄSTERNORRLANDS LÄN</t>
        </is>
      </c>
      <c r="E887" t="inlineStr">
        <is>
          <t>SOLLEFTEÅ</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28993-2025</t>
        </is>
      </c>
      <c r="B888" s="1" t="n">
        <v>45821.38574074074</v>
      </c>
      <c r="C888" s="1" t="n">
        <v>46075</v>
      </c>
      <c r="D888" t="inlineStr">
        <is>
          <t>VÄSTERNORRLANDS LÄN</t>
        </is>
      </c>
      <c r="E888" t="inlineStr">
        <is>
          <t>SOLLEFTEÅ</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28994-2025</t>
        </is>
      </c>
      <c r="B889" s="1" t="n">
        <v>45821.38587962963</v>
      </c>
      <c r="C889" s="1" t="n">
        <v>46075</v>
      </c>
      <c r="D889" t="inlineStr">
        <is>
          <t>VÄSTERNORRLANDS LÄN</t>
        </is>
      </c>
      <c r="E889" t="inlineStr">
        <is>
          <t>SOLLEFTEÅ</t>
        </is>
      </c>
      <c r="F889" t="inlineStr">
        <is>
          <t>SCA</t>
        </is>
      </c>
      <c r="G889" t="n">
        <v>10.8</v>
      </c>
      <c r="H889" t="n">
        <v>0</v>
      </c>
      <c r="I889" t="n">
        <v>0</v>
      </c>
      <c r="J889" t="n">
        <v>0</v>
      </c>
      <c r="K889" t="n">
        <v>0</v>
      </c>
      <c r="L889" t="n">
        <v>0</v>
      </c>
      <c r="M889" t="n">
        <v>0</v>
      </c>
      <c r="N889" t="n">
        <v>0</v>
      </c>
      <c r="O889" t="n">
        <v>0</v>
      </c>
      <c r="P889" t="n">
        <v>0</v>
      </c>
      <c r="Q889" t="n">
        <v>0</v>
      </c>
      <c r="R889" s="2" t="inlineStr"/>
    </row>
    <row r="890" ht="15" customHeight="1">
      <c r="A890" t="inlineStr">
        <is>
          <t>A 27943-2022</t>
        </is>
      </c>
      <c r="B890" s="1" t="n">
        <v>44743</v>
      </c>
      <c r="C890" s="1" t="n">
        <v>46075</v>
      </c>
      <c r="D890" t="inlineStr">
        <is>
          <t>VÄSTERNORRLANDS LÄN</t>
        </is>
      </c>
      <c r="E890" t="inlineStr">
        <is>
          <t>SOLLEFTEÅ</t>
        </is>
      </c>
      <c r="F890" t="inlineStr">
        <is>
          <t>SCA</t>
        </is>
      </c>
      <c r="G890" t="n">
        <v>10</v>
      </c>
      <c r="H890" t="n">
        <v>0</v>
      </c>
      <c r="I890" t="n">
        <v>0</v>
      </c>
      <c r="J890" t="n">
        <v>0</v>
      </c>
      <c r="K890" t="n">
        <v>0</v>
      </c>
      <c r="L890" t="n">
        <v>0</v>
      </c>
      <c r="M890" t="n">
        <v>0</v>
      </c>
      <c r="N890" t="n">
        <v>0</v>
      </c>
      <c r="O890" t="n">
        <v>0</v>
      </c>
      <c r="P890" t="n">
        <v>0</v>
      </c>
      <c r="Q890" t="n">
        <v>0</v>
      </c>
      <c r="R890" s="2" t="inlineStr"/>
    </row>
    <row r="891" ht="15" customHeight="1">
      <c r="A891" t="inlineStr">
        <is>
          <t>A 23488-2023</t>
        </is>
      </c>
      <c r="B891" s="1" t="n">
        <v>45072</v>
      </c>
      <c r="C891" s="1" t="n">
        <v>46075</v>
      </c>
      <c r="D891" t="inlineStr">
        <is>
          <t>VÄSTERNORRLANDS LÄN</t>
        </is>
      </c>
      <c r="E891" t="inlineStr">
        <is>
          <t>SOLLEFTEÅ</t>
        </is>
      </c>
      <c r="G891" t="n">
        <v>3.9</v>
      </c>
      <c r="H891" t="n">
        <v>0</v>
      </c>
      <c r="I891" t="n">
        <v>0</v>
      </c>
      <c r="J891" t="n">
        <v>0</v>
      </c>
      <c r="K891" t="n">
        <v>0</v>
      </c>
      <c r="L891" t="n">
        <v>0</v>
      </c>
      <c r="M891" t="n">
        <v>0</v>
      </c>
      <c r="N891" t="n">
        <v>0</v>
      </c>
      <c r="O891" t="n">
        <v>0</v>
      </c>
      <c r="P891" t="n">
        <v>0</v>
      </c>
      <c r="Q891" t="n">
        <v>0</v>
      </c>
      <c r="R891" s="2" t="inlineStr"/>
    </row>
    <row r="892" ht="15" customHeight="1">
      <c r="A892" t="inlineStr">
        <is>
          <t>A 49629-2024</t>
        </is>
      </c>
      <c r="B892" s="1" t="n">
        <v>45596</v>
      </c>
      <c r="C892" s="1" t="n">
        <v>46075</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50757-2023</t>
        </is>
      </c>
      <c r="B893" s="1" t="n">
        <v>45217</v>
      </c>
      <c r="C893" s="1" t="n">
        <v>46075</v>
      </c>
      <c r="D893" t="inlineStr">
        <is>
          <t>VÄSTERNORRLANDS LÄN</t>
        </is>
      </c>
      <c r="E893" t="inlineStr">
        <is>
          <t>SOLLEFTEÅ</t>
        </is>
      </c>
      <c r="F893" t="inlineStr">
        <is>
          <t>Holmen skog AB</t>
        </is>
      </c>
      <c r="G893" t="n">
        <v>1.6</v>
      </c>
      <c r="H893" t="n">
        <v>0</v>
      </c>
      <c r="I893" t="n">
        <v>0</v>
      </c>
      <c r="J893" t="n">
        <v>0</v>
      </c>
      <c r="K893" t="n">
        <v>0</v>
      </c>
      <c r="L893" t="n">
        <v>0</v>
      </c>
      <c r="M893" t="n">
        <v>0</v>
      </c>
      <c r="N893" t="n">
        <v>0</v>
      </c>
      <c r="O893" t="n">
        <v>0</v>
      </c>
      <c r="P893" t="n">
        <v>0</v>
      </c>
      <c r="Q893" t="n">
        <v>0</v>
      </c>
      <c r="R893" s="2" t="inlineStr"/>
    </row>
    <row r="894" ht="15" customHeight="1">
      <c r="A894" t="inlineStr">
        <is>
          <t>A 9328-2024</t>
        </is>
      </c>
      <c r="B894" s="1" t="n">
        <v>45358.99144675926</v>
      </c>
      <c r="C894" s="1" t="n">
        <v>46075</v>
      </c>
      <c r="D894" t="inlineStr">
        <is>
          <t>VÄSTERNORRLANDS LÄN</t>
        </is>
      </c>
      <c r="E894" t="inlineStr">
        <is>
          <t>SOLLEFTEÅ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16709-2024</t>
        </is>
      </c>
      <c r="B895" s="1" t="n">
        <v>45409.07737268518</v>
      </c>
      <c r="C895" s="1" t="n">
        <v>46075</v>
      </c>
      <c r="D895" t="inlineStr">
        <is>
          <t>VÄSTERNORRLANDS LÄN</t>
        </is>
      </c>
      <c r="E895" t="inlineStr">
        <is>
          <t>SOLLEFTEÅ</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28995-2025</t>
        </is>
      </c>
      <c r="B896" s="1" t="n">
        <v>45821.38596064815</v>
      </c>
      <c r="C896" s="1" t="n">
        <v>46075</v>
      </c>
      <c r="D896" t="inlineStr">
        <is>
          <t>VÄSTERNORRLANDS LÄN</t>
        </is>
      </c>
      <c r="E896" t="inlineStr">
        <is>
          <t>SOLLEFTEÅ</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53855-2024</t>
        </is>
      </c>
      <c r="B897" s="1" t="n">
        <v>45615.63724537037</v>
      </c>
      <c r="C897" s="1" t="n">
        <v>46075</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28743-2025</t>
        </is>
      </c>
      <c r="B898" s="1" t="n">
        <v>45820.38586805556</v>
      </c>
      <c r="C898" s="1" t="n">
        <v>46075</v>
      </c>
      <c r="D898" t="inlineStr">
        <is>
          <t>VÄSTERNORRLANDS LÄN</t>
        </is>
      </c>
      <c r="E898" t="inlineStr">
        <is>
          <t>SOLLEFTEÅ</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29039-2025</t>
        </is>
      </c>
      <c r="B899" s="1" t="n">
        <v>45821.44844907407</v>
      </c>
      <c r="C899" s="1" t="n">
        <v>46075</v>
      </c>
      <c r="D899" t="inlineStr">
        <is>
          <t>VÄSTERNORRLANDS LÄN</t>
        </is>
      </c>
      <c r="E899" t="inlineStr">
        <is>
          <t>SOLLEFTEÅ</t>
        </is>
      </c>
      <c r="F899" t="inlineStr">
        <is>
          <t>SCA</t>
        </is>
      </c>
      <c r="G899" t="n">
        <v>5.6</v>
      </c>
      <c r="H899" t="n">
        <v>0</v>
      </c>
      <c r="I899" t="n">
        <v>0</v>
      </c>
      <c r="J899" t="n">
        <v>0</v>
      </c>
      <c r="K899" t="n">
        <v>0</v>
      </c>
      <c r="L899" t="n">
        <v>0</v>
      </c>
      <c r="M899" t="n">
        <v>0</v>
      </c>
      <c r="N899" t="n">
        <v>0</v>
      </c>
      <c r="O899" t="n">
        <v>0</v>
      </c>
      <c r="P899" t="n">
        <v>0</v>
      </c>
      <c r="Q899" t="n">
        <v>0</v>
      </c>
      <c r="R899" s="2" t="inlineStr"/>
    </row>
    <row r="900" ht="15" customHeight="1">
      <c r="A900" t="inlineStr">
        <is>
          <t>A 29273-2025</t>
        </is>
      </c>
      <c r="B900" s="1" t="n">
        <v>45824.41125</v>
      </c>
      <c r="C900" s="1" t="n">
        <v>46075</v>
      </c>
      <c r="D900" t="inlineStr">
        <is>
          <t>VÄSTERNORRLANDS LÄN</t>
        </is>
      </c>
      <c r="E900" t="inlineStr">
        <is>
          <t>SOLLEFTEÅ</t>
        </is>
      </c>
      <c r="G900" t="n">
        <v>6.6</v>
      </c>
      <c r="H900" t="n">
        <v>0</v>
      </c>
      <c r="I900" t="n">
        <v>0</v>
      </c>
      <c r="J900" t="n">
        <v>0</v>
      </c>
      <c r="K900" t="n">
        <v>0</v>
      </c>
      <c r="L900" t="n">
        <v>0</v>
      </c>
      <c r="M900" t="n">
        <v>0</v>
      </c>
      <c r="N900" t="n">
        <v>0</v>
      </c>
      <c r="O900" t="n">
        <v>0</v>
      </c>
      <c r="P900" t="n">
        <v>0</v>
      </c>
      <c r="Q900" t="n">
        <v>0</v>
      </c>
      <c r="R900" s="2" t="inlineStr"/>
    </row>
    <row r="901" ht="15" customHeight="1">
      <c r="A901" t="inlineStr">
        <is>
          <t>A 29793-2025</t>
        </is>
      </c>
      <c r="B901" s="1" t="n">
        <v>45825</v>
      </c>
      <c r="C901" s="1" t="n">
        <v>46075</v>
      </c>
      <c r="D901" t="inlineStr">
        <is>
          <t>VÄSTERNORRLANDS LÄN</t>
        </is>
      </c>
      <c r="E901" t="inlineStr">
        <is>
          <t>SOLLEFTEÅ</t>
        </is>
      </c>
      <c r="G901" t="n">
        <v>10</v>
      </c>
      <c r="H901" t="n">
        <v>0</v>
      </c>
      <c r="I901" t="n">
        <v>0</v>
      </c>
      <c r="J901" t="n">
        <v>0</v>
      </c>
      <c r="K901" t="n">
        <v>0</v>
      </c>
      <c r="L901" t="n">
        <v>0</v>
      </c>
      <c r="M901" t="n">
        <v>0</v>
      </c>
      <c r="N901" t="n">
        <v>0</v>
      </c>
      <c r="O901" t="n">
        <v>0</v>
      </c>
      <c r="P901" t="n">
        <v>0</v>
      </c>
      <c r="Q901" t="n">
        <v>0</v>
      </c>
      <c r="R901" s="2" t="inlineStr"/>
    </row>
    <row r="902" ht="15" customHeight="1">
      <c r="A902" t="inlineStr">
        <is>
          <t>A 39433-2025</t>
        </is>
      </c>
      <c r="B902" s="1" t="n">
        <v>45889.67799768518</v>
      </c>
      <c r="C902" s="1" t="n">
        <v>46075</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54045-2023</t>
        </is>
      </c>
      <c r="B903" s="1" t="n">
        <v>45231.96743055555</v>
      </c>
      <c r="C903" s="1" t="n">
        <v>46075</v>
      </c>
      <c r="D903" t="inlineStr">
        <is>
          <t>VÄSTERNORRLANDS LÄN</t>
        </is>
      </c>
      <c r="E903" t="inlineStr">
        <is>
          <t>SOLLEFTEÅ</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39195-2025</t>
        </is>
      </c>
      <c r="B904" s="1" t="n">
        <v>45888</v>
      </c>
      <c r="C904" s="1" t="n">
        <v>46075</v>
      </c>
      <c r="D904" t="inlineStr">
        <is>
          <t>VÄSTERNORRLANDS LÄN</t>
        </is>
      </c>
      <c r="E904" t="inlineStr">
        <is>
          <t>SOLLEFTEÅ</t>
        </is>
      </c>
      <c r="G904" t="n">
        <v>4.7</v>
      </c>
      <c r="H904" t="n">
        <v>0</v>
      </c>
      <c r="I904" t="n">
        <v>0</v>
      </c>
      <c r="J904" t="n">
        <v>0</v>
      </c>
      <c r="K904" t="n">
        <v>0</v>
      </c>
      <c r="L904" t="n">
        <v>0</v>
      </c>
      <c r="M904" t="n">
        <v>0</v>
      </c>
      <c r="N904" t="n">
        <v>0</v>
      </c>
      <c r="O904" t="n">
        <v>0</v>
      </c>
      <c r="P904" t="n">
        <v>0</v>
      </c>
      <c r="Q904" t="n">
        <v>0</v>
      </c>
      <c r="R904" s="2" t="inlineStr"/>
    </row>
    <row r="905" ht="15" customHeight="1">
      <c r="A905" t="inlineStr">
        <is>
          <t>A 29309-2025</t>
        </is>
      </c>
      <c r="B905" s="1" t="n">
        <v>45824.46333333333</v>
      </c>
      <c r="C905" s="1" t="n">
        <v>46075</v>
      </c>
      <c r="D905" t="inlineStr">
        <is>
          <t>VÄSTERNORRLANDS LÄN</t>
        </is>
      </c>
      <c r="E905" t="inlineStr">
        <is>
          <t>SOLLEFTEÅ</t>
        </is>
      </c>
      <c r="F905" t="inlineStr">
        <is>
          <t>Holmen skog AB</t>
        </is>
      </c>
      <c r="G905" t="n">
        <v>9.9</v>
      </c>
      <c r="H905" t="n">
        <v>0</v>
      </c>
      <c r="I905" t="n">
        <v>0</v>
      </c>
      <c r="J905" t="n">
        <v>0</v>
      </c>
      <c r="K905" t="n">
        <v>0</v>
      </c>
      <c r="L905" t="n">
        <v>0</v>
      </c>
      <c r="M905" t="n">
        <v>0</v>
      </c>
      <c r="N905" t="n">
        <v>0</v>
      </c>
      <c r="O905" t="n">
        <v>0</v>
      </c>
      <c r="P905" t="n">
        <v>0</v>
      </c>
      <c r="Q905" t="n">
        <v>0</v>
      </c>
      <c r="R905" s="2" t="inlineStr"/>
    </row>
    <row r="906" ht="15" customHeight="1">
      <c r="A906" t="inlineStr">
        <is>
          <t>A 25243-2025</t>
        </is>
      </c>
      <c r="B906" s="1" t="n">
        <v>45800.49063657408</v>
      </c>
      <c r="C906" s="1" t="n">
        <v>46075</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29435-2025</t>
        </is>
      </c>
      <c r="B907" s="1" t="n">
        <v>45824.65762731482</v>
      </c>
      <c r="C907" s="1" t="n">
        <v>46075</v>
      </c>
      <c r="D907" t="inlineStr">
        <is>
          <t>VÄSTERNORRLANDS LÄN</t>
        </is>
      </c>
      <c r="E907" t="inlineStr">
        <is>
          <t>SOLLEFTEÅ</t>
        </is>
      </c>
      <c r="G907" t="n">
        <v>8</v>
      </c>
      <c r="H907" t="n">
        <v>0</v>
      </c>
      <c r="I907" t="n">
        <v>0</v>
      </c>
      <c r="J907" t="n">
        <v>0</v>
      </c>
      <c r="K907" t="n">
        <v>0</v>
      </c>
      <c r="L907" t="n">
        <v>0</v>
      </c>
      <c r="M907" t="n">
        <v>0</v>
      </c>
      <c r="N907" t="n">
        <v>0</v>
      </c>
      <c r="O907" t="n">
        <v>0</v>
      </c>
      <c r="P907" t="n">
        <v>0</v>
      </c>
      <c r="Q907" t="n">
        <v>0</v>
      </c>
      <c r="R907" s="2" t="inlineStr"/>
    </row>
    <row r="908" ht="15" customHeight="1">
      <c r="A908" t="inlineStr">
        <is>
          <t>A 16632-2025</t>
        </is>
      </c>
      <c r="B908" s="1" t="n">
        <v>45754.36490740741</v>
      </c>
      <c r="C908" s="1" t="n">
        <v>46075</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40819-2024</t>
        </is>
      </c>
      <c r="B909" s="1" t="n">
        <v>45558.55271990741</v>
      </c>
      <c r="C909" s="1" t="n">
        <v>46075</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25242-2025</t>
        </is>
      </c>
      <c r="B910" s="1" t="n">
        <v>45800.49059027778</v>
      </c>
      <c r="C910" s="1" t="n">
        <v>46075</v>
      </c>
      <c r="D910" t="inlineStr">
        <is>
          <t>VÄSTERNORRLANDS LÄN</t>
        </is>
      </c>
      <c r="E910" t="inlineStr">
        <is>
          <t>SOLLEFTEÅ</t>
        </is>
      </c>
      <c r="G910" t="n">
        <v>4</v>
      </c>
      <c r="H910" t="n">
        <v>0</v>
      </c>
      <c r="I910" t="n">
        <v>0</v>
      </c>
      <c r="J910" t="n">
        <v>0</v>
      </c>
      <c r="K910" t="n">
        <v>0</v>
      </c>
      <c r="L910" t="n">
        <v>0</v>
      </c>
      <c r="M910" t="n">
        <v>0</v>
      </c>
      <c r="N910" t="n">
        <v>0</v>
      </c>
      <c r="O910" t="n">
        <v>0</v>
      </c>
      <c r="P910" t="n">
        <v>0</v>
      </c>
      <c r="Q910" t="n">
        <v>0</v>
      </c>
      <c r="R910" s="2" t="inlineStr"/>
    </row>
    <row r="911" ht="15" customHeight="1">
      <c r="A911" t="inlineStr">
        <is>
          <t>A 11009-2024</t>
        </is>
      </c>
      <c r="B911" s="1" t="n">
        <v>45370</v>
      </c>
      <c r="C911" s="1" t="n">
        <v>46075</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41478-2022</t>
        </is>
      </c>
      <c r="B912" s="1" t="n">
        <v>44826.94892361111</v>
      </c>
      <c r="C912" s="1" t="n">
        <v>46075</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64115-2023</t>
        </is>
      </c>
      <c r="B913" s="1" t="n">
        <v>45279</v>
      </c>
      <c r="C913" s="1" t="n">
        <v>46075</v>
      </c>
      <c r="D913" t="inlineStr">
        <is>
          <t>VÄSTERNORRLANDS LÄN</t>
        </is>
      </c>
      <c r="E913" t="inlineStr">
        <is>
          <t>SOLLEFTEÅ</t>
        </is>
      </c>
      <c r="G913" t="n">
        <v>16.1</v>
      </c>
      <c r="H913" t="n">
        <v>0</v>
      </c>
      <c r="I913" t="n">
        <v>0</v>
      </c>
      <c r="J913" t="n">
        <v>0</v>
      </c>
      <c r="K913" t="n">
        <v>0</v>
      </c>
      <c r="L913" t="n">
        <v>0</v>
      </c>
      <c r="M913" t="n">
        <v>0</v>
      </c>
      <c r="N913" t="n">
        <v>0</v>
      </c>
      <c r="O913" t="n">
        <v>0</v>
      </c>
      <c r="P913" t="n">
        <v>0</v>
      </c>
      <c r="Q913" t="n">
        <v>0</v>
      </c>
      <c r="R913" s="2" t="inlineStr"/>
    </row>
    <row r="914" ht="15" customHeight="1">
      <c r="A914" t="inlineStr">
        <is>
          <t>A 29759-2025</t>
        </is>
      </c>
      <c r="B914" s="1" t="n">
        <v>45825</v>
      </c>
      <c r="C914" s="1" t="n">
        <v>46075</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26014-2025</t>
        </is>
      </c>
      <c r="B915" s="1" t="n">
        <v>45804.67773148148</v>
      </c>
      <c r="C915" s="1" t="n">
        <v>46075</v>
      </c>
      <c r="D915" t="inlineStr">
        <is>
          <t>VÄSTERNORRLANDS LÄN</t>
        </is>
      </c>
      <c r="E915" t="inlineStr">
        <is>
          <t>SOLLEFTEÅ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29011-2025</t>
        </is>
      </c>
      <c r="B916" s="1" t="n">
        <v>45821.40659722222</v>
      </c>
      <c r="C916" s="1" t="n">
        <v>46075</v>
      </c>
      <c r="D916" t="inlineStr">
        <is>
          <t>VÄSTERNORRLANDS LÄN</t>
        </is>
      </c>
      <c r="E916" t="inlineStr">
        <is>
          <t>SOLLEFTEÅ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29535-2025</t>
        </is>
      </c>
      <c r="B917" s="1" t="n">
        <v>45825.34486111111</v>
      </c>
      <c r="C917" s="1" t="n">
        <v>46075</v>
      </c>
      <c r="D917" t="inlineStr">
        <is>
          <t>VÄSTERNORRLANDS LÄN</t>
        </is>
      </c>
      <c r="E917" t="inlineStr">
        <is>
          <t>SOLLEFTEÅ</t>
        </is>
      </c>
      <c r="F917" t="inlineStr">
        <is>
          <t>SCA</t>
        </is>
      </c>
      <c r="G917" t="n">
        <v>20.6</v>
      </c>
      <c r="H917" t="n">
        <v>0</v>
      </c>
      <c r="I917" t="n">
        <v>0</v>
      </c>
      <c r="J917" t="n">
        <v>0</v>
      </c>
      <c r="K917" t="n">
        <v>0</v>
      </c>
      <c r="L917" t="n">
        <v>0</v>
      </c>
      <c r="M917" t="n">
        <v>0</v>
      </c>
      <c r="N917" t="n">
        <v>0</v>
      </c>
      <c r="O917" t="n">
        <v>0</v>
      </c>
      <c r="P917" t="n">
        <v>0</v>
      </c>
      <c r="Q917" t="n">
        <v>0</v>
      </c>
      <c r="R917" s="2" t="inlineStr"/>
    </row>
    <row r="918" ht="15" customHeight="1">
      <c r="A918" t="inlineStr">
        <is>
          <t>A 64133-2023</t>
        </is>
      </c>
      <c r="B918" s="1" t="n">
        <v>45279</v>
      </c>
      <c r="C918" s="1" t="n">
        <v>46075</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29760-2025</t>
        </is>
      </c>
      <c r="B919" s="1" t="n">
        <v>45825.61805555555</v>
      </c>
      <c r="C919" s="1" t="n">
        <v>46075</v>
      </c>
      <c r="D919" t="inlineStr">
        <is>
          <t>VÄSTERNORRLANDS LÄN</t>
        </is>
      </c>
      <c r="E919" t="inlineStr">
        <is>
          <t>SOLLEFTEÅ</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29769-2025</t>
        </is>
      </c>
      <c r="B920" s="1" t="n">
        <v>45825.62796296296</v>
      </c>
      <c r="C920" s="1" t="n">
        <v>46075</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39287-2025</t>
        </is>
      </c>
      <c r="B921" s="1" t="n">
        <v>45889.40693287037</v>
      </c>
      <c r="C921" s="1" t="n">
        <v>46075</v>
      </c>
      <c r="D921" t="inlineStr">
        <is>
          <t>VÄSTERNORRLANDS LÄN</t>
        </is>
      </c>
      <c r="E921" t="inlineStr">
        <is>
          <t>SOLLEFTEÅ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39319-2025</t>
        </is>
      </c>
      <c r="B922" s="1" t="n">
        <v>45889.46916666667</v>
      </c>
      <c r="C922" s="1" t="n">
        <v>46075</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29436-2025</t>
        </is>
      </c>
      <c r="B923" s="1" t="n">
        <v>45824.65766203704</v>
      </c>
      <c r="C923" s="1" t="n">
        <v>46075</v>
      </c>
      <c r="D923" t="inlineStr">
        <is>
          <t>VÄSTERNORRLANDS LÄN</t>
        </is>
      </c>
      <c r="E923" t="inlineStr">
        <is>
          <t>SOLLEFTEÅ</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47965-2024</t>
        </is>
      </c>
      <c r="B924" s="1" t="n">
        <v>45589.38638888889</v>
      </c>
      <c r="C924" s="1" t="n">
        <v>46075</v>
      </c>
      <c r="D924" t="inlineStr">
        <is>
          <t>VÄSTERNORRLANDS LÄN</t>
        </is>
      </c>
      <c r="E924" t="inlineStr">
        <is>
          <t>SOLLEFTEÅ</t>
        </is>
      </c>
      <c r="G924" t="n">
        <v>3.4</v>
      </c>
      <c r="H924" t="n">
        <v>0</v>
      </c>
      <c r="I924" t="n">
        <v>0</v>
      </c>
      <c r="J924" t="n">
        <v>0</v>
      </c>
      <c r="K924" t="n">
        <v>0</v>
      </c>
      <c r="L924" t="n">
        <v>0</v>
      </c>
      <c r="M924" t="n">
        <v>0</v>
      </c>
      <c r="N924" t="n">
        <v>0</v>
      </c>
      <c r="O924" t="n">
        <v>0</v>
      </c>
      <c r="P924" t="n">
        <v>0</v>
      </c>
      <c r="Q924" t="n">
        <v>0</v>
      </c>
      <c r="R924" s="2" t="inlineStr"/>
    </row>
    <row r="925" ht="15" customHeight="1">
      <c r="A925" t="inlineStr">
        <is>
          <t>A 29445-2025</t>
        </is>
      </c>
      <c r="B925" s="1" t="n">
        <v>45824.66322916667</v>
      </c>
      <c r="C925" s="1" t="n">
        <v>46075</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29762-2025</t>
        </is>
      </c>
      <c r="B926" s="1" t="n">
        <v>45825.61826388889</v>
      </c>
      <c r="C926" s="1" t="n">
        <v>46075</v>
      </c>
      <c r="D926" t="inlineStr">
        <is>
          <t>VÄSTERNORRLANDS LÄN</t>
        </is>
      </c>
      <c r="E926" t="inlineStr">
        <is>
          <t>SOLLEFTEÅ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8880-2023</t>
        </is>
      </c>
      <c r="B927" s="1" t="n">
        <v>44978.94346064814</v>
      </c>
      <c r="C927" s="1" t="n">
        <v>46075</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17096-2025</t>
        </is>
      </c>
      <c r="B928" s="1" t="n">
        <v>45755.65662037037</v>
      </c>
      <c r="C928" s="1" t="n">
        <v>46075</v>
      </c>
      <c r="D928" t="inlineStr">
        <is>
          <t>VÄSTERNORRLANDS LÄN</t>
        </is>
      </c>
      <c r="E928" t="inlineStr">
        <is>
          <t>SOLLEFTEÅ</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28998-2025</t>
        </is>
      </c>
      <c r="B929" s="1" t="n">
        <v>45821.38626157407</v>
      </c>
      <c r="C929" s="1" t="n">
        <v>46075</v>
      </c>
      <c r="D929" t="inlineStr">
        <is>
          <t>VÄSTERNORRLANDS LÄN</t>
        </is>
      </c>
      <c r="E929" t="inlineStr">
        <is>
          <t>SOLLEFTEÅ</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39270-2025</t>
        </is>
      </c>
      <c r="B930" s="1" t="n">
        <v>45889.38609953703</v>
      </c>
      <c r="C930" s="1" t="n">
        <v>46075</v>
      </c>
      <c r="D930" t="inlineStr">
        <is>
          <t>VÄSTERNORRLANDS LÄN</t>
        </is>
      </c>
      <c r="E930" t="inlineStr">
        <is>
          <t>SOLLEFTEÅ</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39286-2025</t>
        </is>
      </c>
      <c r="B931" s="1" t="n">
        <v>45889.40690972222</v>
      </c>
      <c r="C931" s="1" t="n">
        <v>46075</v>
      </c>
      <c r="D931" t="inlineStr">
        <is>
          <t>VÄSTERNORRLANDS LÄN</t>
        </is>
      </c>
      <c r="E931" t="inlineStr">
        <is>
          <t>SOLLEFTEÅ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51942-2024</t>
        </is>
      </c>
      <c r="B932" s="1" t="n">
        <v>45607.63592592593</v>
      </c>
      <c r="C932" s="1" t="n">
        <v>46075</v>
      </c>
      <c r="D932" t="inlineStr">
        <is>
          <t>VÄSTERNORRLANDS LÄN</t>
        </is>
      </c>
      <c r="E932" t="inlineStr">
        <is>
          <t>SOLLEFTEÅ</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29562-2025</t>
        </is>
      </c>
      <c r="B933" s="1" t="n">
        <v>45825</v>
      </c>
      <c r="C933" s="1" t="n">
        <v>46075</v>
      </c>
      <c r="D933" t="inlineStr">
        <is>
          <t>VÄSTERNORRLANDS LÄN</t>
        </is>
      </c>
      <c r="E933" t="inlineStr">
        <is>
          <t>SOLLEFTEÅ</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22690-2024</t>
        </is>
      </c>
      <c r="B934" s="1" t="n">
        <v>45448.31293981482</v>
      </c>
      <c r="C934" s="1" t="n">
        <v>46075</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30369-2025</t>
        </is>
      </c>
      <c r="B935" s="1" t="n">
        <v>45827.55729166666</v>
      </c>
      <c r="C935" s="1" t="n">
        <v>46075</v>
      </c>
      <c r="D935" t="inlineStr">
        <is>
          <t>VÄSTERNORRLANDS LÄN</t>
        </is>
      </c>
      <c r="E935" t="inlineStr">
        <is>
          <t>SOLLEFTEÅ</t>
        </is>
      </c>
      <c r="G935" t="n">
        <v>2.8</v>
      </c>
      <c r="H935" t="n">
        <v>0</v>
      </c>
      <c r="I935" t="n">
        <v>0</v>
      </c>
      <c r="J935" t="n">
        <v>0</v>
      </c>
      <c r="K935" t="n">
        <v>0</v>
      </c>
      <c r="L935" t="n">
        <v>0</v>
      </c>
      <c r="M935" t="n">
        <v>0</v>
      </c>
      <c r="N935" t="n">
        <v>0</v>
      </c>
      <c r="O935" t="n">
        <v>0</v>
      </c>
      <c r="P935" t="n">
        <v>0</v>
      </c>
      <c r="Q935" t="n">
        <v>0</v>
      </c>
      <c r="R935" s="2" t="inlineStr"/>
    </row>
    <row r="936" ht="15" customHeight="1">
      <c r="A936" t="inlineStr">
        <is>
          <t>A 50963-2024</t>
        </is>
      </c>
      <c r="B936" s="1" t="n">
        <v>45603.32388888889</v>
      </c>
      <c r="C936" s="1" t="n">
        <v>46075</v>
      </c>
      <c r="D936" t="inlineStr">
        <is>
          <t>VÄSTERNORRLANDS LÄN</t>
        </is>
      </c>
      <c r="E936" t="inlineStr">
        <is>
          <t>SOLLEFTEÅ</t>
        </is>
      </c>
      <c r="F936" t="inlineStr">
        <is>
          <t>Holmen skog AB</t>
        </is>
      </c>
      <c r="G936" t="n">
        <v>6.6</v>
      </c>
      <c r="H936" t="n">
        <v>0</v>
      </c>
      <c r="I936" t="n">
        <v>0</v>
      </c>
      <c r="J936" t="n">
        <v>0</v>
      </c>
      <c r="K936" t="n">
        <v>0</v>
      </c>
      <c r="L936" t="n">
        <v>0</v>
      </c>
      <c r="M936" t="n">
        <v>0</v>
      </c>
      <c r="N936" t="n">
        <v>0</v>
      </c>
      <c r="O936" t="n">
        <v>0</v>
      </c>
      <c r="P936" t="n">
        <v>0</v>
      </c>
      <c r="Q936" t="n">
        <v>0</v>
      </c>
      <c r="R936" s="2" t="inlineStr"/>
    </row>
    <row r="937" ht="15" customHeight="1">
      <c r="A937" t="inlineStr">
        <is>
          <t>A 30389-2025</t>
        </is>
      </c>
      <c r="B937" s="1" t="n">
        <v>45827.57356481482</v>
      </c>
      <c r="C937" s="1" t="n">
        <v>46075</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39656-2025</t>
        </is>
      </c>
      <c r="B938" s="1" t="n">
        <v>45890</v>
      </c>
      <c r="C938" s="1" t="n">
        <v>46075</v>
      </c>
      <c r="D938" t="inlineStr">
        <is>
          <t>VÄSTERNORRLANDS LÄN</t>
        </is>
      </c>
      <c r="E938" t="inlineStr">
        <is>
          <t>SOLLEFTEÅ</t>
        </is>
      </c>
      <c r="G938" t="n">
        <v>11</v>
      </c>
      <c r="H938" t="n">
        <v>0</v>
      </c>
      <c r="I938" t="n">
        <v>0</v>
      </c>
      <c r="J938" t="n">
        <v>0</v>
      </c>
      <c r="K938" t="n">
        <v>0</v>
      </c>
      <c r="L938" t="n">
        <v>0</v>
      </c>
      <c r="M938" t="n">
        <v>0</v>
      </c>
      <c r="N938" t="n">
        <v>0</v>
      </c>
      <c r="O938" t="n">
        <v>0</v>
      </c>
      <c r="P938" t="n">
        <v>0</v>
      </c>
      <c r="Q938" t="n">
        <v>0</v>
      </c>
      <c r="R938" s="2" t="inlineStr"/>
    </row>
    <row r="939" ht="15" customHeight="1">
      <c r="A939" t="inlineStr">
        <is>
          <t>A 39515-2025</t>
        </is>
      </c>
      <c r="B939" s="1" t="n">
        <v>45890.42078703704</v>
      </c>
      <c r="C939" s="1" t="n">
        <v>46075</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29884-2025</t>
        </is>
      </c>
      <c r="B940" s="1" t="n">
        <v>45826.36582175926</v>
      </c>
      <c r="C940" s="1" t="n">
        <v>46075</v>
      </c>
      <c r="D940" t="inlineStr">
        <is>
          <t>VÄSTERNORRLANDS LÄN</t>
        </is>
      </c>
      <c r="E940" t="inlineStr">
        <is>
          <t>SOLLEFTEÅ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39568-2025</t>
        </is>
      </c>
      <c r="B941" s="1" t="n">
        <v>45890.48993055556</v>
      </c>
      <c r="C941" s="1" t="n">
        <v>46075</v>
      </c>
      <c r="D941" t="inlineStr">
        <is>
          <t>VÄSTERNORRLANDS LÄN</t>
        </is>
      </c>
      <c r="E941" t="inlineStr">
        <is>
          <t>SOLLEFTEÅ</t>
        </is>
      </c>
      <c r="F941" t="inlineStr">
        <is>
          <t>SCA</t>
        </is>
      </c>
      <c r="G941" t="n">
        <v>14.4</v>
      </c>
      <c r="H941" t="n">
        <v>0</v>
      </c>
      <c r="I941" t="n">
        <v>0</v>
      </c>
      <c r="J941" t="n">
        <v>0</v>
      </c>
      <c r="K941" t="n">
        <v>0</v>
      </c>
      <c r="L941" t="n">
        <v>0</v>
      </c>
      <c r="M941" t="n">
        <v>0</v>
      </c>
      <c r="N941" t="n">
        <v>0</v>
      </c>
      <c r="O941" t="n">
        <v>0</v>
      </c>
      <c r="P941" t="n">
        <v>0</v>
      </c>
      <c r="Q941" t="n">
        <v>0</v>
      </c>
      <c r="R941" s="2" t="inlineStr"/>
    </row>
    <row r="942" ht="15" customHeight="1">
      <c r="A942" t="inlineStr">
        <is>
          <t>A 39935-2025</t>
        </is>
      </c>
      <c r="B942" s="1" t="n">
        <v>45891</v>
      </c>
      <c r="C942" s="1" t="n">
        <v>46075</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39475-2025</t>
        </is>
      </c>
      <c r="B943" s="1" t="n">
        <v>45890.34447916667</v>
      </c>
      <c r="C943" s="1" t="n">
        <v>46075</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30279-2025</t>
        </is>
      </c>
      <c r="B944" s="1" t="n">
        <v>45827</v>
      </c>
      <c r="C944" s="1" t="n">
        <v>46075</v>
      </c>
      <c r="D944" t="inlineStr">
        <is>
          <t>VÄSTERNORRLANDS LÄN</t>
        </is>
      </c>
      <c r="E944" t="inlineStr">
        <is>
          <t>SOLLEFTEÅ</t>
        </is>
      </c>
      <c r="G944" t="n">
        <v>5.7</v>
      </c>
      <c r="H944" t="n">
        <v>0</v>
      </c>
      <c r="I944" t="n">
        <v>0</v>
      </c>
      <c r="J944" t="n">
        <v>0</v>
      </c>
      <c r="K944" t="n">
        <v>0</v>
      </c>
      <c r="L944" t="n">
        <v>0</v>
      </c>
      <c r="M944" t="n">
        <v>0</v>
      </c>
      <c r="N944" t="n">
        <v>0</v>
      </c>
      <c r="O944" t="n">
        <v>0</v>
      </c>
      <c r="P944" t="n">
        <v>0</v>
      </c>
      <c r="Q944" t="n">
        <v>0</v>
      </c>
      <c r="R944" s="2" t="inlineStr"/>
    </row>
    <row r="945" ht="15" customHeight="1">
      <c r="A945" t="inlineStr">
        <is>
          <t>A 39602-2025</t>
        </is>
      </c>
      <c r="B945" s="1" t="n">
        <v>45890.55296296296</v>
      </c>
      <c r="C945" s="1" t="n">
        <v>46075</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45801-2024</t>
        </is>
      </c>
      <c r="B946" s="1" t="n">
        <v>45579.67798611111</v>
      </c>
      <c r="C946" s="1" t="n">
        <v>46075</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45802-2024</t>
        </is>
      </c>
      <c r="B947" s="1" t="n">
        <v>45579.67818287037</v>
      </c>
      <c r="C947" s="1" t="n">
        <v>46075</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39619-2025</t>
        </is>
      </c>
      <c r="B948" s="1" t="n">
        <v>45890.57347222222</v>
      </c>
      <c r="C948" s="1" t="n">
        <v>46075</v>
      </c>
      <c r="D948" t="inlineStr">
        <is>
          <t>VÄSTERNORRLANDS LÄN</t>
        </is>
      </c>
      <c r="E948" t="inlineStr">
        <is>
          <t>SOLLEFTEÅ</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46101-2024</t>
        </is>
      </c>
      <c r="B949" s="1" t="n">
        <v>45581</v>
      </c>
      <c r="C949" s="1" t="n">
        <v>46075</v>
      </c>
      <c r="D949" t="inlineStr">
        <is>
          <t>VÄSTERNORRLANDS LÄN</t>
        </is>
      </c>
      <c r="E949" t="inlineStr">
        <is>
          <t>SOLLEFTEÅ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30311-2025</t>
        </is>
      </c>
      <c r="B950" s="1" t="n">
        <v>45827.49015046296</v>
      </c>
      <c r="C950" s="1" t="n">
        <v>46075</v>
      </c>
      <c r="D950" t="inlineStr">
        <is>
          <t>VÄSTERNORRLANDS LÄN</t>
        </is>
      </c>
      <c r="E950" t="inlineStr">
        <is>
          <t>SOLLEFTEÅ</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14365-2024</t>
        </is>
      </c>
      <c r="B951" s="1" t="n">
        <v>45393.94332175926</v>
      </c>
      <c r="C951" s="1" t="n">
        <v>46075</v>
      </c>
      <c r="D951" t="inlineStr">
        <is>
          <t>VÄSTERNORRLANDS LÄN</t>
        </is>
      </c>
      <c r="E951" t="inlineStr">
        <is>
          <t>SOLLEFTEÅ</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29946-2023</t>
        </is>
      </c>
      <c r="B952" s="1" t="n">
        <v>45107.93818287037</v>
      </c>
      <c r="C952" s="1" t="n">
        <v>46075</v>
      </c>
      <c r="D952" t="inlineStr">
        <is>
          <t>VÄSTERNORRLANDS LÄN</t>
        </is>
      </c>
      <c r="E952" t="inlineStr">
        <is>
          <t>SOLLEFTEÅ</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39664-2025</t>
        </is>
      </c>
      <c r="B953" s="1" t="n">
        <v>45890.63596064815</v>
      </c>
      <c r="C953" s="1" t="n">
        <v>46075</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39671-2025</t>
        </is>
      </c>
      <c r="B954" s="1" t="n">
        <v>45890</v>
      </c>
      <c r="C954" s="1" t="n">
        <v>46075</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30018-2025</t>
        </is>
      </c>
      <c r="B955" s="1" t="n">
        <v>45826.55332175926</v>
      </c>
      <c r="C955" s="1" t="n">
        <v>46075</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30020-2025</t>
        </is>
      </c>
      <c r="B956" s="1" t="n">
        <v>45826.55337962963</v>
      </c>
      <c r="C956" s="1" t="n">
        <v>46075</v>
      </c>
      <c r="D956" t="inlineStr">
        <is>
          <t>VÄSTERNORRLANDS LÄN</t>
        </is>
      </c>
      <c r="E956" t="inlineStr">
        <is>
          <t>SOLLEFTEÅ</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38102-2022</t>
        </is>
      </c>
      <c r="B957" s="1" t="n">
        <v>44811</v>
      </c>
      <c r="C957" s="1" t="n">
        <v>46075</v>
      </c>
      <c r="D957" t="inlineStr">
        <is>
          <t>VÄSTERNORRLANDS LÄN</t>
        </is>
      </c>
      <c r="E957" t="inlineStr">
        <is>
          <t>SOLLEFTEÅ</t>
        </is>
      </c>
      <c r="F957" t="inlineStr">
        <is>
          <t>SCA</t>
        </is>
      </c>
      <c r="G957" t="n">
        <v>4.9</v>
      </c>
      <c r="H957" t="n">
        <v>0</v>
      </c>
      <c r="I957" t="n">
        <v>0</v>
      </c>
      <c r="J957" t="n">
        <v>0</v>
      </c>
      <c r="K957" t="n">
        <v>0</v>
      </c>
      <c r="L957" t="n">
        <v>0</v>
      </c>
      <c r="M957" t="n">
        <v>0</v>
      </c>
      <c r="N957" t="n">
        <v>0</v>
      </c>
      <c r="O957" t="n">
        <v>0</v>
      </c>
      <c r="P957" t="n">
        <v>0</v>
      </c>
      <c r="Q957" t="n">
        <v>0</v>
      </c>
      <c r="R957" s="2" t="inlineStr"/>
      <c r="U957">
        <f>HYPERLINK("https://klasma.github.io/Logging_2283/knärot/A 38102-2022 karta knärot.png", "A 38102-2022")</f>
        <v/>
      </c>
      <c r="V957">
        <f>HYPERLINK("https://klasma.github.io/Logging_2283/klagomål/A 38102-2022 FSC-klagomål.docx", "A 38102-2022")</f>
        <v/>
      </c>
      <c r="W957">
        <f>HYPERLINK("https://klasma.github.io/Logging_2283/klagomålsmail/A 38102-2022 FSC-klagomål mail.docx", "A 38102-2022")</f>
        <v/>
      </c>
      <c r="X957">
        <f>HYPERLINK("https://klasma.github.io/Logging_2283/tillsyn/A 38102-2022 tillsynsbegäran.docx", "A 38102-2022")</f>
        <v/>
      </c>
      <c r="Y957">
        <f>HYPERLINK("https://klasma.github.io/Logging_2283/tillsynsmail/A 38102-2022 tillsynsbegäran mail.docx", "A 38102-2022")</f>
        <v/>
      </c>
    </row>
    <row r="958" ht="15" customHeight="1">
      <c r="A958" t="inlineStr">
        <is>
          <t>A 29883-2025</t>
        </is>
      </c>
      <c r="B958" s="1" t="n">
        <v>45826.36568287037</v>
      </c>
      <c r="C958" s="1" t="n">
        <v>46075</v>
      </c>
      <c r="D958" t="inlineStr">
        <is>
          <t>VÄSTERNORRLANDS LÄN</t>
        </is>
      </c>
      <c r="E958" t="inlineStr">
        <is>
          <t>SOLLEFTEÅ</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30401-2025</t>
        </is>
      </c>
      <c r="B959" s="1" t="n">
        <v>45827.59135416667</v>
      </c>
      <c r="C959" s="1" t="n">
        <v>46075</v>
      </c>
      <c r="D959" t="inlineStr">
        <is>
          <t>VÄSTERNORRLANDS LÄN</t>
        </is>
      </c>
      <c r="E959" t="inlineStr">
        <is>
          <t>SOLLEFTEÅ</t>
        </is>
      </c>
      <c r="G959" t="n">
        <v>6.3</v>
      </c>
      <c r="H959" t="n">
        <v>0</v>
      </c>
      <c r="I959" t="n">
        <v>0</v>
      </c>
      <c r="J959" t="n">
        <v>0</v>
      </c>
      <c r="K959" t="n">
        <v>0</v>
      </c>
      <c r="L959" t="n">
        <v>0</v>
      </c>
      <c r="M959" t="n">
        <v>0</v>
      </c>
      <c r="N959" t="n">
        <v>0</v>
      </c>
      <c r="O959" t="n">
        <v>0</v>
      </c>
      <c r="P959" t="n">
        <v>0</v>
      </c>
      <c r="Q959" t="n">
        <v>0</v>
      </c>
      <c r="R959" s="2" t="inlineStr"/>
    </row>
    <row r="960" ht="15" customHeight="1">
      <c r="A960" t="inlineStr">
        <is>
          <t>A 40174-2025</t>
        </is>
      </c>
      <c r="B960" s="1" t="n">
        <v>45894.63587962963</v>
      </c>
      <c r="C960" s="1" t="n">
        <v>46075</v>
      </c>
      <c r="D960" t="inlineStr">
        <is>
          <t>VÄSTERNORRLANDS LÄN</t>
        </is>
      </c>
      <c r="E960" t="inlineStr">
        <is>
          <t>SOLLEFTEÅ</t>
        </is>
      </c>
      <c r="F960" t="inlineStr">
        <is>
          <t>SCA</t>
        </is>
      </c>
      <c r="G960" t="n">
        <v>9.6</v>
      </c>
      <c r="H960" t="n">
        <v>0</v>
      </c>
      <c r="I960" t="n">
        <v>0</v>
      </c>
      <c r="J960" t="n">
        <v>0</v>
      </c>
      <c r="K960" t="n">
        <v>0</v>
      </c>
      <c r="L960" t="n">
        <v>0</v>
      </c>
      <c r="M960" t="n">
        <v>0</v>
      </c>
      <c r="N960" t="n">
        <v>0</v>
      </c>
      <c r="O960" t="n">
        <v>0</v>
      </c>
      <c r="P960" t="n">
        <v>0</v>
      </c>
      <c r="Q960" t="n">
        <v>0</v>
      </c>
      <c r="R960" s="2" t="inlineStr"/>
    </row>
    <row r="961" ht="15" customHeight="1">
      <c r="A961" t="inlineStr">
        <is>
          <t>A 28580-2024</t>
        </is>
      </c>
      <c r="B961" s="1" t="n">
        <v>45478</v>
      </c>
      <c r="C961" s="1" t="n">
        <v>46075</v>
      </c>
      <c r="D961" t="inlineStr">
        <is>
          <t>VÄSTERNORRLANDS LÄN</t>
        </is>
      </c>
      <c r="E961" t="inlineStr">
        <is>
          <t>SOLLEFTEÅ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40450-2025</t>
        </is>
      </c>
      <c r="B962" s="1" t="n">
        <v>45895.63584490741</v>
      </c>
      <c r="C962" s="1" t="n">
        <v>46075</v>
      </c>
      <c r="D962" t="inlineStr">
        <is>
          <t>VÄSTERNORRLANDS LÄN</t>
        </is>
      </c>
      <c r="E962" t="inlineStr">
        <is>
          <t>SOLLEFTEÅ</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40048-2025</t>
        </is>
      </c>
      <c r="B963" s="1" t="n">
        <v>45894.40679398148</v>
      </c>
      <c r="C963" s="1" t="n">
        <v>46075</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40050-2025</t>
        </is>
      </c>
      <c r="B964" s="1" t="n">
        <v>45894.40717592592</v>
      </c>
      <c r="C964" s="1" t="n">
        <v>46075</v>
      </c>
      <c r="D964" t="inlineStr">
        <is>
          <t>VÄSTERNORRLANDS LÄN</t>
        </is>
      </c>
      <c r="E964" t="inlineStr">
        <is>
          <t>SOLLEFTEÅ</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30073-2025</t>
        </is>
      </c>
      <c r="B965" s="1" t="n">
        <v>45826.63643518519</v>
      </c>
      <c r="C965" s="1" t="n">
        <v>46075</v>
      </c>
      <c r="D965" t="inlineStr">
        <is>
          <t>VÄSTERNORRLANDS LÄN</t>
        </is>
      </c>
      <c r="E965" t="inlineStr">
        <is>
          <t>SOLLEFTEÅ</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6474-2023</t>
        </is>
      </c>
      <c r="B966" s="1" t="n">
        <v>44965.94128472222</v>
      </c>
      <c r="C966" s="1" t="n">
        <v>46075</v>
      </c>
      <c r="D966" t="inlineStr">
        <is>
          <t>VÄSTERNORRLANDS LÄN</t>
        </is>
      </c>
      <c r="E966" t="inlineStr">
        <is>
          <t>SOLLEFTEÅ</t>
        </is>
      </c>
      <c r="F966" t="inlineStr">
        <is>
          <t>SCA</t>
        </is>
      </c>
      <c r="G966" t="n">
        <v>47.3</v>
      </c>
      <c r="H966" t="n">
        <v>0</v>
      </c>
      <c r="I966" t="n">
        <v>0</v>
      </c>
      <c r="J966" t="n">
        <v>0</v>
      </c>
      <c r="K966" t="n">
        <v>0</v>
      </c>
      <c r="L966" t="n">
        <v>0</v>
      </c>
      <c r="M966" t="n">
        <v>0</v>
      </c>
      <c r="N966" t="n">
        <v>0</v>
      </c>
      <c r="O966" t="n">
        <v>0</v>
      </c>
      <c r="P966" t="n">
        <v>0</v>
      </c>
      <c r="Q966" t="n">
        <v>0</v>
      </c>
      <c r="R966" s="2" t="inlineStr"/>
    </row>
    <row r="967" ht="15" customHeight="1">
      <c r="A967" t="inlineStr">
        <is>
          <t>A 40008-2025</t>
        </is>
      </c>
      <c r="B967" s="1" t="n">
        <v>45894.34431712963</v>
      </c>
      <c r="C967" s="1" t="n">
        <v>46075</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40302-2025</t>
        </is>
      </c>
      <c r="B968" s="1" t="n">
        <v>45895.40662037037</v>
      </c>
      <c r="C968" s="1" t="n">
        <v>46075</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52035-2022</t>
        </is>
      </c>
      <c r="B969" s="1" t="n">
        <v>44872</v>
      </c>
      <c r="C969" s="1" t="n">
        <v>46075</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40190-2025</t>
        </is>
      </c>
      <c r="B970" s="1" t="n">
        <v>45894.65664351852</v>
      </c>
      <c r="C970" s="1" t="n">
        <v>46075</v>
      </c>
      <c r="D970" t="inlineStr">
        <is>
          <t>VÄSTERNORRLANDS LÄN</t>
        </is>
      </c>
      <c r="E970" t="inlineStr">
        <is>
          <t>SOLLEFTEÅ</t>
        </is>
      </c>
      <c r="F970" t="inlineStr">
        <is>
          <t>SCA</t>
        </is>
      </c>
      <c r="G970" t="n">
        <v>6.5</v>
      </c>
      <c r="H970" t="n">
        <v>0</v>
      </c>
      <c r="I970" t="n">
        <v>0</v>
      </c>
      <c r="J970" t="n">
        <v>0</v>
      </c>
      <c r="K970" t="n">
        <v>0</v>
      </c>
      <c r="L970" t="n">
        <v>0</v>
      </c>
      <c r="M970" t="n">
        <v>0</v>
      </c>
      <c r="N970" t="n">
        <v>0</v>
      </c>
      <c r="O970" t="n">
        <v>0</v>
      </c>
      <c r="P970" t="n">
        <v>0</v>
      </c>
      <c r="Q970" t="n">
        <v>0</v>
      </c>
      <c r="R970" s="2" t="inlineStr"/>
    </row>
    <row r="971" ht="15" customHeight="1">
      <c r="A971" t="inlineStr">
        <is>
          <t>A 59346-2023</t>
        </is>
      </c>
      <c r="B971" s="1" t="n">
        <v>45253</v>
      </c>
      <c r="C971" s="1" t="n">
        <v>46075</v>
      </c>
      <c r="D971" t="inlineStr">
        <is>
          <t>VÄSTERNORRLANDS LÄN</t>
        </is>
      </c>
      <c r="E971" t="inlineStr">
        <is>
          <t>SOLLEFTEÅ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50549-2024</t>
        </is>
      </c>
      <c r="B972" s="1" t="n">
        <v>45601</v>
      </c>
      <c r="C972" s="1" t="n">
        <v>46075</v>
      </c>
      <c r="D972" t="inlineStr">
        <is>
          <t>VÄSTERNORRLANDS LÄN</t>
        </is>
      </c>
      <c r="E972" t="inlineStr">
        <is>
          <t>SOLLEFTEÅ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38769-2024</t>
        </is>
      </c>
      <c r="B973" s="1" t="n">
        <v>45547.44914351852</v>
      </c>
      <c r="C973" s="1" t="n">
        <v>46075</v>
      </c>
      <c r="D973" t="inlineStr">
        <is>
          <t>VÄSTERNORRLANDS LÄN</t>
        </is>
      </c>
      <c r="E973" t="inlineStr">
        <is>
          <t>SOLLEFTEÅ</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50624-2024</t>
        </is>
      </c>
      <c r="B974" s="1" t="n">
        <v>45601.65728009259</v>
      </c>
      <c r="C974" s="1" t="n">
        <v>46075</v>
      </c>
      <c r="D974" t="inlineStr">
        <is>
          <t>VÄSTERNORRLANDS LÄN</t>
        </is>
      </c>
      <c r="E974" t="inlineStr">
        <is>
          <t>SOLLEFTEÅ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40468-2025</t>
        </is>
      </c>
      <c r="B975" s="1" t="n">
        <v>45895.66416666667</v>
      </c>
      <c r="C975" s="1" t="n">
        <v>46075</v>
      </c>
      <c r="D975" t="inlineStr">
        <is>
          <t>VÄSTERNORRLANDS LÄN</t>
        </is>
      </c>
      <c r="E975" t="inlineStr">
        <is>
          <t>SOLLEFTEÅ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40049-2025</t>
        </is>
      </c>
      <c r="B976" s="1" t="n">
        <v>45894</v>
      </c>
      <c r="C976" s="1" t="n">
        <v>46075</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40358-2025</t>
        </is>
      </c>
      <c r="B977" s="1" t="n">
        <v>45895.48995370371</v>
      </c>
      <c r="C977" s="1" t="n">
        <v>46075</v>
      </c>
      <c r="D977" t="inlineStr">
        <is>
          <t>VÄSTERNORRLANDS LÄN</t>
        </is>
      </c>
      <c r="E977" t="inlineStr">
        <is>
          <t>SOLLEFTEÅ</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30068-2024</t>
        </is>
      </c>
      <c r="B978" s="1" t="n">
        <v>45488.94886574074</v>
      </c>
      <c r="C978" s="1" t="n">
        <v>46075</v>
      </c>
      <c r="D978" t="inlineStr">
        <is>
          <t>VÄSTERNORRLANDS LÄN</t>
        </is>
      </c>
      <c r="E978" t="inlineStr">
        <is>
          <t>SOLLEFTEÅ</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38972-2025</t>
        </is>
      </c>
      <c r="B979" s="1" t="n">
        <v>45887</v>
      </c>
      <c r="C979" s="1" t="n">
        <v>46075</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38973-2025</t>
        </is>
      </c>
      <c r="B980" s="1" t="n">
        <v>45887</v>
      </c>
      <c r="C980" s="1" t="n">
        <v>46075</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30478-2025</t>
        </is>
      </c>
      <c r="B981" s="1" t="n">
        <v>45828.45866898148</v>
      </c>
      <c r="C981" s="1" t="n">
        <v>46075</v>
      </c>
      <c r="D981" t="inlineStr">
        <is>
          <t>VÄSTERNORRLANDS LÄN</t>
        </is>
      </c>
      <c r="E981" t="inlineStr">
        <is>
          <t>SOLLEFTEÅ</t>
        </is>
      </c>
      <c r="G981" t="n">
        <v>1.5</v>
      </c>
      <c r="H981" t="n">
        <v>0</v>
      </c>
      <c r="I981" t="n">
        <v>0</v>
      </c>
      <c r="J981" t="n">
        <v>0</v>
      </c>
      <c r="K981" t="n">
        <v>0</v>
      </c>
      <c r="L981" t="n">
        <v>0</v>
      </c>
      <c r="M981" t="n">
        <v>0</v>
      </c>
      <c r="N981" t="n">
        <v>0</v>
      </c>
      <c r="O981" t="n">
        <v>0</v>
      </c>
      <c r="P981" t="n">
        <v>0</v>
      </c>
      <c r="Q981" t="n">
        <v>0</v>
      </c>
      <c r="R981" s="2" t="inlineStr"/>
      <c r="U981">
        <f>HYPERLINK("https://klasma.github.io/Logging_2283/knärot/A 30478-2025 karta knärot.png", "A 30478-2025")</f>
        <v/>
      </c>
      <c r="V981">
        <f>HYPERLINK("https://klasma.github.io/Logging_2283/klagomål/A 30478-2025 FSC-klagomål.docx", "A 30478-2025")</f>
        <v/>
      </c>
      <c r="W981">
        <f>HYPERLINK("https://klasma.github.io/Logging_2283/klagomålsmail/A 30478-2025 FSC-klagomål mail.docx", "A 30478-2025")</f>
        <v/>
      </c>
      <c r="X981">
        <f>HYPERLINK("https://klasma.github.io/Logging_2283/tillsyn/A 30478-2025 tillsynsbegäran.docx", "A 30478-2025")</f>
        <v/>
      </c>
      <c r="Y981">
        <f>HYPERLINK("https://klasma.github.io/Logging_2283/tillsynsmail/A 30478-2025 tillsynsbegäran mail.docx", "A 30478-2025")</f>
        <v/>
      </c>
    </row>
    <row r="982" ht="15" customHeight="1">
      <c r="A982" t="inlineStr">
        <is>
          <t>A 40175-2025</t>
        </is>
      </c>
      <c r="B982" s="1" t="n">
        <v>45894.63609953703</v>
      </c>
      <c r="C982" s="1" t="n">
        <v>46075</v>
      </c>
      <c r="D982" t="inlineStr">
        <is>
          <t>VÄSTERNORRLANDS LÄN</t>
        </is>
      </c>
      <c r="E982" t="inlineStr">
        <is>
          <t>SOLLEFTEÅ</t>
        </is>
      </c>
      <c r="F982" t="inlineStr">
        <is>
          <t>SCA</t>
        </is>
      </c>
      <c r="G982" t="n">
        <v>21.2</v>
      </c>
      <c r="H982" t="n">
        <v>0</v>
      </c>
      <c r="I982" t="n">
        <v>0</v>
      </c>
      <c r="J982" t="n">
        <v>0</v>
      </c>
      <c r="K982" t="n">
        <v>0</v>
      </c>
      <c r="L982" t="n">
        <v>0</v>
      </c>
      <c r="M982" t="n">
        <v>0</v>
      </c>
      <c r="N982" t="n">
        <v>0</v>
      </c>
      <c r="O982" t="n">
        <v>0</v>
      </c>
      <c r="P982" t="n">
        <v>0</v>
      </c>
      <c r="Q982" t="n">
        <v>0</v>
      </c>
      <c r="R982" s="2" t="inlineStr"/>
    </row>
    <row r="983" ht="15" customHeight="1">
      <c r="A983" t="inlineStr">
        <is>
          <t>A 30750-2025</t>
        </is>
      </c>
      <c r="B983" s="1" t="n">
        <v>45831.58900462963</v>
      </c>
      <c r="C983" s="1" t="n">
        <v>46075</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30754-2025</t>
        </is>
      </c>
      <c r="B984" s="1" t="n">
        <v>45831.59417824074</v>
      </c>
      <c r="C984" s="1" t="n">
        <v>46075</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40304-2025</t>
        </is>
      </c>
      <c r="B985" s="1" t="n">
        <v>45895.40690972222</v>
      </c>
      <c r="C985" s="1" t="n">
        <v>46075</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40014-2025</t>
        </is>
      </c>
      <c r="B986" s="1" t="n">
        <v>45894</v>
      </c>
      <c r="C986" s="1" t="n">
        <v>46075</v>
      </c>
      <c r="D986" t="inlineStr">
        <is>
          <t>VÄSTERNORRLANDS LÄN</t>
        </is>
      </c>
      <c r="E986" t="inlineStr">
        <is>
          <t>SOLLEFTEÅ</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40136-2025</t>
        </is>
      </c>
      <c r="B987" s="1" t="n">
        <v>45894.5588425926</v>
      </c>
      <c r="C987" s="1" t="n">
        <v>46075</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35470-2023</t>
        </is>
      </c>
      <c r="B988" s="1" t="n">
        <v>45146</v>
      </c>
      <c r="C988" s="1" t="n">
        <v>46075</v>
      </c>
      <c r="D988" t="inlineStr">
        <is>
          <t>VÄSTERNORRLANDS LÄN</t>
        </is>
      </c>
      <c r="E988" t="inlineStr">
        <is>
          <t>SOLLEFTEÅ</t>
        </is>
      </c>
      <c r="G988" t="n">
        <v>7.5</v>
      </c>
      <c r="H988" t="n">
        <v>0</v>
      </c>
      <c r="I988" t="n">
        <v>0</v>
      </c>
      <c r="J988" t="n">
        <v>0</v>
      </c>
      <c r="K988" t="n">
        <v>0</v>
      </c>
      <c r="L988" t="n">
        <v>0</v>
      </c>
      <c r="M988" t="n">
        <v>0</v>
      </c>
      <c r="N988" t="n">
        <v>0</v>
      </c>
      <c r="O988" t="n">
        <v>0</v>
      </c>
      <c r="P988" t="n">
        <v>0</v>
      </c>
      <c r="Q988" t="n">
        <v>0</v>
      </c>
      <c r="R988" s="2" t="inlineStr"/>
    </row>
    <row r="989" ht="15" customHeight="1">
      <c r="A989" t="inlineStr">
        <is>
          <t>A 40009-2025</t>
        </is>
      </c>
      <c r="B989" s="1" t="n">
        <v>45894.34446759259</v>
      </c>
      <c r="C989" s="1" t="n">
        <v>46075</v>
      </c>
      <c r="D989" t="inlineStr">
        <is>
          <t>VÄSTERNORRLANDS LÄN</t>
        </is>
      </c>
      <c r="E989" t="inlineStr">
        <is>
          <t>SOLLEFTEÅ</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30774-2025</t>
        </is>
      </c>
      <c r="B990" s="1" t="n">
        <v>45831.61501157407</v>
      </c>
      <c r="C990" s="1" t="n">
        <v>46075</v>
      </c>
      <c r="D990" t="inlineStr">
        <is>
          <t>VÄSTERNORRLANDS LÄN</t>
        </is>
      </c>
      <c r="E990" t="inlineStr">
        <is>
          <t>SOLLEFTEÅ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30834-2025</t>
        </is>
      </c>
      <c r="B991" s="1" t="n">
        <v>45831.6984837963</v>
      </c>
      <c r="C991" s="1" t="n">
        <v>46075</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40962-2025</t>
        </is>
      </c>
      <c r="B992" s="1" t="n">
        <v>45897.6983912037</v>
      </c>
      <c r="C992" s="1" t="n">
        <v>46075</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56685-2023</t>
        </is>
      </c>
      <c r="B993" s="1" t="n">
        <v>45243.96600694444</v>
      </c>
      <c r="C993" s="1" t="n">
        <v>46075</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30733-2025</t>
        </is>
      </c>
      <c r="B994" s="1" t="n">
        <v>45831.57340277778</v>
      </c>
      <c r="C994" s="1" t="n">
        <v>46075</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30734-2025</t>
        </is>
      </c>
      <c r="B995" s="1" t="n">
        <v>45831.5734375</v>
      </c>
      <c r="C995" s="1" t="n">
        <v>46075</v>
      </c>
      <c r="D995" t="inlineStr">
        <is>
          <t>VÄSTERNORRLANDS LÄN</t>
        </is>
      </c>
      <c r="E995" t="inlineStr">
        <is>
          <t>SOLLEFTEÅ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40492-2025</t>
        </is>
      </c>
      <c r="B996" s="1" t="n">
        <v>45896</v>
      </c>
      <c r="C996" s="1" t="n">
        <v>46075</v>
      </c>
      <c r="D996" t="inlineStr">
        <is>
          <t>VÄSTERNORRLANDS LÄN</t>
        </is>
      </c>
      <c r="E996" t="inlineStr">
        <is>
          <t>SOLLEFTEÅ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41025-2025</t>
        </is>
      </c>
      <c r="B997" s="1" t="n">
        <v>45897</v>
      </c>
      <c r="C997" s="1" t="n">
        <v>46075</v>
      </c>
      <c r="D997" t="inlineStr">
        <is>
          <t>VÄSTERNORRLANDS LÄN</t>
        </is>
      </c>
      <c r="E997" t="inlineStr">
        <is>
          <t>SOLLEFTEÅ</t>
        </is>
      </c>
      <c r="G997" t="n">
        <v>9.1</v>
      </c>
      <c r="H997" t="n">
        <v>0</v>
      </c>
      <c r="I997" t="n">
        <v>0</v>
      </c>
      <c r="J997" t="n">
        <v>0</v>
      </c>
      <c r="K997" t="n">
        <v>0</v>
      </c>
      <c r="L997" t="n">
        <v>0</v>
      </c>
      <c r="M997" t="n">
        <v>0</v>
      </c>
      <c r="N997" t="n">
        <v>0</v>
      </c>
      <c r="O997" t="n">
        <v>0</v>
      </c>
      <c r="P997" t="n">
        <v>0</v>
      </c>
      <c r="Q997" t="n">
        <v>0</v>
      </c>
      <c r="R997" s="2" t="inlineStr"/>
    </row>
    <row r="998" ht="15" customHeight="1">
      <c r="A998" t="inlineStr">
        <is>
          <t>A 30889-2025</t>
        </is>
      </c>
      <c r="B998" s="1" t="n">
        <v>45832.34618055556</v>
      </c>
      <c r="C998" s="1" t="n">
        <v>46075</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12311-2023</t>
        </is>
      </c>
      <c r="B999" s="1" t="n">
        <v>44995</v>
      </c>
      <c r="C999" s="1" t="n">
        <v>46075</v>
      </c>
      <c r="D999" t="inlineStr">
        <is>
          <t>VÄSTERNORRLANDS LÄN</t>
        </is>
      </c>
      <c r="E999" t="inlineStr">
        <is>
          <t>SOLLEFTEÅ</t>
        </is>
      </c>
      <c r="G999" t="n">
        <v>16.8</v>
      </c>
      <c r="H999" t="n">
        <v>0</v>
      </c>
      <c r="I999" t="n">
        <v>0</v>
      </c>
      <c r="J999" t="n">
        <v>0</v>
      </c>
      <c r="K999" t="n">
        <v>0</v>
      </c>
      <c r="L999" t="n">
        <v>0</v>
      </c>
      <c r="M999" t="n">
        <v>0</v>
      </c>
      <c r="N999" t="n">
        <v>0</v>
      </c>
      <c r="O999" t="n">
        <v>0</v>
      </c>
      <c r="P999" t="n">
        <v>0</v>
      </c>
      <c r="Q999" t="n">
        <v>0</v>
      </c>
      <c r="R999" s="2" t="inlineStr"/>
    </row>
    <row r="1000" ht="15" customHeight="1">
      <c r="A1000" t="inlineStr">
        <is>
          <t>A 30964-2025</t>
        </is>
      </c>
      <c r="B1000" s="1" t="n">
        <v>45832.45111111111</v>
      </c>
      <c r="C1000" s="1" t="n">
        <v>46075</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31183-2025</t>
        </is>
      </c>
      <c r="B1001" s="1" t="n">
        <v>45832.67774305555</v>
      </c>
      <c r="C1001" s="1" t="n">
        <v>46075</v>
      </c>
      <c r="D1001" t="inlineStr">
        <is>
          <t>VÄSTERNORRLANDS LÄN</t>
        </is>
      </c>
      <c r="E1001" t="inlineStr">
        <is>
          <t>SOLLEFTEÅ</t>
        </is>
      </c>
      <c r="F1001" t="inlineStr">
        <is>
          <t>SCA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40752-2025</t>
        </is>
      </c>
      <c r="B1002" s="1" t="n">
        <v>45897.38592592593</v>
      </c>
      <c r="C1002" s="1" t="n">
        <v>46075</v>
      </c>
      <c r="D1002" t="inlineStr">
        <is>
          <t>VÄSTERNORRLANDS LÄN</t>
        </is>
      </c>
      <c r="E1002" t="inlineStr">
        <is>
          <t>SOLLEFTEÅ</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31345-2025</t>
        </is>
      </c>
      <c r="B1003" s="1" t="n">
        <v>45833.42854166667</v>
      </c>
      <c r="C1003" s="1" t="n">
        <v>46075</v>
      </c>
      <c r="D1003" t="inlineStr">
        <is>
          <t>VÄSTERNORRLANDS LÄN</t>
        </is>
      </c>
      <c r="E1003" t="inlineStr">
        <is>
          <t>SOLLEFTEÅ</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31347-2025</t>
        </is>
      </c>
      <c r="B1004" s="1" t="n">
        <v>45833</v>
      </c>
      <c r="C1004" s="1" t="n">
        <v>46075</v>
      </c>
      <c r="D1004" t="inlineStr">
        <is>
          <t>VÄSTERNORRLANDS LÄN</t>
        </is>
      </c>
      <c r="E1004" t="inlineStr">
        <is>
          <t>SOLLEFTEÅ</t>
        </is>
      </c>
      <c r="F1004" t="inlineStr">
        <is>
          <t>SCA</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31435-2025</t>
        </is>
      </c>
      <c r="B1005" s="1" t="n">
        <v>45833.49708333334</v>
      </c>
      <c r="C1005" s="1" t="n">
        <v>46075</v>
      </c>
      <c r="D1005" t="inlineStr">
        <is>
          <t>VÄSTERNORRLANDS LÄN</t>
        </is>
      </c>
      <c r="E1005" t="inlineStr">
        <is>
          <t>SOLLEFTEÅ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31396-2025</t>
        </is>
      </c>
      <c r="B1006" s="1" t="n">
        <v>45833.4658912037</v>
      </c>
      <c r="C1006" s="1" t="n">
        <v>46075</v>
      </c>
      <c r="D1006" t="inlineStr">
        <is>
          <t>VÄSTERNORRLANDS LÄN</t>
        </is>
      </c>
      <c r="E1006" t="inlineStr">
        <is>
          <t>SOLLEFTEÅ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16710-2024</t>
        </is>
      </c>
      <c r="B1007" s="1" t="n">
        <v>45409.07748842592</v>
      </c>
      <c r="C1007" s="1" t="n">
        <v>46075</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40701-2025</t>
        </is>
      </c>
      <c r="B1008" s="1" t="n">
        <v>45897.32884259259</v>
      </c>
      <c r="C1008" s="1" t="n">
        <v>46075</v>
      </c>
      <c r="D1008" t="inlineStr">
        <is>
          <t>VÄSTERNORRLANDS LÄN</t>
        </is>
      </c>
      <c r="E1008" t="inlineStr">
        <is>
          <t>SOLLEFTEÅ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40515-2025</t>
        </is>
      </c>
      <c r="B1009" s="1" t="n">
        <v>45896</v>
      </c>
      <c r="C1009" s="1" t="n">
        <v>46075</v>
      </c>
      <c r="D1009" t="inlineStr">
        <is>
          <t>VÄSTERNORRLANDS LÄN</t>
        </is>
      </c>
      <c r="E1009" t="inlineStr">
        <is>
          <t>SOLLEFTEÅ</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16308-2025</t>
        </is>
      </c>
      <c r="B1010" s="1" t="n">
        <v>45751.34700231482</v>
      </c>
      <c r="C1010" s="1" t="n">
        <v>46075</v>
      </c>
      <c r="D1010" t="inlineStr">
        <is>
          <t>VÄSTERNORRLANDS LÄN</t>
        </is>
      </c>
      <c r="E1010" t="inlineStr">
        <is>
          <t>SOLLEFTEÅ</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40754-2025</t>
        </is>
      </c>
      <c r="B1011" s="1" t="n">
        <v>45897.38653935185</v>
      </c>
      <c r="C1011" s="1" t="n">
        <v>46075</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40651-2025</t>
        </is>
      </c>
      <c r="B1012" s="1" t="n">
        <v>45896.63585648148</v>
      </c>
      <c r="C1012" s="1" t="n">
        <v>46075</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31423-2025</t>
        </is>
      </c>
      <c r="B1013" s="1" t="n">
        <v>45833.48957175926</v>
      </c>
      <c r="C1013" s="1" t="n">
        <v>46075</v>
      </c>
      <c r="D1013" t="inlineStr">
        <is>
          <t>VÄSTERNORRLANDS LÄN</t>
        </is>
      </c>
      <c r="E1013" t="inlineStr">
        <is>
          <t>SOLLEFTEÅ</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31306-2025</t>
        </is>
      </c>
      <c r="B1014" s="1" t="n">
        <v>45833</v>
      </c>
      <c r="C1014" s="1" t="n">
        <v>46075</v>
      </c>
      <c r="D1014" t="inlineStr">
        <is>
          <t>VÄSTERNORRLANDS LÄN</t>
        </is>
      </c>
      <c r="E1014" t="inlineStr">
        <is>
          <t>SOLLEFTEÅ</t>
        </is>
      </c>
      <c r="F1014" t="inlineStr">
        <is>
          <t>SCA</t>
        </is>
      </c>
      <c r="G1014" t="n">
        <v>19.3</v>
      </c>
      <c r="H1014" t="n">
        <v>0</v>
      </c>
      <c r="I1014" t="n">
        <v>0</v>
      </c>
      <c r="J1014" t="n">
        <v>0</v>
      </c>
      <c r="K1014" t="n">
        <v>0</v>
      </c>
      <c r="L1014" t="n">
        <v>0</v>
      </c>
      <c r="M1014" t="n">
        <v>0</v>
      </c>
      <c r="N1014" t="n">
        <v>0</v>
      </c>
      <c r="O1014" t="n">
        <v>0</v>
      </c>
      <c r="P1014" t="n">
        <v>0</v>
      </c>
      <c r="Q1014" t="n">
        <v>0</v>
      </c>
      <c r="R1014" s="2" t="inlineStr"/>
    </row>
    <row r="1015" ht="15" customHeight="1">
      <c r="A1015" t="inlineStr">
        <is>
          <t>A 31337-2025</t>
        </is>
      </c>
      <c r="B1015" s="1" t="n">
        <v>45833.42751157407</v>
      </c>
      <c r="C1015" s="1" t="n">
        <v>46075</v>
      </c>
      <c r="D1015" t="inlineStr">
        <is>
          <t>VÄSTERNORRLANDS LÄN</t>
        </is>
      </c>
      <c r="E1015" t="inlineStr">
        <is>
          <t>SOLLEFTEÅ</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40662-2025</t>
        </is>
      </c>
      <c r="B1016" s="1" t="n">
        <v>45896.6487037037</v>
      </c>
      <c r="C1016" s="1" t="n">
        <v>46075</v>
      </c>
      <c r="D1016" t="inlineStr">
        <is>
          <t>VÄSTERNORRLANDS LÄN</t>
        </is>
      </c>
      <c r="E1016" t="inlineStr">
        <is>
          <t>SOLLEFTEÅ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5111-2022</t>
        </is>
      </c>
      <c r="B1017" s="1" t="n">
        <v>44593.92144675926</v>
      </c>
      <c r="C1017" s="1" t="n">
        <v>46075</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41502-2025</t>
        </is>
      </c>
      <c r="B1018" s="1" t="n">
        <v>45901</v>
      </c>
      <c r="C1018" s="1" t="n">
        <v>46075</v>
      </c>
      <c r="D1018" t="inlineStr">
        <is>
          <t>VÄSTERNORRLANDS LÄN</t>
        </is>
      </c>
      <c r="E1018" t="inlineStr">
        <is>
          <t>SOLLEFTEÅ</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31545-2025</t>
        </is>
      </c>
      <c r="B1019" s="1" t="n">
        <v>45833.63615740741</v>
      </c>
      <c r="C1019" s="1" t="n">
        <v>46075</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41305-2025</t>
        </is>
      </c>
      <c r="B1020" s="1" t="n">
        <v>45898.69850694444</v>
      </c>
      <c r="C1020" s="1" t="n">
        <v>46075</v>
      </c>
      <c r="D1020" t="inlineStr">
        <is>
          <t>VÄSTERNORRLANDS LÄN</t>
        </is>
      </c>
      <c r="E1020" t="inlineStr">
        <is>
          <t>SOLLEFTEÅ</t>
        </is>
      </c>
      <c r="F1020" t="inlineStr">
        <is>
          <t>SCA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29246-2025</t>
        </is>
      </c>
      <c r="B1021" s="1" t="n">
        <v>45824</v>
      </c>
      <c r="C1021" s="1" t="n">
        <v>46075</v>
      </c>
      <c r="D1021" t="inlineStr">
        <is>
          <t>VÄSTERNORRLANDS LÄN</t>
        </is>
      </c>
      <c r="E1021" t="inlineStr">
        <is>
          <t>SOLLEFTEÅ</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31432-2025</t>
        </is>
      </c>
      <c r="B1022" s="1" t="n">
        <v>45833.49442129629</v>
      </c>
      <c r="C1022" s="1" t="n">
        <v>46075</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41513-2025</t>
        </is>
      </c>
      <c r="B1023" s="1" t="n">
        <v>45901.54069444445</v>
      </c>
      <c r="C1023" s="1" t="n">
        <v>46075</v>
      </c>
      <c r="D1023" t="inlineStr">
        <is>
          <t>VÄSTERNORRLANDS LÄN</t>
        </is>
      </c>
      <c r="E1023" t="inlineStr">
        <is>
          <t>SOLLEFTEÅ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42160-2023</t>
        </is>
      </c>
      <c r="B1024" s="1" t="n">
        <v>45177</v>
      </c>
      <c r="C1024" s="1" t="n">
        <v>46075</v>
      </c>
      <c r="D1024" t="inlineStr">
        <is>
          <t>VÄSTERNORRLANDS LÄN</t>
        </is>
      </c>
      <c r="E1024" t="inlineStr">
        <is>
          <t>SOLLEFTEÅ</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18795-2025</t>
        </is>
      </c>
      <c r="B1025" s="1" t="n">
        <v>45764.34564814815</v>
      </c>
      <c r="C1025" s="1" t="n">
        <v>46075</v>
      </c>
      <c r="D1025" t="inlineStr">
        <is>
          <t>VÄSTERNORRLANDS LÄN</t>
        </is>
      </c>
      <c r="E1025" t="inlineStr">
        <is>
          <t>SOLLEFTEÅ</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41543-2025</t>
        </is>
      </c>
      <c r="B1026" s="1" t="n">
        <v>45901.57386574074</v>
      </c>
      <c r="C1026" s="1" t="n">
        <v>46075</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31304-2025</t>
        </is>
      </c>
      <c r="B1027" s="1" t="n">
        <v>45833.38600694444</v>
      </c>
      <c r="C1027" s="1" t="n">
        <v>46075</v>
      </c>
      <c r="D1027" t="inlineStr">
        <is>
          <t>VÄSTERNORRLANDS LÄN</t>
        </is>
      </c>
      <c r="E1027" t="inlineStr">
        <is>
          <t>SOLLEFTEÅ</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41456-2022</t>
        </is>
      </c>
      <c r="B1028" s="1" t="n">
        <v>44826</v>
      </c>
      <c r="C1028" s="1" t="n">
        <v>46075</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31338-2025</t>
        </is>
      </c>
      <c r="B1029" s="1" t="n">
        <v>45833.42768518518</v>
      </c>
      <c r="C1029" s="1" t="n">
        <v>46075</v>
      </c>
      <c r="D1029" t="inlineStr">
        <is>
          <t>VÄSTERNORRLANDS LÄN</t>
        </is>
      </c>
      <c r="E1029" t="inlineStr">
        <is>
          <t>SOLLEFTEÅ</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31437-2025</t>
        </is>
      </c>
      <c r="B1030" s="1" t="n">
        <v>45833.49855324074</v>
      </c>
      <c r="C1030" s="1" t="n">
        <v>46075</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43845-2024</t>
        </is>
      </c>
      <c r="B1031" s="1" t="n">
        <v>45572.34483796296</v>
      </c>
      <c r="C1031" s="1" t="n">
        <v>46075</v>
      </c>
      <c r="D1031" t="inlineStr">
        <is>
          <t>VÄSTERNORRLANDS LÄN</t>
        </is>
      </c>
      <c r="E1031" t="inlineStr">
        <is>
          <t>SOLLEFTEÅ</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20599-2023</t>
        </is>
      </c>
      <c r="B1032" s="1" t="n">
        <v>45057.94172453704</v>
      </c>
      <c r="C1032" s="1" t="n">
        <v>46075</v>
      </c>
      <c r="D1032" t="inlineStr">
        <is>
          <t>VÄSTERNORRLANDS LÄN</t>
        </is>
      </c>
      <c r="E1032" t="inlineStr">
        <is>
          <t>SOLLEFTEÅ</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31479-2025</t>
        </is>
      </c>
      <c r="B1033" s="1" t="n">
        <v>45833.57333333333</v>
      </c>
      <c r="C1033" s="1" t="n">
        <v>46075</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16670-2022</t>
        </is>
      </c>
      <c r="B1034" s="1" t="n">
        <v>44672.93802083333</v>
      </c>
      <c r="C1034" s="1" t="n">
        <v>46075</v>
      </c>
      <c r="D1034" t="inlineStr">
        <is>
          <t>VÄSTERNORRLANDS LÄN</t>
        </is>
      </c>
      <c r="E1034" t="inlineStr">
        <is>
          <t>SOLLEFTEÅ</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53325-2024</t>
        </is>
      </c>
      <c r="B1035" s="1" t="n">
        <v>45614.41177083334</v>
      </c>
      <c r="C1035" s="1" t="n">
        <v>46075</v>
      </c>
      <c r="D1035" t="inlineStr">
        <is>
          <t>VÄSTERNORRLANDS LÄN</t>
        </is>
      </c>
      <c r="E1035" t="inlineStr">
        <is>
          <t>SOLLEFTEÅ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35420-2024</t>
        </is>
      </c>
      <c r="B1036" s="1" t="n">
        <v>45531</v>
      </c>
      <c r="C1036" s="1" t="n">
        <v>46075</v>
      </c>
      <c r="D1036" t="inlineStr">
        <is>
          <t>VÄSTERNORRLANDS LÄN</t>
        </is>
      </c>
      <c r="E1036" t="inlineStr">
        <is>
          <t>SOLLEFTEÅ</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41001-2025</t>
        </is>
      </c>
      <c r="B1037" s="1" t="n">
        <v>45898</v>
      </c>
      <c r="C1037" s="1" t="n">
        <v>46075</v>
      </c>
      <c r="D1037" t="inlineStr">
        <is>
          <t>VÄSTERNORRLANDS LÄN</t>
        </is>
      </c>
      <c r="E1037" t="inlineStr">
        <is>
          <t>SOLLEFTEÅ</t>
        </is>
      </c>
      <c r="F1037" t="inlineStr">
        <is>
          <t>SCA</t>
        </is>
      </c>
      <c r="G1037" t="n">
        <v>18.3</v>
      </c>
      <c r="H1037" t="n">
        <v>0</v>
      </c>
      <c r="I1037" t="n">
        <v>0</v>
      </c>
      <c r="J1037" t="n">
        <v>0</v>
      </c>
      <c r="K1037" t="n">
        <v>0</v>
      </c>
      <c r="L1037" t="n">
        <v>0</v>
      </c>
      <c r="M1037" t="n">
        <v>0</v>
      </c>
      <c r="N1037" t="n">
        <v>0</v>
      </c>
      <c r="O1037" t="n">
        <v>0</v>
      </c>
      <c r="P1037" t="n">
        <v>0</v>
      </c>
      <c r="Q1037" t="n">
        <v>0</v>
      </c>
      <c r="R1037" s="2" t="inlineStr"/>
    </row>
    <row r="1038" ht="15" customHeight="1">
      <c r="A1038" t="inlineStr">
        <is>
          <t>A 32271-2025</t>
        </is>
      </c>
      <c r="B1038" s="1" t="n">
        <v>45835.65662037037</v>
      </c>
      <c r="C1038" s="1" t="n">
        <v>46075</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41617-2025</t>
        </is>
      </c>
      <c r="B1039" s="1" t="n">
        <v>45901.69834490741</v>
      </c>
      <c r="C1039" s="1" t="n">
        <v>46075</v>
      </c>
      <c r="D1039" t="inlineStr">
        <is>
          <t>VÄSTERNORRLANDS LÄN</t>
        </is>
      </c>
      <c r="E1039" t="inlineStr">
        <is>
          <t>SOLLEFTEÅ</t>
        </is>
      </c>
      <c r="F1039" t="inlineStr">
        <is>
          <t>SCA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32291-2025</t>
        </is>
      </c>
      <c r="B1040" s="1" t="n">
        <v>45835.69961805556</v>
      </c>
      <c r="C1040" s="1" t="n">
        <v>46075</v>
      </c>
      <c r="D1040" t="inlineStr">
        <is>
          <t>VÄSTERNORRLANDS LÄN</t>
        </is>
      </c>
      <c r="E1040" t="inlineStr">
        <is>
          <t>SOLLEFTEÅ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35147-2023</t>
        </is>
      </c>
      <c r="B1041" s="1" t="n">
        <v>45142</v>
      </c>
      <c r="C1041" s="1" t="n">
        <v>46075</v>
      </c>
      <c r="D1041" t="inlineStr">
        <is>
          <t>VÄSTERNORRLANDS LÄN</t>
        </is>
      </c>
      <c r="E1041" t="inlineStr">
        <is>
          <t>SOLLEFTEÅ</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40997-2025</t>
        </is>
      </c>
      <c r="B1042" s="1" t="n">
        <v>45898.34453703704</v>
      </c>
      <c r="C1042" s="1" t="n">
        <v>46075</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41449-2025</t>
        </is>
      </c>
      <c r="B1043" s="1" t="n">
        <v>45901.42787037037</v>
      </c>
      <c r="C1043" s="1" t="n">
        <v>46075</v>
      </c>
      <c r="D1043" t="inlineStr">
        <is>
          <t>VÄSTERNORRLANDS LÄN</t>
        </is>
      </c>
      <c r="E1043" t="inlineStr">
        <is>
          <t>SOLLEFTEÅ</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41472-2025</t>
        </is>
      </c>
      <c r="B1044" s="1" t="n">
        <v>45901.4693287037</v>
      </c>
      <c r="C1044" s="1" t="n">
        <v>46075</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41494-2025</t>
        </is>
      </c>
      <c r="B1045" s="1" t="n">
        <v>45901</v>
      </c>
      <c r="C1045" s="1" t="n">
        <v>46075</v>
      </c>
      <c r="D1045" t="inlineStr">
        <is>
          <t>VÄSTERNORRLANDS LÄN</t>
        </is>
      </c>
      <c r="E1045" t="inlineStr">
        <is>
          <t>SOLLEFTEÅ</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25795-2023</t>
        </is>
      </c>
      <c r="B1046" s="1" t="n">
        <v>45085</v>
      </c>
      <c r="C1046" s="1" t="n">
        <v>46075</v>
      </c>
      <c r="D1046" t="inlineStr">
        <is>
          <t>VÄSTERNORRLANDS LÄN</t>
        </is>
      </c>
      <c r="E1046" t="inlineStr">
        <is>
          <t>SOLLEFTEÅ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32280-2025</t>
        </is>
      </c>
      <c r="B1047" s="1" t="n">
        <v>45835.67638888889</v>
      </c>
      <c r="C1047" s="1" t="n">
        <v>46075</v>
      </c>
      <c r="D1047" t="inlineStr">
        <is>
          <t>VÄSTERNORRLANDS LÄN</t>
        </is>
      </c>
      <c r="E1047" t="inlineStr">
        <is>
          <t>SOLLEFTEÅ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4623-2023</t>
        </is>
      </c>
      <c r="B1048" s="1" t="n">
        <v>44956.94013888889</v>
      </c>
      <c r="C1048" s="1" t="n">
        <v>46075</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32069-2025</t>
        </is>
      </c>
      <c r="B1049" s="1" t="n">
        <v>45835.4487037037</v>
      </c>
      <c r="C1049" s="1" t="n">
        <v>46075</v>
      </c>
      <c r="D1049" t="inlineStr">
        <is>
          <t>VÄSTERNORRLANDS LÄN</t>
        </is>
      </c>
      <c r="E1049" t="inlineStr">
        <is>
          <t>SOLLEFTEÅ</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17682-2025</t>
        </is>
      </c>
      <c r="B1050" s="1" t="n">
        <v>45758</v>
      </c>
      <c r="C1050" s="1" t="n">
        <v>46075</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42631-2024</t>
        </is>
      </c>
      <c r="B1051" s="1" t="n">
        <v>45565</v>
      </c>
      <c r="C1051" s="1" t="n">
        <v>46075</v>
      </c>
      <c r="D1051" t="inlineStr">
        <is>
          <t>VÄSTERNORRLANDS LÄN</t>
        </is>
      </c>
      <c r="E1051" t="inlineStr">
        <is>
          <t>SOLLEFTEÅ</t>
        </is>
      </c>
      <c r="F1051" t="inlineStr">
        <is>
          <t>Holmen skog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32139-2025</t>
        </is>
      </c>
      <c r="B1052" s="1" t="n">
        <v>45835</v>
      </c>
      <c r="C1052" s="1" t="n">
        <v>46075</v>
      </c>
      <c r="D1052" t="inlineStr">
        <is>
          <t>VÄSTERNORRLANDS LÄN</t>
        </is>
      </c>
      <c r="E1052" t="inlineStr">
        <is>
          <t>SOLLEFTEÅ</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3080-2025</t>
        </is>
      </c>
      <c r="B1053" s="1" t="n">
        <v>45678</v>
      </c>
      <c r="C1053" s="1" t="n">
        <v>46075</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32073-2025</t>
        </is>
      </c>
      <c r="B1054" s="1" t="n">
        <v>45835.44931712963</v>
      </c>
      <c r="C1054" s="1" t="n">
        <v>46075</v>
      </c>
      <c r="D1054" t="inlineStr">
        <is>
          <t>VÄSTERNORRLANDS LÄN</t>
        </is>
      </c>
      <c r="E1054" t="inlineStr">
        <is>
          <t>SOLLEFTEÅ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41540-2025</t>
        </is>
      </c>
      <c r="B1055" s="1" t="n">
        <v>45901.56833333334</v>
      </c>
      <c r="C1055" s="1" t="n">
        <v>46075</v>
      </c>
      <c r="D1055" t="inlineStr">
        <is>
          <t>VÄSTERNORRLANDS LÄN</t>
        </is>
      </c>
      <c r="E1055" t="inlineStr">
        <is>
          <t>SOLLEFTEÅ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28658-2025</t>
        </is>
      </c>
      <c r="B1056" s="1" t="n">
        <v>45819</v>
      </c>
      <c r="C1056" s="1" t="n">
        <v>46075</v>
      </c>
      <c r="D1056" t="inlineStr">
        <is>
          <t>VÄSTERNORRLANDS LÄN</t>
        </is>
      </c>
      <c r="E1056" t="inlineStr">
        <is>
          <t>SOLLEFTEÅ</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56256-2023</t>
        </is>
      </c>
      <c r="B1057" s="1" t="n">
        <v>45240</v>
      </c>
      <c r="C1057" s="1" t="n">
        <v>46075</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41473-2025</t>
        </is>
      </c>
      <c r="B1058" s="1" t="n">
        <v>45901.46952546296</v>
      </c>
      <c r="C1058" s="1" t="n">
        <v>46075</v>
      </c>
      <c r="D1058" t="inlineStr">
        <is>
          <t>VÄSTERNORRLANDS LÄN</t>
        </is>
      </c>
      <c r="E1058" t="inlineStr">
        <is>
          <t>SOLLEFTEÅ</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12355-2025</t>
        </is>
      </c>
      <c r="B1059" s="1" t="n">
        <v>45730.36490740741</v>
      </c>
      <c r="C1059" s="1" t="n">
        <v>46075</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32029-2025</t>
        </is>
      </c>
      <c r="B1060" s="1" t="n">
        <v>45835.40788194445</v>
      </c>
      <c r="C1060" s="1" t="n">
        <v>46075</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32112-2025</t>
        </is>
      </c>
      <c r="B1061" s="1" t="n">
        <v>45835.48392361111</v>
      </c>
      <c r="C1061" s="1" t="n">
        <v>46075</v>
      </c>
      <c r="D1061" t="inlineStr">
        <is>
          <t>VÄSTERNORRLANDS LÄN</t>
        </is>
      </c>
      <c r="E1061" t="inlineStr">
        <is>
          <t>SOLLEFTEÅ</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44407-2023</t>
        </is>
      </c>
      <c r="B1062" s="1" t="n">
        <v>45188.9465625</v>
      </c>
      <c r="C1062" s="1" t="n">
        <v>46075</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44408-2023</t>
        </is>
      </c>
      <c r="B1063" s="1" t="n">
        <v>45188.94663194445</v>
      </c>
      <c r="C1063" s="1" t="n">
        <v>46075</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42064-2025</t>
        </is>
      </c>
      <c r="B1064" s="1" t="n">
        <v>45903.6527199074</v>
      </c>
      <c r="C1064" s="1" t="n">
        <v>46075</v>
      </c>
      <c r="D1064" t="inlineStr">
        <is>
          <t>VÄSTERNORRLANDS LÄN</t>
        </is>
      </c>
      <c r="E1064" t="inlineStr">
        <is>
          <t>SOLLEFTEÅ</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41925-2025</t>
        </is>
      </c>
      <c r="B1065" s="1" t="n">
        <v>45903.4275</v>
      </c>
      <c r="C1065" s="1" t="n">
        <v>46075</v>
      </c>
      <c r="D1065" t="inlineStr">
        <is>
          <t>VÄSTERNORRLANDS LÄN</t>
        </is>
      </c>
      <c r="E1065" t="inlineStr">
        <is>
          <t>SOLLEFTEÅ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36139-2024</t>
        </is>
      </c>
      <c r="B1066" s="1" t="n">
        <v>45534.35474537037</v>
      </c>
      <c r="C1066" s="1" t="n">
        <v>46075</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42081-2025</t>
        </is>
      </c>
      <c r="B1067" s="1" t="n">
        <v>45902</v>
      </c>
      <c r="C1067" s="1" t="n">
        <v>46075</v>
      </c>
      <c r="D1067" t="inlineStr">
        <is>
          <t>VÄSTERNORRLANDS LÄN</t>
        </is>
      </c>
      <c r="E1067" t="inlineStr">
        <is>
          <t>SOLLEFTEÅ</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41948-2025</t>
        </is>
      </c>
      <c r="B1068" s="1" t="n">
        <v>45903.45092592593</v>
      </c>
      <c r="C1068" s="1" t="n">
        <v>46075</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31801-2025</t>
        </is>
      </c>
      <c r="B1069" s="1" t="n">
        <v>45834.55290509259</v>
      </c>
      <c r="C1069" s="1" t="n">
        <v>46075</v>
      </c>
      <c r="D1069" t="inlineStr">
        <is>
          <t>VÄSTERNORRLANDS LÄN</t>
        </is>
      </c>
      <c r="E1069" t="inlineStr">
        <is>
          <t>SOLLEFTEÅ</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31665-2025</t>
        </is>
      </c>
      <c r="B1070" s="1" t="n">
        <v>45834.36497685185</v>
      </c>
      <c r="C1070" s="1" t="n">
        <v>46075</v>
      </c>
      <c r="D1070" t="inlineStr">
        <is>
          <t>VÄSTERNORRLANDS LÄN</t>
        </is>
      </c>
      <c r="E1070" t="inlineStr">
        <is>
          <t>SOLLEFTEÅ</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31963-2025</t>
        </is>
      </c>
      <c r="B1071" s="1" t="n">
        <v>45835.34480324074</v>
      </c>
      <c r="C1071" s="1" t="n">
        <v>46075</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41829-2025</t>
        </is>
      </c>
      <c r="B1072" s="1" t="n">
        <v>45902</v>
      </c>
      <c r="C1072" s="1" t="n">
        <v>46075</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23282-2022</t>
        </is>
      </c>
      <c r="B1073" s="1" t="n">
        <v>44720</v>
      </c>
      <c r="C1073" s="1" t="n">
        <v>46075</v>
      </c>
      <c r="D1073" t="inlineStr">
        <is>
          <t>VÄSTERNORRLANDS LÄN</t>
        </is>
      </c>
      <c r="E1073" t="inlineStr">
        <is>
          <t>SOLLEFTEÅ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32749-2025</t>
        </is>
      </c>
      <c r="B1074" s="1" t="n">
        <v>45839.42834490741</v>
      </c>
      <c r="C1074" s="1" t="n">
        <v>46075</v>
      </c>
      <c r="D1074" t="inlineStr">
        <is>
          <t>VÄSTERNORRLANDS LÄN</t>
        </is>
      </c>
      <c r="E1074" t="inlineStr">
        <is>
          <t>SOLLEFTEÅ</t>
        </is>
      </c>
      <c r="F1074" t="inlineStr">
        <is>
          <t>SCA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32745-2025</t>
        </is>
      </c>
      <c r="B1075" s="1" t="n">
        <v>45839.42753472222</v>
      </c>
      <c r="C1075" s="1" t="n">
        <v>46075</v>
      </c>
      <c r="D1075" t="inlineStr">
        <is>
          <t>VÄSTERNORRLANDS LÄN</t>
        </is>
      </c>
      <c r="E1075" t="inlineStr">
        <is>
          <t>SOLLEFTEÅ</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42041-2025</t>
        </is>
      </c>
      <c r="B1076" s="1" t="n">
        <v>45903.61568287037</v>
      </c>
      <c r="C1076" s="1" t="n">
        <v>46075</v>
      </c>
      <c r="D1076" t="inlineStr">
        <is>
          <t>VÄSTERNORRLANDS LÄN</t>
        </is>
      </c>
      <c r="E1076" t="inlineStr">
        <is>
          <t>SOLLEFTEÅ</t>
        </is>
      </c>
      <c r="F1076" t="inlineStr">
        <is>
          <t>SCA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6066-2024</t>
        </is>
      </c>
      <c r="B1077" s="1" t="n">
        <v>45336.88386574074</v>
      </c>
      <c r="C1077" s="1" t="n">
        <v>46075</v>
      </c>
      <c r="D1077" t="inlineStr">
        <is>
          <t>VÄSTERNORRLANDS LÄN</t>
        </is>
      </c>
      <c r="E1077" t="inlineStr">
        <is>
          <t>SOLLEFTEÅ</t>
        </is>
      </c>
      <c r="F1077" t="inlineStr">
        <is>
          <t>Övriga Aktiebolag</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32346-2025</t>
        </is>
      </c>
      <c r="B1078" s="1" t="n">
        <v>45837.44827546296</v>
      </c>
      <c r="C1078" s="1" t="n">
        <v>46075</v>
      </c>
      <c r="D1078" t="inlineStr">
        <is>
          <t>VÄSTERNORRLANDS LÄN</t>
        </is>
      </c>
      <c r="E1078" t="inlineStr">
        <is>
          <t>SOLLEFTEÅ</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32338-2025</t>
        </is>
      </c>
      <c r="B1079" s="1" t="n">
        <v>45836.67751157407</v>
      </c>
      <c r="C1079" s="1" t="n">
        <v>46075</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42199-2025</t>
        </is>
      </c>
      <c r="B1080" s="1" t="n">
        <v>45904.48640046296</v>
      </c>
      <c r="C1080" s="1" t="n">
        <v>46075</v>
      </c>
      <c r="D1080" t="inlineStr">
        <is>
          <t>VÄSTERNORRLANDS LÄN</t>
        </is>
      </c>
      <c r="E1080" t="inlineStr">
        <is>
          <t>SOLLEFTEÅ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31428-2025</t>
        </is>
      </c>
      <c r="B1081" s="1" t="n">
        <v>45833.4930787037</v>
      </c>
      <c r="C1081" s="1" t="n">
        <v>46075</v>
      </c>
      <c r="D1081" t="inlineStr">
        <is>
          <t>VÄSTERNORRLANDS LÄN</t>
        </is>
      </c>
      <c r="E1081" t="inlineStr">
        <is>
          <t>SOLLEFTEÅ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42396-2025</t>
        </is>
      </c>
      <c r="B1082" s="1" t="n">
        <v>45905.36559027778</v>
      </c>
      <c r="C1082" s="1" t="n">
        <v>46075</v>
      </c>
      <c r="D1082" t="inlineStr">
        <is>
          <t>VÄSTERNORRLANDS LÄN</t>
        </is>
      </c>
      <c r="E1082" t="inlineStr">
        <is>
          <t>SOLLEFTEÅ</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46765-2024</t>
        </is>
      </c>
      <c r="B1083" s="1" t="n">
        <v>45583.49491898148</v>
      </c>
      <c r="C1083" s="1" t="n">
        <v>46075</v>
      </c>
      <c r="D1083" t="inlineStr">
        <is>
          <t>VÄSTERNORRLANDS LÄN</t>
        </is>
      </c>
      <c r="E1083" t="inlineStr">
        <is>
          <t>SOLLEFTEÅ</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32537-2025</t>
        </is>
      </c>
      <c r="B1084" s="1" t="n">
        <v>45838.49689814815</v>
      </c>
      <c r="C1084" s="1" t="n">
        <v>46075</v>
      </c>
      <c r="D1084" t="inlineStr">
        <is>
          <t>VÄSTERNORRLANDS LÄN</t>
        </is>
      </c>
      <c r="E1084" t="inlineStr">
        <is>
          <t>SOLLEFTEÅ</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21349-2023</t>
        </is>
      </c>
      <c r="B1085" s="1" t="n">
        <v>45062.9390625</v>
      </c>
      <c r="C1085" s="1" t="n">
        <v>46075</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25259-2023</t>
        </is>
      </c>
      <c r="B1086" s="1" t="n">
        <v>45079</v>
      </c>
      <c r="C1086" s="1" t="n">
        <v>46075</v>
      </c>
      <c r="D1086" t="inlineStr">
        <is>
          <t>VÄSTERNORRLANDS LÄN</t>
        </is>
      </c>
      <c r="E1086" t="inlineStr">
        <is>
          <t>SOLLEFTEÅ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42127-2025</t>
        </is>
      </c>
      <c r="B1087" s="1" t="n">
        <v>45904.34502314815</v>
      </c>
      <c r="C1087" s="1" t="n">
        <v>46075</v>
      </c>
      <c r="D1087" t="inlineStr">
        <is>
          <t>VÄSTERNORRLANDS LÄN</t>
        </is>
      </c>
      <c r="E1087" t="inlineStr">
        <is>
          <t>SOLLEFTEÅ</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32071-2024</t>
        </is>
      </c>
      <c r="B1088" s="1" t="n">
        <v>45510.97246527778</v>
      </c>
      <c r="C1088" s="1" t="n">
        <v>46075</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58694-2024</t>
        </is>
      </c>
      <c r="B1089" s="1" t="n">
        <v>45635.63575231482</v>
      </c>
      <c r="C1089" s="1" t="n">
        <v>46075</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42192-2025</t>
        </is>
      </c>
      <c r="B1090" s="1" t="n">
        <v>45904.47975694444</v>
      </c>
      <c r="C1090" s="1" t="n">
        <v>46075</v>
      </c>
      <c r="D1090" t="inlineStr">
        <is>
          <t>VÄSTERNORRLANDS LÄN</t>
        </is>
      </c>
      <c r="E1090" t="inlineStr">
        <is>
          <t>SOLLEFTEÅ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42191-2025</t>
        </is>
      </c>
      <c r="B1091" s="1" t="n">
        <v>45904.47394675926</v>
      </c>
      <c r="C1091" s="1" t="n">
        <v>46075</v>
      </c>
      <c r="D1091" t="inlineStr">
        <is>
          <t>VÄSTERNORRLANDS LÄN</t>
        </is>
      </c>
      <c r="E1091" t="inlineStr">
        <is>
          <t>SOLLEFTEÅ</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42201-2025</t>
        </is>
      </c>
      <c r="B1092" s="1" t="n">
        <v>45904.48965277777</v>
      </c>
      <c r="C1092" s="1" t="n">
        <v>46075</v>
      </c>
      <c r="D1092" t="inlineStr">
        <is>
          <t>VÄSTERNORRLANDS LÄN</t>
        </is>
      </c>
      <c r="E1092" t="inlineStr">
        <is>
          <t>SOLLEFTEÅ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13257-2025</t>
        </is>
      </c>
      <c r="B1093" s="1" t="n">
        <v>45735.51075231482</v>
      </c>
      <c r="C1093" s="1" t="n">
        <v>46075</v>
      </c>
      <c r="D1093" t="inlineStr">
        <is>
          <t>VÄSTERNORRLANDS LÄN</t>
        </is>
      </c>
      <c r="E1093" t="inlineStr">
        <is>
          <t>SOLLEFTEÅ</t>
        </is>
      </c>
      <c r="F1093" t="inlineStr">
        <is>
          <t>SCA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42733-2025</t>
        </is>
      </c>
      <c r="B1094" s="1" t="n">
        <v>45908.4071875</v>
      </c>
      <c r="C1094" s="1" t="n">
        <v>46075</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42901-2025</t>
        </is>
      </c>
      <c r="B1095" s="1" t="n">
        <v>45908.67736111111</v>
      </c>
      <c r="C1095" s="1" t="n">
        <v>46075</v>
      </c>
      <c r="D1095" t="inlineStr">
        <is>
          <t>VÄSTERNORRLANDS LÄN</t>
        </is>
      </c>
      <c r="E1095" t="inlineStr">
        <is>
          <t>SOLLEFTEÅ</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42808-2025</t>
        </is>
      </c>
      <c r="B1096" s="1" t="n">
        <v>45908.55265046296</v>
      </c>
      <c r="C1096" s="1" t="n">
        <v>46075</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22166-2025</t>
        </is>
      </c>
      <c r="B1097" s="1" t="n">
        <v>45785.59480324074</v>
      </c>
      <c r="C1097" s="1" t="n">
        <v>46075</v>
      </c>
      <c r="D1097" t="inlineStr">
        <is>
          <t>VÄSTERNORRLANDS LÄN</t>
        </is>
      </c>
      <c r="E1097" t="inlineStr">
        <is>
          <t>SOLLEFTEÅ</t>
        </is>
      </c>
      <c r="F1097" t="inlineStr">
        <is>
          <t>SCA</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42778-2025</t>
        </is>
      </c>
      <c r="B1098" s="1" t="n">
        <v>45908</v>
      </c>
      <c r="C1098" s="1" t="n">
        <v>46075</v>
      </c>
      <c r="D1098" t="inlineStr">
        <is>
          <t>VÄSTERNORRLANDS LÄN</t>
        </is>
      </c>
      <c r="E1098" t="inlineStr">
        <is>
          <t>SOLLEFTEÅ</t>
        </is>
      </c>
      <c r="F1098" t="inlineStr">
        <is>
          <t>Holmen skog AB</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38283-2021</t>
        </is>
      </c>
      <c r="B1099" s="1" t="n">
        <v>44405</v>
      </c>
      <c r="C1099" s="1" t="n">
        <v>46075</v>
      </c>
      <c r="D1099" t="inlineStr">
        <is>
          <t>VÄSTERNORRLANDS LÄN</t>
        </is>
      </c>
      <c r="E1099" t="inlineStr">
        <is>
          <t>SOLLEFTEÅ</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32924-2024</t>
        </is>
      </c>
      <c r="B1100" s="1" t="n">
        <v>45516.95292824074</v>
      </c>
      <c r="C1100" s="1" t="n">
        <v>46075</v>
      </c>
      <c r="D1100" t="inlineStr">
        <is>
          <t>VÄSTERNORRLANDS LÄN</t>
        </is>
      </c>
      <c r="E1100" t="inlineStr">
        <is>
          <t>SOLLEFTEÅ</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48555-2021</t>
        </is>
      </c>
      <c r="B1101" s="1" t="n">
        <v>44452</v>
      </c>
      <c r="C1101" s="1" t="n">
        <v>46075</v>
      </c>
      <c r="D1101" t="inlineStr">
        <is>
          <t>VÄSTERNORRLANDS LÄN</t>
        </is>
      </c>
      <c r="E1101" t="inlineStr">
        <is>
          <t>SOLLEFTEÅ</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33502-2025</t>
        </is>
      </c>
      <c r="B1102" s="1" t="n">
        <v>45841.51101851852</v>
      </c>
      <c r="C1102" s="1" t="n">
        <v>46075</v>
      </c>
      <c r="D1102" t="inlineStr">
        <is>
          <t>VÄSTERNORRLANDS LÄN</t>
        </is>
      </c>
      <c r="E1102" t="inlineStr">
        <is>
          <t>SOLLEFTEÅ</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42806-2025</t>
        </is>
      </c>
      <c r="B1103" s="1" t="n">
        <v>45908</v>
      </c>
      <c r="C1103" s="1" t="n">
        <v>46075</v>
      </c>
      <c r="D1103" t="inlineStr">
        <is>
          <t>VÄSTERNORRLANDS LÄN</t>
        </is>
      </c>
      <c r="E1103" t="inlineStr">
        <is>
          <t>SOLLEFTEÅ</t>
        </is>
      </c>
      <c r="F1103" t="inlineStr">
        <is>
          <t>Holmen skog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62038-2024</t>
        </is>
      </c>
      <c r="B1104" s="1" t="n">
        <v>45656.34410879629</v>
      </c>
      <c r="C1104" s="1" t="n">
        <v>46075</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59407-2024</t>
        </is>
      </c>
      <c r="B1105" s="1" t="n">
        <v>45638.38917824074</v>
      </c>
      <c r="C1105" s="1" t="n">
        <v>46075</v>
      </c>
      <c r="D1105" t="inlineStr">
        <is>
          <t>VÄSTERNORRLANDS LÄN</t>
        </is>
      </c>
      <c r="E1105" t="inlineStr">
        <is>
          <t>SOLLEFTEÅ</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9163-2025</t>
        </is>
      </c>
      <c r="B1106" s="1" t="n">
        <v>45714.36503472222</v>
      </c>
      <c r="C1106" s="1" t="n">
        <v>46075</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33430-2025</t>
        </is>
      </c>
      <c r="B1107" s="1" t="n">
        <v>45841.44829861111</v>
      </c>
      <c r="C1107" s="1" t="n">
        <v>46075</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33436-2025</t>
        </is>
      </c>
      <c r="B1108" s="1" t="n">
        <v>45841.44898148148</v>
      </c>
      <c r="C1108" s="1" t="n">
        <v>46075</v>
      </c>
      <c r="D1108" t="inlineStr">
        <is>
          <t>VÄSTERNORRLANDS LÄN</t>
        </is>
      </c>
      <c r="E1108" t="inlineStr">
        <is>
          <t>SOLLEFTEÅ</t>
        </is>
      </c>
      <c r="F1108" t="inlineStr">
        <is>
          <t>SCA</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33437-2025</t>
        </is>
      </c>
      <c r="B1109" s="1" t="n">
        <v>45841.4502199074</v>
      </c>
      <c r="C1109" s="1" t="n">
        <v>46075</v>
      </c>
      <c r="D1109" t="inlineStr">
        <is>
          <t>VÄSTERNORRLANDS LÄN</t>
        </is>
      </c>
      <c r="E1109" t="inlineStr">
        <is>
          <t>SOLLEFTEÅ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48019-2024</t>
        </is>
      </c>
      <c r="B1110" s="1" t="n">
        <v>45589.47023148148</v>
      </c>
      <c r="C1110" s="1" t="n">
        <v>46075</v>
      </c>
      <c r="D1110" t="inlineStr">
        <is>
          <t>VÄSTERNORRLANDS LÄN</t>
        </is>
      </c>
      <c r="E1110" t="inlineStr">
        <is>
          <t>SOLLEFTEÅ</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33676-2025</t>
        </is>
      </c>
      <c r="B1111" s="1" t="n">
        <v>45841.67818287037</v>
      </c>
      <c r="C1111" s="1" t="n">
        <v>46075</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33013-2025</t>
        </is>
      </c>
      <c r="B1112" s="1" t="n">
        <v>45840.36518518518</v>
      </c>
      <c r="C1112" s="1" t="n">
        <v>46075</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8656-2024</t>
        </is>
      </c>
      <c r="B1113" s="1" t="n">
        <v>45356</v>
      </c>
      <c r="C1113" s="1" t="n">
        <v>46075</v>
      </c>
      <c r="D1113" t="inlineStr">
        <is>
          <t>VÄSTERNORRLANDS LÄN</t>
        </is>
      </c>
      <c r="E1113" t="inlineStr">
        <is>
          <t>SOLLEFTEÅ</t>
        </is>
      </c>
      <c r="F1113" t="inlineStr">
        <is>
          <t>SCA</t>
        </is>
      </c>
      <c r="G1113" t="n">
        <v>18.4</v>
      </c>
      <c r="H1113" t="n">
        <v>0</v>
      </c>
      <c r="I1113" t="n">
        <v>0</v>
      </c>
      <c r="J1113" t="n">
        <v>0</v>
      </c>
      <c r="K1113" t="n">
        <v>0</v>
      </c>
      <c r="L1113" t="n">
        <v>0</v>
      </c>
      <c r="M1113" t="n">
        <v>0</v>
      </c>
      <c r="N1113" t="n">
        <v>0</v>
      </c>
      <c r="O1113" t="n">
        <v>0</v>
      </c>
      <c r="P1113" t="n">
        <v>0</v>
      </c>
      <c r="Q1113" t="n">
        <v>0</v>
      </c>
      <c r="R1113" s="2" t="inlineStr"/>
    </row>
    <row r="1114" ht="15" customHeight="1">
      <c r="A1114" t="inlineStr">
        <is>
          <t>A 33607-2025</t>
        </is>
      </c>
      <c r="B1114" s="1" t="n">
        <v>45841.61521990741</v>
      </c>
      <c r="C1114" s="1" t="n">
        <v>46075</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33673-2025</t>
        </is>
      </c>
      <c r="B1115" s="1" t="n">
        <v>45841.67761574074</v>
      </c>
      <c r="C1115" s="1" t="n">
        <v>46075</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42697-2025</t>
        </is>
      </c>
      <c r="B1116" s="1" t="n">
        <v>45908.36498842593</v>
      </c>
      <c r="C1116" s="1" t="n">
        <v>46075</v>
      </c>
      <c r="D1116" t="inlineStr">
        <is>
          <t>VÄSTERNORRLANDS LÄN</t>
        </is>
      </c>
      <c r="E1116" t="inlineStr">
        <is>
          <t>SOLLEFTEÅ</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42789-2025</t>
        </is>
      </c>
      <c r="B1117" s="1" t="n">
        <v>45908</v>
      </c>
      <c r="C1117" s="1" t="n">
        <v>46075</v>
      </c>
      <c r="D1117" t="inlineStr">
        <is>
          <t>VÄSTERNORRLANDS LÄN</t>
        </is>
      </c>
      <c r="E1117" t="inlineStr">
        <is>
          <t>SOLLEFTEÅ</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33012-2025</t>
        </is>
      </c>
      <c r="B1118" s="1" t="n">
        <v>45840.36498842593</v>
      </c>
      <c r="C1118" s="1" t="n">
        <v>46075</v>
      </c>
      <c r="D1118" t="inlineStr">
        <is>
          <t>VÄSTERNORRLANDS LÄN</t>
        </is>
      </c>
      <c r="E1118" t="inlineStr">
        <is>
          <t>SOLLEFTEÅ</t>
        </is>
      </c>
      <c r="F1118" t="inlineStr">
        <is>
          <t>SCA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33675-2025</t>
        </is>
      </c>
      <c r="B1119" s="1" t="n">
        <v>45841.67796296296</v>
      </c>
      <c r="C1119" s="1" t="n">
        <v>46075</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43503-2025</t>
        </is>
      </c>
      <c r="B1120" s="1" t="n">
        <v>45911.55266203704</v>
      </c>
      <c r="C1120" s="1" t="n">
        <v>46075</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43462-2025</t>
        </is>
      </c>
      <c r="B1121" s="1" t="n">
        <v>45911.46943287037</v>
      </c>
      <c r="C1121" s="1" t="n">
        <v>46075</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33442-2025</t>
        </is>
      </c>
      <c r="B1122" s="1" t="n">
        <v>45841.46092592592</v>
      </c>
      <c r="C1122" s="1" t="n">
        <v>46075</v>
      </c>
      <c r="D1122" t="inlineStr">
        <is>
          <t>VÄSTERNORRLANDS LÄN</t>
        </is>
      </c>
      <c r="E1122" t="inlineStr">
        <is>
          <t>SOLLEFTEÅ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33674-2025</t>
        </is>
      </c>
      <c r="B1123" s="1" t="n">
        <v>45841.67770833334</v>
      </c>
      <c r="C1123" s="1" t="n">
        <v>46075</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43620-2025</t>
        </is>
      </c>
      <c r="B1124" s="1" t="n">
        <v>45911</v>
      </c>
      <c r="C1124" s="1" t="n">
        <v>46075</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33452-2025</t>
        </is>
      </c>
      <c r="B1125" s="1" t="n">
        <v>45841.46940972222</v>
      </c>
      <c r="C1125" s="1" t="n">
        <v>46075</v>
      </c>
      <c r="D1125" t="inlineStr">
        <is>
          <t>VÄSTERNORRLANDS LÄN</t>
        </is>
      </c>
      <c r="E1125" t="inlineStr">
        <is>
          <t>SOLLEFTEÅ</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33825-2025</t>
        </is>
      </c>
      <c r="B1126" s="1" t="n">
        <v>45842.46930555555</v>
      </c>
      <c r="C1126" s="1" t="n">
        <v>46075</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33855-2025</t>
        </is>
      </c>
      <c r="B1127" s="1" t="n">
        <v>45842.51125</v>
      </c>
      <c r="C1127" s="1" t="n">
        <v>46075</v>
      </c>
      <c r="D1127" t="inlineStr">
        <is>
          <t>VÄSTERNORRLANDS LÄN</t>
        </is>
      </c>
      <c r="E1127" t="inlineStr">
        <is>
          <t>SOLLEFTEÅ</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43603-2025</t>
        </is>
      </c>
      <c r="B1128" s="1" t="n">
        <v>45911</v>
      </c>
      <c r="C1128" s="1" t="n">
        <v>46075</v>
      </c>
      <c r="D1128" t="inlineStr">
        <is>
          <t>VÄSTERNORRLANDS LÄN</t>
        </is>
      </c>
      <c r="E1128" t="inlineStr">
        <is>
          <t>SOLLEFTEÅ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33739-2024</t>
        </is>
      </c>
      <c r="B1129" s="1" t="n">
        <v>45520.55943287037</v>
      </c>
      <c r="C1129" s="1" t="n">
        <v>46075</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25703-2024</t>
        </is>
      </c>
      <c r="B1130" s="1" t="n">
        <v>45463</v>
      </c>
      <c r="C1130" s="1" t="n">
        <v>46075</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25704-2024</t>
        </is>
      </c>
      <c r="B1131" s="1" t="n">
        <v>45463.94270833334</v>
      </c>
      <c r="C1131" s="1" t="n">
        <v>46075</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29459-2024</t>
        </is>
      </c>
      <c r="B1132" s="1" t="n">
        <v>45483.96939814815</v>
      </c>
      <c r="C1132" s="1" t="n">
        <v>46075</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33936-2025</t>
        </is>
      </c>
      <c r="B1133" s="1" t="n">
        <v>45842.63630787037</v>
      </c>
      <c r="C1133" s="1" t="n">
        <v>46075</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33917-2025</t>
        </is>
      </c>
      <c r="B1134" s="1" t="n">
        <v>45842.61491898148</v>
      </c>
      <c r="C1134" s="1" t="n">
        <v>46075</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43510-2025</t>
        </is>
      </c>
      <c r="B1135" s="1" t="n">
        <v>45911</v>
      </c>
      <c r="C1135" s="1" t="n">
        <v>46075</v>
      </c>
      <c r="D1135" t="inlineStr">
        <is>
          <t>VÄSTERNORRLANDS LÄN</t>
        </is>
      </c>
      <c r="E1135" t="inlineStr">
        <is>
          <t>SOLLEFTEÅ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48235-2024</t>
        </is>
      </c>
      <c r="B1136" s="1" t="n">
        <v>45590</v>
      </c>
      <c r="C1136" s="1" t="n">
        <v>46075</v>
      </c>
      <c r="D1136" t="inlineStr">
        <is>
          <t>VÄSTERNORRLANDS LÄN</t>
        </is>
      </c>
      <c r="E1136" t="inlineStr">
        <is>
          <t>SOLLEFTEÅ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43490-2025</t>
        </is>
      </c>
      <c r="B1137" s="1" t="n">
        <v>45911</v>
      </c>
      <c r="C1137" s="1" t="n">
        <v>46075</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3103-2025</t>
        </is>
      </c>
      <c r="B1138" s="1" t="n">
        <v>45678.67739583334</v>
      </c>
      <c r="C1138" s="1" t="n">
        <v>46075</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57078-2024</t>
        </is>
      </c>
      <c r="B1139" s="1" t="n">
        <v>45629.35518518519</v>
      </c>
      <c r="C1139" s="1" t="n">
        <v>46075</v>
      </c>
      <c r="D1139" t="inlineStr">
        <is>
          <t>VÄSTERNORRLANDS LÄN</t>
        </is>
      </c>
      <c r="E1139" t="inlineStr">
        <is>
          <t>SOLLEFTEÅ</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22444-2025</t>
        </is>
      </c>
      <c r="B1140" s="1" t="n">
        <v>45786</v>
      </c>
      <c r="C1140" s="1" t="n">
        <v>46075</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43863-2025</t>
        </is>
      </c>
      <c r="B1141" s="1" t="n">
        <v>45912.65672453704</v>
      </c>
      <c r="C1141" s="1" t="n">
        <v>46075</v>
      </c>
      <c r="D1141" t="inlineStr">
        <is>
          <t>VÄSTERNORRLANDS LÄN</t>
        </is>
      </c>
      <c r="E1141" t="inlineStr">
        <is>
          <t>SOLLEFTEÅ</t>
        </is>
      </c>
      <c r="F1141" t="inlineStr">
        <is>
          <t>SCA</t>
        </is>
      </c>
      <c r="G1141" t="n">
        <v>16.8</v>
      </c>
      <c r="H1141" t="n">
        <v>0</v>
      </c>
      <c r="I1141" t="n">
        <v>0</v>
      </c>
      <c r="J1141" t="n">
        <v>0</v>
      </c>
      <c r="K1141" t="n">
        <v>0</v>
      </c>
      <c r="L1141" t="n">
        <v>0</v>
      </c>
      <c r="M1141" t="n">
        <v>0</v>
      </c>
      <c r="N1141" t="n">
        <v>0</v>
      </c>
      <c r="O1141" t="n">
        <v>0</v>
      </c>
      <c r="P1141" t="n">
        <v>0</v>
      </c>
      <c r="Q1141" t="n">
        <v>0</v>
      </c>
      <c r="R1141" s="2" t="inlineStr"/>
    </row>
    <row r="1142" ht="15" customHeight="1">
      <c r="A1142" t="inlineStr">
        <is>
          <t>A 43980-2025</t>
        </is>
      </c>
      <c r="B1142" s="1" t="n">
        <v>45915.4221412037</v>
      </c>
      <c r="C1142" s="1" t="n">
        <v>46075</v>
      </c>
      <c r="D1142" t="inlineStr">
        <is>
          <t>VÄSTERNORRLANDS LÄN</t>
        </is>
      </c>
      <c r="E1142" t="inlineStr">
        <is>
          <t>SOLLEFTEÅ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53545-2024</t>
        </is>
      </c>
      <c r="B1143" s="1" t="n">
        <v>45614.6370949074</v>
      </c>
      <c r="C1143" s="1" t="n">
        <v>46075</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33935-2025</t>
        </is>
      </c>
      <c r="B1144" s="1" t="n">
        <v>45842.63614583333</v>
      </c>
      <c r="C1144" s="1" t="n">
        <v>46075</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34051-2025</t>
        </is>
      </c>
      <c r="B1145" s="1" t="n">
        <v>45845.40672453704</v>
      </c>
      <c r="C1145" s="1" t="n">
        <v>46075</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33852-2025</t>
        </is>
      </c>
      <c r="B1146" s="1" t="n">
        <v>45842.51079861111</v>
      </c>
      <c r="C1146" s="1" t="n">
        <v>46075</v>
      </c>
      <c r="D1146" t="inlineStr">
        <is>
          <t>VÄSTERNORRLANDS LÄN</t>
        </is>
      </c>
      <c r="E1146" t="inlineStr">
        <is>
          <t>SOLLEFTEÅ</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6068-2024</t>
        </is>
      </c>
      <c r="B1147" s="1" t="n">
        <v>45336.89725694444</v>
      </c>
      <c r="C1147" s="1" t="n">
        <v>46075</v>
      </c>
      <c r="D1147" t="inlineStr">
        <is>
          <t>VÄSTERNORRLANDS LÄN</t>
        </is>
      </c>
      <c r="E1147" t="inlineStr">
        <is>
          <t>SOLLEFTEÅ</t>
        </is>
      </c>
      <c r="F1147" t="inlineStr">
        <is>
          <t>Övriga Aktiebolag</t>
        </is>
      </c>
      <c r="G1147" t="n">
        <v>12.6</v>
      </c>
      <c r="H1147" t="n">
        <v>0</v>
      </c>
      <c r="I1147" t="n">
        <v>0</v>
      </c>
      <c r="J1147" t="n">
        <v>0</v>
      </c>
      <c r="K1147" t="n">
        <v>0</v>
      </c>
      <c r="L1147" t="n">
        <v>0</v>
      </c>
      <c r="M1147" t="n">
        <v>0</v>
      </c>
      <c r="N1147" t="n">
        <v>0</v>
      </c>
      <c r="O1147" t="n">
        <v>0</v>
      </c>
      <c r="P1147" t="n">
        <v>0</v>
      </c>
      <c r="Q1147" t="n">
        <v>0</v>
      </c>
      <c r="R1147" s="2" t="inlineStr"/>
    </row>
    <row r="1148" ht="15" customHeight="1">
      <c r="A1148" t="inlineStr">
        <is>
          <t>A 43879-2025</t>
        </is>
      </c>
      <c r="B1148" s="1" t="n">
        <v>45912.67804398148</v>
      </c>
      <c r="C1148" s="1" t="n">
        <v>46075</v>
      </c>
      <c r="D1148" t="inlineStr">
        <is>
          <t>VÄSTERNORRLANDS LÄN</t>
        </is>
      </c>
      <c r="E1148" t="inlineStr">
        <is>
          <t>SOLLEFTEÅ</t>
        </is>
      </c>
      <c r="F1148" t="inlineStr">
        <is>
          <t>SCA</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27025-2024</t>
        </is>
      </c>
      <c r="B1149" s="1" t="n">
        <v>45471.42071759259</v>
      </c>
      <c r="C1149" s="1" t="n">
        <v>46075</v>
      </c>
      <c r="D1149" t="inlineStr">
        <is>
          <t>VÄSTERNORRLANDS LÄN</t>
        </is>
      </c>
      <c r="E1149" t="inlineStr">
        <is>
          <t>SOLLEFTEÅ</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33957-2025</t>
        </is>
      </c>
      <c r="B1150" s="1" t="n">
        <v>45842.67762731481</v>
      </c>
      <c r="C1150" s="1" t="n">
        <v>46075</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34000-2025</t>
        </is>
      </c>
      <c r="B1151" s="1" t="n">
        <v>45844.37024305556</v>
      </c>
      <c r="C1151" s="1" t="n">
        <v>46075</v>
      </c>
      <c r="D1151" t="inlineStr">
        <is>
          <t>VÄSTERNORRLANDS LÄN</t>
        </is>
      </c>
      <c r="E1151" t="inlineStr">
        <is>
          <t>SOLLEFTEÅ</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33999-2025</t>
        </is>
      </c>
      <c r="B1152" s="1" t="n">
        <v>45844.36113425926</v>
      </c>
      <c r="C1152" s="1" t="n">
        <v>46075</v>
      </c>
      <c r="D1152" t="inlineStr">
        <is>
          <t>VÄSTERNORRLANDS LÄN</t>
        </is>
      </c>
      <c r="E1152" t="inlineStr">
        <is>
          <t>SOLLEFTEÅ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44241-2025</t>
        </is>
      </c>
      <c r="B1153" s="1" t="n">
        <v>45915.67747685185</v>
      </c>
      <c r="C1153" s="1" t="n">
        <v>46075</v>
      </c>
      <c r="D1153" t="inlineStr">
        <is>
          <t>VÄSTERNORRLANDS LÄN</t>
        </is>
      </c>
      <c r="E1153" t="inlineStr">
        <is>
          <t>SOLLEFTEÅ</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44243-2025</t>
        </is>
      </c>
      <c r="B1154" s="1" t="n">
        <v>45915</v>
      </c>
      <c r="C1154" s="1" t="n">
        <v>46075</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34459-2025</t>
        </is>
      </c>
      <c r="B1155" s="1" t="n">
        <v>45847.34442129629</v>
      </c>
      <c r="C1155" s="1" t="n">
        <v>46075</v>
      </c>
      <c r="D1155" t="inlineStr">
        <is>
          <t>VÄSTERNORRLANDS LÄN</t>
        </is>
      </c>
      <c r="E1155" t="inlineStr">
        <is>
          <t>SOLLEFTEÅ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40575-2024</t>
        </is>
      </c>
      <c r="B1156" s="1" t="n">
        <v>45555</v>
      </c>
      <c r="C1156" s="1" t="n">
        <v>46075</v>
      </c>
      <c r="D1156" t="inlineStr">
        <is>
          <t>VÄSTERNORRLANDS LÄN</t>
        </is>
      </c>
      <c r="E1156" t="inlineStr">
        <is>
          <t>SOLLEFTEÅ</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34476-2025</t>
        </is>
      </c>
      <c r="B1157" s="1" t="n">
        <v>45847.36752314815</v>
      </c>
      <c r="C1157" s="1" t="n">
        <v>46075</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10950-2025</t>
        </is>
      </c>
      <c r="B1158" s="1" t="n">
        <v>45723.34474537037</v>
      </c>
      <c r="C1158" s="1" t="n">
        <v>46075</v>
      </c>
      <c r="D1158" t="inlineStr">
        <is>
          <t>VÄSTERNORRLANDS LÄN</t>
        </is>
      </c>
      <c r="E1158" t="inlineStr">
        <is>
          <t>SOLLEFTEÅ</t>
        </is>
      </c>
      <c r="F1158" t="inlineStr">
        <is>
          <t>SCA</t>
        </is>
      </c>
      <c r="G1158" t="n">
        <v>32.3</v>
      </c>
      <c r="H1158" t="n">
        <v>0</v>
      </c>
      <c r="I1158" t="n">
        <v>0</v>
      </c>
      <c r="J1158" t="n">
        <v>0</v>
      </c>
      <c r="K1158" t="n">
        <v>0</v>
      </c>
      <c r="L1158" t="n">
        <v>0</v>
      </c>
      <c r="M1158" t="n">
        <v>0</v>
      </c>
      <c r="N1158" t="n">
        <v>0</v>
      </c>
      <c r="O1158" t="n">
        <v>0</v>
      </c>
      <c r="P1158" t="n">
        <v>0</v>
      </c>
      <c r="Q1158" t="n">
        <v>0</v>
      </c>
      <c r="R1158" s="2" t="inlineStr"/>
    </row>
    <row r="1159" ht="15" customHeight="1">
      <c r="A1159" t="inlineStr">
        <is>
          <t>A 39446-2024</t>
        </is>
      </c>
      <c r="B1159" s="1" t="n">
        <v>45551</v>
      </c>
      <c r="C1159" s="1" t="n">
        <v>46075</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34462-2025</t>
        </is>
      </c>
      <c r="B1160" s="1" t="n">
        <v>45847.34498842592</v>
      </c>
      <c r="C1160" s="1" t="n">
        <v>46075</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39469-2024</t>
        </is>
      </c>
      <c r="B1161" s="1" t="n">
        <v>45551</v>
      </c>
      <c r="C1161" s="1" t="n">
        <v>46075</v>
      </c>
      <c r="D1161" t="inlineStr">
        <is>
          <t>VÄSTERNORRLANDS LÄN</t>
        </is>
      </c>
      <c r="E1161" t="inlineStr">
        <is>
          <t>SOLLEFTEÅ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34473-2025</t>
        </is>
      </c>
      <c r="B1162" s="1" t="n">
        <v>45847.36511574074</v>
      </c>
      <c r="C1162" s="1" t="n">
        <v>46075</v>
      </c>
      <c r="D1162" t="inlineStr">
        <is>
          <t>VÄSTERNORRLANDS LÄN</t>
        </is>
      </c>
      <c r="E1162" t="inlineStr">
        <is>
          <t>SOLLEFTEÅ</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12965-2025</t>
        </is>
      </c>
      <c r="B1163" s="1" t="n">
        <v>45734.42753472222</v>
      </c>
      <c r="C1163" s="1" t="n">
        <v>46075</v>
      </c>
      <c r="D1163" t="inlineStr">
        <is>
          <t>VÄSTERNORRLANDS LÄN</t>
        </is>
      </c>
      <c r="E1163" t="inlineStr">
        <is>
          <t>SOLLEFTEÅ</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27314-2024</t>
        </is>
      </c>
      <c r="B1164" s="1" t="n">
        <v>45471.94633101852</v>
      </c>
      <c r="C1164" s="1" t="n">
        <v>46075</v>
      </c>
      <c r="D1164" t="inlineStr">
        <is>
          <t>VÄSTERNORRLANDS LÄN</t>
        </is>
      </c>
      <c r="E1164" t="inlineStr">
        <is>
          <t>SOLLEFTEÅ</t>
        </is>
      </c>
      <c r="G1164" t="n">
        <v>3.8</v>
      </c>
      <c r="H1164" t="n">
        <v>0</v>
      </c>
      <c r="I1164" t="n">
        <v>0</v>
      </c>
      <c r="J1164" t="n">
        <v>0</v>
      </c>
      <c r="K1164" t="n">
        <v>0</v>
      </c>
      <c r="L1164" t="n">
        <v>0</v>
      </c>
      <c r="M1164" t="n">
        <v>0</v>
      </c>
      <c r="N1164" t="n">
        <v>0</v>
      </c>
      <c r="O1164" t="n">
        <v>0</v>
      </c>
      <c r="P1164" t="n">
        <v>0</v>
      </c>
      <c r="Q1164" t="n">
        <v>0</v>
      </c>
      <c r="R1164" s="2" t="inlineStr"/>
      <c r="U1164">
        <f>HYPERLINK("https://klasma.github.io/Logging_2283/knärot/A 27314-2024 karta knärot.png", "A 27314-2024")</f>
        <v/>
      </c>
      <c r="V1164">
        <f>HYPERLINK("https://klasma.github.io/Logging_2283/klagomål/A 27314-2024 FSC-klagomål.docx", "A 27314-2024")</f>
        <v/>
      </c>
      <c r="W1164">
        <f>HYPERLINK("https://klasma.github.io/Logging_2283/klagomålsmail/A 27314-2024 FSC-klagomål mail.docx", "A 27314-2024")</f>
        <v/>
      </c>
      <c r="X1164">
        <f>HYPERLINK("https://klasma.github.io/Logging_2283/tillsyn/A 27314-2024 tillsynsbegäran.docx", "A 27314-2024")</f>
        <v/>
      </c>
      <c r="Y1164">
        <f>HYPERLINK("https://klasma.github.io/Logging_2283/tillsynsmail/A 27314-2024 tillsynsbegäran mail.docx", "A 27314-2024")</f>
        <v/>
      </c>
    </row>
    <row r="1165" ht="15" customHeight="1">
      <c r="A1165" t="inlineStr">
        <is>
          <t>A 1623-2025</t>
        </is>
      </c>
      <c r="B1165" s="1" t="n">
        <v>45670.61526620371</v>
      </c>
      <c r="C1165" s="1" t="n">
        <v>46075</v>
      </c>
      <c r="D1165" t="inlineStr">
        <is>
          <t>VÄSTERNORRLANDS LÄN</t>
        </is>
      </c>
      <c r="E1165" t="inlineStr">
        <is>
          <t>SOLLEFTEÅ</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34870-2025</t>
        </is>
      </c>
      <c r="B1166" s="1" t="n">
        <v>45849.44729166666</v>
      </c>
      <c r="C1166" s="1" t="n">
        <v>46075</v>
      </c>
      <c r="D1166" t="inlineStr">
        <is>
          <t>VÄSTERNORRLANDS LÄN</t>
        </is>
      </c>
      <c r="E1166" t="inlineStr">
        <is>
          <t>SOLLEFTEÅ</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11057-2025</t>
        </is>
      </c>
      <c r="B1167" s="1" t="n">
        <v>45723.51069444444</v>
      </c>
      <c r="C1167" s="1" t="n">
        <v>46075</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44387-2025</t>
        </is>
      </c>
      <c r="B1168" s="1" t="n">
        <v>45916.48994212963</v>
      </c>
      <c r="C1168" s="1" t="n">
        <v>46075</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44746-2025</t>
        </is>
      </c>
      <c r="B1169" s="1" t="n">
        <v>45917.67760416667</v>
      </c>
      <c r="C1169" s="1" t="n">
        <v>46075</v>
      </c>
      <c r="D1169" t="inlineStr">
        <is>
          <t>VÄSTERNORRLANDS LÄN</t>
        </is>
      </c>
      <c r="E1169" t="inlineStr">
        <is>
          <t>SOLLEFTEÅ</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44747-2025</t>
        </is>
      </c>
      <c r="B1170" s="1" t="n">
        <v>45917.67769675926</v>
      </c>
      <c r="C1170" s="1" t="n">
        <v>46075</v>
      </c>
      <c r="D1170" t="inlineStr">
        <is>
          <t>VÄSTERNORRLANDS LÄN</t>
        </is>
      </c>
      <c r="E1170" t="inlineStr">
        <is>
          <t>SOLLEFTEÅ</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44335-2025</t>
        </is>
      </c>
      <c r="B1171" s="1" t="n">
        <v>45916.423125</v>
      </c>
      <c r="C1171" s="1" t="n">
        <v>46075</v>
      </c>
      <c r="D1171" t="inlineStr">
        <is>
          <t>VÄSTERNORRLANDS LÄN</t>
        </is>
      </c>
      <c r="E1171" t="inlineStr">
        <is>
          <t>SOLLEFTEÅ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59179-2024</t>
        </is>
      </c>
      <c r="B1172" s="1" t="n">
        <v>45637.51149305556</v>
      </c>
      <c r="C1172" s="1" t="n">
        <v>46075</v>
      </c>
      <c r="D1172" t="inlineStr">
        <is>
          <t>VÄSTERNORRLANDS LÄN</t>
        </is>
      </c>
      <c r="E1172" t="inlineStr">
        <is>
          <t>SOLLEFTEÅ</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44736-2025</t>
        </is>
      </c>
      <c r="B1173" s="1" t="n">
        <v>45917.656875</v>
      </c>
      <c r="C1173" s="1" t="n">
        <v>46075</v>
      </c>
      <c r="D1173" t="inlineStr">
        <is>
          <t>VÄSTERNORRLANDS LÄN</t>
        </is>
      </c>
      <c r="E1173" t="inlineStr">
        <is>
          <t>SOLLEFTEÅ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44295-2025</t>
        </is>
      </c>
      <c r="B1174" s="1" t="n">
        <v>45916.36495370371</v>
      </c>
      <c r="C1174" s="1" t="n">
        <v>46075</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44556-2025</t>
        </is>
      </c>
      <c r="B1175" s="1" t="n">
        <v>45917.34424768519</v>
      </c>
      <c r="C1175" s="1" t="n">
        <v>46075</v>
      </c>
      <c r="D1175" t="inlineStr">
        <is>
          <t>VÄSTERNORRLANDS LÄN</t>
        </is>
      </c>
      <c r="E1175" t="inlineStr">
        <is>
          <t>SOLLEFTEÅ</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44327-2025</t>
        </is>
      </c>
      <c r="B1176" s="1" t="n">
        <v>45916.40755787037</v>
      </c>
      <c r="C1176" s="1" t="n">
        <v>46075</v>
      </c>
      <c r="D1176" t="inlineStr">
        <is>
          <t>VÄSTERNORRLANDS LÄN</t>
        </is>
      </c>
      <c r="E1176" t="inlineStr">
        <is>
          <t>SOLLEFTEÅ</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30060-2024</t>
        </is>
      </c>
      <c r="B1177" s="1" t="n">
        <v>45488.94813657407</v>
      </c>
      <c r="C1177" s="1" t="n">
        <v>46075</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41655-2023</t>
        </is>
      </c>
      <c r="B1178" s="1" t="n">
        <v>45175.95751157407</v>
      </c>
      <c r="C1178" s="1" t="n">
        <v>46075</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25945-2025</t>
        </is>
      </c>
      <c r="B1179" s="1" t="n">
        <v>45804</v>
      </c>
      <c r="C1179" s="1" t="n">
        <v>46075</v>
      </c>
      <c r="D1179" t="inlineStr">
        <is>
          <t>VÄSTERNORRLANDS LÄN</t>
        </is>
      </c>
      <c r="E1179" t="inlineStr">
        <is>
          <t>SOLLEFTEÅ</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35041-2025</t>
        </is>
      </c>
      <c r="B1180" s="1" t="n">
        <v>45852.3443287037</v>
      </c>
      <c r="C1180" s="1" t="n">
        <v>46075</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13598-2022</t>
        </is>
      </c>
      <c r="B1181" s="1" t="n">
        <v>44648</v>
      </c>
      <c r="C1181" s="1" t="n">
        <v>46075</v>
      </c>
      <c r="D1181" t="inlineStr">
        <is>
          <t>VÄSTERNORRLANDS LÄN</t>
        </is>
      </c>
      <c r="E1181" t="inlineStr">
        <is>
          <t>SOLLEFTEÅ</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35086-2025</t>
        </is>
      </c>
      <c r="B1182" s="1" t="n">
        <v>45852.51719907407</v>
      </c>
      <c r="C1182" s="1" t="n">
        <v>46075</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41041-2024</t>
        </is>
      </c>
      <c r="B1183" s="1" t="n">
        <v>45558</v>
      </c>
      <c r="C1183" s="1" t="n">
        <v>46075</v>
      </c>
      <c r="D1183" t="inlineStr">
        <is>
          <t>VÄSTERNORRLANDS LÄN</t>
        </is>
      </c>
      <c r="E1183" t="inlineStr">
        <is>
          <t>SOLLEFTEÅ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41042-2024</t>
        </is>
      </c>
      <c r="B1184" s="1" t="n">
        <v>45559.36490740741</v>
      </c>
      <c r="C1184" s="1" t="n">
        <v>46075</v>
      </c>
      <c r="D1184" t="inlineStr">
        <is>
          <t>VÄSTERNORRLANDS LÄN</t>
        </is>
      </c>
      <c r="E1184" t="inlineStr">
        <is>
          <t>SOLLEFTEÅ</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36514-2023</t>
        </is>
      </c>
      <c r="B1185" s="1" t="n">
        <v>45152.95377314815</v>
      </c>
      <c r="C1185" s="1" t="n">
        <v>46075</v>
      </c>
      <c r="D1185" t="inlineStr">
        <is>
          <t>VÄSTERNORRLANDS LÄN</t>
        </is>
      </c>
      <c r="E1185" t="inlineStr">
        <is>
          <t>SOLLEFTEÅ</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35066-2025</t>
        </is>
      </c>
      <c r="B1186" s="1" t="n">
        <v>45852.45013888889</v>
      </c>
      <c r="C1186" s="1" t="n">
        <v>46075</v>
      </c>
      <c r="D1186" t="inlineStr">
        <is>
          <t>VÄSTERNORRLANDS LÄN</t>
        </is>
      </c>
      <c r="E1186" t="inlineStr">
        <is>
          <t>SOLLEFTEÅ</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37977-2022</t>
        </is>
      </c>
      <c r="B1187" s="1" t="n">
        <v>44811</v>
      </c>
      <c r="C1187" s="1" t="n">
        <v>46075</v>
      </c>
      <c r="D1187" t="inlineStr">
        <is>
          <t>VÄSTERNORRLANDS LÄN</t>
        </is>
      </c>
      <c r="E1187" t="inlineStr">
        <is>
          <t>SOLLEFTEÅ</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44839-2025</t>
        </is>
      </c>
      <c r="B1188" s="1" t="n">
        <v>45918.42751157407</v>
      </c>
      <c r="C1188" s="1" t="n">
        <v>46075</v>
      </c>
      <c r="D1188" t="inlineStr">
        <is>
          <t>VÄSTERNORRLANDS LÄN</t>
        </is>
      </c>
      <c r="E1188" t="inlineStr">
        <is>
          <t>SOLLEFTEÅ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43469-2022</t>
        </is>
      </c>
      <c r="B1189" s="1" t="n">
        <v>44836.80145833334</v>
      </c>
      <c r="C1189" s="1" t="n">
        <v>46075</v>
      </c>
      <c r="D1189" t="inlineStr">
        <is>
          <t>VÄSTERNORRLANDS LÄN</t>
        </is>
      </c>
      <c r="E1189" t="inlineStr">
        <is>
          <t>SOLLEFTEÅ</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44907-2025</t>
        </is>
      </c>
      <c r="B1190" s="1" t="n">
        <v>45918.531875</v>
      </c>
      <c r="C1190" s="1" t="n">
        <v>46075</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44871-2025</t>
        </is>
      </c>
      <c r="B1191" s="1" t="n">
        <v>45918.46938657408</v>
      </c>
      <c r="C1191" s="1" t="n">
        <v>46075</v>
      </c>
      <c r="D1191" t="inlineStr">
        <is>
          <t>VÄSTERNORRLANDS LÄN</t>
        </is>
      </c>
      <c r="E1191" t="inlineStr">
        <is>
          <t>SOLLEFTEÅ</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2582-2025</t>
        </is>
      </c>
      <c r="B1192" s="1" t="n">
        <v>45674.67787037037</v>
      </c>
      <c r="C1192" s="1" t="n">
        <v>46075</v>
      </c>
      <c r="D1192" t="inlineStr">
        <is>
          <t>VÄSTERNORRLANDS LÄN</t>
        </is>
      </c>
      <c r="E1192" t="inlineStr">
        <is>
          <t>SOLLEFTEÅ</t>
        </is>
      </c>
      <c r="F1192" t="inlineStr">
        <is>
          <t>SCA</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35132-2025</t>
        </is>
      </c>
      <c r="B1193" s="1" t="n">
        <v>45852.63618055556</v>
      </c>
      <c r="C1193" s="1" t="n">
        <v>46075</v>
      </c>
      <c r="D1193" t="inlineStr">
        <is>
          <t>VÄSTERNORRLANDS LÄN</t>
        </is>
      </c>
      <c r="E1193" t="inlineStr">
        <is>
          <t>SOLLEFTEÅ</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3414-2025</t>
        </is>
      </c>
      <c r="B1194" s="1" t="n">
        <v>45680</v>
      </c>
      <c r="C1194" s="1" t="n">
        <v>46075</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45252-2025</t>
        </is>
      </c>
      <c r="B1195" s="1" t="n">
        <v>45919.61493055556</v>
      </c>
      <c r="C1195" s="1" t="n">
        <v>46075</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37691-2023</t>
        </is>
      </c>
      <c r="B1196" s="1" t="n">
        <v>45156</v>
      </c>
      <c r="C1196" s="1" t="n">
        <v>46075</v>
      </c>
      <c r="D1196" t="inlineStr">
        <is>
          <t>VÄSTERNORRLANDS LÄN</t>
        </is>
      </c>
      <c r="E1196" t="inlineStr">
        <is>
          <t>SOLLEFTEÅ</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35286-2025</t>
        </is>
      </c>
      <c r="B1197" s="1" t="n">
        <v>45854.36512731481</v>
      </c>
      <c r="C1197" s="1" t="n">
        <v>46075</v>
      </c>
      <c r="D1197" t="inlineStr">
        <is>
          <t>VÄSTERNORRLANDS LÄN</t>
        </is>
      </c>
      <c r="E1197" t="inlineStr">
        <is>
          <t>SOLLEFTEÅ</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35448-2025</t>
        </is>
      </c>
      <c r="B1198" s="1" t="n">
        <v>45855.55247685185</v>
      </c>
      <c r="C1198" s="1" t="n">
        <v>46075</v>
      </c>
      <c r="D1198" t="inlineStr">
        <is>
          <t>VÄSTERNORRLANDS LÄN</t>
        </is>
      </c>
      <c r="E1198" t="inlineStr">
        <is>
          <t>SOLLEFTEÅ</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19205-2025</t>
        </is>
      </c>
      <c r="B1199" s="1" t="n">
        <v>45769.42861111111</v>
      </c>
      <c r="C1199" s="1" t="n">
        <v>46075</v>
      </c>
      <c r="D1199" t="inlineStr">
        <is>
          <t>VÄSTERNORRLANDS LÄN</t>
        </is>
      </c>
      <c r="E1199" t="inlineStr">
        <is>
          <t>SOLLEFTEÅ</t>
        </is>
      </c>
      <c r="F1199" t="inlineStr">
        <is>
          <t>SCA</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19207-2025</t>
        </is>
      </c>
      <c r="B1200" s="1" t="n">
        <v>45769</v>
      </c>
      <c r="C1200" s="1" t="n">
        <v>46075</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43842-2025</t>
        </is>
      </c>
      <c r="B1201" s="1" t="n">
        <v>45912.63587962963</v>
      </c>
      <c r="C1201" s="1" t="n">
        <v>46075</v>
      </c>
      <c r="D1201" t="inlineStr">
        <is>
          <t>VÄSTERNORRLANDS LÄN</t>
        </is>
      </c>
      <c r="E1201" t="inlineStr">
        <is>
          <t>SOLLEFTEÅ</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18364-2024</t>
        </is>
      </c>
      <c r="B1202" s="1" t="n">
        <v>45422</v>
      </c>
      <c r="C1202" s="1" t="n">
        <v>46075</v>
      </c>
      <c r="D1202" t="inlineStr">
        <is>
          <t>VÄSTERNORRLANDS LÄN</t>
        </is>
      </c>
      <c r="E1202" t="inlineStr">
        <is>
          <t>SOLLEFTEÅ</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45028-2025</t>
        </is>
      </c>
      <c r="B1203" s="1" t="n">
        <v>45918.69828703703</v>
      </c>
      <c r="C1203" s="1" t="n">
        <v>46075</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44906-2025</t>
        </is>
      </c>
      <c r="B1204" s="1" t="n">
        <v>45918.53174768519</v>
      </c>
      <c r="C1204" s="1" t="n">
        <v>46075</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16633-2025</t>
        </is>
      </c>
      <c r="B1205" s="1" t="n">
        <v>45754.36517361111</v>
      </c>
      <c r="C1205" s="1" t="n">
        <v>46075</v>
      </c>
      <c r="D1205" t="inlineStr">
        <is>
          <t>VÄSTERNORRLANDS LÄN</t>
        </is>
      </c>
      <c r="E1205" t="inlineStr">
        <is>
          <t>SOLLEFTEÅ</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42478-2025</t>
        </is>
      </c>
      <c r="B1206" s="1" t="n">
        <v>45905</v>
      </c>
      <c r="C1206" s="1" t="n">
        <v>46075</v>
      </c>
      <c r="D1206" t="inlineStr">
        <is>
          <t>VÄSTERNORRLANDS LÄN</t>
        </is>
      </c>
      <c r="E1206" t="inlineStr">
        <is>
          <t>SOLLEFTEÅ</t>
        </is>
      </c>
      <c r="F1206" t="inlineStr">
        <is>
          <t>SCA</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12379-2025</t>
        </is>
      </c>
      <c r="B1207" s="1" t="n">
        <v>45730</v>
      </c>
      <c r="C1207" s="1" t="n">
        <v>46075</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44873-2025</t>
        </is>
      </c>
      <c r="B1208" s="1" t="n">
        <v>45918.46966435185</v>
      </c>
      <c r="C1208" s="1" t="n">
        <v>46075</v>
      </c>
      <c r="D1208" t="inlineStr">
        <is>
          <t>VÄSTERNORRLANDS LÄN</t>
        </is>
      </c>
      <c r="E1208" t="inlineStr">
        <is>
          <t>SOLLEFTEÅ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12834-2025</t>
        </is>
      </c>
      <c r="B1209" s="1" t="n">
        <v>45733.63612268519</v>
      </c>
      <c r="C1209" s="1" t="n">
        <v>46075</v>
      </c>
      <c r="D1209" t="inlineStr">
        <is>
          <t>VÄSTERNORRLANDS LÄN</t>
        </is>
      </c>
      <c r="E1209" t="inlineStr">
        <is>
          <t>SOLLEFTEÅ</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12941-2025</t>
        </is>
      </c>
      <c r="B1210" s="1" t="n">
        <v>45734.36525462963</v>
      </c>
      <c r="C1210" s="1" t="n">
        <v>46075</v>
      </c>
      <c r="D1210" t="inlineStr">
        <is>
          <t>VÄSTERNORRLANDS LÄN</t>
        </is>
      </c>
      <c r="E1210" t="inlineStr">
        <is>
          <t>SOLLEFTEÅ</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42879-2025</t>
        </is>
      </c>
      <c r="B1211" s="1" t="n">
        <v>45908</v>
      </c>
      <c r="C1211" s="1" t="n">
        <v>46075</v>
      </c>
      <c r="D1211" t="inlineStr">
        <is>
          <t>VÄSTERNORRLANDS LÄN</t>
        </is>
      </c>
      <c r="E1211" t="inlineStr">
        <is>
          <t>SOLLEFTEÅ</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6063-2024</t>
        </is>
      </c>
      <c r="B1212" s="1" t="n">
        <v>45336.86584490741</v>
      </c>
      <c r="C1212" s="1" t="n">
        <v>46075</v>
      </c>
      <c r="D1212" t="inlineStr">
        <is>
          <t>VÄSTERNORRLANDS LÄN</t>
        </is>
      </c>
      <c r="E1212" t="inlineStr">
        <is>
          <t>SOLLEFTEÅ</t>
        </is>
      </c>
      <c r="F1212" t="inlineStr">
        <is>
          <t>Övriga Aktiebolag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36078-2022</t>
        </is>
      </c>
      <c r="B1213" s="1" t="n">
        <v>44802.9459375</v>
      </c>
      <c r="C1213" s="1" t="n">
        <v>46075</v>
      </c>
      <c r="D1213" t="inlineStr">
        <is>
          <t>VÄSTERNORRLANDS LÄN</t>
        </is>
      </c>
      <c r="E1213" t="inlineStr">
        <is>
          <t>SOLLEFTEÅ</t>
        </is>
      </c>
      <c r="F1213" t="inlineStr">
        <is>
          <t>SCA</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45236-2025</t>
        </is>
      </c>
      <c r="B1214" s="1" t="n">
        <v>45919.59450231482</v>
      </c>
      <c r="C1214" s="1" t="n">
        <v>46075</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35572-2025</t>
        </is>
      </c>
      <c r="B1215" s="1" t="n">
        <v>45856.59423611111</v>
      </c>
      <c r="C1215" s="1" t="n">
        <v>46075</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35261-2025</t>
        </is>
      </c>
      <c r="B1216" s="1" t="n">
        <v>45853</v>
      </c>
      <c r="C1216" s="1" t="n">
        <v>46075</v>
      </c>
      <c r="D1216" t="inlineStr">
        <is>
          <t>VÄSTERNORRLANDS LÄN</t>
        </is>
      </c>
      <c r="E1216" t="inlineStr">
        <is>
          <t>SOLLEFTEÅ</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35513-2025</t>
        </is>
      </c>
      <c r="B1217" s="1" t="n">
        <v>45856.36520833334</v>
      </c>
      <c r="C1217" s="1" t="n">
        <v>46075</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35506-2025</t>
        </is>
      </c>
      <c r="B1218" s="1" t="n">
        <v>45856</v>
      </c>
      <c r="C1218" s="1" t="n">
        <v>46075</v>
      </c>
      <c r="D1218" t="inlineStr">
        <is>
          <t>VÄSTERNORRLANDS LÄN</t>
        </is>
      </c>
      <c r="E1218" t="inlineStr">
        <is>
          <t>SOLLEFTEÅ</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34376-2024</t>
        </is>
      </c>
      <c r="B1219" s="1" t="n">
        <v>45525</v>
      </c>
      <c r="C1219" s="1" t="n">
        <v>46075</v>
      </c>
      <c r="D1219" t="inlineStr">
        <is>
          <t>VÄSTERNORRLANDS LÄN</t>
        </is>
      </c>
      <c r="E1219" t="inlineStr">
        <is>
          <t>SOLLEFTEÅ</t>
        </is>
      </c>
      <c r="F1219" t="inlineStr">
        <is>
          <t>Övriga statliga verk och myndigheter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22235-2024</t>
        </is>
      </c>
      <c r="B1220" s="1" t="n">
        <v>45446</v>
      </c>
      <c r="C1220" s="1" t="n">
        <v>46075</v>
      </c>
      <c r="D1220" t="inlineStr">
        <is>
          <t>VÄSTERNORRLANDS LÄN</t>
        </is>
      </c>
      <c r="E1220" t="inlineStr">
        <is>
          <t>SOLLEFTEÅ</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45843-2025</t>
        </is>
      </c>
      <c r="B1221" s="1" t="n">
        <v>45923.61541666667</v>
      </c>
      <c r="C1221" s="1" t="n">
        <v>46075</v>
      </c>
      <c r="D1221" t="inlineStr">
        <is>
          <t>VÄSTERNORRLANDS LÄN</t>
        </is>
      </c>
      <c r="E1221" t="inlineStr">
        <is>
          <t>SOLLEFTEÅ</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5867-2024</t>
        </is>
      </c>
      <c r="B1222" s="1" t="n">
        <v>45335.64733796296</v>
      </c>
      <c r="C1222" s="1" t="n">
        <v>46075</v>
      </c>
      <c r="D1222" t="inlineStr">
        <is>
          <t>VÄSTERNORRLANDS LÄN</t>
        </is>
      </c>
      <c r="E1222" t="inlineStr">
        <is>
          <t>SOLLEFTEÅ</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51681-2023</t>
        </is>
      </c>
      <c r="B1223" s="1" t="n">
        <v>45215</v>
      </c>
      <c r="C1223" s="1" t="n">
        <v>46075</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35703-2025</t>
        </is>
      </c>
      <c r="B1224" s="1" t="n">
        <v>45860.36497685185</v>
      </c>
      <c r="C1224" s="1" t="n">
        <v>46075</v>
      </c>
      <c r="D1224" t="inlineStr">
        <is>
          <t>VÄSTERNORRLANDS LÄN</t>
        </is>
      </c>
      <c r="E1224" t="inlineStr">
        <is>
          <t>SOLLEFTEÅ</t>
        </is>
      </c>
      <c r="F1224" t="inlineStr">
        <is>
          <t>SCA</t>
        </is>
      </c>
      <c r="G1224" t="n">
        <v>16.5</v>
      </c>
      <c r="H1224" t="n">
        <v>0</v>
      </c>
      <c r="I1224" t="n">
        <v>0</v>
      </c>
      <c r="J1224" t="n">
        <v>0</v>
      </c>
      <c r="K1224" t="n">
        <v>0</v>
      </c>
      <c r="L1224" t="n">
        <v>0</v>
      </c>
      <c r="M1224" t="n">
        <v>0</v>
      </c>
      <c r="N1224" t="n">
        <v>0</v>
      </c>
      <c r="O1224" t="n">
        <v>0</v>
      </c>
      <c r="P1224" t="n">
        <v>0</v>
      </c>
      <c r="Q1224" t="n">
        <v>0</v>
      </c>
      <c r="R1224" s="2" t="inlineStr"/>
    </row>
    <row r="1225" ht="15" customHeight="1">
      <c r="A1225" t="inlineStr">
        <is>
          <t>A 35704-2025</t>
        </is>
      </c>
      <c r="B1225" s="1" t="n">
        <v>45860.36518518518</v>
      </c>
      <c r="C1225" s="1" t="n">
        <v>46075</v>
      </c>
      <c r="D1225" t="inlineStr">
        <is>
          <t>VÄSTERNORRLANDS LÄN</t>
        </is>
      </c>
      <c r="E1225" t="inlineStr">
        <is>
          <t>SOLLEFTEÅ</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45593-2025</t>
        </is>
      </c>
      <c r="B1226" s="1" t="n">
        <v>45922.67783564814</v>
      </c>
      <c r="C1226" s="1" t="n">
        <v>46075</v>
      </c>
      <c r="D1226" t="inlineStr">
        <is>
          <t>VÄSTERNORRLANDS LÄN</t>
        </is>
      </c>
      <c r="E1226" t="inlineStr">
        <is>
          <t>SOLLEFTEÅ</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45569-2025</t>
        </is>
      </c>
      <c r="B1227" s="1" t="n">
        <v>45922.65694444445</v>
      </c>
      <c r="C1227" s="1" t="n">
        <v>46075</v>
      </c>
      <c r="D1227" t="inlineStr">
        <is>
          <t>VÄSTERNORRLANDS LÄN</t>
        </is>
      </c>
      <c r="E1227" t="inlineStr">
        <is>
          <t>SOLLEFTEÅ</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20101-2025</t>
        </is>
      </c>
      <c r="B1228" s="1" t="n">
        <v>45772</v>
      </c>
      <c r="C1228" s="1" t="n">
        <v>46075</v>
      </c>
      <c r="D1228" t="inlineStr">
        <is>
          <t>VÄSTERNORRLANDS LÄN</t>
        </is>
      </c>
      <c r="E1228" t="inlineStr">
        <is>
          <t>SOLLEFTEÅ</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45340-2025</t>
        </is>
      </c>
      <c r="B1229" s="1" t="n">
        <v>45922.34421296296</v>
      </c>
      <c r="C1229" s="1" t="n">
        <v>46075</v>
      </c>
      <c r="D1229" t="inlineStr">
        <is>
          <t>VÄSTERNORRLANDS LÄN</t>
        </is>
      </c>
      <c r="E1229" t="inlineStr">
        <is>
          <t>SOLLEFTEÅ</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31451-2025</t>
        </is>
      </c>
      <c r="B1230" s="1" t="n">
        <v>45833.53167824074</v>
      </c>
      <c r="C1230" s="1" t="n">
        <v>46075</v>
      </c>
      <c r="D1230" t="inlineStr">
        <is>
          <t>VÄSTERNORRLANDS LÄN</t>
        </is>
      </c>
      <c r="E1230" t="inlineStr">
        <is>
          <t>SOLLEFTEÅ</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22446-2025</t>
        </is>
      </c>
      <c r="B1231" s="1" t="n">
        <v>45786.59439814815</v>
      </c>
      <c r="C1231" s="1" t="n">
        <v>46075</v>
      </c>
      <c r="D1231" t="inlineStr">
        <is>
          <t>VÄSTERNORRLANDS LÄN</t>
        </is>
      </c>
      <c r="E1231" t="inlineStr">
        <is>
          <t>SOLLEFTEÅ</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35807-2025</t>
        </is>
      </c>
      <c r="B1232" s="1" t="n">
        <v>45861.40663194445</v>
      </c>
      <c r="C1232" s="1" t="n">
        <v>46075</v>
      </c>
      <c r="D1232" t="inlineStr">
        <is>
          <t>VÄSTERNORRLANDS LÄN</t>
        </is>
      </c>
      <c r="E1232" t="inlineStr">
        <is>
          <t>SOLLEFTEÅ</t>
        </is>
      </c>
      <c r="F1232" t="inlineStr">
        <is>
          <t>SCA</t>
        </is>
      </c>
      <c r="G1232" t="n">
        <v>16.7</v>
      </c>
      <c r="H1232" t="n">
        <v>0</v>
      </c>
      <c r="I1232" t="n">
        <v>0</v>
      </c>
      <c r="J1232" t="n">
        <v>0</v>
      </c>
      <c r="K1232" t="n">
        <v>0</v>
      </c>
      <c r="L1232" t="n">
        <v>0</v>
      </c>
      <c r="M1232" t="n">
        <v>0</v>
      </c>
      <c r="N1232" t="n">
        <v>0</v>
      </c>
      <c r="O1232" t="n">
        <v>0</v>
      </c>
      <c r="P1232" t="n">
        <v>0</v>
      </c>
      <c r="Q1232" t="n">
        <v>0</v>
      </c>
      <c r="R1232" s="2" t="inlineStr"/>
    </row>
    <row r="1233" ht="15" customHeight="1">
      <c r="A1233" t="inlineStr">
        <is>
          <t>A 23160-2025</t>
        </is>
      </c>
      <c r="B1233" s="1" t="n">
        <v>45791.40760416666</v>
      </c>
      <c r="C1233" s="1" t="n">
        <v>46075</v>
      </c>
      <c r="D1233" t="inlineStr">
        <is>
          <t>VÄSTERNORRLANDS LÄN</t>
        </is>
      </c>
      <c r="E1233" t="inlineStr">
        <is>
          <t>SOLLEFTEÅ</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27293-2024</t>
        </is>
      </c>
      <c r="B1234" s="1" t="n">
        <v>45471.94259259259</v>
      </c>
      <c r="C1234" s="1" t="n">
        <v>46075</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35924-2025</t>
        </is>
      </c>
      <c r="B1235" s="1" t="n">
        <v>45862.57326388889</v>
      </c>
      <c r="C1235" s="1" t="n">
        <v>46075</v>
      </c>
      <c r="D1235" t="inlineStr">
        <is>
          <t>VÄSTERNORRLANDS LÄN</t>
        </is>
      </c>
      <c r="E1235" t="inlineStr">
        <is>
          <t>SOLLEFTEÅ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45794-2025</t>
        </is>
      </c>
      <c r="B1236" s="1" t="n">
        <v>45923.57380787037</v>
      </c>
      <c r="C1236" s="1" t="n">
        <v>46075</v>
      </c>
      <c r="D1236" t="inlineStr">
        <is>
          <t>VÄSTERNORRLANDS LÄN</t>
        </is>
      </c>
      <c r="E1236" t="inlineStr">
        <is>
          <t>SOLLEFTEÅ</t>
        </is>
      </c>
      <c r="F1236" t="inlineStr">
        <is>
          <t>SCA</t>
        </is>
      </c>
      <c r="G1236" t="n">
        <v>34.9</v>
      </c>
      <c r="H1236" t="n">
        <v>0</v>
      </c>
      <c r="I1236" t="n">
        <v>0</v>
      </c>
      <c r="J1236" t="n">
        <v>0</v>
      </c>
      <c r="K1236" t="n">
        <v>0</v>
      </c>
      <c r="L1236" t="n">
        <v>0</v>
      </c>
      <c r="M1236" t="n">
        <v>0</v>
      </c>
      <c r="N1236" t="n">
        <v>0</v>
      </c>
      <c r="O1236" t="n">
        <v>0</v>
      </c>
      <c r="P1236" t="n">
        <v>0</v>
      </c>
      <c r="Q1236" t="n">
        <v>0</v>
      </c>
      <c r="R1236" s="2" t="inlineStr"/>
    </row>
    <row r="1237" ht="15" customHeight="1">
      <c r="A1237" t="inlineStr">
        <is>
          <t>A 8652-2024</t>
        </is>
      </c>
      <c r="B1237" s="1" t="n">
        <v>45356</v>
      </c>
      <c r="C1237" s="1" t="n">
        <v>46075</v>
      </c>
      <c r="D1237" t="inlineStr">
        <is>
          <t>VÄSTERNORRLANDS LÄN</t>
        </is>
      </c>
      <c r="E1237" t="inlineStr">
        <is>
          <t>SOLLEFTEÅ</t>
        </is>
      </c>
      <c r="F1237" t="inlineStr">
        <is>
          <t>SCA</t>
        </is>
      </c>
      <c r="G1237" t="n">
        <v>38.6</v>
      </c>
      <c r="H1237" t="n">
        <v>0</v>
      </c>
      <c r="I1237" t="n">
        <v>0</v>
      </c>
      <c r="J1237" t="n">
        <v>0</v>
      </c>
      <c r="K1237" t="n">
        <v>0</v>
      </c>
      <c r="L1237" t="n">
        <v>0</v>
      </c>
      <c r="M1237" t="n">
        <v>0</v>
      </c>
      <c r="N1237" t="n">
        <v>0</v>
      </c>
      <c r="O1237" t="n">
        <v>0</v>
      </c>
      <c r="P1237" t="n">
        <v>0</v>
      </c>
      <c r="Q1237" t="n">
        <v>0</v>
      </c>
      <c r="R1237" s="2" t="inlineStr"/>
    </row>
    <row r="1238" ht="15" customHeight="1">
      <c r="A1238" t="inlineStr">
        <is>
          <t>A 45978-2025</t>
        </is>
      </c>
      <c r="B1238" s="1" t="n">
        <v>45924.37491898148</v>
      </c>
      <c r="C1238" s="1" t="n">
        <v>46075</v>
      </c>
      <c r="D1238" t="inlineStr">
        <is>
          <t>VÄSTERNORRLANDS LÄN</t>
        </is>
      </c>
      <c r="E1238" t="inlineStr">
        <is>
          <t>SOLLEFTEÅ</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46003-2025</t>
        </is>
      </c>
      <c r="B1239" s="1" t="n">
        <v>45924.40726851852</v>
      </c>
      <c r="C1239" s="1" t="n">
        <v>46075</v>
      </c>
      <c r="D1239" t="inlineStr">
        <is>
          <t>VÄSTERNORRLANDS LÄN</t>
        </is>
      </c>
      <c r="E1239" t="inlineStr">
        <is>
          <t>SOLLEFTEÅ</t>
        </is>
      </c>
      <c r="F1239" t="inlineStr">
        <is>
          <t>SCA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45952-2025</t>
        </is>
      </c>
      <c r="B1240" s="1" t="n">
        <v>45924.34430555555</v>
      </c>
      <c r="C1240" s="1" t="n">
        <v>46075</v>
      </c>
      <c r="D1240" t="inlineStr">
        <is>
          <t>VÄSTERNORRLANDS LÄN</t>
        </is>
      </c>
      <c r="E1240" t="inlineStr">
        <is>
          <t>SOLLEFTEÅ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29125-2025</t>
        </is>
      </c>
      <c r="B1241" s="1" t="n">
        <v>45821.59459490741</v>
      </c>
      <c r="C1241" s="1" t="n">
        <v>46075</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36135-2025</t>
        </is>
      </c>
      <c r="B1242" s="1" t="n">
        <v>45866.63594907407</v>
      </c>
      <c r="C1242" s="1" t="n">
        <v>46075</v>
      </c>
      <c r="D1242" t="inlineStr">
        <is>
          <t>VÄSTERNORRLANDS LÄN</t>
        </is>
      </c>
      <c r="E1242" t="inlineStr">
        <is>
          <t>SOLLEFTEÅ</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36068-2025</t>
        </is>
      </c>
      <c r="B1243" s="1" t="n">
        <v>45866.42752314815</v>
      </c>
      <c r="C1243" s="1" t="n">
        <v>46075</v>
      </c>
      <c r="D1243" t="inlineStr">
        <is>
          <t>VÄSTERNORRLANDS LÄN</t>
        </is>
      </c>
      <c r="E1243" t="inlineStr">
        <is>
          <t>SOLLEFTEÅ</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36095-2025</t>
        </is>
      </c>
      <c r="B1244" s="1" t="n">
        <v>45866.49006944444</v>
      </c>
      <c r="C1244" s="1" t="n">
        <v>46075</v>
      </c>
      <c r="D1244" t="inlineStr">
        <is>
          <t>VÄSTERNORRLANDS LÄN</t>
        </is>
      </c>
      <c r="E1244" t="inlineStr">
        <is>
          <t>SOLLEFTEÅ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46174-2025</t>
        </is>
      </c>
      <c r="B1245" s="1" t="n">
        <v>45924.64704861111</v>
      </c>
      <c r="C1245" s="1" t="n">
        <v>46075</v>
      </c>
      <c r="D1245" t="inlineStr">
        <is>
          <t>VÄSTERNORRLANDS LÄN</t>
        </is>
      </c>
      <c r="E1245" t="inlineStr">
        <is>
          <t>SOLLEFTEÅ</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33496-2025</t>
        </is>
      </c>
      <c r="B1246" s="1" t="n">
        <v>45841</v>
      </c>
      <c r="C1246" s="1" t="n">
        <v>46075</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36064-2025</t>
        </is>
      </c>
      <c r="B1247" s="1" t="n">
        <v>45866</v>
      </c>
      <c r="C1247" s="1" t="n">
        <v>46075</v>
      </c>
      <c r="D1247" t="inlineStr">
        <is>
          <t>VÄSTERNORRLANDS LÄN</t>
        </is>
      </c>
      <c r="E1247" t="inlineStr">
        <is>
          <t>SOLLEFTEÅ</t>
        </is>
      </c>
      <c r="F1247" t="inlineStr">
        <is>
          <t>SCA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14730-2025</t>
        </is>
      </c>
      <c r="B1248" s="1" t="n">
        <v>45742.63587962963</v>
      </c>
      <c r="C1248" s="1" t="n">
        <v>46075</v>
      </c>
      <c r="D1248" t="inlineStr">
        <is>
          <t>VÄSTERNORRLANDS LÄN</t>
        </is>
      </c>
      <c r="E1248" t="inlineStr">
        <is>
          <t>SOLLEFTEÅ</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1465-2025</t>
        </is>
      </c>
      <c r="B1249" s="1" t="n">
        <v>45670.36513888889</v>
      </c>
      <c r="C1249" s="1" t="n">
        <v>46075</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33713-2023</t>
        </is>
      </c>
      <c r="B1250" s="1" t="n">
        <v>45132.94952546297</v>
      </c>
      <c r="C1250" s="1" t="n">
        <v>46075</v>
      </c>
      <c r="D1250" t="inlineStr">
        <is>
          <t>VÄSTERNORRLANDS LÄN</t>
        </is>
      </c>
      <c r="E1250" t="inlineStr">
        <is>
          <t>SOLLEFTEÅ</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46037-2025</t>
        </is>
      </c>
      <c r="B1251" s="1" t="n">
        <v>45924.44836805556</v>
      </c>
      <c r="C1251" s="1" t="n">
        <v>46075</v>
      </c>
      <c r="D1251" t="inlineStr">
        <is>
          <t>VÄSTERNORRLANDS LÄN</t>
        </is>
      </c>
      <c r="E1251" t="inlineStr">
        <is>
          <t>SOLLEFTEÅ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40280-2025</t>
        </is>
      </c>
      <c r="B1252" s="1" t="n">
        <v>45895</v>
      </c>
      <c r="C1252" s="1" t="n">
        <v>46075</v>
      </c>
      <c r="D1252" t="inlineStr">
        <is>
          <t>VÄSTERNORRLANDS LÄN</t>
        </is>
      </c>
      <c r="E1252" t="inlineStr">
        <is>
          <t>SOLLEFTEÅ</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49171-2022</t>
        </is>
      </c>
      <c r="B1253" s="1" t="n">
        <v>44860.9269212963</v>
      </c>
      <c r="C1253" s="1" t="n">
        <v>46075</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36274-2025</t>
        </is>
      </c>
      <c r="B1254" s="1" t="n">
        <v>45867.63579861111</v>
      </c>
      <c r="C1254" s="1" t="n">
        <v>46075</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45977-2025</t>
        </is>
      </c>
      <c r="B1255" s="1" t="n">
        <v>45924.37170138889</v>
      </c>
      <c r="C1255" s="1" t="n">
        <v>46075</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33495-2025</t>
        </is>
      </c>
      <c r="B1256" s="1" t="n">
        <v>45841</v>
      </c>
      <c r="C1256" s="1" t="n">
        <v>46075</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36224-2025</t>
        </is>
      </c>
      <c r="B1257" s="1" t="n">
        <v>45867.51116898148</v>
      </c>
      <c r="C1257" s="1" t="n">
        <v>46075</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29860-2025</t>
        </is>
      </c>
      <c r="B1258" s="1" t="n">
        <v>45826.34638888889</v>
      </c>
      <c r="C1258" s="1" t="n">
        <v>46075</v>
      </c>
      <c r="D1258" t="inlineStr">
        <is>
          <t>VÄSTERNORRLANDS LÄN</t>
        </is>
      </c>
      <c r="E1258" t="inlineStr">
        <is>
          <t>SOLLEFTEÅ</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36300-2025</t>
        </is>
      </c>
      <c r="B1259" s="1" t="n">
        <v>45867.6984375</v>
      </c>
      <c r="C1259" s="1" t="n">
        <v>46075</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36063-2025</t>
        </is>
      </c>
      <c r="B1260" s="1" t="n">
        <v>45866</v>
      </c>
      <c r="C1260" s="1" t="n">
        <v>46075</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36373-2025</t>
        </is>
      </c>
      <c r="B1261" s="1" t="n">
        <v>45868.55256944444</v>
      </c>
      <c r="C1261" s="1" t="n">
        <v>46075</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36432-2025</t>
        </is>
      </c>
      <c r="B1262" s="1" t="n">
        <v>45869.36505787037</v>
      </c>
      <c r="C1262" s="1" t="n">
        <v>46075</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36545-2025</t>
        </is>
      </c>
      <c r="B1263" s="1" t="n">
        <v>45869.67761574074</v>
      </c>
      <c r="C1263" s="1" t="n">
        <v>46075</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36324-2025</t>
        </is>
      </c>
      <c r="B1264" s="1" t="n">
        <v>45868.40707175926</v>
      </c>
      <c r="C1264" s="1" t="n">
        <v>46075</v>
      </c>
      <c r="D1264" t="inlineStr">
        <is>
          <t>VÄSTERNORRLANDS LÄN</t>
        </is>
      </c>
      <c r="E1264" t="inlineStr">
        <is>
          <t>SOLLEFTEÅ</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36312-2025</t>
        </is>
      </c>
      <c r="B1265" s="1" t="n">
        <v>45868.34444444445</v>
      </c>
      <c r="C1265" s="1" t="n">
        <v>46075</v>
      </c>
      <c r="D1265" t="inlineStr">
        <is>
          <t>VÄSTERNORRLANDS LÄN</t>
        </is>
      </c>
      <c r="E1265" t="inlineStr">
        <is>
          <t>SOLLEFTEÅ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40355-2024</t>
        </is>
      </c>
      <c r="B1266" s="1" t="n">
        <v>45555.36541666667</v>
      </c>
      <c r="C1266" s="1" t="n">
        <v>46075</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11026-2025</t>
        </is>
      </c>
      <c r="B1267" s="1" t="n">
        <v>45723.46961805555</v>
      </c>
      <c r="C1267" s="1" t="n">
        <v>46075</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46873-2025</t>
        </is>
      </c>
      <c r="B1268" s="1" t="n">
        <v>45929.34421296296</v>
      </c>
      <c r="C1268" s="1" t="n">
        <v>46075</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37671-2023</t>
        </is>
      </c>
      <c r="B1269" s="1" t="n">
        <v>45156</v>
      </c>
      <c r="C1269" s="1" t="n">
        <v>46075</v>
      </c>
      <c r="D1269" t="inlineStr">
        <is>
          <t>VÄSTERNORRLANDS LÄN</t>
        </is>
      </c>
      <c r="E1269" t="inlineStr">
        <is>
          <t>SOLLEFTEÅ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46898-2025</t>
        </is>
      </c>
      <c r="B1270" s="1" t="n">
        <v>45929.38613425926</v>
      </c>
      <c r="C1270" s="1" t="n">
        <v>46075</v>
      </c>
      <c r="D1270" t="inlineStr">
        <is>
          <t>VÄSTERNORRLANDS LÄN</t>
        </is>
      </c>
      <c r="E1270" t="inlineStr">
        <is>
          <t>SOLLEFTEÅ</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36313-2025</t>
        </is>
      </c>
      <c r="B1271" s="1" t="n">
        <v>45868.34456018519</v>
      </c>
      <c r="C1271" s="1" t="n">
        <v>46075</v>
      </c>
      <c r="D1271" t="inlineStr">
        <is>
          <t>VÄSTERNORRLANDS LÄN</t>
        </is>
      </c>
      <c r="E1271" t="inlineStr">
        <is>
          <t>SOLLEFTEÅ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54559-2022</t>
        </is>
      </c>
      <c r="B1272" s="1" t="n">
        <v>44882</v>
      </c>
      <c r="C1272" s="1" t="n">
        <v>46075</v>
      </c>
      <c r="D1272" t="inlineStr">
        <is>
          <t>VÄSTERNORRLANDS LÄN</t>
        </is>
      </c>
      <c r="E1272" t="inlineStr">
        <is>
          <t>SOLLEFTEÅ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29210-2023</t>
        </is>
      </c>
      <c r="B1273" s="1" t="n">
        <v>45097</v>
      </c>
      <c r="C1273" s="1" t="n">
        <v>46075</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29336-2023</t>
        </is>
      </c>
      <c r="B1274" s="1" t="n">
        <v>45105</v>
      </c>
      <c r="C1274" s="1" t="n">
        <v>46075</v>
      </c>
      <c r="D1274" t="inlineStr">
        <is>
          <t>VÄSTERNORRLANDS LÄN</t>
        </is>
      </c>
      <c r="E1274" t="inlineStr">
        <is>
          <t>SOLLEFTEÅ</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36558-2025</t>
        </is>
      </c>
      <c r="B1275" s="1" t="n">
        <v>45870.35769675926</v>
      </c>
      <c r="C1275" s="1" t="n">
        <v>46075</v>
      </c>
      <c r="D1275" t="inlineStr">
        <is>
          <t>VÄSTERNORRLANDS LÄN</t>
        </is>
      </c>
      <c r="E1275" t="inlineStr">
        <is>
          <t>SOLLEFTEÅ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36561-2025</t>
        </is>
      </c>
      <c r="B1276" s="1" t="n">
        <v>45870.36722222222</v>
      </c>
      <c r="C1276" s="1" t="n">
        <v>46075</v>
      </c>
      <c r="D1276" t="inlineStr">
        <is>
          <t>VÄSTERNORRLANDS LÄN</t>
        </is>
      </c>
      <c r="E1276" t="inlineStr">
        <is>
          <t>SOLLEFTEÅ</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36571-2025</t>
        </is>
      </c>
      <c r="B1277" s="1" t="n">
        <v>45870.38778935185</v>
      </c>
      <c r="C1277" s="1" t="n">
        <v>46075</v>
      </c>
      <c r="D1277" t="inlineStr">
        <is>
          <t>VÄSTERNORRLANDS LÄN</t>
        </is>
      </c>
      <c r="E1277" t="inlineStr">
        <is>
          <t>SOLLEFTEÅ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46905-2025</t>
        </is>
      </c>
      <c r="B1278" s="1" t="n">
        <v>45929.40055555556</v>
      </c>
      <c r="C1278" s="1" t="n">
        <v>46075</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36065-2025</t>
        </is>
      </c>
      <c r="B1279" s="1" t="n">
        <v>45866</v>
      </c>
      <c r="C1279" s="1" t="n">
        <v>46075</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46968-2025</t>
        </is>
      </c>
      <c r="B1280" s="1" t="n">
        <v>45929.50158564815</v>
      </c>
      <c r="C1280" s="1" t="n">
        <v>46075</v>
      </c>
      <c r="D1280" t="inlineStr">
        <is>
          <t>VÄSTERNORRLANDS LÄN</t>
        </is>
      </c>
      <c r="E1280" t="inlineStr">
        <is>
          <t>SOLLEFTEÅ</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46784-2025</t>
        </is>
      </c>
      <c r="B1281" s="1" t="n">
        <v>45926</v>
      </c>
      <c r="C1281" s="1" t="n">
        <v>46075</v>
      </c>
      <c r="D1281" t="inlineStr">
        <is>
          <t>VÄSTERNORRLANDS LÄN</t>
        </is>
      </c>
      <c r="E1281" t="inlineStr">
        <is>
          <t>SOLLEFTEÅ</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59491-2024</t>
        </is>
      </c>
      <c r="B1282" s="1" t="n">
        <v>45637</v>
      </c>
      <c r="C1282" s="1" t="n">
        <v>46075</v>
      </c>
      <c r="D1282" t="inlineStr">
        <is>
          <t>VÄSTERNORRLANDS LÄN</t>
        </is>
      </c>
      <c r="E1282" t="inlineStr">
        <is>
          <t>SOLLEFTEÅ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12561-2022</t>
        </is>
      </c>
      <c r="B1283" s="1" t="n">
        <v>44638</v>
      </c>
      <c r="C1283" s="1" t="n">
        <v>46075</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12820-2023</t>
        </is>
      </c>
      <c r="B1284" s="1" t="n">
        <v>45000</v>
      </c>
      <c r="C1284" s="1" t="n">
        <v>46075</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47069-2025</t>
        </is>
      </c>
      <c r="B1285" s="1" t="n">
        <v>45929.63596064815</v>
      </c>
      <c r="C1285" s="1" t="n">
        <v>46075</v>
      </c>
      <c r="D1285" t="inlineStr">
        <is>
          <t>VÄSTERNORRLANDS LÄN</t>
        </is>
      </c>
      <c r="E1285" t="inlineStr">
        <is>
          <t>SOLLEFTEÅ</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36567-2025</t>
        </is>
      </c>
      <c r="B1286" s="1" t="n">
        <v>45870.38320601852</v>
      </c>
      <c r="C1286" s="1" t="n">
        <v>46075</v>
      </c>
      <c r="D1286" t="inlineStr">
        <is>
          <t>VÄSTERNORRLANDS LÄN</t>
        </is>
      </c>
      <c r="E1286" t="inlineStr">
        <is>
          <t>SOLLEFTEÅ</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46750-2025</t>
        </is>
      </c>
      <c r="B1287" s="1" t="n">
        <v>45926.61511574074</v>
      </c>
      <c r="C1287" s="1" t="n">
        <v>46075</v>
      </c>
      <c r="D1287" t="inlineStr">
        <is>
          <t>VÄSTERNORRLANDS LÄN</t>
        </is>
      </c>
      <c r="E1287" t="inlineStr">
        <is>
          <t>SOLLEFTEÅ</t>
        </is>
      </c>
      <c r="F1287" t="inlineStr">
        <is>
          <t>SCA</t>
        </is>
      </c>
      <c r="G1287" t="n">
        <v>59.9</v>
      </c>
      <c r="H1287" t="n">
        <v>0</v>
      </c>
      <c r="I1287" t="n">
        <v>0</v>
      </c>
      <c r="J1287" t="n">
        <v>0</v>
      </c>
      <c r="K1287" t="n">
        <v>0</v>
      </c>
      <c r="L1287" t="n">
        <v>0</v>
      </c>
      <c r="M1287" t="n">
        <v>0</v>
      </c>
      <c r="N1287" t="n">
        <v>0</v>
      </c>
      <c r="O1287" t="n">
        <v>0</v>
      </c>
      <c r="P1287" t="n">
        <v>0</v>
      </c>
      <c r="Q1287" t="n">
        <v>0</v>
      </c>
      <c r="R1287" s="2" t="inlineStr"/>
    </row>
    <row r="1288" ht="15" customHeight="1">
      <c r="A1288" t="inlineStr">
        <is>
          <t>A 3096-2025</t>
        </is>
      </c>
      <c r="B1288" s="1" t="n">
        <v>45678.66643518519</v>
      </c>
      <c r="C1288" s="1" t="n">
        <v>46075</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46973-2025</t>
        </is>
      </c>
      <c r="B1289" s="1" t="n">
        <v>45929.51083333333</v>
      </c>
      <c r="C1289" s="1" t="n">
        <v>46075</v>
      </c>
      <c r="D1289" t="inlineStr">
        <is>
          <t>VÄSTERNORRLANDS LÄN</t>
        </is>
      </c>
      <c r="E1289" t="inlineStr">
        <is>
          <t>SOLLEFTEÅ</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46920-2025</t>
        </is>
      </c>
      <c r="B1290" s="1" t="n">
        <v>45929.43368055556</v>
      </c>
      <c r="C1290" s="1" t="n">
        <v>46075</v>
      </c>
      <c r="D1290" t="inlineStr">
        <is>
          <t>VÄSTERNORRLANDS LÄN</t>
        </is>
      </c>
      <c r="E1290" t="inlineStr">
        <is>
          <t>SOLLEFTEÅ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31395-2025</t>
        </is>
      </c>
      <c r="B1291" s="1" t="n">
        <v>45833.46438657407</v>
      </c>
      <c r="C1291" s="1" t="n">
        <v>46075</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43049-2024</t>
        </is>
      </c>
      <c r="B1292" s="1" t="n">
        <v>45567</v>
      </c>
      <c r="C1292" s="1" t="n">
        <v>46075</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49711-2021</t>
        </is>
      </c>
      <c r="B1293" s="1" t="n">
        <v>44455</v>
      </c>
      <c r="C1293" s="1" t="n">
        <v>46075</v>
      </c>
      <c r="D1293" t="inlineStr">
        <is>
          <t>VÄSTERNORRLANDS LÄN</t>
        </is>
      </c>
      <c r="E1293" t="inlineStr">
        <is>
          <t>SOLLEFTEÅ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47185-2023</t>
        </is>
      </c>
      <c r="B1294" s="1" t="n">
        <v>45201</v>
      </c>
      <c r="C1294" s="1" t="n">
        <v>46075</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56408-2024</t>
        </is>
      </c>
      <c r="B1295" s="1" t="n">
        <v>45625</v>
      </c>
      <c r="C1295" s="1" t="n">
        <v>46075</v>
      </c>
      <c r="D1295" t="inlineStr">
        <is>
          <t>VÄSTERNORRLANDS LÄN</t>
        </is>
      </c>
      <c r="E1295" t="inlineStr">
        <is>
          <t>SOLLEFTEÅ</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47376-2025</t>
        </is>
      </c>
      <c r="B1296" s="1" t="n">
        <v>45930.59454861111</v>
      </c>
      <c r="C1296" s="1" t="n">
        <v>46075</v>
      </c>
      <c r="D1296" t="inlineStr">
        <is>
          <t>VÄSTERNORRLANDS LÄN</t>
        </is>
      </c>
      <c r="E1296" t="inlineStr">
        <is>
          <t>SOLLEFTEÅ</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4931-2025</t>
        </is>
      </c>
      <c r="B1297" s="1" t="n">
        <v>45688.68476851852</v>
      </c>
      <c r="C1297" s="1" t="n">
        <v>46075</v>
      </c>
      <c r="D1297" t="inlineStr">
        <is>
          <t>VÄSTERNORRLANDS LÄN</t>
        </is>
      </c>
      <c r="E1297" t="inlineStr">
        <is>
          <t>SOLLEFTEÅ</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47489-2025</t>
        </is>
      </c>
      <c r="B1298" s="1" t="n">
        <v>45930.69912037037</v>
      </c>
      <c r="C1298" s="1" t="n">
        <v>46075</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47490-2025</t>
        </is>
      </c>
      <c r="B1299" s="1" t="n">
        <v>45930.69918981481</v>
      </c>
      <c r="C1299" s="1" t="n">
        <v>46075</v>
      </c>
      <c r="D1299" t="inlineStr">
        <is>
          <t>VÄSTERNORRLANDS LÄN</t>
        </is>
      </c>
      <c r="E1299" t="inlineStr">
        <is>
          <t>SOLLEFTEÅ</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47675-2025</t>
        </is>
      </c>
      <c r="B1300" s="1" t="n">
        <v>45931.5742824074</v>
      </c>
      <c r="C1300" s="1" t="n">
        <v>46075</v>
      </c>
      <c r="D1300" t="inlineStr">
        <is>
          <t>VÄSTERNORRLANDS LÄN</t>
        </is>
      </c>
      <c r="E1300" t="inlineStr">
        <is>
          <t>SOLLEFTEÅ</t>
        </is>
      </c>
      <c r="F1300" t="inlineStr">
        <is>
          <t>SCA</t>
        </is>
      </c>
      <c r="G1300" t="n">
        <v>27.8</v>
      </c>
      <c r="H1300" t="n">
        <v>0</v>
      </c>
      <c r="I1300" t="n">
        <v>0</v>
      </c>
      <c r="J1300" t="n">
        <v>0</v>
      </c>
      <c r="K1300" t="n">
        <v>0</v>
      </c>
      <c r="L1300" t="n">
        <v>0</v>
      </c>
      <c r="M1300" t="n">
        <v>0</v>
      </c>
      <c r="N1300" t="n">
        <v>0</v>
      </c>
      <c r="O1300" t="n">
        <v>0</v>
      </c>
      <c r="P1300" t="n">
        <v>0</v>
      </c>
      <c r="Q1300" t="n">
        <v>0</v>
      </c>
      <c r="R1300" s="2" t="inlineStr"/>
    </row>
    <row r="1301" ht="15" customHeight="1">
      <c r="A1301" t="inlineStr">
        <is>
          <t>A 47292-2025</t>
        </is>
      </c>
      <c r="B1301" s="1" t="n">
        <v>45930.4903125</v>
      </c>
      <c r="C1301" s="1" t="n">
        <v>46075</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47293-2025</t>
        </is>
      </c>
      <c r="B1302" s="1" t="n">
        <v>45930.49034722222</v>
      </c>
      <c r="C1302" s="1" t="n">
        <v>46075</v>
      </c>
      <c r="D1302" t="inlineStr">
        <is>
          <t>VÄSTERNORRLANDS LÄN</t>
        </is>
      </c>
      <c r="E1302" t="inlineStr">
        <is>
          <t>SOLLEFTEÅ</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47234-2025</t>
        </is>
      </c>
      <c r="B1303" s="1" t="n">
        <v>45930.40663194445</v>
      </c>
      <c r="C1303" s="1" t="n">
        <v>46075</v>
      </c>
      <c r="D1303" t="inlineStr">
        <is>
          <t>VÄSTERNORRLANDS LÄN</t>
        </is>
      </c>
      <c r="E1303" t="inlineStr">
        <is>
          <t>SOLLEFTEÅ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47647-2025</t>
        </is>
      </c>
      <c r="B1304" s="1" t="n">
        <v>45931.51834490741</v>
      </c>
      <c r="C1304" s="1" t="n">
        <v>46075</v>
      </c>
      <c r="D1304" t="inlineStr">
        <is>
          <t>VÄSTERNORRLANDS LÄN</t>
        </is>
      </c>
      <c r="E1304" t="inlineStr">
        <is>
          <t>SOLLEFTEÅ</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15872-2024</t>
        </is>
      </c>
      <c r="B1305" s="1" t="n">
        <v>45405</v>
      </c>
      <c r="C1305" s="1" t="n">
        <v>46075</v>
      </c>
      <c r="D1305" t="inlineStr">
        <is>
          <t>VÄSTERNORRLANDS LÄN</t>
        </is>
      </c>
      <c r="E1305" t="inlineStr">
        <is>
          <t>SOLLEFTEÅ</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47641-2025</t>
        </is>
      </c>
      <c r="B1306" s="1" t="n">
        <v>45931.51086805556</v>
      </c>
      <c r="C1306" s="1" t="n">
        <v>46075</v>
      </c>
      <c r="D1306" t="inlineStr">
        <is>
          <t>VÄSTERNORRLANDS LÄN</t>
        </is>
      </c>
      <c r="E1306" t="inlineStr">
        <is>
          <t>SOLLEFTEÅ</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47642-2025</t>
        </is>
      </c>
      <c r="B1307" s="1" t="n">
        <v>45931.51105324074</v>
      </c>
      <c r="C1307" s="1" t="n">
        <v>46075</v>
      </c>
      <c r="D1307" t="inlineStr">
        <is>
          <t>VÄSTERNORRLANDS LÄN</t>
        </is>
      </c>
      <c r="E1307" t="inlineStr">
        <is>
          <t>SOLLEFTEÅ</t>
        </is>
      </c>
      <c r="F1307" t="inlineStr">
        <is>
          <t>SCA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47448-2025</t>
        </is>
      </c>
      <c r="B1308" s="1" t="n">
        <v>45930.64592592593</v>
      </c>
      <c r="C1308" s="1" t="n">
        <v>46075</v>
      </c>
      <c r="D1308" t="inlineStr">
        <is>
          <t>VÄSTERNORRLANDS LÄN</t>
        </is>
      </c>
      <c r="E1308" t="inlineStr">
        <is>
          <t>SOLLEFTEÅ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22205-2025</t>
        </is>
      </c>
      <c r="B1309" s="1" t="n">
        <v>45785.65686342592</v>
      </c>
      <c r="C1309" s="1" t="n">
        <v>46075</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12006-2022</t>
        </is>
      </c>
      <c r="B1310" s="1" t="n">
        <v>44635.92496527778</v>
      </c>
      <c r="C1310" s="1" t="n">
        <v>46075</v>
      </c>
      <c r="D1310" t="inlineStr">
        <is>
          <t>VÄSTERNORRLANDS LÄN</t>
        </is>
      </c>
      <c r="E1310" t="inlineStr">
        <is>
          <t>SOLLEFTEÅ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47771-2025</t>
        </is>
      </c>
      <c r="B1311" s="1" t="n">
        <v>45931.719375</v>
      </c>
      <c r="C1311" s="1" t="n">
        <v>46075</v>
      </c>
      <c r="D1311" t="inlineStr">
        <is>
          <t>VÄSTERNORRLANDS LÄN</t>
        </is>
      </c>
      <c r="E1311" t="inlineStr">
        <is>
          <t>SOLLEFTEÅ</t>
        </is>
      </c>
      <c r="F1311" t="inlineStr">
        <is>
          <t>SCA</t>
        </is>
      </c>
      <c r="G1311" t="n">
        <v>23.8</v>
      </c>
      <c r="H1311" t="n">
        <v>0</v>
      </c>
      <c r="I1311" t="n">
        <v>0</v>
      </c>
      <c r="J1311" t="n">
        <v>0</v>
      </c>
      <c r="K1311" t="n">
        <v>0</v>
      </c>
      <c r="L1311" t="n">
        <v>0</v>
      </c>
      <c r="M1311" t="n">
        <v>0</v>
      </c>
      <c r="N1311" t="n">
        <v>0</v>
      </c>
      <c r="O1311" t="n">
        <v>0</v>
      </c>
      <c r="P1311" t="n">
        <v>0</v>
      </c>
      <c r="Q1311" t="n">
        <v>0</v>
      </c>
      <c r="R1311" s="2" t="inlineStr"/>
    </row>
    <row r="1312" ht="15" customHeight="1">
      <c r="A1312" t="inlineStr">
        <is>
          <t>A 3082-2025</t>
        </is>
      </c>
      <c r="B1312" s="1" t="n">
        <v>45678.64443287037</v>
      </c>
      <c r="C1312" s="1" t="n">
        <v>46075</v>
      </c>
      <c r="D1312" t="inlineStr">
        <is>
          <t>VÄSTERNORRLANDS LÄN</t>
        </is>
      </c>
      <c r="E1312" t="inlineStr">
        <is>
          <t>SOLLEFTEÅ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22390-2025</t>
        </is>
      </c>
      <c r="B1313" s="1" t="n">
        <v>45786.51107638889</v>
      </c>
      <c r="C1313" s="1" t="n">
        <v>46075</v>
      </c>
      <c r="D1313" t="inlineStr">
        <is>
          <t>VÄSTERNORRLANDS LÄN</t>
        </is>
      </c>
      <c r="E1313" t="inlineStr">
        <is>
          <t>SOLLEFTEÅ</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47218-2025</t>
        </is>
      </c>
      <c r="B1314" s="1" t="n">
        <v>45930.38640046296</v>
      </c>
      <c r="C1314" s="1" t="n">
        <v>46075</v>
      </c>
      <c r="D1314" t="inlineStr">
        <is>
          <t>VÄSTERNORRLANDS LÄN</t>
        </is>
      </c>
      <c r="E1314" t="inlineStr">
        <is>
          <t>SOLLEFTEÅ</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47219-2025</t>
        </is>
      </c>
      <c r="B1315" s="1" t="n">
        <v>45930.38649305556</v>
      </c>
      <c r="C1315" s="1" t="n">
        <v>46075</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47702-2025</t>
        </is>
      </c>
      <c r="B1316" s="1" t="n">
        <v>45931.60685185185</v>
      </c>
      <c r="C1316" s="1" t="n">
        <v>46075</v>
      </c>
      <c r="D1316" t="inlineStr">
        <is>
          <t>VÄSTERNORRLANDS LÄN</t>
        </is>
      </c>
      <c r="E1316" t="inlineStr">
        <is>
          <t>SOLLEFTEÅ</t>
        </is>
      </c>
      <c r="F1316" t="inlineStr">
        <is>
          <t>Holmen skog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47636-2025</t>
        </is>
      </c>
      <c r="B1317" s="1" t="n">
        <v>45931.49577546296</v>
      </c>
      <c r="C1317" s="1" t="n">
        <v>46075</v>
      </c>
      <c r="D1317" t="inlineStr">
        <is>
          <t>VÄSTERNORRLANDS LÄN</t>
        </is>
      </c>
      <c r="E1317" t="inlineStr">
        <is>
          <t>SOLLEFTEÅ</t>
        </is>
      </c>
      <c r="G1317" t="n">
        <v>13.6</v>
      </c>
      <c r="H1317" t="n">
        <v>0</v>
      </c>
      <c r="I1317" t="n">
        <v>0</v>
      </c>
      <c r="J1317" t="n">
        <v>0</v>
      </c>
      <c r="K1317" t="n">
        <v>0</v>
      </c>
      <c r="L1317" t="n">
        <v>0</v>
      </c>
      <c r="M1317" t="n">
        <v>0</v>
      </c>
      <c r="N1317" t="n">
        <v>0</v>
      </c>
      <c r="O1317" t="n">
        <v>0</v>
      </c>
      <c r="P1317" t="n">
        <v>0</v>
      </c>
      <c r="Q1317" t="n">
        <v>0</v>
      </c>
      <c r="R1317" s="2" t="inlineStr"/>
    </row>
    <row r="1318" ht="15" customHeight="1">
      <c r="A1318" t="inlineStr">
        <is>
          <t>A 36967-2025</t>
        </is>
      </c>
      <c r="B1318" s="1" t="n">
        <v>45874.63642361111</v>
      </c>
      <c r="C1318" s="1" t="n">
        <v>46075</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37018-2025</t>
        </is>
      </c>
      <c r="B1319" s="1" t="n">
        <v>45874</v>
      </c>
      <c r="C1319" s="1" t="n">
        <v>46075</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37053-2025</t>
        </is>
      </c>
      <c r="B1320" s="1" t="n">
        <v>45875.36493055556</v>
      </c>
      <c r="C1320" s="1" t="n">
        <v>46075</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36850-2025</t>
        </is>
      </c>
      <c r="B1321" s="1" t="n">
        <v>45874.39098379629</v>
      </c>
      <c r="C1321" s="1" t="n">
        <v>46075</v>
      </c>
      <c r="D1321" t="inlineStr">
        <is>
          <t>VÄSTERNORRLANDS LÄN</t>
        </is>
      </c>
      <c r="E1321" t="inlineStr">
        <is>
          <t>SOLLEFTEÅ</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37065-2025</t>
        </is>
      </c>
      <c r="B1322" s="1" t="n">
        <v>45875.38619212963</v>
      </c>
      <c r="C1322" s="1" t="n">
        <v>46075</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47536-2025</t>
        </is>
      </c>
      <c r="B1323" s="1" t="n">
        <v>45931.34695601852</v>
      </c>
      <c r="C1323" s="1" t="n">
        <v>46075</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5874-2024</t>
        </is>
      </c>
      <c r="B1324" s="1" t="n">
        <v>45335.6615625</v>
      </c>
      <c r="C1324" s="1" t="n">
        <v>46075</v>
      </c>
      <c r="D1324" t="inlineStr">
        <is>
          <t>VÄSTERNORRLANDS LÄN</t>
        </is>
      </c>
      <c r="E1324" t="inlineStr">
        <is>
          <t>SOLLEFTEÅ</t>
        </is>
      </c>
      <c r="F1324" t="inlineStr">
        <is>
          <t>Övriga Aktiebolag</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8084-2025</t>
        </is>
      </c>
      <c r="B1325" s="1" t="n">
        <v>45707</v>
      </c>
      <c r="C1325" s="1" t="n">
        <v>46075</v>
      </c>
      <c r="D1325" t="inlineStr">
        <is>
          <t>VÄSTERNORRLANDS LÄN</t>
        </is>
      </c>
      <c r="E1325" t="inlineStr">
        <is>
          <t>SOLLEFTEÅ</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36968-2025</t>
        </is>
      </c>
      <c r="B1326" s="1" t="n">
        <v>45874.63667824074</v>
      </c>
      <c r="C1326" s="1" t="n">
        <v>46075</v>
      </c>
      <c r="D1326" t="inlineStr">
        <is>
          <t>VÄSTERNORRLANDS LÄN</t>
        </is>
      </c>
      <c r="E1326" t="inlineStr">
        <is>
          <t>SOLLEFTEÅ</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58427-2023</t>
        </is>
      </c>
      <c r="B1327" s="1" t="n">
        <v>45250</v>
      </c>
      <c r="C1327" s="1" t="n">
        <v>46075</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37084-2025</t>
        </is>
      </c>
      <c r="B1328" s="1" t="n">
        <v>45875.44826388889</v>
      </c>
      <c r="C1328" s="1" t="n">
        <v>46075</v>
      </c>
      <c r="D1328" t="inlineStr">
        <is>
          <t>VÄSTERNORRLANDS LÄN</t>
        </is>
      </c>
      <c r="E1328" t="inlineStr">
        <is>
          <t>SOLLEFTEÅ</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47217-2025</t>
        </is>
      </c>
      <c r="B1329" s="1" t="n">
        <v>45930.38625</v>
      </c>
      <c r="C1329" s="1" t="n">
        <v>46075</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47291-2025</t>
        </is>
      </c>
      <c r="B1330" s="1" t="n">
        <v>45930.49019675926</v>
      </c>
      <c r="C1330" s="1" t="n">
        <v>46075</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47532-2025</t>
        </is>
      </c>
      <c r="B1331" s="1" t="n">
        <v>45931.34635416666</v>
      </c>
      <c r="C1331" s="1" t="n">
        <v>46075</v>
      </c>
      <c r="D1331" t="inlineStr">
        <is>
          <t>VÄSTERNORRLANDS LÄN</t>
        </is>
      </c>
      <c r="E1331" t="inlineStr">
        <is>
          <t>SOLLEFTEÅ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36928-2025</t>
        </is>
      </c>
      <c r="B1332" s="1" t="n">
        <v>45874.55299768518</v>
      </c>
      <c r="C1332" s="1" t="n">
        <v>46075</v>
      </c>
      <c r="D1332" t="inlineStr">
        <is>
          <t>VÄSTERNORRLANDS LÄN</t>
        </is>
      </c>
      <c r="E1332" t="inlineStr">
        <is>
          <t>SOLLEFTEÅ</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36966-2025</t>
        </is>
      </c>
      <c r="B1333" s="1" t="n">
        <v>45874.63614583333</v>
      </c>
      <c r="C1333" s="1" t="n">
        <v>46075</v>
      </c>
      <c r="D1333" t="inlineStr">
        <is>
          <t>VÄSTERNORRLANDS LÄN</t>
        </is>
      </c>
      <c r="E1333" t="inlineStr">
        <is>
          <t>SOLLEFTEÅ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47732-2025</t>
        </is>
      </c>
      <c r="B1334" s="1" t="n">
        <v>45931.63561342593</v>
      </c>
      <c r="C1334" s="1" t="n">
        <v>46075</v>
      </c>
      <c r="D1334" t="inlineStr">
        <is>
          <t>VÄSTERNORRLANDS LÄN</t>
        </is>
      </c>
      <c r="E1334" t="inlineStr">
        <is>
          <t>SOLLEFTEÅ</t>
        </is>
      </c>
      <c r="F1334" t="inlineStr">
        <is>
          <t>Holmen skog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4859-2025</t>
        </is>
      </c>
      <c r="B1335" s="1" t="n">
        <v>45688.67451388889</v>
      </c>
      <c r="C1335" s="1" t="n">
        <v>46075</v>
      </c>
      <c r="D1335" t="inlineStr">
        <is>
          <t>VÄSTERNORRLANDS LÄN</t>
        </is>
      </c>
      <c r="E1335" t="inlineStr">
        <is>
          <t>SOLLEFTEÅ</t>
        </is>
      </c>
      <c r="F1335" t="inlineStr">
        <is>
          <t>SCA</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4894-2025</t>
        </is>
      </c>
      <c r="B1336" s="1" t="n">
        <v>45688.67888888889</v>
      </c>
      <c r="C1336" s="1" t="n">
        <v>46075</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48313-2025</t>
        </is>
      </c>
      <c r="B1337" s="1" t="n">
        <v>45933.61605324074</v>
      </c>
      <c r="C1337" s="1" t="n">
        <v>46075</v>
      </c>
      <c r="D1337" t="inlineStr">
        <is>
          <t>VÄSTERNORRLANDS LÄN</t>
        </is>
      </c>
      <c r="E1337" t="inlineStr">
        <is>
          <t>SOLLEFTEÅ</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37019-2025</t>
        </is>
      </c>
      <c r="B1338" s="1" t="n">
        <v>45874</v>
      </c>
      <c r="C1338" s="1" t="n">
        <v>46075</v>
      </c>
      <c r="D1338" t="inlineStr">
        <is>
          <t>VÄSTERNORRLANDS LÄN</t>
        </is>
      </c>
      <c r="E1338" t="inlineStr">
        <is>
          <t>SOLLEFTEÅ</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47962-2025</t>
        </is>
      </c>
      <c r="B1339" s="1" t="n">
        <v>45932.59434027778</v>
      </c>
      <c r="C1339" s="1" t="n">
        <v>46075</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37073-2025</t>
        </is>
      </c>
      <c r="B1340" s="1" t="n">
        <v>45875.40703703704</v>
      </c>
      <c r="C1340" s="1" t="n">
        <v>46075</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46212-2023</t>
        </is>
      </c>
      <c r="B1341" s="1" t="n">
        <v>45190</v>
      </c>
      <c r="C1341" s="1" t="n">
        <v>46075</v>
      </c>
      <c r="D1341" t="inlineStr">
        <is>
          <t>VÄSTERNORRLANDS LÄN</t>
        </is>
      </c>
      <c r="E1341" t="inlineStr">
        <is>
          <t>SOLLEFTEÅ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36927-2025</t>
        </is>
      </c>
      <c r="B1342" s="1" t="n">
        <v>45874.55273148148</v>
      </c>
      <c r="C1342" s="1" t="n">
        <v>46075</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48311-2025</t>
        </is>
      </c>
      <c r="B1343" s="1" t="n">
        <v>45933.61584490741</v>
      </c>
      <c r="C1343" s="1" t="n">
        <v>46075</v>
      </c>
      <c r="D1343" t="inlineStr">
        <is>
          <t>VÄSTERNORRLANDS LÄN</t>
        </is>
      </c>
      <c r="E1343" t="inlineStr">
        <is>
          <t>SOLLEFTEÅ</t>
        </is>
      </c>
      <c r="F1343" t="inlineStr">
        <is>
          <t>SCA</t>
        </is>
      </c>
      <c r="G1343" t="n">
        <v>61.2</v>
      </c>
      <c r="H1343" t="n">
        <v>0</v>
      </c>
      <c r="I1343" t="n">
        <v>0</v>
      </c>
      <c r="J1343" t="n">
        <v>0</v>
      </c>
      <c r="K1343" t="n">
        <v>0</v>
      </c>
      <c r="L1343" t="n">
        <v>0</v>
      </c>
      <c r="M1343" t="n">
        <v>0</v>
      </c>
      <c r="N1343" t="n">
        <v>0</v>
      </c>
      <c r="O1343" t="n">
        <v>0</v>
      </c>
      <c r="P1343" t="n">
        <v>0</v>
      </c>
      <c r="Q1343" t="n">
        <v>0</v>
      </c>
      <c r="R1343" s="2" t="inlineStr"/>
    </row>
    <row r="1344" ht="15" customHeight="1">
      <c r="A1344" t="inlineStr">
        <is>
          <t>A 48351-2025</t>
        </is>
      </c>
      <c r="B1344" s="1" t="n">
        <v>45933.65725694445</v>
      </c>
      <c r="C1344" s="1" t="n">
        <v>46075</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39399-2023</t>
        </is>
      </c>
      <c r="B1345" s="1" t="n">
        <v>45163</v>
      </c>
      <c r="C1345" s="1" t="n">
        <v>46075</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14274-2025</t>
        </is>
      </c>
      <c r="B1346" s="1" t="n">
        <v>45740.64412037037</v>
      </c>
      <c r="C1346" s="1" t="n">
        <v>46075</v>
      </c>
      <c r="D1346" t="inlineStr">
        <is>
          <t>VÄSTERNORRLANDS LÄN</t>
        </is>
      </c>
      <c r="E1346" t="inlineStr">
        <is>
          <t>SOLLEFTEÅ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37278-2025</t>
        </is>
      </c>
      <c r="B1347" s="1" t="n">
        <v>45876.490625</v>
      </c>
      <c r="C1347" s="1" t="n">
        <v>46075</v>
      </c>
      <c r="D1347" t="inlineStr">
        <is>
          <t>VÄSTERNORRLANDS LÄN</t>
        </is>
      </c>
      <c r="E1347" t="inlineStr">
        <is>
          <t>SOLLEFTEÅ</t>
        </is>
      </c>
      <c r="F1347" t="inlineStr">
        <is>
          <t>SCA</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15147-2024</t>
        </is>
      </c>
      <c r="B1348" s="1" t="n">
        <v>45399.94372685185</v>
      </c>
      <c r="C1348" s="1" t="n">
        <v>46075</v>
      </c>
      <c r="D1348" t="inlineStr">
        <is>
          <t>VÄSTERNORRLANDS LÄN</t>
        </is>
      </c>
      <c r="E1348" t="inlineStr">
        <is>
          <t>SOLLEFTEÅ</t>
        </is>
      </c>
      <c r="F1348" t="inlineStr">
        <is>
          <t>SCA</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48310-2025</t>
        </is>
      </c>
      <c r="B1349" s="1" t="n">
        <v>45933.61559027778</v>
      </c>
      <c r="C1349" s="1" t="n">
        <v>46075</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47851-2025</t>
        </is>
      </c>
      <c r="B1350" s="1" t="n">
        <v>45932.38645833333</v>
      </c>
      <c r="C1350" s="1" t="n">
        <v>46075</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48290-2025</t>
        </is>
      </c>
      <c r="B1351" s="1" t="n">
        <v>45933.59497685185</v>
      </c>
      <c r="C1351" s="1" t="n">
        <v>46075</v>
      </c>
      <c r="D1351" t="inlineStr">
        <is>
          <t>VÄSTERNORRLANDS LÄN</t>
        </is>
      </c>
      <c r="E1351" t="inlineStr">
        <is>
          <t>SOLLEFTEÅ</t>
        </is>
      </c>
      <c r="F1351" t="inlineStr">
        <is>
          <t>SCA</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48306-2025</t>
        </is>
      </c>
      <c r="B1352" s="1" t="n">
        <v>45933.615</v>
      </c>
      <c r="C1352" s="1" t="n">
        <v>46075</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48125-2025</t>
        </is>
      </c>
      <c r="B1353" s="1" t="n">
        <v>45933.36511574074</v>
      </c>
      <c r="C1353" s="1" t="n">
        <v>46075</v>
      </c>
      <c r="D1353" t="inlineStr">
        <is>
          <t>VÄSTERNORRLANDS LÄN</t>
        </is>
      </c>
      <c r="E1353" t="inlineStr">
        <is>
          <t>SOLLEFTEÅ</t>
        </is>
      </c>
      <c r="F1353" t="inlineStr">
        <is>
          <t>SCA</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54574-2024</t>
        </is>
      </c>
      <c r="B1354" s="1" t="n">
        <v>45617.65201388889</v>
      </c>
      <c r="C1354" s="1" t="n">
        <v>46075</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26955-2024</t>
        </is>
      </c>
      <c r="B1355" s="1" t="n">
        <v>45470.97040509259</v>
      </c>
      <c r="C1355" s="1" t="n">
        <v>46075</v>
      </c>
      <c r="D1355" t="inlineStr">
        <is>
          <t>VÄSTERNORRLANDS LÄN</t>
        </is>
      </c>
      <c r="E1355" t="inlineStr">
        <is>
          <t>SOLLEFTEÅ</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14612-2025</t>
        </is>
      </c>
      <c r="B1356" s="1" t="n">
        <v>45742</v>
      </c>
      <c r="C1356" s="1" t="n">
        <v>46075</v>
      </c>
      <c r="D1356" t="inlineStr">
        <is>
          <t>VÄSTERNORRLANDS LÄN</t>
        </is>
      </c>
      <c r="E1356" t="inlineStr">
        <is>
          <t>SOLLEFTEÅ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48349-2025</t>
        </is>
      </c>
      <c r="B1357" s="1" t="n">
        <v>45933.65673611111</v>
      </c>
      <c r="C1357" s="1" t="n">
        <v>46075</v>
      </c>
      <c r="D1357" t="inlineStr">
        <is>
          <t>VÄSTERNORRLANDS LÄN</t>
        </is>
      </c>
      <c r="E1357" t="inlineStr">
        <is>
          <t>SOLLEFTEÅ</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48307-2025</t>
        </is>
      </c>
      <c r="B1358" s="1" t="n">
        <v>45933.61519675926</v>
      </c>
      <c r="C1358" s="1" t="n">
        <v>46075</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48308-2025</t>
        </is>
      </c>
      <c r="B1359" s="1" t="n">
        <v>45933</v>
      </c>
      <c r="C1359" s="1" t="n">
        <v>46075</v>
      </c>
      <c r="D1359" t="inlineStr">
        <is>
          <t>VÄSTERNORRLANDS LÄN</t>
        </is>
      </c>
      <c r="E1359" t="inlineStr">
        <is>
          <t>SOLLEFTEÅ</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33743-2025</t>
        </is>
      </c>
      <c r="B1360" s="1" t="n">
        <v>45842.34496527778</v>
      </c>
      <c r="C1360" s="1" t="n">
        <v>46075</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48053-2025</t>
        </is>
      </c>
      <c r="B1361" s="1" t="n">
        <v>45932.67856481481</v>
      </c>
      <c r="C1361" s="1" t="n">
        <v>46075</v>
      </c>
      <c r="D1361" t="inlineStr">
        <is>
          <t>VÄSTERNORRLANDS LÄN</t>
        </is>
      </c>
      <c r="E1361" t="inlineStr">
        <is>
          <t>SOLLEFTEÅ</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37304-2025</t>
        </is>
      </c>
      <c r="B1362" s="1" t="n">
        <v>45876.59458333333</v>
      </c>
      <c r="C1362" s="1" t="n">
        <v>46075</v>
      </c>
      <c r="D1362" t="inlineStr">
        <is>
          <t>VÄSTERNORRLANDS LÄN</t>
        </is>
      </c>
      <c r="E1362" t="inlineStr">
        <is>
          <t>SOLLEFTEÅ</t>
        </is>
      </c>
      <c r="F1362" t="inlineStr">
        <is>
          <t>SCA</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47947-2025</t>
        </is>
      </c>
      <c r="B1363" s="1" t="n">
        <v>45932.5740625</v>
      </c>
      <c r="C1363" s="1" t="n">
        <v>46075</v>
      </c>
      <c r="D1363" t="inlineStr">
        <is>
          <t>VÄSTERNORRLANDS LÄN</t>
        </is>
      </c>
      <c r="E1363" t="inlineStr">
        <is>
          <t>SOLLEFTEÅ</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61845-2024</t>
        </is>
      </c>
      <c r="B1364" s="1" t="n">
        <v>45646</v>
      </c>
      <c r="C1364" s="1" t="n">
        <v>46075</v>
      </c>
      <c r="D1364" t="inlineStr">
        <is>
          <t>VÄSTERNORRLANDS LÄN</t>
        </is>
      </c>
      <c r="E1364" t="inlineStr">
        <is>
          <t>SOLLEFTEÅ</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61849-2024</t>
        </is>
      </c>
      <c r="B1365" s="1" t="n">
        <v>45646</v>
      </c>
      <c r="C1365" s="1" t="n">
        <v>46075</v>
      </c>
      <c r="D1365" t="inlineStr">
        <is>
          <t>VÄSTERNORRLANDS LÄN</t>
        </is>
      </c>
      <c r="E1365" t="inlineStr">
        <is>
          <t>SOLLEFTEÅ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48126-2025</t>
        </is>
      </c>
      <c r="B1366" s="1" t="n">
        <v>45933.36530092593</v>
      </c>
      <c r="C1366" s="1" t="n">
        <v>46075</v>
      </c>
      <c r="D1366" t="inlineStr">
        <is>
          <t>VÄSTERNORRLANDS LÄN</t>
        </is>
      </c>
      <c r="E1366" t="inlineStr">
        <is>
          <t>SOLLEFTEÅ</t>
        </is>
      </c>
      <c r="F1366" t="inlineStr">
        <is>
          <t>SCA</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47329-2023</t>
        </is>
      </c>
      <c r="B1367" s="1" t="n">
        <v>45196</v>
      </c>
      <c r="C1367" s="1" t="n">
        <v>46075</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41925-2024</t>
        </is>
      </c>
      <c r="B1368" s="1" t="n">
        <v>45561</v>
      </c>
      <c r="C1368" s="1" t="n">
        <v>46075</v>
      </c>
      <c r="D1368" t="inlineStr">
        <is>
          <t>VÄSTERNORRLANDS LÄN</t>
        </is>
      </c>
      <c r="E1368" t="inlineStr">
        <is>
          <t>SOLLEFTEÅ</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48340-2025</t>
        </is>
      </c>
      <c r="B1369" s="1" t="n">
        <v>45933.64240740741</v>
      </c>
      <c r="C1369" s="1" t="n">
        <v>46075</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37242-2025</t>
        </is>
      </c>
      <c r="B1370" s="1" t="n">
        <v>45876.38614583333</v>
      </c>
      <c r="C1370" s="1" t="n">
        <v>46075</v>
      </c>
      <c r="D1370" t="inlineStr">
        <is>
          <t>VÄSTERNORRLANDS LÄN</t>
        </is>
      </c>
      <c r="E1370" t="inlineStr">
        <is>
          <t>SOLLEFTEÅ</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37325-2025</t>
        </is>
      </c>
      <c r="B1371" s="1" t="n">
        <v>45876.63581018519</v>
      </c>
      <c r="C1371" s="1" t="n">
        <v>46075</v>
      </c>
      <c r="D1371" t="inlineStr">
        <is>
          <t>VÄSTERNORRLANDS LÄN</t>
        </is>
      </c>
      <c r="E1371" t="inlineStr">
        <is>
          <t>SOLLEFTEÅ</t>
        </is>
      </c>
      <c r="F1371" t="inlineStr">
        <is>
          <t>SCA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58808-2024</t>
        </is>
      </c>
      <c r="B1372" s="1" t="n">
        <v>45636.34446759259</v>
      </c>
      <c r="C1372" s="1" t="n">
        <v>46075</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37581-2025</t>
        </is>
      </c>
      <c r="B1373" s="1" t="n">
        <v>45880.38623842593</v>
      </c>
      <c r="C1373" s="1" t="n">
        <v>46075</v>
      </c>
      <c r="D1373" t="inlineStr">
        <is>
          <t>VÄSTERNORRLANDS LÄN</t>
        </is>
      </c>
      <c r="E1373" t="inlineStr">
        <is>
          <t>SOLLEFTEÅ</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37607-2025</t>
        </is>
      </c>
      <c r="B1374" s="1" t="n">
        <v>45880</v>
      </c>
      <c r="C1374" s="1" t="n">
        <v>46075</v>
      </c>
      <c r="D1374" t="inlineStr">
        <is>
          <t>VÄSTERNORRLANDS LÄN</t>
        </is>
      </c>
      <c r="E1374" t="inlineStr">
        <is>
          <t>SOLLEFTEÅ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48052-2025</t>
        </is>
      </c>
      <c r="B1375" s="1" t="n">
        <v>45932.67831018518</v>
      </c>
      <c r="C1375" s="1" t="n">
        <v>46075</v>
      </c>
      <c r="D1375" t="inlineStr">
        <is>
          <t>VÄSTERNORRLANDS LÄN</t>
        </is>
      </c>
      <c r="E1375" t="inlineStr">
        <is>
          <t>SOLLEFTEÅ</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48070-2025</t>
        </is>
      </c>
      <c r="B1376" s="1" t="n">
        <v>45932.69886574074</v>
      </c>
      <c r="C1376" s="1" t="n">
        <v>46075</v>
      </c>
      <c r="D1376" t="inlineStr">
        <is>
          <t>VÄSTERNORRLANDS LÄN</t>
        </is>
      </c>
      <c r="E1376" t="inlineStr">
        <is>
          <t>SOLLEFTEÅ</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42983-2024</t>
        </is>
      </c>
      <c r="B1377" s="1" t="n">
        <v>45567.37471064815</v>
      </c>
      <c r="C1377" s="1" t="n">
        <v>46075</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42984-2024</t>
        </is>
      </c>
      <c r="B1378" s="1" t="n">
        <v>45567.37532407408</v>
      </c>
      <c r="C1378" s="1" t="n">
        <v>46075</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42985-2024</t>
        </is>
      </c>
      <c r="B1379" s="1" t="n">
        <v>45567.37533564815</v>
      </c>
      <c r="C1379" s="1" t="n">
        <v>46075</v>
      </c>
      <c r="D1379" t="inlineStr">
        <is>
          <t>VÄSTERNORRLANDS LÄN</t>
        </is>
      </c>
      <c r="E1379" t="inlineStr">
        <is>
          <t>SOLLEFTEÅ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48035-2025</t>
        </is>
      </c>
      <c r="B1380" s="1" t="n">
        <v>45932</v>
      </c>
      <c r="C1380" s="1" t="n">
        <v>46075</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48964-2023</t>
        </is>
      </c>
      <c r="B1381" s="1" t="n">
        <v>45204</v>
      </c>
      <c r="C1381" s="1" t="n">
        <v>46075</v>
      </c>
      <c r="D1381" t="inlineStr">
        <is>
          <t>VÄSTERNORRLANDS LÄN</t>
        </is>
      </c>
      <c r="E1381" t="inlineStr">
        <is>
          <t>SOLLEFTEÅ</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48785-2024</t>
        </is>
      </c>
      <c r="B1382" s="1" t="n">
        <v>45593</v>
      </c>
      <c r="C1382" s="1" t="n">
        <v>46075</v>
      </c>
      <c r="D1382" t="inlineStr">
        <is>
          <t>VÄSTERNORRLANDS LÄN</t>
        </is>
      </c>
      <c r="E1382" t="inlineStr">
        <is>
          <t>SOLLEFTEÅ</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34100-2023</t>
        </is>
      </c>
      <c r="B1383" s="1" t="n">
        <v>45125</v>
      </c>
      <c r="C1383" s="1" t="n">
        <v>46075</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48713-2025</t>
        </is>
      </c>
      <c r="B1384" s="1" t="n">
        <v>45936.63592592593</v>
      </c>
      <c r="C1384" s="1" t="n">
        <v>46075</v>
      </c>
      <c r="D1384" t="inlineStr">
        <is>
          <t>VÄSTERNORRLANDS LÄN</t>
        </is>
      </c>
      <c r="E1384" t="inlineStr">
        <is>
          <t>SOLLEFTEÅ</t>
        </is>
      </c>
      <c r="F1384" t="inlineStr">
        <is>
          <t>SCA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48743-2025</t>
        </is>
      </c>
      <c r="B1385" s="1" t="n">
        <v>45936.67827546296</v>
      </c>
      <c r="C1385" s="1" t="n">
        <v>46075</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54607-2023</t>
        </is>
      </c>
      <c r="B1386" s="1" t="n">
        <v>45233.95748842593</v>
      </c>
      <c r="C1386" s="1" t="n">
        <v>46075</v>
      </c>
      <c r="D1386" t="inlineStr">
        <is>
          <t>VÄSTERNORRLANDS LÄN</t>
        </is>
      </c>
      <c r="E1386" t="inlineStr">
        <is>
          <t>SOLLEFTEÅ</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41420-2024</t>
        </is>
      </c>
      <c r="B1387" s="1" t="n">
        <v>45560.34616898148</v>
      </c>
      <c r="C1387" s="1" t="n">
        <v>46075</v>
      </c>
      <c r="D1387" t="inlineStr">
        <is>
          <t>VÄSTERNORRLANDS LÄN</t>
        </is>
      </c>
      <c r="E1387" t="inlineStr">
        <is>
          <t>SOLLEFTEÅ</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48603-2025</t>
        </is>
      </c>
      <c r="B1388" s="1" t="n">
        <v>45936.46928240741</v>
      </c>
      <c r="C1388" s="1" t="n">
        <v>46075</v>
      </c>
      <c r="D1388" t="inlineStr">
        <is>
          <t>VÄSTERNORRLANDS LÄN</t>
        </is>
      </c>
      <c r="E1388" t="inlineStr">
        <is>
          <t>SOLLEFTEÅ</t>
        </is>
      </c>
      <c r="F1388" t="inlineStr">
        <is>
          <t>SCA</t>
        </is>
      </c>
      <c r="G1388" t="n">
        <v>25.6</v>
      </c>
      <c r="H1388" t="n">
        <v>0</v>
      </c>
      <c r="I1388" t="n">
        <v>0</v>
      </c>
      <c r="J1388" t="n">
        <v>0</v>
      </c>
      <c r="K1388" t="n">
        <v>0</v>
      </c>
      <c r="L1388" t="n">
        <v>0</v>
      </c>
      <c r="M1388" t="n">
        <v>0</v>
      </c>
      <c r="N1388" t="n">
        <v>0</v>
      </c>
      <c r="O1388" t="n">
        <v>0</v>
      </c>
      <c r="P1388" t="n">
        <v>0</v>
      </c>
      <c r="Q1388" t="n">
        <v>0</v>
      </c>
      <c r="R1388" s="2" t="inlineStr"/>
    </row>
    <row r="1389" ht="15" customHeight="1">
      <c r="A1389" t="inlineStr">
        <is>
          <t>A 37921-2025</t>
        </is>
      </c>
      <c r="B1389" s="1" t="n">
        <v>45881.57491898148</v>
      </c>
      <c r="C1389" s="1" t="n">
        <v>46075</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48467-2025</t>
        </is>
      </c>
      <c r="B1390" s="1" t="n">
        <v>45936.34452546296</v>
      </c>
      <c r="C1390" s="1" t="n">
        <v>46075</v>
      </c>
      <c r="D1390" t="inlineStr">
        <is>
          <t>VÄSTERNORRLANDS LÄN</t>
        </is>
      </c>
      <c r="E1390" t="inlineStr">
        <is>
          <t>SOLLEFTEÅ</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48425-2025</t>
        </is>
      </c>
      <c r="B1391" s="1" t="n">
        <v>45934.6984837963</v>
      </c>
      <c r="C1391" s="1" t="n">
        <v>46075</v>
      </c>
      <c r="D1391" t="inlineStr">
        <is>
          <t>VÄSTERNORRLANDS LÄN</t>
        </is>
      </c>
      <c r="E1391" t="inlineStr">
        <is>
          <t>SOLLEFTEÅ</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37880-2025</t>
        </is>
      </c>
      <c r="B1392" s="1" t="n">
        <v>45881.48998842593</v>
      </c>
      <c r="C1392" s="1" t="n">
        <v>46075</v>
      </c>
      <c r="D1392" t="inlineStr">
        <is>
          <t>VÄSTERNORRLANDS LÄN</t>
        </is>
      </c>
      <c r="E1392" t="inlineStr">
        <is>
          <t>SOLLEFTEÅ</t>
        </is>
      </c>
      <c r="F1392" t="inlineStr">
        <is>
          <t>SCA</t>
        </is>
      </c>
      <c r="G1392" t="n">
        <v>26.1</v>
      </c>
      <c r="H1392" t="n">
        <v>0</v>
      </c>
      <c r="I1392" t="n">
        <v>0</v>
      </c>
      <c r="J1392" t="n">
        <v>0</v>
      </c>
      <c r="K1392" t="n">
        <v>0</v>
      </c>
      <c r="L1392" t="n">
        <v>0</v>
      </c>
      <c r="M1392" t="n">
        <v>0</v>
      </c>
      <c r="N1392" t="n">
        <v>0</v>
      </c>
      <c r="O1392" t="n">
        <v>0</v>
      </c>
      <c r="P1392" t="n">
        <v>0</v>
      </c>
      <c r="Q1392" t="n">
        <v>0</v>
      </c>
      <c r="R1392" s="2" t="inlineStr"/>
    </row>
    <row r="1393" ht="15" customHeight="1">
      <c r="A1393" t="inlineStr">
        <is>
          <t>A 38271-2025</t>
        </is>
      </c>
      <c r="B1393" s="1" t="n">
        <v>45883.4071412037</v>
      </c>
      <c r="C1393" s="1" t="n">
        <v>46075</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22207-2025</t>
        </is>
      </c>
      <c r="B1394" s="1" t="n">
        <v>45785.65710648148</v>
      </c>
      <c r="C1394" s="1" t="n">
        <v>46075</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48422-2025</t>
        </is>
      </c>
      <c r="B1395" s="1" t="n">
        <v>45934.67761574074</v>
      </c>
      <c r="C1395" s="1" t="n">
        <v>46075</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9608-2025</t>
        </is>
      </c>
      <c r="B1396" s="1" t="n">
        <v>45715.65699074074</v>
      </c>
      <c r="C1396" s="1" t="n">
        <v>46075</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48838-2025</t>
        </is>
      </c>
      <c r="B1397" s="1" t="n">
        <v>45937.41309027778</v>
      </c>
      <c r="C1397" s="1" t="n">
        <v>46075</v>
      </c>
      <c r="D1397" t="inlineStr">
        <is>
          <t>VÄSTERNORRLANDS LÄN</t>
        </is>
      </c>
      <c r="E1397" t="inlineStr">
        <is>
          <t>SOLLEFTEÅ</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48848-2025</t>
        </is>
      </c>
      <c r="B1398" s="1" t="n">
        <v>45937</v>
      </c>
      <c r="C1398" s="1" t="n">
        <v>46075</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9096-2023</t>
        </is>
      </c>
      <c r="B1399" s="1" t="n">
        <v>44979.94303240741</v>
      </c>
      <c r="C1399" s="1" t="n">
        <v>46075</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38330-2025</t>
        </is>
      </c>
      <c r="B1400" s="1" t="n">
        <v>45883.49123842592</v>
      </c>
      <c r="C1400" s="1" t="n">
        <v>46075</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49155-2025</t>
        </is>
      </c>
      <c r="B1401" s="1" t="n">
        <v>45938.34578703704</v>
      </c>
      <c r="C1401" s="1" t="n">
        <v>46075</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38156-2025</t>
        </is>
      </c>
      <c r="B1402" s="1" t="n">
        <v>45882.61491898148</v>
      </c>
      <c r="C1402" s="1" t="n">
        <v>46075</v>
      </c>
      <c r="D1402" t="inlineStr">
        <is>
          <t>VÄSTERNORRLANDS LÄN</t>
        </is>
      </c>
      <c r="E1402" t="inlineStr">
        <is>
          <t>SOLLEFTEÅ</t>
        </is>
      </c>
      <c r="F1402" t="inlineStr">
        <is>
          <t>SCA</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48914-2025</t>
        </is>
      </c>
      <c r="B1403" s="1" t="n">
        <v>45937</v>
      </c>
      <c r="C1403" s="1" t="n">
        <v>46075</v>
      </c>
      <c r="D1403" t="inlineStr">
        <is>
          <t>VÄSTERNORRLANDS LÄN</t>
        </is>
      </c>
      <c r="E1403" t="inlineStr">
        <is>
          <t>SOLLEFTEÅ</t>
        </is>
      </c>
      <c r="F1403" t="inlineStr">
        <is>
          <t>SCA</t>
        </is>
      </c>
      <c r="G1403" t="n">
        <v>24.1</v>
      </c>
      <c r="H1403" t="n">
        <v>0</v>
      </c>
      <c r="I1403" t="n">
        <v>0</v>
      </c>
      <c r="J1403" t="n">
        <v>0</v>
      </c>
      <c r="K1403" t="n">
        <v>0</v>
      </c>
      <c r="L1403" t="n">
        <v>0</v>
      </c>
      <c r="M1403" t="n">
        <v>0</v>
      </c>
      <c r="N1403" t="n">
        <v>0</v>
      </c>
      <c r="O1403" t="n">
        <v>0</v>
      </c>
      <c r="P1403" t="n">
        <v>0</v>
      </c>
      <c r="Q1403" t="n">
        <v>0</v>
      </c>
      <c r="R1403" s="2" t="inlineStr"/>
    </row>
    <row r="1404" ht="15" customHeight="1">
      <c r="A1404" t="inlineStr">
        <is>
          <t>A 37801-2025</t>
        </is>
      </c>
      <c r="B1404" s="1" t="n">
        <v>45881.34436342592</v>
      </c>
      <c r="C1404" s="1" t="n">
        <v>46075</v>
      </c>
      <c r="D1404" t="inlineStr">
        <is>
          <t>VÄSTERNORRLANDS LÄN</t>
        </is>
      </c>
      <c r="E1404" t="inlineStr">
        <is>
          <t>SOLLEFTEÅ</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49289-2025</t>
        </is>
      </c>
      <c r="B1405" s="1" t="n">
        <v>45938.52868055556</v>
      </c>
      <c r="C1405" s="1" t="n">
        <v>46075</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18220-2025</t>
        </is>
      </c>
      <c r="B1406" s="1" t="n">
        <v>45761.7190625</v>
      </c>
      <c r="C1406" s="1" t="n">
        <v>46075</v>
      </c>
      <c r="D1406" t="inlineStr">
        <is>
          <t>VÄSTERNORRLANDS LÄN</t>
        </is>
      </c>
      <c r="E1406" t="inlineStr">
        <is>
          <t>SOLLEFTEÅ</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48815-2025</t>
        </is>
      </c>
      <c r="B1407" s="1" t="n">
        <v>45937.36503472222</v>
      </c>
      <c r="C1407" s="1" t="n">
        <v>46075</v>
      </c>
      <c r="D1407" t="inlineStr">
        <is>
          <t>VÄSTERNORRLANDS LÄN</t>
        </is>
      </c>
      <c r="E1407" t="inlineStr">
        <is>
          <t>SOLLEFTEÅ</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48817-2025</t>
        </is>
      </c>
      <c r="B1408" s="1" t="n">
        <v>45937.36546296296</v>
      </c>
      <c r="C1408" s="1" t="n">
        <v>46075</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49052-2025</t>
        </is>
      </c>
      <c r="B1409" s="1" t="n">
        <v>45937.63813657407</v>
      </c>
      <c r="C1409" s="1" t="n">
        <v>46075</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38092-2025</t>
        </is>
      </c>
      <c r="B1410" s="1" t="n">
        <v>45882.49005787037</v>
      </c>
      <c r="C1410" s="1" t="n">
        <v>46075</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49154-2025</t>
        </is>
      </c>
      <c r="B1411" s="1" t="n">
        <v>45938.34567129629</v>
      </c>
      <c r="C1411" s="1" t="n">
        <v>46075</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49115-2025</t>
        </is>
      </c>
      <c r="B1412" s="1" t="n">
        <v>45937</v>
      </c>
      <c r="C1412" s="1" t="n">
        <v>46075</v>
      </c>
      <c r="D1412" t="inlineStr">
        <is>
          <t>VÄSTERNORRLANDS LÄN</t>
        </is>
      </c>
      <c r="E1412" t="inlineStr">
        <is>
          <t>SOLLEFTEÅ</t>
        </is>
      </c>
      <c r="F1412" t="inlineStr">
        <is>
          <t>Övriga Aktiebolag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49468-2025</t>
        </is>
      </c>
      <c r="B1413" s="1" t="n">
        <v>45939.33886574074</v>
      </c>
      <c r="C1413" s="1" t="n">
        <v>46075</v>
      </c>
      <c r="D1413" t="inlineStr">
        <is>
          <t>VÄSTERNORRLANDS LÄN</t>
        </is>
      </c>
      <c r="E1413" t="inlineStr">
        <is>
          <t>SOLLEFTEÅ</t>
        </is>
      </c>
      <c r="F1413" t="inlineStr">
        <is>
          <t>Holmen skog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38190-2025</t>
        </is>
      </c>
      <c r="B1414" s="1" t="n">
        <v>45882.65680555555</v>
      </c>
      <c r="C1414" s="1" t="n">
        <v>46075</v>
      </c>
      <c r="D1414" t="inlineStr">
        <is>
          <t>VÄSTERNORRLANDS LÄN</t>
        </is>
      </c>
      <c r="E1414" t="inlineStr">
        <is>
          <t>SOLLEFTEÅ</t>
        </is>
      </c>
      <c r="F1414" t="inlineStr">
        <is>
          <t>SCA</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38220-2025</t>
        </is>
      </c>
      <c r="B1415" s="1" t="n">
        <v>45883.34418981482</v>
      </c>
      <c r="C1415" s="1" t="n">
        <v>46075</v>
      </c>
      <c r="D1415" t="inlineStr">
        <is>
          <t>VÄSTERNORRLANDS LÄN</t>
        </is>
      </c>
      <c r="E1415" t="inlineStr">
        <is>
          <t>SOLLEFTEÅ</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38240-2025</t>
        </is>
      </c>
      <c r="B1416" s="1" t="n">
        <v>45883.36532407408</v>
      </c>
      <c r="C1416" s="1" t="n">
        <v>46075</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49254-2025</t>
        </is>
      </c>
      <c r="B1417" s="1" t="n">
        <v>45938.49143518518</v>
      </c>
      <c r="C1417" s="1" t="n">
        <v>46075</v>
      </c>
      <c r="D1417" t="inlineStr">
        <is>
          <t>VÄSTERNORRLANDS LÄN</t>
        </is>
      </c>
      <c r="E1417" t="inlineStr">
        <is>
          <t>SOLLEFTEÅ</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49627-2025</t>
        </is>
      </c>
      <c r="B1418" s="1" t="n">
        <v>45939.59503472222</v>
      </c>
      <c r="C1418" s="1" t="n">
        <v>46075</v>
      </c>
      <c r="D1418" t="inlineStr">
        <is>
          <t>VÄSTERNORRLANDS LÄN</t>
        </is>
      </c>
      <c r="E1418" t="inlineStr">
        <is>
          <t>SOLLEFTEÅ</t>
        </is>
      </c>
      <c r="F1418" t="inlineStr">
        <is>
          <t>SCA</t>
        </is>
      </c>
      <c r="G1418" t="n">
        <v>29.4</v>
      </c>
      <c r="H1418" t="n">
        <v>0</v>
      </c>
      <c r="I1418" t="n">
        <v>0</v>
      </c>
      <c r="J1418" t="n">
        <v>0</v>
      </c>
      <c r="K1418" t="n">
        <v>0</v>
      </c>
      <c r="L1418" t="n">
        <v>0</v>
      </c>
      <c r="M1418" t="n">
        <v>0</v>
      </c>
      <c r="N1418" t="n">
        <v>0</v>
      </c>
      <c r="O1418" t="n">
        <v>0</v>
      </c>
      <c r="P1418" t="n">
        <v>0</v>
      </c>
      <c r="Q1418" t="n">
        <v>0</v>
      </c>
      <c r="R1418" s="2" t="inlineStr"/>
    </row>
    <row r="1419" ht="15" customHeight="1">
      <c r="A1419" t="inlineStr">
        <is>
          <t>A 57846-2024</t>
        </is>
      </c>
      <c r="B1419" s="1" t="n">
        <v>45631.40759259259</v>
      </c>
      <c r="C1419" s="1" t="n">
        <v>46075</v>
      </c>
      <c r="D1419" t="inlineStr">
        <is>
          <t>VÄSTERNORRLANDS LÄN</t>
        </is>
      </c>
      <c r="E1419" t="inlineStr">
        <is>
          <t>SOLLEFTEÅ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10870-2024</t>
        </is>
      </c>
      <c r="B1420" s="1" t="n">
        <v>45370.02083333334</v>
      </c>
      <c r="C1420" s="1" t="n">
        <v>46075</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20133-2025</t>
        </is>
      </c>
      <c r="B1421" s="1" t="n">
        <v>45772.51092592593</v>
      </c>
      <c r="C1421" s="1" t="n">
        <v>46075</v>
      </c>
      <c r="D1421" t="inlineStr">
        <is>
          <t>VÄSTERNORRLANDS LÄN</t>
        </is>
      </c>
      <c r="E1421" t="inlineStr">
        <is>
          <t>SOLLEFTEÅ</t>
        </is>
      </c>
      <c r="F1421" t="inlineStr">
        <is>
          <t>SCA</t>
        </is>
      </c>
      <c r="G1421" t="n">
        <v>58.2</v>
      </c>
      <c r="H1421" t="n">
        <v>0</v>
      </c>
      <c r="I1421" t="n">
        <v>0</v>
      </c>
      <c r="J1421" t="n">
        <v>0</v>
      </c>
      <c r="K1421" t="n">
        <v>0</v>
      </c>
      <c r="L1421" t="n">
        <v>0</v>
      </c>
      <c r="M1421" t="n">
        <v>0</v>
      </c>
      <c r="N1421" t="n">
        <v>0</v>
      </c>
      <c r="O1421" t="n">
        <v>0</v>
      </c>
      <c r="P1421" t="n">
        <v>0</v>
      </c>
      <c r="Q1421" t="n">
        <v>0</v>
      </c>
      <c r="R1421" s="2" t="inlineStr"/>
    </row>
    <row r="1422" ht="15" customHeight="1">
      <c r="A1422" t="inlineStr">
        <is>
          <t>A 55643-2021</t>
        </is>
      </c>
      <c r="B1422" s="1" t="n">
        <v>44475</v>
      </c>
      <c r="C1422" s="1" t="n">
        <v>46075</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49491-2025</t>
        </is>
      </c>
      <c r="B1423" s="1" t="n">
        <v>45939.36596064815</v>
      </c>
      <c r="C1423" s="1" t="n">
        <v>46075</v>
      </c>
      <c r="D1423" t="inlineStr">
        <is>
          <t>VÄSTERNORRLANDS LÄN</t>
        </is>
      </c>
      <c r="E1423" t="inlineStr">
        <is>
          <t>SOLLEFTEÅ</t>
        </is>
      </c>
      <c r="F1423" t="inlineStr">
        <is>
          <t>SCA</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49810-2023</t>
        </is>
      </c>
      <c r="B1424" s="1" t="n">
        <v>45212.66369212963</v>
      </c>
      <c r="C1424" s="1" t="n">
        <v>46075</v>
      </c>
      <c r="D1424" t="inlineStr">
        <is>
          <t>VÄSTERNORRLANDS LÄN</t>
        </is>
      </c>
      <c r="E1424" t="inlineStr">
        <is>
          <t>SOLLEFTEÅ</t>
        </is>
      </c>
      <c r="F1424" t="inlineStr">
        <is>
          <t>Holmen skog AB</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48981-2025</t>
        </is>
      </c>
      <c r="B1425" s="1" t="n">
        <v>45937.57354166666</v>
      </c>
      <c r="C1425" s="1" t="n">
        <v>46075</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49221-2025</t>
        </is>
      </c>
      <c r="B1426" s="1" t="n">
        <v>45938.46335648148</v>
      </c>
      <c r="C1426" s="1" t="n">
        <v>46075</v>
      </c>
      <c r="D1426" t="inlineStr">
        <is>
          <t>VÄSTERNORRLANDS LÄN</t>
        </is>
      </c>
      <c r="E1426" t="inlineStr">
        <is>
          <t>SOLLEFTEÅ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49378-2025</t>
        </is>
      </c>
      <c r="B1427" s="1" t="n">
        <v>45938.6364699074</v>
      </c>
      <c r="C1427" s="1" t="n">
        <v>46075</v>
      </c>
      <c r="D1427" t="inlineStr">
        <is>
          <t>VÄSTERNORRLANDS LÄN</t>
        </is>
      </c>
      <c r="E1427" t="inlineStr">
        <is>
          <t>SOLLEFTEÅ</t>
        </is>
      </c>
      <c r="F1427" t="inlineStr">
        <is>
          <t>SCA</t>
        </is>
      </c>
      <c r="G1427" t="n">
        <v>16.8</v>
      </c>
      <c r="H1427" t="n">
        <v>0</v>
      </c>
      <c r="I1427" t="n">
        <v>0</v>
      </c>
      <c r="J1427" t="n">
        <v>0</v>
      </c>
      <c r="K1427" t="n">
        <v>0</v>
      </c>
      <c r="L1427" t="n">
        <v>0</v>
      </c>
      <c r="M1427" t="n">
        <v>0</v>
      </c>
      <c r="N1427" t="n">
        <v>0</v>
      </c>
      <c r="O1427" t="n">
        <v>0</v>
      </c>
      <c r="P1427" t="n">
        <v>0</v>
      </c>
      <c r="Q1427" t="n">
        <v>0</v>
      </c>
      <c r="R1427" s="2" t="inlineStr"/>
    </row>
    <row r="1428" ht="15" customHeight="1">
      <c r="A1428" t="inlineStr">
        <is>
          <t>A 49380-2025</t>
        </is>
      </c>
      <c r="B1428" s="1" t="n">
        <v>45938.63677083333</v>
      </c>
      <c r="C1428" s="1" t="n">
        <v>46075</v>
      </c>
      <c r="D1428" t="inlineStr">
        <is>
          <t>VÄSTERNORRLANDS LÄN</t>
        </is>
      </c>
      <c r="E1428" t="inlineStr">
        <is>
          <t>SOLLEFTEÅ</t>
        </is>
      </c>
      <c r="F1428" t="inlineStr">
        <is>
          <t>SCA</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32140-2024</t>
        </is>
      </c>
      <c r="B1429" s="1" t="n">
        <v>45511.54391203704</v>
      </c>
      <c r="C1429" s="1" t="n">
        <v>46075</v>
      </c>
      <c r="D1429" t="inlineStr">
        <is>
          <t>VÄSTERNORRLANDS LÄN</t>
        </is>
      </c>
      <c r="E1429" t="inlineStr">
        <is>
          <t>SOLLEFTEÅ</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38596-2025</t>
        </is>
      </c>
      <c r="B1430" s="1" t="n">
        <v>45884.49040509259</v>
      </c>
      <c r="C1430" s="1" t="n">
        <v>46075</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38598-2025</t>
        </is>
      </c>
      <c r="B1431" s="1" t="n">
        <v>45884.49074074074</v>
      </c>
      <c r="C1431" s="1" t="n">
        <v>46075</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49698-2025</t>
        </is>
      </c>
      <c r="B1432" s="1" t="n">
        <v>45939.67790509259</v>
      </c>
      <c r="C1432" s="1" t="n">
        <v>46075</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49701-2025</t>
        </is>
      </c>
      <c r="B1433" s="1" t="n">
        <v>45939.67840277778</v>
      </c>
      <c r="C1433" s="1" t="n">
        <v>46075</v>
      </c>
      <c r="D1433" t="inlineStr">
        <is>
          <t>VÄSTERNORRLANDS LÄN</t>
        </is>
      </c>
      <c r="E1433" t="inlineStr">
        <is>
          <t>SOLLEFTEÅ</t>
        </is>
      </c>
      <c r="F1433" t="inlineStr">
        <is>
          <t>SCA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49702-2025</t>
        </is>
      </c>
      <c r="B1434" s="1" t="n">
        <v>45939.67875</v>
      </c>
      <c r="C1434" s="1" t="n">
        <v>46075</v>
      </c>
      <c r="D1434" t="inlineStr">
        <is>
          <t>VÄSTERNORRLANDS LÄN</t>
        </is>
      </c>
      <c r="E1434" t="inlineStr">
        <is>
          <t>SOLLEFTEÅ</t>
        </is>
      </c>
      <c r="F1434" t="inlineStr">
        <is>
          <t>SCA</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49696-2025</t>
        </is>
      </c>
      <c r="B1435" s="1" t="n">
        <v>45939.6775462963</v>
      </c>
      <c r="C1435" s="1" t="n">
        <v>46075</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13567-2023</t>
        </is>
      </c>
      <c r="B1436" s="1" t="n">
        <v>45005</v>
      </c>
      <c r="C1436" s="1" t="n">
        <v>46075</v>
      </c>
      <c r="D1436" t="inlineStr">
        <is>
          <t>VÄSTERNORRLANDS LÄN</t>
        </is>
      </c>
      <c r="E1436" t="inlineStr">
        <is>
          <t>SOLLEFTEÅ</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13570-2023</t>
        </is>
      </c>
      <c r="B1437" s="1" t="n">
        <v>45005</v>
      </c>
      <c r="C1437" s="1" t="n">
        <v>46075</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56356-2023</t>
        </is>
      </c>
      <c r="B1438" s="1" t="n">
        <v>45236</v>
      </c>
      <c r="C1438" s="1" t="n">
        <v>46075</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57991-2022</t>
        </is>
      </c>
      <c r="B1439" s="1" t="n">
        <v>44900.48915509259</v>
      </c>
      <c r="C1439" s="1" t="n">
        <v>46075</v>
      </c>
      <c r="D1439" t="inlineStr">
        <is>
          <t>VÄSTERNORRLANDS LÄN</t>
        </is>
      </c>
      <c r="E1439" t="inlineStr">
        <is>
          <t>SOLLEFTEÅ</t>
        </is>
      </c>
      <c r="G1439" t="n">
        <v>14.2</v>
      </c>
      <c r="H1439" t="n">
        <v>0</v>
      </c>
      <c r="I1439" t="n">
        <v>0</v>
      </c>
      <c r="J1439" t="n">
        <v>0</v>
      </c>
      <c r="K1439" t="n">
        <v>0</v>
      </c>
      <c r="L1439" t="n">
        <v>0</v>
      </c>
      <c r="M1439" t="n">
        <v>0</v>
      </c>
      <c r="N1439" t="n">
        <v>0</v>
      </c>
      <c r="O1439" t="n">
        <v>0</v>
      </c>
      <c r="P1439" t="n">
        <v>0</v>
      </c>
      <c r="Q1439" t="n">
        <v>0</v>
      </c>
      <c r="R1439" s="2" t="inlineStr"/>
    </row>
    <row r="1440" ht="15" customHeight="1">
      <c r="A1440" t="inlineStr">
        <is>
          <t>A 49699-2025</t>
        </is>
      </c>
      <c r="B1440" s="1" t="n">
        <v>45939.67807870371</v>
      </c>
      <c r="C1440" s="1" t="n">
        <v>46075</v>
      </c>
      <c r="D1440" t="inlineStr">
        <is>
          <t>VÄSTERNORRLANDS LÄN</t>
        </is>
      </c>
      <c r="E1440" t="inlineStr">
        <is>
          <t>SOLLEFTEÅ</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49700-2025</t>
        </is>
      </c>
      <c r="B1441" s="1" t="n">
        <v>45939.67822916667</v>
      </c>
      <c r="C1441" s="1" t="n">
        <v>46075</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49706-2025</t>
        </is>
      </c>
      <c r="B1442" s="1" t="n">
        <v>45939.67949074074</v>
      </c>
      <c r="C1442" s="1" t="n">
        <v>46075</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20184-2025</t>
        </is>
      </c>
      <c r="B1443" s="1" t="n">
        <v>45772.59458333333</v>
      </c>
      <c r="C1443" s="1" t="n">
        <v>46075</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6139-2024</t>
        </is>
      </c>
      <c r="B1444" s="1" t="n">
        <v>45337</v>
      </c>
      <c r="C1444" s="1" t="n">
        <v>46075</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5254-2024</t>
        </is>
      </c>
      <c r="B1445" s="1" t="n">
        <v>45330</v>
      </c>
      <c r="C1445" s="1" t="n">
        <v>46075</v>
      </c>
      <c r="D1445" t="inlineStr">
        <is>
          <t>VÄSTERNORRLANDS LÄN</t>
        </is>
      </c>
      <c r="E1445" t="inlineStr">
        <is>
          <t>SOLLEFTEÅ</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49703-2025</t>
        </is>
      </c>
      <c r="B1446" s="1" t="n">
        <v>45939.67894675926</v>
      </c>
      <c r="C1446" s="1" t="n">
        <v>46075</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49565-2025</t>
        </is>
      </c>
      <c r="B1447" s="1" t="n">
        <v>45939.46921296296</v>
      </c>
      <c r="C1447" s="1" t="n">
        <v>46075</v>
      </c>
      <c r="D1447" t="inlineStr">
        <is>
          <t>VÄSTERNORRLANDS LÄN</t>
        </is>
      </c>
      <c r="E1447" t="inlineStr">
        <is>
          <t>SOLLEFTEÅ</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39504-2021</t>
        </is>
      </c>
      <c r="B1448" s="1" t="n">
        <v>44414.93480324074</v>
      </c>
      <c r="C1448" s="1" t="n">
        <v>46075</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49705-2025</t>
        </is>
      </c>
      <c r="B1449" s="1" t="n">
        <v>45939.67929398148</v>
      </c>
      <c r="C1449" s="1" t="n">
        <v>46075</v>
      </c>
      <c r="D1449" t="inlineStr">
        <is>
          <t>VÄSTERNORRLANDS LÄN</t>
        </is>
      </c>
      <c r="E1449" t="inlineStr">
        <is>
          <t>SOLLEFTEÅ</t>
        </is>
      </c>
      <c r="F1449" t="inlineStr">
        <is>
          <t>SCA</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49474-2025</t>
        </is>
      </c>
      <c r="B1450" s="1" t="n">
        <v>45939.34472222222</v>
      </c>
      <c r="C1450" s="1" t="n">
        <v>46075</v>
      </c>
      <c r="D1450" t="inlineStr">
        <is>
          <t>VÄSTERNORRLANDS LÄN</t>
        </is>
      </c>
      <c r="E1450" t="inlineStr">
        <is>
          <t>SOLLEFTEÅ</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58578-2024</t>
        </is>
      </c>
      <c r="B1451" s="1" t="n">
        <v>45635</v>
      </c>
      <c r="C1451" s="1" t="n">
        <v>46075</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58588-2024</t>
        </is>
      </c>
      <c r="B1452" s="1" t="n">
        <v>45635.50605324074</v>
      </c>
      <c r="C1452" s="1" t="n">
        <v>46075</v>
      </c>
      <c r="D1452" t="inlineStr">
        <is>
          <t>VÄSTERNORRLANDS LÄN</t>
        </is>
      </c>
      <c r="E1452" t="inlineStr">
        <is>
          <t>SOLLEFTEÅ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49488-2025</t>
        </is>
      </c>
      <c r="B1453" s="1" t="n">
        <v>45939.36506944444</v>
      </c>
      <c r="C1453" s="1" t="n">
        <v>46075</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12539-2023</t>
        </is>
      </c>
      <c r="B1454" s="1" t="n">
        <v>45000.01452546296</v>
      </c>
      <c r="C1454" s="1" t="n">
        <v>46075</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49667-2025</t>
        </is>
      </c>
      <c r="B1455" s="1" t="n">
        <v>45939.63671296297</v>
      </c>
      <c r="C1455" s="1" t="n">
        <v>46075</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49406-2025</t>
        </is>
      </c>
      <c r="B1456" s="1" t="n">
        <v>45938.67761574074</v>
      </c>
      <c r="C1456" s="1" t="n">
        <v>46075</v>
      </c>
      <c r="D1456" t="inlineStr">
        <is>
          <t>VÄSTERNORRLANDS LÄN</t>
        </is>
      </c>
      <c r="E1456" t="inlineStr">
        <is>
          <t>SOLLEFTEÅ</t>
        </is>
      </c>
      <c r="F1456" t="inlineStr">
        <is>
          <t>SCA</t>
        </is>
      </c>
      <c r="G1456" t="n">
        <v>28.6</v>
      </c>
      <c r="H1456" t="n">
        <v>0</v>
      </c>
      <c r="I1456" t="n">
        <v>0</v>
      </c>
      <c r="J1456" t="n">
        <v>0</v>
      </c>
      <c r="K1456" t="n">
        <v>0</v>
      </c>
      <c r="L1456" t="n">
        <v>0</v>
      </c>
      <c r="M1456" t="n">
        <v>0</v>
      </c>
      <c r="N1456" t="n">
        <v>0</v>
      </c>
      <c r="O1456" t="n">
        <v>0</v>
      </c>
      <c r="P1456" t="n">
        <v>0</v>
      </c>
      <c r="Q1456" t="n">
        <v>0</v>
      </c>
      <c r="R1456" s="2" t="inlineStr"/>
    </row>
    <row r="1457" ht="15" customHeight="1">
      <c r="A1457" t="inlineStr">
        <is>
          <t>A 38493-2025</t>
        </is>
      </c>
      <c r="B1457" s="1" t="n">
        <v>45884.36516203704</v>
      </c>
      <c r="C1457" s="1" t="n">
        <v>46075</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2048-2025</t>
        </is>
      </c>
      <c r="B1458" s="1" t="n">
        <v>45671</v>
      </c>
      <c r="C1458" s="1" t="n">
        <v>46075</v>
      </c>
      <c r="D1458" t="inlineStr">
        <is>
          <t>VÄSTERNORRLANDS LÄN</t>
        </is>
      </c>
      <c r="E1458" t="inlineStr">
        <is>
          <t>SOLLEFTEÅ</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22208-2024</t>
        </is>
      </c>
      <c r="B1459" s="1" t="n">
        <v>45446.38181712963</v>
      </c>
      <c r="C1459" s="1" t="n">
        <v>46075</v>
      </c>
      <c r="D1459" t="inlineStr">
        <is>
          <t>VÄSTERNORRLANDS LÄN</t>
        </is>
      </c>
      <c r="E1459" t="inlineStr">
        <is>
          <t>SOLLEFTEÅ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49932-2025</t>
        </is>
      </c>
      <c r="B1460" s="1" t="n">
        <v>45940.65695601852</v>
      </c>
      <c r="C1460" s="1" t="n">
        <v>46075</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4253-2025</t>
        </is>
      </c>
      <c r="B1461" s="1" t="n">
        <v>45685.61232638889</v>
      </c>
      <c r="C1461" s="1" t="n">
        <v>46075</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50229-2025</t>
        </is>
      </c>
      <c r="B1462" s="1" t="n">
        <v>45943.69855324074</v>
      </c>
      <c r="C1462" s="1" t="n">
        <v>46075</v>
      </c>
      <c r="D1462" t="inlineStr">
        <is>
          <t>VÄSTERNORRLANDS LÄN</t>
        </is>
      </c>
      <c r="E1462" t="inlineStr">
        <is>
          <t>SOLLEFTEÅ</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49904-2025</t>
        </is>
      </c>
      <c r="B1463" s="1" t="n">
        <v>45940.59594907407</v>
      </c>
      <c r="C1463" s="1" t="n">
        <v>46075</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49794-2025</t>
        </is>
      </c>
      <c r="B1464" s="1" t="n">
        <v>45940.40777777778</v>
      </c>
      <c r="C1464" s="1" t="n">
        <v>46075</v>
      </c>
      <c r="D1464" t="inlineStr">
        <is>
          <t>VÄSTERNORRLANDS LÄN</t>
        </is>
      </c>
      <c r="E1464" t="inlineStr">
        <is>
          <t>SOLLEFTEÅ</t>
        </is>
      </c>
      <c r="F1464" t="inlineStr">
        <is>
          <t>SCA</t>
        </is>
      </c>
      <c r="G1464" t="n">
        <v>12.8</v>
      </c>
      <c r="H1464" t="n">
        <v>0</v>
      </c>
      <c r="I1464" t="n">
        <v>0</v>
      </c>
      <c r="J1464" t="n">
        <v>0</v>
      </c>
      <c r="K1464" t="n">
        <v>0</v>
      </c>
      <c r="L1464" t="n">
        <v>0</v>
      </c>
      <c r="M1464" t="n">
        <v>0</v>
      </c>
      <c r="N1464" t="n">
        <v>0</v>
      </c>
      <c r="O1464" t="n">
        <v>0</v>
      </c>
      <c r="P1464" t="n">
        <v>0</v>
      </c>
      <c r="Q1464" t="n">
        <v>0</v>
      </c>
      <c r="R1464" s="2" t="inlineStr"/>
    </row>
    <row r="1465" ht="15" customHeight="1">
      <c r="A1465" t="inlineStr">
        <is>
          <t>A 3194-2025</t>
        </is>
      </c>
      <c r="B1465" s="1" t="n">
        <v>45679.42130787037</v>
      </c>
      <c r="C1465" s="1" t="n">
        <v>46075</v>
      </c>
      <c r="D1465" t="inlineStr">
        <is>
          <t>VÄSTERNORRLANDS LÄN</t>
        </is>
      </c>
      <c r="E1465" t="inlineStr">
        <is>
          <t>SOLLEFTEÅ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59474-2024</t>
        </is>
      </c>
      <c r="B1466" s="1" t="n">
        <v>45638.504375</v>
      </c>
      <c r="C1466" s="1" t="n">
        <v>46075</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49919-2025</t>
        </is>
      </c>
      <c r="B1467" s="1" t="n">
        <v>45940.63591435185</v>
      </c>
      <c r="C1467" s="1" t="n">
        <v>46075</v>
      </c>
      <c r="D1467" t="inlineStr">
        <is>
          <t>VÄSTERNORRLANDS LÄN</t>
        </is>
      </c>
      <c r="E1467" t="inlineStr">
        <is>
          <t>SOLLEFTEÅ</t>
        </is>
      </c>
      <c r="F1467" t="inlineStr">
        <is>
          <t>SCA</t>
        </is>
      </c>
      <c r="G1467" t="n">
        <v>41.5</v>
      </c>
      <c r="H1467" t="n">
        <v>0</v>
      </c>
      <c r="I1467" t="n">
        <v>0</v>
      </c>
      <c r="J1467" t="n">
        <v>0</v>
      </c>
      <c r="K1467" t="n">
        <v>0</v>
      </c>
      <c r="L1467" t="n">
        <v>0</v>
      </c>
      <c r="M1467" t="n">
        <v>0</v>
      </c>
      <c r="N1467" t="n">
        <v>0</v>
      </c>
      <c r="O1467" t="n">
        <v>0</v>
      </c>
      <c r="P1467" t="n">
        <v>0</v>
      </c>
      <c r="Q1467" t="n">
        <v>0</v>
      </c>
      <c r="R1467" s="2" t="inlineStr"/>
    </row>
    <row r="1468" ht="15" customHeight="1">
      <c r="A1468" t="inlineStr">
        <is>
          <t>A 49748-2025</t>
        </is>
      </c>
      <c r="B1468" s="1" t="n">
        <v>45940.34472222222</v>
      </c>
      <c r="C1468" s="1" t="n">
        <v>46075</v>
      </c>
      <c r="D1468" t="inlineStr">
        <is>
          <t>VÄSTERNORRLANDS LÄN</t>
        </is>
      </c>
      <c r="E1468" t="inlineStr">
        <is>
          <t>SOLLEFTEÅ</t>
        </is>
      </c>
      <c r="F1468" t="inlineStr">
        <is>
          <t>SCA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62100-2023</t>
        </is>
      </c>
      <c r="B1469" s="1" t="n">
        <v>45266.92689814815</v>
      </c>
      <c r="C1469" s="1" t="n">
        <v>46075</v>
      </c>
      <c r="D1469" t="inlineStr">
        <is>
          <t>VÄSTERNORRLANDS LÄN</t>
        </is>
      </c>
      <c r="E1469" t="inlineStr">
        <is>
          <t>SOLLEFTEÅ</t>
        </is>
      </c>
      <c r="G1469" t="n">
        <v>16.6</v>
      </c>
      <c r="H1469" t="n">
        <v>0</v>
      </c>
      <c r="I1469" t="n">
        <v>0</v>
      </c>
      <c r="J1469" t="n">
        <v>0</v>
      </c>
      <c r="K1469" t="n">
        <v>0</v>
      </c>
      <c r="L1469" t="n">
        <v>0</v>
      </c>
      <c r="M1469" t="n">
        <v>0</v>
      </c>
      <c r="N1469" t="n">
        <v>0</v>
      </c>
      <c r="O1469" t="n">
        <v>0</v>
      </c>
      <c r="P1469" t="n">
        <v>0</v>
      </c>
      <c r="Q1469" t="n">
        <v>0</v>
      </c>
      <c r="R1469" s="2" t="inlineStr"/>
    </row>
    <row r="1470" ht="15" customHeight="1">
      <c r="A1470" t="inlineStr">
        <is>
          <t>A 38507-2025</t>
        </is>
      </c>
      <c r="B1470" s="1" t="n">
        <v>45884.38591435185</v>
      </c>
      <c r="C1470" s="1" t="n">
        <v>46075</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49750-2025</t>
        </is>
      </c>
      <c r="B1471" s="1" t="n">
        <v>45940.34497685185</v>
      </c>
      <c r="C1471" s="1" t="n">
        <v>46075</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14252-2025</t>
        </is>
      </c>
      <c r="B1472" s="1" t="n">
        <v>45740.61601851852</v>
      </c>
      <c r="C1472" s="1" t="n">
        <v>46075</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49920-2025</t>
        </is>
      </c>
      <c r="B1473" s="1" t="n">
        <v>45940.63611111111</v>
      </c>
      <c r="C1473" s="1" t="n">
        <v>46075</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49933-2025</t>
        </is>
      </c>
      <c r="B1474" s="1" t="n">
        <v>45940.65717592592</v>
      </c>
      <c r="C1474" s="1" t="n">
        <v>46075</v>
      </c>
      <c r="D1474" t="inlineStr">
        <is>
          <t>VÄSTERNORRLANDS LÄN</t>
        </is>
      </c>
      <c r="E1474" t="inlineStr">
        <is>
          <t>SOLLEFTEÅ</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38959-2025</t>
        </is>
      </c>
      <c r="B1475" s="1" t="n">
        <v>45887.67769675926</v>
      </c>
      <c r="C1475" s="1" t="n">
        <v>46075</v>
      </c>
      <c r="D1475" t="inlineStr">
        <is>
          <t>VÄSTERNORRLANDS LÄN</t>
        </is>
      </c>
      <c r="E1475" t="inlineStr">
        <is>
          <t>SOLLEFTEÅ</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38910-2025</t>
        </is>
      </c>
      <c r="B1476" s="1" t="n">
        <v>45887.61509259259</v>
      </c>
      <c r="C1476" s="1" t="n">
        <v>46075</v>
      </c>
      <c r="D1476" t="inlineStr">
        <is>
          <t>VÄSTERNORRLANDS LÄN</t>
        </is>
      </c>
      <c r="E1476" t="inlineStr">
        <is>
          <t>SOLLEFTEÅ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50627-2025</t>
        </is>
      </c>
      <c r="B1477" s="1" t="n">
        <v>45945</v>
      </c>
      <c r="C1477" s="1" t="n">
        <v>46075</v>
      </c>
      <c r="D1477" t="inlineStr">
        <is>
          <t>VÄSTERNORRLANDS LÄN</t>
        </is>
      </c>
      <c r="E1477" t="inlineStr">
        <is>
          <t>SOLLEFTEÅ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50505-2025</t>
        </is>
      </c>
      <c r="B1478" s="1" t="n">
        <v>45945.42863425926</v>
      </c>
      <c r="C1478" s="1" t="n">
        <v>46075</v>
      </c>
      <c r="D1478" t="inlineStr">
        <is>
          <t>VÄSTERNORRLANDS LÄN</t>
        </is>
      </c>
      <c r="E1478" t="inlineStr">
        <is>
          <t>SOLLEFTEÅ</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50522-2025</t>
        </is>
      </c>
      <c r="B1479" s="1" t="n">
        <v>45945</v>
      </c>
      <c r="C1479" s="1" t="n">
        <v>46075</v>
      </c>
      <c r="D1479" t="inlineStr">
        <is>
          <t>VÄSTERNORRLANDS LÄN</t>
        </is>
      </c>
      <c r="E1479" t="inlineStr">
        <is>
          <t>SOLLEFTEÅ</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50402-2025</t>
        </is>
      </c>
      <c r="B1480" s="1" t="n">
        <v>45944.63606481482</v>
      </c>
      <c r="C1480" s="1" t="n">
        <v>46075</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50283-2025</t>
        </is>
      </c>
      <c r="B1481" s="1" t="n">
        <v>45944.38641203703</v>
      </c>
      <c r="C1481" s="1" t="n">
        <v>46075</v>
      </c>
      <c r="D1481" t="inlineStr">
        <is>
          <t>VÄSTERNORRLANDS LÄN</t>
        </is>
      </c>
      <c r="E1481" t="inlineStr">
        <is>
          <t>SOLLEFTEÅ</t>
        </is>
      </c>
      <c r="F1481" t="inlineStr">
        <is>
          <t>SCA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18951-2025</t>
        </is>
      </c>
      <c r="B1482" s="1" t="n">
        <v>45764.51086805556</v>
      </c>
      <c r="C1482" s="1" t="n">
        <v>46075</v>
      </c>
      <c r="D1482" t="inlineStr">
        <is>
          <t>VÄSTERNORRLANDS LÄN</t>
        </is>
      </c>
      <c r="E1482" t="inlineStr">
        <is>
          <t>SOLLEFTEÅ</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50281-2025</t>
        </is>
      </c>
      <c r="B1483" s="1" t="n">
        <v>45944.38600694444</v>
      </c>
      <c r="C1483" s="1" t="n">
        <v>46075</v>
      </c>
      <c r="D1483" t="inlineStr">
        <is>
          <t>VÄSTERNORRLANDS LÄN</t>
        </is>
      </c>
      <c r="E1483" t="inlineStr">
        <is>
          <t>SOLLEFTEÅ</t>
        </is>
      </c>
      <c r="F1483" t="inlineStr">
        <is>
          <t>SCA</t>
        </is>
      </c>
      <c r="G1483" t="n">
        <v>29.2</v>
      </c>
      <c r="H1483" t="n">
        <v>0</v>
      </c>
      <c r="I1483" t="n">
        <v>0</v>
      </c>
      <c r="J1483" t="n">
        <v>0</v>
      </c>
      <c r="K1483" t="n">
        <v>0</v>
      </c>
      <c r="L1483" t="n">
        <v>0</v>
      </c>
      <c r="M1483" t="n">
        <v>0</v>
      </c>
      <c r="N1483" t="n">
        <v>0</v>
      </c>
      <c r="O1483" t="n">
        <v>0</v>
      </c>
      <c r="P1483" t="n">
        <v>0</v>
      </c>
      <c r="Q1483" t="n">
        <v>0</v>
      </c>
      <c r="R1483" s="2" t="inlineStr"/>
    </row>
    <row r="1484" ht="15" customHeight="1">
      <c r="A1484" t="inlineStr">
        <is>
          <t>A 49160-2021</t>
        </is>
      </c>
      <c r="B1484" s="1" t="n">
        <v>44453.94021990741</v>
      </c>
      <c r="C1484" s="1" t="n">
        <v>46075</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7234-2024</t>
        </is>
      </c>
      <c r="B1485" s="1" t="n">
        <v>45344.65627314815</v>
      </c>
      <c r="C1485" s="1" t="n">
        <v>46075</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50245-2025</t>
        </is>
      </c>
      <c r="B1486" s="1" t="n">
        <v>45944.30101851852</v>
      </c>
      <c r="C1486" s="1" t="n">
        <v>46075</v>
      </c>
      <c r="D1486" t="inlineStr">
        <is>
          <t>VÄSTERNORRLANDS LÄN</t>
        </is>
      </c>
      <c r="E1486" t="inlineStr">
        <is>
          <t>SOLLEFTEÅ</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25131-2024</t>
        </is>
      </c>
      <c r="B1487" s="1" t="n">
        <v>45462.46725694444</v>
      </c>
      <c r="C1487" s="1" t="n">
        <v>46075</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50645-2025</t>
        </is>
      </c>
      <c r="B1488" s="1" t="n">
        <v>45945.65685185185</v>
      </c>
      <c r="C1488" s="1" t="n">
        <v>46075</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50388-2025</t>
        </is>
      </c>
      <c r="B1489" s="1" t="n">
        <v>45944.61509259259</v>
      </c>
      <c r="C1489" s="1" t="n">
        <v>46075</v>
      </c>
      <c r="D1489" t="inlineStr">
        <is>
          <t>VÄSTERNORRLANDS LÄN</t>
        </is>
      </c>
      <c r="E1489" t="inlineStr">
        <is>
          <t>SOLLEFTEÅ</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17034-2025</t>
        </is>
      </c>
      <c r="B1490" s="1" t="n">
        <v>45755.57385416667</v>
      </c>
      <c r="C1490" s="1" t="n">
        <v>46075</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50493-2025</t>
        </is>
      </c>
      <c r="B1491" s="1" t="n">
        <v>45945.40685185185</v>
      </c>
      <c r="C1491" s="1" t="n">
        <v>46075</v>
      </c>
      <c r="D1491" t="inlineStr">
        <is>
          <t>VÄSTERNORRLANDS LÄN</t>
        </is>
      </c>
      <c r="E1491" t="inlineStr">
        <is>
          <t>SOLLEFTEÅ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50555-2025</t>
        </is>
      </c>
      <c r="B1492" s="1" t="n">
        <v>45945.53164351852</v>
      </c>
      <c r="C1492" s="1" t="n">
        <v>46075</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38581-2025</t>
        </is>
      </c>
      <c r="B1493" s="1" t="n">
        <v>45884.46965277778</v>
      </c>
      <c r="C1493" s="1" t="n">
        <v>46075</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50859-2025</t>
        </is>
      </c>
      <c r="B1494" s="1" t="n">
        <v>45946.59450231482</v>
      </c>
      <c r="C1494" s="1" t="n">
        <v>46075</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51226-2025</t>
        </is>
      </c>
      <c r="B1495" s="1" t="n">
        <v>45947.65663194445</v>
      </c>
      <c r="C1495" s="1" t="n">
        <v>46075</v>
      </c>
      <c r="D1495" t="inlineStr">
        <is>
          <t>VÄSTERNORRLANDS LÄN</t>
        </is>
      </c>
      <c r="E1495" t="inlineStr">
        <is>
          <t>SOLLEFTEÅ</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28749-2023</t>
        </is>
      </c>
      <c r="B1496" s="1" t="n">
        <v>45103</v>
      </c>
      <c r="C1496" s="1" t="n">
        <v>46075</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43177-2023</t>
        </is>
      </c>
      <c r="B1497" s="1" t="n">
        <v>45181</v>
      </c>
      <c r="C1497" s="1" t="n">
        <v>46075</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2185-2025</t>
        </is>
      </c>
      <c r="B1498" s="1" t="n">
        <v>45673</v>
      </c>
      <c r="C1498" s="1" t="n">
        <v>46075</v>
      </c>
      <c r="D1498" t="inlineStr">
        <is>
          <t>VÄSTERNORRLANDS LÄN</t>
        </is>
      </c>
      <c r="E1498" t="inlineStr">
        <is>
          <t>SOLLEFTEÅ</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51118-2025</t>
        </is>
      </c>
      <c r="B1499" s="1" t="n">
        <v>45947.53177083333</v>
      </c>
      <c r="C1499" s="1" t="n">
        <v>46075</v>
      </c>
      <c r="D1499" t="inlineStr">
        <is>
          <t>VÄSTERNORRLANDS LÄN</t>
        </is>
      </c>
      <c r="E1499" t="inlineStr">
        <is>
          <t>SOLLEFTEÅ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50911-2025</t>
        </is>
      </c>
      <c r="B1500" s="1" t="n">
        <v>45946.65690972222</v>
      </c>
      <c r="C1500" s="1" t="n">
        <v>46075</v>
      </c>
      <c r="D1500" t="inlineStr">
        <is>
          <t>VÄSTERNORRLANDS LÄN</t>
        </is>
      </c>
      <c r="E1500" t="inlineStr">
        <is>
          <t>SOLLEFTEÅ</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51036-2025</t>
        </is>
      </c>
      <c r="B1501" s="1" t="n">
        <v>45947.40709490741</v>
      </c>
      <c r="C1501" s="1" t="n">
        <v>46075</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50843-2025</t>
        </is>
      </c>
      <c r="B1502" s="1" t="n">
        <v>45946.57344907407</v>
      </c>
      <c r="C1502" s="1" t="n">
        <v>46075</v>
      </c>
      <c r="D1502" t="inlineStr">
        <is>
          <t>VÄSTERNORRLANDS LÄN</t>
        </is>
      </c>
      <c r="E1502" t="inlineStr">
        <is>
          <t>SOLLEFTEÅ</t>
        </is>
      </c>
      <c r="F1502" t="inlineStr">
        <is>
          <t>SCA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50929-2025</t>
        </is>
      </c>
      <c r="B1503" s="1" t="n">
        <v>45946.67913194445</v>
      </c>
      <c r="C1503" s="1" t="n">
        <v>46075</v>
      </c>
      <c r="D1503" t="inlineStr">
        <is>
          <t>VÄSTERNORRLANDS LÄN</t>
        </is>
      </c>
      <c r="E1503" t="inlineStr">
        <is>
          <t>SOLLEFTEÅ</t>
        </is>
      </c>
      <c r="F1503" t="inlineStr">
        <is>
          <t>SCA</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50930-2025</t>
        </is>
      </c>
      <c r="B1504" s="1" t="n">
        <v>45946.6796875</v>
      </c>
      <c r="C1504" s="1" t="n">
        <v>46075</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50860-2025</t>
        </is>
      </c>
      <c r="B1505" s="1" t="n">
        <v>45946.59475694445</v>
      </c>
      <c r="C1505" s="1" t="n">
        <v>46075</v>
      </c>
      <c r="D1505" t="inlineStr">
        <is>
          <t>VÄSTERNORRLANDS LÄN</t>
        </is>
      </c>
      <c r="E1505" t="inlineStr">
        <is>
          <t>SOLLEFTEÅ</t>
        </is>
      </c>
      <c r="F1505" t="inlineStr">
        <is>
          <t>SCA</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51102-2025</t>
        </is>
      </c>
      <c r="B1506" s="1" t="n">
        <v>45947.49001157407</v>
      </c>
      <c r="C1506" s="1" t="n">
        <v>46075</v>
      </c>
      <c r="D1506" t="inlineStr">
        <is>
          <t>VÄSTERNORRLANDS LÄN</t>
        </is>
      </c>
      <c r="E1506" t="inlineStr">
        <is>
          <t>SOLLEFTEÅ</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30069-2024</t>
        </is>
      </c>
      <c r="B1507" s="1" t="n">
        <v>45488.9489699074</v>
      </c>
      <c r="C1507" s="1" t="n">
        <v>46075</v>
      </c>
      <c r="D1507" t="inlineStr">
        <is>
          <t>VÄSTERNORRLANDS LÄN</t>
        </is>
      </c>
      <c r="E1507" t="inlineStr">
        <is>
          <t>SOLLEFTEÅ</t>
        </is>
      </c>
      <c r="F1507" t="inlineStr">
        <is>
          <t>SCA</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19295-2022</t>
        </is>
      </c>
      <c r="B1508" s="1" t="n">
        <v>44692</v>
      </c>
      <c r="C1508" s="1" t="n">
        <v>46075</v>
      </c>
      <c r="D1508" t="inlineStr">
        <is>
          <t>VÄSTERNORRLANDS LÄN</t>
        </is>
      </c>
      <c r="E1508" t="inlineStr">
        <is>
          <t>SOLLEFTEÅ</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51223-2025</t>
        </is>
      </c>
      <c r="B1509" s="1" t="n">
        <v>45947.65533564815</v>
      </c>
      <c r="C1509" s="1" t="n">
        <v>46075</v>
      </c>
      <c r="D1509" t="inlineStr">
        <is>
          <t>VÄSTERNORRLANDS LÄN</t>
        </is>
      </c>
      <c r="E1509" t="inlineStr">
        <is>
          <t>SOLLEFTEÅ</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16253-2024</t>
        </is>
      </c>
      <c r="B1510" s="1" t="n">
        <v>45407.0587962963</v>
      </c>
      <c r="C1510" s="1" t="n">
        <v>46075</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51087-2025</t>
        </is>
      </c>
      <c r="B1511" s="1" t="n">
        <v>45947.46954861111</v>
      </c>
      <c r="C1511" s="1" t="n">
        <v>46075</v>
      </c>
      <c r="D1511" t="inlineStr">
        <is>
          <t>VÄSTERNORRLANDS LÄN</t>
        </is>
      </c>
      <c r="E1511" t="inlineStr">
        <is>
          <t>SOLLEFTEÅ</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51088-2025</t>
        </is>
      </c>
      <c r="B1512" s="1" t="n">
        <v>45947.46975694445</v>
      </c>
      <c r="C1512" s="1" t="n">
        <v>46075</v>
      </c>
      <c r="D1512" t="inlineStr">
        <is>
          <t>VÄSTERNORRLANDS LÄN</t>
        </is>
      </c>
      <c r="E1512" t="inlineStr">
        <is>
          <t>SOLLEFTEÅ</t>
        </is>
      </c>
      <c r="F1512" t="inlineStr">
        <is>
          <t>SCA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61081-2023</t>
        </is>
      </c>
      <c r="B1513" s="1" t="n">
        <v>45261</v>
      </c>
      <c r="C1513" s="1" t="n">
        <v>46075</v>
      </c>
      <c r="D1513" t="inlineStr">
        <is>
          <t>VÄSTERNORRLANDS LÄN</t>
        </is>
      </c>
      <c r="E1513" t="inlineStr">
        <is>
          <t>SOLLEFTEÅ</t>
        </is>
      </c>
      <c r="F1513" t="inlineStr">
        <is>
          <t>Holmen skog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50733-2025</t>
        </is>
      </c>
      <c r="B1514" s="1" t="n">
        <v>45946.36538194444</v>
      </c>
      <c r="C1514" s="1" t="n">
        <v>46075</v>
      </c>
      <c r="D1514" t="inlineStr">
        <is>
          <t>VÄSTERNORRLANDS LÄN</t>
        </is>
      </c>
      <c r="E1514" t="inlineStr">
        <is>
          <t>SOLLEFTEÅ</t>
        </is>
      </c>
      <c r="F1514" t="inlineStr">
        <is>
          <t>SCA</t>
        </is>
      </c>
      <c r="G1514" t="n">
        <v>15.3</v>
      </c>
      <c r="H1514" t="n">
        <v>0</v>
      </c>
      <c r="I1514" t="n">
        <v>0</v>
      </c>
      <c r="J1514" t="n">
        <v>0</v>
      </c>
      <c r="K1514" t="n">
        <v>0</v>
      </c>
      <c r="L1514" t="n">
        <v>0</v>
      </c>
      <c r="M1514" t="n">
        <v>0</v>
      </c>
      <c r="N1514" t="n">
        <v>0</v>
      </c>
      <c r="O1514" t="n">
        <v>0</v>
      </c>
      <c r="P1514" t="n">
        <v>0</v>
      </c>
      <c r="Q1514" t="n">
        <v>0</v>
      </c>
      <c r="R1514" s="2" t="inlineStr"/>
    </row>
    <row r="1515" ht="15" customHeight="1">
      <c r="A1515" t="inlineStr">
        <is>
          <t>A 51261-2025</t>
        </is>
      </c>
      <c r="B1515" s="1" t="n">
        <v>45949.46915509259</v>
      </c>
      <c r="C1515" s="1" t="n">
        <v>46075</v>
      </c>
      <c r="D1515" t="inlineStr">
        <is>
          <t>VÄSTERNORRLANDS LÄN</t>
        </is>
      </c>
      <c r="E1515" t="inlineStr">
        <is>
          <t>SOLLEFTEÅ</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51609-2025</t>
        </is>
      </c>
      <c r="B1516" s="1" t="n">
        <v>45951.39130787037</v>
      </c>
      <c r="C1516" s="1" t="n">
        <v>46075</v>
      </c>
      <c r="D1516" t="inlineStr">
        <is>
          <t>VÄSTERNORRLANDS LÄN</t>
        </is>
      </c>
      <c r="E1516" t="inlineStr">
        <is>
          <t>SOLLEFTEÅ</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51559-2025</t>
        </is>
      </c>
      <c r="B1517" s="1" t="n">
        <v>45950.93180555556</v>
      </c>
      <c r="C1517" s="1" t="n">
        <v>46075</v>
      </c>
      <c r="D1517" t="inlineStr">
        <is>
          <t>VÄSTERNORRLANDS LÄN</t>
        </is>
      </c>
      <c r="E1517" t="inlineStr">
        <is>
          <t>SOLLEFTEÅ</t>
        </is>
      </c>
      <c r="G1517" t="n">
        <v>13.2</v>
      </c>
      <c r="H1517" t="n">
        <v>0</v>
      </c>
      <c r="I1517" t="n">
        <v>0</v>
      </c>
      <c r="J1517" t="n">
        <v>0</v>
      </c>
      <c r="K1517" t="n">
        <v>0</v>
      </c>
      <c r="L1517" t="n">
        <v>0</v>
      </c>
      <c r="M1517" t="n">
        <v>0</v>
      </c>
      <c r="N1517" t="n">
        <v>0</v>
      </c>
      <c r="O1517" t="n">
        <v>0</v>
      </c>
      <c r="P1517" t="n">
        <v>0</v>
      </c>
      <c r="Q1517" t="n">
        <v>0</v>
      </c>
      <c r="R1517" s="2" t="inlineStr"/>
    </row>
    <row r="1518" ht="15" customHeight="1">
      <c r="A1518" t="inlineStr">
        <is>
          <t>A 51591-2025</t>
        </is>
      </c>
      <c r="B1518" s="1" t="n">
        <v>45951.3653587963</v>
      </c>
      <c r="C1518" s="1" t="n">
        <v>46075</v>
      </c>
      <c r="D1518" t="inlineStr">
        <is>
          <t>VÄSTERNORRLANDS LÄN</t>
        </is>
      </c>
      <c r="E1518" t="inlineStr">
        <is>
          <t>SOLLEFTEÅ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51575-2025</t>
        </is>
      </c>
      <c r="B1519" s="1" t="n">
        <v>45951.34452546296</v>
      </c>
      <c r="C1519" s="1" t="n">
        <v>46075</v>
      </c>
      <c r="D1519" t="inlineStr">
        <is>
          <t>VÄSTERNORRLANDS LÄN</t>
        </is>
      </c>
      <c r="E1519" t="inlineStr">
        <is>
          <t>SOLLEFTEÅ</t>
        </is>
      </c>
      <c r="F1519" t="inlineStr">
        <is>
          <t>SCA</t>
        </is>
      </c>
      <c r="G1519" t="n">
        <v>35.4</v>
      </c>
      <c r="H1519" t="n">
        <v>0</v>
      </c>
      <c r="I1519" t="n">
        <v>0</v>
      </c>
      <c r="J1519" t="n">
        <v>0</v>
      </c>
      <c r="K1519" t="n">
        <v>0</v>
      </c>
      <c r="L1519" t="n">
        <v>0</v>
      </c>
      <c r="M1519" t="n">
        <v>0</v>
      </c>
      <c r="N1519" t="n">
        <v>0</v>
      </c>
      <c r="O1519" t="n">
        <v>0</v>
      </c>
      <c r="P1519" t="n">
        <v>0</v>
      </c>
      <c r="Q1519" t="n">
        <v>0</v>
      </c>
      <c r="R1519" s="2" t="inlineStr"/>
    </row>
    <row r="1520" ht="15" customHeight="1">
      <c r="A1520" t="inlineStr">
        <is>
          <t>A 25364-2024</t>
        </is>
      </c>
      <c r="B1520" s="1" t="n">
        <v>45462.95849537037</v>
      </c>
      <c r="C1520" s="1" t="n">
        <v>46075</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26962-2024</t>
        </is>
      </c>
      <c r="B1521" s="1" t="n">
        <v>45470.9716087963</v>
      </c>
      <c r="C1521" s="1" t="n">
        <v>46075</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51770-2025</t>
        </is>
      </c>
      <c r="B1522" s="1" t="n">
        <v>45951.64315972223</v>
      </c>
      <c r="C1522" s="1" t="n">
        <v>46075</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51603-2025</t>
        </is>
      </c>
      <c r="B1523" s="1" t="n">
        <v>45951.38317129629</v>
      </c>
      <c r="C1523" s="1" t="n">
        <v>46075</v>
      </c>
      <c r="D1523" t="inlineStr">
        <is>
          <t>VÄSTERNORRLANDS LÄN</t>
        </is>
      </c>
      <c r="E1523" t="inlineStr">
        <is>
          <t>SOLLEFTEÅ</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40655-2024</t>
        </is>
      </c>
      <c r="B1524" s="1" t="n">
        <v>45558.34414351852</v>
      </c>
      <c r="C1524" s="1" t="n">
        <v>46075</v>
      </c>
      <c r="D1524" t="inlineStr">
        <is>
          <t>VÄSTERNORRLANDS LÄN</t>
        </is>
      </c>
      <c r="E1524" t="inlineStr">
        <is>
          <t>SOLLEFTEÅ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51303-2025</t>
        </is>
      </c>
      <c r="B1525" s="1" t="n">
        <v>45950.36518518518</v>
      </c>
      <c r="C1525" s="1" t="n">
        <v>46075</v>
      </c>
      <c r="D1525" t="inlineStr">
        <is>
          <t>VÄSTERNORRLANDS LÄN</t>
        </is>
      </c>
      <c r="E1525" t="inlineStr">
        <is>
          <t>SOLLEFTEÅ</t>
        </is>
      </c>
      <c r="F1525" t="inlineStr">
        <is>
          <t>SCA</t>
        </is>
      </c>
      <c r="G1525" t="n">
        <v>29.2</v>
      </c>
      <c r="H1525" t="n">
        <v>0</v>
      </c>
      <c r="I1525" t="n">
        <v>0</v>
      </c>
      <c r="J1525" t="n">
        <v>0</v>
      </c>
      <c r="K1525" t="n">
        <v>0</v>
      </c>
      <c r="L1525" t="n">
        <v>0</v>
      </c>
      <c r="M1525" t="n">
        <v>0</v>
      </c>
      <c r="N1525" t="n">
        <v>0</v>
      </c>
      <c r="O1525" t="n">
        <v>0</v>
      </c>
      <c r="P1525" t="n">
        <v>0</v>
      </c>
      <c r="Q1525" t="n">
        <v>0</v>
      </c>
      <c r="R1525" s="2" t="inlineStr"/>
    </row>
    <row r="1526" ht="15" customHeight="1">
      <c r="A1526" t="inlineStr">
        <is>
          <t>A 51792-2025</t>
        </is>
      </c>
      <c r="B1526" s="1" t="n">
        <v>45951.6984837963</v>
      </c>
      <c r="C1526" s="1" t="n">
        <v>46075</v>
      </c>
      <c r="D1526" t="inlineStr">
        <is>
          <t>VÄSTERNORRLANDS LÄN</t>
        </is>
      </c>
      <c r="E1526" t="inlineStr">
        <is>
          <t>SOLLEFTEÅ</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51451-2025</t>
        </is>
      </c>
      <c r="B1527" s="1" t="n">
        <v>45950.59311342592</v>
      </c>
      <c r="C1527" s="1" t="n">
        <v>46075</v>
      </c>
      <c r="D1527" t="inlineStr">
        <is>
          <t>VÄSTERNORRLANDS LÄN</t>
        </is>
      </c>
      <c r="E1527" t="inlineStr">
        <is>
          <t>SOLLEFTEÅ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51372-2025</t>
        </is>
      </c>
      <c r="B1528" s="1" t="n">
        <v>45950.44846064815</v>
      </c>
      <c r="C1528" s="1" t="n">
        <v>46075</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38054-2024</t>
        </is>
      </c>
      <c r="B1529" s="1" t="n">
        <v>45544.71916666667</v>
      </c>
      <c r="C1529" s="1" t="n">
        <v>46075</v>
      </c>
      <c r="D1529" t="inlineStr">
        <is>
          <t>VÄSTERNORRLANDS LÄN</t>
        </is>
      </c>
      <c r="E1529" t="inlineStr">
        <is>
          <t>SOLLEFTEÅ</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51321-2025</t>
        </is>
      </c>
      <c r="B1530" s="1" t="n">
        <v>45950.38615740741</v>
      </c>
      <c r="C1530" s="1" t="n">
        <v>46075</v>
      </c>
      <c r="D1530" t="inlineStr">
        <is>
          <t>VÄSTERNORRLANDS LÄN</t>
        </is>
      </c>
      <c r="E1530" t="inlineStr">
        <is>
          <t>SOLLEFTEÅ</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51527-2025</t>
        </is>
      </c>
      <c r="B1531" s="1" t="n">
        <v>45950.67748842593</v>
      </c>
      <c r="C1531" s="1" t="n">
        <v>46075</v>
      </c>
      <c r="D1531" t="inlineStr">
        <is>
          <t>VÄSTERNORRLANDS LÄN</t>
        </is>
      </c>
      <c r="E1531" t="inlineStr">
        <is>
          <t>SOLLEFTEÅ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51529-2025</t>
        </is>
      </c>
      <c r="B1532" s="1" t="n">
        <v>45950.67769675926</v>
      </c>
      <c r="C1532" s="1" t="n">
        <v>46075</v>
      </c>
      <c r="D1532" t="inlineStr">
        <is>
          <t>VÄSTERNORRLANDS LÄN</t>
        </is>
      </c>
      <c r="E1532" t="inlineStr">
        <is>
          <t>SOLLEFTEÅ</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51617-2025</t>
        </is>
      </c>
      <c r="B1533" s="1" t="n">
        <v>45951.40674768519</v>
      </c>
      <c r="C1533" s="1" t="n">
        <v>46075</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50674-2023</t>
        </is>
      </c>
      <c r="B1534" s="1" t="n">
        <v>45210</v>
      </c>
      <c r="C1534" s="1" t="n">
        <v>46075</v>
      </c>
      <c r="D1534" t="inlineStr">
        <is>
          <t>VÄSTERNORRLANDS LÄN</t>
        </is>
      </c>
      <c r="E1534" t="inlineStr">
        <is>
          <t>SOLLEFTEÅ</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51755-2025</t>
        </is>
      </c>
      <c r="B1535" s="1" t="n">
        <v>45950</v>
      </c>
      <c r="C1535" s="1" t="n">
        <v>46075</v>
      </c>
      <c r="D1535" t="inlineStr">
        <is>
          <t>VÄSTERNORRLANDS LÄN</t>
        </is>
      </c>
      <c r="E1535" t="inlineStr">
        <is>
          <t>SOLLEFTEÅ</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51259-2025</t>
        </is>
      </c>
      <c r="B1536" s="1" t="n">
        <v>45949.44818287037</v>
      </c>
      <c r="C1536" s="1" t="n">
        <v>46075</v>
      </c>
      <c r="D1536" t="inlineStr">
        <is>
          <t>VÄSTERNORRLANDS LÄN</t>
        </is>
      </c>
      <c r="E1536" t="inlineStr">
        <is>
          <t>SOLLEFTEÅ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51521-2025</t>
        </is>
      </c>
      <c r="B1537" s="1" t="n">
        <v>45950.65715277778</v>
      </c>
      <c r="C1537" s="1" t="n">
        <v>46075</v>
      </c>
      <c r="D1537" t="inlineStr">
        <is>
          <t>VÄSTERNORRLANDS LÄN</t>
        </is>
      </c>
      <c r="E1537" t="inlineStr">
        <is>
          <t>SOLLEFTEÅ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218-2025</t>
        </is>
      </c>
      <c r="B1538" s="1" t="n">
        <v>45660</v>
      </c>
      <c r="C1538" s="1" t="n">
        <v>46075</v>
      </c>
      <c r="D1538" t="inlineStr">
        <is>
          <t>VÄSTERNORRLANDS LÄN</t>
        </is>
      </c>
      <c r="E1538" t="inlineStr">
        <is>
          <t>SOLLEFTEÅ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21344-2023</t>
        </is>
      </c>
      <c r="B1539" s="1" t="n">
        <v>45062</v>
      </c>
      <c r="C1539" s="1" t="n">
        <v>46075</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51899-2025</t>
        </is>
      </c>
      <c r="B1540" s="1" t="n">
        <v>45952.44201388889</v>
      </c>
      <c r="C1540" s="1" t="n">
        <v>46075</v>
      </c>
      <c r="D1540" t="inlineStr">
        <is>
          <t>VÄSTERNORRLANDS LÄN</t>
        </is>
      </c>
      <c r="E1540" t="inlineStr">
        <is>
          <t>SOLLEFTEÅ</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52092-2025</t>
        </is>
      </c>
      <c r="B1541" s="1" t="n">
        <v>45952.67827546296</v>
      </c>
      <c r="C1541" s="1" t="n">
        <v>46075</v>
      </c>
      <c r="D1541" t="inlineStr">
        <is>
          <t>VÄSTERNORRLANDS LÄN</t>
        </is>
      </c>
      <c r="E1541" t="inlineStr">
        <is>
          <t>SOLLEFTEÅ</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51880-2025</t>
        </is>
      </c>
      <c r="B1542" s="1" t="n">
        <v>45952.40435185185</v>
      </c>
      <c r="C1542" s="1" t="n">
        <v>46075</v>
      </c>
      <c r="D1542" t="inlineStr">
        <is>
          <t>VÄSTERNORRLANDS LÄN</t>
        </is>
      </c>
      <c r="E1542" t="inlineStr">
        <is>
          <t>SOLLEFTEÅ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52236-2025</t>
        </is>
      </c>
      <c r="B1543" s="1" t="n">
        <v>45953.45596064815</v>
      </c>
      <c r="C1543" s="1" t="n">
        <v>46075</v>
      </c>
      <c r="D1543" t="inlineStr">
        <is>
          <t>VÄSTERNORRLANDS LÄN</t>
        </is>
      </c>
      <c r="E1543" t="inlineStr">
        <is>
          <t>SOLLEFTEÅ</t>
        </is>
      </c>
      <c r="F1543" t="inlineStr">
        <is>
          <t>Holmen skog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52305-2025</t>
        </is>
      </c>
      <c r="B1544" s="1" t="n">
        <v>45953.63582175926</v>
      </c>
      <c r="C1544" s="1" t="n">
        <v>46075</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3095-2025</t>
        </is>
      </c>
      <c r="B1545" s="1" t="n">
        <v>45678.66633101852</v>
      </c>
      <c r="C1545" s="1" t="n">
        <v>46075</v>
      </c>
      <c r="D1545" t="inlineStr">
        <is>
          <t>VÄSTERNORRLANDS LÄN</t>
        </is>
      </c>
      <c r="E1545" t="inlineStr">
        <is>
          <t>SOLLEFTEÅ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52078-2025</t>
        </is>
      </c>
      <c r="B1546" s="1" t="n">
        <v>45952.65828703704</v>
      </c>
      <c r="C1546" s="1" t="n">
        <v>46075</v>
      </c>
      <c r="D1546" t="inlineStr">
        <is>
          <t>VÄSTERNORRLANDS LÄN</t>
        </is>
      </c>
      <c r="E1546" t="inlineStr">
        <is>
          <t>SOLLEFTEÅ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51870-2025</t>
        </is>
      </c>
      <c r="B1547" s="1" t="n">
        <v>45952.38590277778</v>
      </c>
      <c r="C1547" s="1" t="n">
        <v>46075</v>
      </c>
      <c r="D1547" t="inlineStr">
        <is>
          <t>VÄSTERNORRLANDS LÄN</t>
        </is>
      </c>
      <c r="E1547" t="inlineStr">
        <is>
          <t>SOLLEFTEÅ</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18648-2024</t>
        </is>
      </c>
      <c r="B1548" s="1" t="n">
        <v>45425.9678125</v>
      </c>
      <c r="C1548" s="1" t="n">
        <v>46075</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52023-2025</t>
        </is>
      </c>
      <c r="B1549" s="1" t="n">
        <v>45952.60252314815</v>
      </c>
      <c r="C1549" s="1" t="n">
        <v>46075</v>
      </c>
      <c r="D1549" t="inlineStr">
        <is>
          <t>VÄSTERNORRLANDS LÄN</t>
        </is>
      </c>
      <c r="E1549" t="inlineStr">
        <is>
          <t>SOLLEFTEÅ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3323-2025</t>
        </is>
      </c>
      <c r="B1550" s="1" t="n">
        <v>45679.69921296297</v>
      </c>
      <c r="C1550" s="1" t="n">
        <v>46075</v>
      </c>
      <c r="D1550" t="inlineStr">
        <is>
          <t>VÄSTERNORRLANDS LÄN</t>
        </is>
      </c>
      <c r="E1550" t="inlineStr">
        <is>
          <t>SOLLEFTEÅ</t>
        </is>
      </c>
      <c r="F1550" t="inlineStr">
        <is>
          <t>SCA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17173-2024</t>
        </is>
      </c>
      <c r="B1551" s="1" t="n">
        <v>45412.97866898148</v>
      </c>
      <c r="C1551" s="1" t="n">
        <v>46075</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51918-2025</t>
        </is>
      </c>
      <c r="B1552" s="1" t="n">
        <v>45952.48068287037</v>
      </c>
      <c r="C1552" s="1" t="n">
        <v>46075</v>
      </c>
      <c r="D1552" t="inlineStr">
        <is>
          <t>VÄSTERNORRLANDS LÄN</t>
        </is>
      </c>
      <c r="E1552" t="inlineStr">
        <is>
          <t>SOLLEFTEÅ</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52116-2025</t>
        </is>
      </c>
      <c r="B1553" s="1" t="n">
        <v>45952</v>
      </c>
      <c r="C1553" s="1" t="n">
        <v>46075</v>
      </c>
      <c r="D1553" t="inlineStr">
        <is>
          <t>VÄSTERNORRLANDS LÄN</t>
        </is>
      </c>
      <c r="E1553" t="inlineStr">
        <is>
          <t>SOLLEFTEÅ</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656-2024</t>
        </is>
      </c>
      <c r="B1554" s="1" t="n">
        <v>45299</v>
      </c>
      <c r="C1554" s="1" t="n">
        <v>46075</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27572-2022</t>
        </is>
      </c>
      <c r="B1555" s="1" t="n">
        <v>44742.94329861111</v>
      </c>
      <c r="C1555" s="1" t="n">
        <v>46075</v>
      </c>
      <c r="D1555" t="inlineStr">
        <is>
          <t>VÄSTERNORRLANDS LÄN</t>
        </is>
      </c>
      <c r="E1555" t="inlineStr">
        <is>
          <t>SOLLEFTEÅ</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57518-2023</t>
        </is>
      </c>
      <c r="B1556" s="1" t="n">
        <v>45242</v>
      </c>
      <c r="C1556" s="1" t="n">
        <v>46075</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1480-2025</t>
        </is>
      </c>
      <c r="B1557" s="1" t="n">
        <v>45670.38575231482</v>
      </c>
      <c r="C1557" s="1" t="n">
        <v>46075</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39495-2023</t>
        </is>
      </c>
      <c r="B1558" s="1" t="n">
        <v>45166.95712962963</v>
      </c>
      <c r="C1558" s="1" t="n">
        <v>46075</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52011-2025</t>
        </is>
      </c>
      <c r="B1559" s="1" t="n">
        <v>45952.59517361111</v>
      </c>
      <c r="C1559" s="1" t="n">
        <v>46075</v>
      </c>
      <c r="D1559" t="inlineStr">
        <is>
          <t>VÄSTERNORRLANDS LÄN</t>
        </is>
      </c>
      <c r="E1559" t="inlineStr">
        <is>
          <t>SOLLEFTEÅ</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52765-2025</t>
        </is>
      </c>
      <c r="B1560" s="1" t="n">
        <v>45957</v>
      </c>
      <c r="C1560" s="1" t="n">
        <v>46075</v>
      </c>
      <c r="D1560" t="inlineStr">
        <is>
          <t>VÄSTERNORRLANDS LÄN</t>
        </is>
      </c>
      <c r="E1560" t="inlineStr">
        <is>
          <t>SOLLEFTEÅ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52767-2025</t>
        </is>
      </c>
      <c r="B1561" s="1" t="n">
        <v>45957.40163194444</v>
      </c>
      <c r="C1561" s="1" t="n">
        <v>46075</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10140-2022</t>
        </is>
      </c>
      <c r="B1562" s="1" t="n">
        <v>44621</v>
      </c>
      <c r="C1562" s="1" t="n">
        <v>46075</v>
      </c>
      <c r="D1562" t="inlineStr">
        <is>
          <t>VÄSTERNORRLANDS LÄN</t>
        </is>
      </c>
      <c r="E1562" t="inlineStr">
        <is>
          <t>SOLLEFTEÅ</t>
        </is>
      </c>
      <c r="F1562" t="inlineStr">
        <is>
          <t>SCA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52974-2025</t>
        </is>
      </c>
      <c r="B1563" s="1" t="n">
        <v>45957.67858796296</v>
      </c>
      <c r="C1563" s="1" t="n">
        <v>46075</v>
      </c>
      <c r="D1563" t="inlineStr">
        <is>
          <t>VÄSTERNORRLANDS LÄN</t>
        </is>
      </c>
      <c r="E1563" t="inlineStr">
        <is>
          <t>SOLLEFTEÅ</t>
        </is>
      </c>
      <c r="F1563" t="inlineStr">
        <is>
          <t>SCA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52393-2025</t>
        </is>
      </c>
      <c r="B1564" s="1" t="n">
        <v>45954.34443287037</v>
      </c>
      <c r="C1564" s="1" t="n">
        <v>46075</v>
      </c>
      <c r="D1564" t="inlineStr">
        <is>
          <t>VÄSTERNORRLANDS LÄN</t>
        </is>
      </c>
      <c r="E1564" t="inlineStr">
        <is>
          <t>SOLLEFTEÅ</t>
        </is>
      </c>
      <c r="F1564" t="inlineStr">
        <is>
          <t>SCA</t>
        </is>
      </c>
      <c r="G1564" t="n">
        <v>29.1</v>
      </c>
      <c r="H1564" t="n">
        <v>0</v>
      </c>
      <c r="I1564" t="n">
        <v>0</v>
      </c>
      <c r="J1564" t="n">
        <v>0</v>
      </c>
      <c r="K1564" t="n">
        <v>0</v>
      </c>
      <c r="L1564" t="n">
        <v>0</v>
      </c>
      <c r="M1564" t="n">
        <v>0</v>
      </c>
      <c r="N1564" t="n">
        <v>0</v>
      </c>
      <c r="O1564" t="n">
        <v>0</v>
      </c>
      <c r="P1564" t="n">
        <v>0</v>
      </c>
      <c r="Q1564" t="n">
        <v>0</v>
      </c>
      <c r="R1564" s="2" t="inlineStr"/>
    </row>
    <row r="1565" ht="15" customHeight="1">
      <c r="A1565" t="inlineStr">
        <is>
          <t>A 52780-2025</t>
        </is>
      </c>
      <c r="B1565" s="1" t="n">
        <v>45957.42261574074</v>
      </c>
      <c r="C1565" s="1" t="n">
        <v>46075</v>
      </c>
      <c r="D1565" t="inlineStr">
        <is>
          <t>VÄSTERNORRLANDS LÄN</t>
        </is>
      </c>
      <c r="E1565" t="inlineStr">
        <is>
          <t>SOLLEFTEÅ</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46973-2024</t>
        </is>
      </c>
      <c r="B1566" s="1" t="n">
        <v>45586.34424768519</v>
      </c>
      <c r="C1566" s="1" t="n">
        <v>46075</v>
      </c>
      <c r="D1566" t="inlineStr">
        <is>
          <t>VÄSTERNORRLANDS LÄN</t>
        </is>
      </c>
      <c r="E1566" t="inlineStr">
        <is>
          <t>SOLLEFTEÅ</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52665-2025</t>
        </is>
      </c>
      <c r="B1567" s="1" t="n">
        <v>45955.65716435185</v>
      </c>
      <c r="C1567" s="1" t="n">
        <v>46075</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55756-2024</t>
        </is>
      </c>
      <c r="B1568" s="1" t="n">
        <v>45623</v>
      </c>
      <c r="C1568" s="1" t="n">
        <v>46075</v>
      </c>
      <c r="D1568" t="inlineStr">
        <is>
          <t>VÄSTERNORRLANDS LÄN</t>
        </is>
      </c>
      <c r="E1568" t="inlineStr">
        <is>
          <t>SOLLEFTEÅ</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55769-2024</t>
        </is>
      </c>
      <c r="B1569" s="1" t="n">
        <v>45623.38574074074</v>
      </c>
      <c r="C1569" s="1" t="n">
        <v>46075</v>
      </c>
      <c r="D1569" t="inlineStr">
        <is>
          <t>VÄSTERNORRLANDS LÄN</t>
        </is>
      </c>
      <c r="E1569" t="inlineStr">
        <is>
          <t>SOLLEFTEÅ</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55824-2024</t>
        </is>
      </c>
      <c r="B1570" s="1" t="n">
        <v>45623.47813657407</v>
      </c>
      <c r="C1570" s="1" t="n">
        <v>46075</v>
      </c>
      <c r="D1570" t="inlineStr">
        <is>
          <t>VÄSTERNORRLANDS LÄN</t>
        </is>
      </c>
      <c r="E1570" t="inlineStr">
        <is>
          <t>SOLLEFTEÅ</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8038-2024</t>
        </is>
      </c>
      <c r="B1571" s="1" t="n">
        <v>45350</v>
      </c>
      <c r="C1571" s="1" t="n">
        <v>46075</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8039-2024</t>
        </is>
      </c>
      <c r="B1572" s="1" t="n">
        <v>45350</v>
      </c>
      <c r="C1572" s="1" t="n">
        <v>46075</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52483-2025</t>
        </is>
      </c>
      <c r="B1573" s="1" t="n">
        <v>45954.47412037037</v>
      </c>
      <c r="C1573" s="1" t="n">
        <v>46075</v>
      </c>
      <c r="D1573" t="inlineStr">
        <is>
          <t>VÄSTERNORRLANDS LÄN</t>
        </is>
      </c>
      <c r="E1573" t="inlineStr">
        <is>
          <t>SOLLEFTEÅ</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21089-2025</t>
        </is>
      </c>
      <c r="B1574" s="1" t="n">
        <v>45777</v>
      </c>
      <c r="C1574" s="1" t="n">
        <v>46075</v>
      </c>
      <c r="D1574" t="inlineStr">
        <is>
          <t>VÄSTERNORRLANDS LÄN</t>
        </is>
      </c>
      <c r="E1574" t="inlineStr">
        <is>
          <t>SOLLEFTEÅ</t>
        </is>
      </c>
      <c r="F1574" t="inlineStr">
        <is>
          <t>SCA</t>
        </is>
      </c>
      <c r="G1574" t="n">
        <v>19.9</v>
      </c>
      <c r="H1574" t="n">
        <v>0</v>
      </c>
      <c r="I1574" t="n">
        <v>0</v>
      </c>
      <c r="J1574" t="n">
        <v>0</v>
      </c>
      <c r="K1574" t="n">
        <v>0</v>
      </c>
      <c r="L1574" t="n">
        <v>0</v>
      </c>
      <c r="M1574" t="n">
        <v>0</v>
      </c>
      <c r="N1574" t="n">
        <v>0</v>
      </c>
      <c r="O1574" t="n">
        <v>0</v>
      </c>
      <c r="P1574" t="n">
        <v>0</v>
      </c>
      <c r="Q1574" t="n">
        <v>0</v>
      </c>
      <c r="R1574" s="2" t="inlineStr"/>
    </row>
    <row r="1575" ht="15" customHeight="1">
      <c r="A1575" t="inlineStr">
        <is>
          <t>A 52499-2025</t>
        </is>
      </c>
      <c r="B1575" s="1" t="n">
        <v>45954.49407407407</v>
      </c>
      <c r="C1575" s="1" t="n">
        <v>46075</v>
      </c>
      <c r="D1575" t="inlineStr">
        <is>
          <t>VÄSTERNORRLANDS LÄN</t>
        </is>
      </c>
      <c r="E1575" t="inlineStr">
        <is>
          <t>SOLLEFTEÅ</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19489-2025</t>
        </is>
      </c>
      <c r="B1576" s="1" t="n">
        <v>45770.38847222222</v>
      </c>
      <c r="C1576" s="1" t="n">
        <v>46075</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52739-2025</t>
        </is>
      </c>
      <c r="B1577" s="1" t="n">
        <v>45957.37555555555</v>
      </c>
      <c r="C1577" s="1" t="n">
        <v>46075</v>
      </c>
      <c r="D1577" t="inlineStr">
        <is>
          <t>VÄSTERNORRLANDS LÄN</t>
        </is>
      </c>
      <c r="E1577" t="inlineStr">
        <is>
          <t>SOLLEFTEÅ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16564-2025</t>
        </is>
      </c>
      <c r="B1578" s="1" t="n">
        <v>45752</v>
      </c>
      <c r="C1578" s="1" t="n">
        <v>46075</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61616-2024</t>
        </is>
      </c>
      <c r="B1579" s="1" t="n">
        <v>45645</v>
      </c>
      <c r="C1579" s="1" t="n">
        <v>46075</v>
      </c>
      <c r="D1579" t="inlineStr">
        <is>
          <t>VÄSTERNORRLANDS LÄN</t>
        </is>
      </c>
      <c r="E1579" t="inlineStr">
        <is>
          <t>SOLLEFTEÅ</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53030-2025</t>
        </is>
      </c>
      <c r="B1580" s="1" t="n">
        <v>45958.34442129629</v>
      </c>
      <c r="C1580" s="1" t="n">
        <v>46075</v>
      </c>
      <c r="D1580" t="inlineStr">
        <is>
          <t>VÄSTERNORRLANDS LÄN</t>
        </is>
      </c>
      <c r="E1580" t="inlineStr">
        <is>
          <t>SOLLEFTEÅ</t>
        </is>
      </c>
      <c r="F1580" t="inlineStr">
        <is>
          <t>SCA</t>
        </is>
      </c>
      <c r="G1580" t="n">
        <v>11.7</v>
      </c>
      <c r="H1580" t="n">
        <v>0</v>
      </c>
      <c r="I1580" t="n">
        <v>0</v>
      </c>
      <c r="J1580" t="n">
        <v>0</v>
      </c>
      <c r="K1580" t="n">
        <v>0</v>
      </c>
      <c r="L1580" t="n">
        <v>0</v>
      </c>
      <c r="M1580" t="n">
        <v>0</v>
      </c>
      <c r="N1580" t="n">
        <v>0</v>
      </c>
      <c r="O1580" t="n">
        <v>0</v>
      </c>
      <c r="P1580" t="n">
        <v>0</v>
      </c>
      <c r="Q1580" t="n">
        <v>0</v>
      </c>
      <c r="R1580" s="2" t="inlineStr"/>
    </row>
    <row r="1581" ht="15" customHeight="1">
      <c r="A1581" t="inlineStr">
        <is>
          <t>A 53468-2025</t>
        </is>
      </c>
      <c r="B1581" s="1" t="n">
        <v>45959.69859953703</v>
      </c>
      <c r="C1581" s="1" t="n">
        <v>46075</v>
      </c>
      <c r="D1581" t="inlineStr">
        <is>
          <t>VÄSTERNORRLANDS LÄN</t>
        </is>
      </c>
      <c r="E1581" t="inlineStr">
        <is>
          <t>SOLLEFTEÅ</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19577-2024</t>
        </is>
      </c>
      <c r="B1582" s="1" t="n">
        <v>45429</v>
      </c>
      <c r="C1582" s="1" t="n">
        <v>46075</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53428-2025</t>
        </is>
      </c>
      <c r="B1583" s="1" t="n">
        <v>45959.61526620371</v>
      </c>
      <c r="C1583" s="1" t="n">
        <v>46075</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53240-2025</t>
        </is>
      </c>
      <c r="B1584" s="1" t="n">
        <v>45958.63600694444</v>
      </c>
      <c r="C1584" s="1" t="n">
        <v>46075</v>
      </c>
      <c r="D1584" t="inlineStr">
        <is>
          <t>VÄSTERNORRLANDS LÄN</t>
        </is>
      </c>
      <c r="E1584" t="inlineStr">
        <is>
          <t>SOLLEFTEÅ</t>
        </is>
      </c>
      <c r="F1584" t="inlineStr">
        <is>
          <t>SCA</t>
        </is>
      </c>
      <c r="G1584" t="n">
        <v>36.2</v>
      </c>
      <c r="H1584" t="n">
        <v>0</v>
      </c>
      <c r="I1584" t="n">
        <v>0</v>
      </c>
      <c r="J1584" t="n">
        <v>0</v>
      </c>
      <c r="K1584" t="n">
        <v>0</v>
      </c>
      <c r="L1584" t="n">
        <v>0</v>
      </c>
      <c r="M1584" t="n">
        <v>0</v>
      </c>
      <c r="N1584" t="n">
        <v>0</v>
      </c>
      <c r="O1584" t="n">
        <v>0</v>
      </c>
      <c r="P1584" t="n">
        <v>0</v>
      </c>
      <c r="Q1584" t="n">
        <v>0</v>
      </c>
      <c r="R1584" s="2" t="inlineStr"/>
    </row>
    <row r="1585" ht="15" customHeight="1">
      <c r="A1585" t="inlineStr">
        <is>
          <t>A 8653-2024</t>
        </is>
      </c>
      <c r="B1585" s="1" t="n">
        <v>45356</v>
      </c>
      <c r="C1585" s="1" t="n">
        <v>46075</v>
      </c>
      <c r="D1585" t="inlineStr">
        <is>
          <t>VÄSTERNORRLANDS LÄN</t>
        </is>
      </c>
      <c r="E1585" t="inlineStr">
        <is>
          <t>SOLLEFTEÅ</t>
        </is>
      </c>
      <c r="F1585" t="inlineStr">
        <is>
          <t>SCA</t>
        </is>
      </c>
      <c r="G1585" t="n">
        <v>67.8</v>
      </c>
      <c r="H1585" t="n">
        <v>0</v>
      </c>
      <c r="I1585" t="n">
        <v>0</v>
      </c>
      <c r="J1585" t="n">
        <v>0</v>
      </c>
      <c r="K1585" t="n">
        <v>0</v>
      </c>
      <c r="L1585" t="n">
        <v>0</v>
      </c>
      <c r="M1585" t="n">
        <v>0</v>
      </c>
      <c r="N1585" t="n">
        <v>0</v>
      </c>
      <c r="O1585" t="n">
        <v>0</v>
      </c>
      <c r="P1585" t="n">
        <v>0</v>
      </c>
      <c r="Q1585" t="n">
        <v>0</v>
      </c>
      <c r="R1585" s="2" t="inlineStr"/>
    </row>
    <row r="1586" ht="15" customHeight="1">
      <c r="A1586" t="inlineStr">
        <is>
          <t>A 44554-2024</t>
        </is>
      </c>
      <c r="B1586" s="1" t="n">
        <v>45574.46940972222</v>
      </c>
      <c r="C1586" s="1" t="n">
        <v>46075</v>
      </c>
      <c r="D1586" t="inlineStr">
        <is>
          <t>VÄSTERNORRLANDS LÄN</t>
        </is>
      </c>
      <c r="E1586" t="inlineStr">
        <is>
          <t>SOLLEFTEÅ</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53097-2025</t>
        </is>
      </c>
      <c r="B1587" s="1" t="n">
        <v>45958.42767361111</v>
      </c>
      <c r="C1587" s="1" t="n">
        <v>46075</v>
      </c>
      <c r="D1587" t="inlineStr">
        <is>
          <t>VÄSTERNORRLANDS LÄN</t>
        </is>
      </c>
      <c r="E1587" t="inlineStr">
        <is>
          <t>SOLLEFTEÅ</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53098-2025</t>
        </is>
      </c>
      <c r="B1588" s="1" t="n">
        <v>45958.42774305555</v>
      </c>
      <c r="C1588" s="1" t="n">
        <v>46075</v>
      </c>
      <c r="D1588" t="inlineStr">
        <is>
          <t>VÄSTERNORRLANDS LÄN</t>
        </is>
      </c>
      <c r="E1588" t="inlineStr">
        <is>
          <t>SOLLEFTEÅ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53269-2025</t>
        </is>
      </c>
      <c r="B1589" s="1" t="n">
        <v>45958.6985300926</v>
      </c>
      <c r="C1589" s="1" t="n">
        <v>46075</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8729-2024</t>
        </is>
      </c>
      <c r="B1590" s="1" t="n">
        <v>45356.43958333333</v>
      </c>
      <c r="C1590" s="1" t="n">
        <v>46075</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53055-2025</t>
        </is>
      </c>
      <c r="B1591" s="1" t="n">
        <v>45958.36517361111</v>
      </c>
      <c r="C1591" s="1" t="n">
        <v>46075</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36685-2024</t>
        </is>
      </c>
      <c r="B1592" s="1" t="n">
        <v>45537.66467592592</v>
      </c>
      <c r="C1592" s="1" t="n">
        <v>46075</v>
      </c>
      <c r="D1592" t="inlineStr">
        <is>
          <t>VÄSTERNORRLANDS LÄN</t>
        </is>
      </c>
      <c r="E1592" t="inlineStr">
        <is>
          <t>SOLLEFTEÅ</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9689-2024</t>
        </is>
      </c>
      <c r="B1593" s="1" t="n">
        <v>45362</v>
      </c>
      <c r="C1593" s="1" t="n">
        <v>46075</v>
      </c>
      <c r="D1593" t="inlineStr">
        <is>
          <t>VÄSTERNORRLANDS LÄN</t>
        </is>
      </c>
      <c r="E1593" t="inlineStr">
        <is>
          <t>SOLLEFTEÅ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2481-2025</t>
        </is>
      </c>
      <c r="B1594" s="1" t="n">
        <v>45674.48996527777</v>
      </c>
      <c r="C1594" s="1" t="n">
        <v>46075</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49789-2025</t>
        </is>
      </c>
      <c r="B1595" s="1" t="n">
        <v>45940</v>
      </c>
      <c r="C1595" s="1" t="n">
        <v>46075</v>
      </c>
      <c r="D1595" t="inlineStr">
        <is>
          <t>VÄSTERNORRLANDS LÄN</t>
        </is>
      </c>
      <c r="E1595" t="inlineStr">
        <is>
          <t>SOLLEFTEÅ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53974-2025</t>
        </is>
      </c>
      <c r="B1596" s="1" t="n">
        <v>45961.55261574074</v>
      </c>
      <c r="C1596" s="1" t="n">
        <v>46075</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25986-2023</t>
        </is>
      </c>
      <c r="B1597" s="1" t="n">
        <v>45090</v>
      </c>
      <c r="C1597" s="1" t="n">
        <v>46075</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8851-2025</t>
        </is>
      </c>
      <c r="B1598" s="1" t="n">
        <v>45713.34465277778</v>
      </c>
      <c r="C1598" s="1" t="n">
        <v>46075</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55272-2024</t>
        </is>
      </c>
      <c r="B1599" s="1" t="n">
        <v>45621</v>
      </c>
      <c r="C1599" s="1" t="n">
        <v>46075</v>
      </c>
      <c r="D1599" t="inlineStr">
        <is>
          <t>VÄSTERNORRLANDS LÄN</t>
        </is>
      </c>
      <c r="E1599" t="inlineStr">
        <is>
          <t>SOLLEFTEÅ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8476-2025</t>
        </is>
      </c>
      <c r="B1600" s="1" t="n">
        <v>45709.47894675926</v>
      </c>
      <c r="C1600" s="1" t="n">
        <v>46075</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21711-2022</t>
        </is>
      </c>
      <c r="B1601" s="1" t="n">
        <v>44707</v>
      </c>
      <c r="C1601" s="1" t="n">
        <v>46075</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64120-2023</t>
        </is>
      </c>
      <c r="B1602" s="1" t="n">
        <v>45279</v>
      </c>
      <c r="C1602" s="1" t="n">
        <v>46075</v>
      </c>
      <c r="D1602" t="inlineStr">
        <is>
          <t>VÄSTERNORRLANDS LÄN</t>
        </is>
      </c>
      <c r="E1602" t="inlineStr">
        <is>
          <t>SOLLEFTEÅ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49249-2025</t>
        </is>
      </c>
      <c r="B1603" s="1" t="n">
        <v>45938</v>
      </c>
      <c r="C1603" s="1" t="n">
        <v>46075</v>
      </c>
      <c r="D1603" t="inlineStr">
        <is>
          <t>VÄSTERNORRLANDS LÄN</t>
        </is>
      </c>
      <c r="E1603" t="inlineStr">
        <is>
          <t>SOLLEFTEÅ</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37726-2023</t>
        </is>
      </c>
      <c r="B1604" s="1" t="n">
        <v>45156</v>
      </c>
      <c r="C1604" s="1" t="n">
        <v>46075</v>
      </c>
      <c r="D1604" t="inlineStr">
        <is>
          <t>VÄSTERNORRLANDS LÄN</t>
        </is>
      </c>
      <c r="E1604" t="inlineStr">
        <is>
          <t>SOLLEFTEÅ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59339-2023</t>
        </is>
      </c>
      <c r="B1605" s="1" t="n">
        <v>45253</v>
      </c>
      <c r="C1605" s="1" t="n">
        <v>46075</v>
      </c>
      <c r="D1605" t="inlineStr">
        <is>
          <t>VÄSTERNORRLANDS LÄN</t>
        </is>
      </c>
      <c r="E1605" t="inlineStr">
        <is>
          <t>SOLLEFTEÅ</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53639-2025</t>
        </is>
      </c>
      <c r="B1606" s="1" t="n">
        <v>45960</v>
      </c>
      <c r="C1606" s="1" t="n">
        <v>46075</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61611-2024</t>
        </is>
      </c>
      <c r="B1607" s="1" t="n">
        <v>45645</v>
      </c>
      <c r="C1607" s="1" t="n">
        <v>46075</v>
      </c>
      <c r="D1607" t="inlineStr">
        <is>
          <t>VÄSTERNORRLANDS LÄN</t>
        </is>
      </c>
      <c r="E1607" t="inlineStr">
        <is>
          <t>SOLLEFTEÅ</t>
        </is>
      </c>
      <c r="G1607" t="n">
        <v>13.9</v>
      </c>
      <c r="H1607" t="n">
        <v>0</v>
      </c>
      <c r="I1607" t="n">
        <v>0</v>
      </c>
      <c r="J1607" t="n">
        <v>0</v>
      </c>
      <c r="K1607" t="n">
        <v>0</v>
      </c>
      <c r="L1607" t="n">
        <v>0</v>
      </c>
      <c r="M1607" t="n">
        <v>0</v>
      </c>
      <c r="N1607" t="n">
        <v>0</v>
      </c>
      <c r="O1607" t="n">
        <v>0</v>
      </c>
      <c r="P1607" t="n">
        <v>0</v>
      </c>
      <c r="Q1607" t="n">
        <v>0</v>
      </c>
      <c r="R1607" s="2" t="inlineStr"/>
    </row>
    <row r="1608" ht="15" customHeight="1">
      <c r="A1608" t="inlineStr">
        <is>
          <t>A 53530-2025</t>
        </is>
      </c>
      <c r="B1608" s="1" t="n">
        <v>45960.36521990741</v>
      </c>
      <c r="C1608" s="1" t="n">
        <v>46075</v>
      </c>
      <c r="D1608" t="inlineStr">
        <is>
          <t>VÄSTERNORRLANDS LÄN</t>
        </is>
      </c>
      <c r="E1608" t="inlineStr">
        <is>
          <t>SOLLEFTEÅ</t>
        </is>
      </c>
      <c r="F1608" t="inlineStr">
        <is>
          <t>SCA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53550-2025</t>
        </is>
      </c>
      <c r="B1609" s="1" t="n">
        <v>45960.38583333333</v>
      </c>
      <c r="C1609" s="1" t="n">
        <v>46075</v>
      </c>
      <c r="D1609" t="inlineStr">
        <is>
          <t>VÄSTERNORRLANDS LÄN</t>
        </is>
      </c>
      <c r="E1609" t="inlineStr">
        <is>
          <t>SOLLEFTEÅ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53833-2025</t>
        </is>
      </c>
      <c r="B1610" s="1" t="n">
        <v>45961.34518518519</v>
      </c>
      <c r="C1610" s="1" t="n">
        <v>46075</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53896-2025</t>
        </is>
      </c>
      <c r="B1611" s="1" t="n">
        <v>45961.42748842593</v>
      </c>
      <c r="C1611" s="1" t="n">
        <v>46075</v>
      </c>
      <c r="D1611" t="inlineStr">
        <is>
          <t>VÄSTERNORRLANDS LÄN</t>
        </is>
      </c>
      <c r="E1611" t="inlineStr">
        <is>
          <t>SOLLEFTEÅ</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49791-2025</t>
        </is>
      </c>
      <c r="B1612" s="1" t="n">
        <v>45940</v>
      </c>
      <c r="C1612" s="1" t="n">
        <v>46075</v>
      </c>
      <c r="D1612" t="inlineStr">
        <is>
          <t>VÄSTERNORRLANDS LÄN</t>
        </is>
      </c>
      <c r="E1612" t="inlineStr">
        <is>
          <t>SOLLEFTEÅ</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53867-2025</t>
        </is>
      </c>
      <c r="B1613" s="1" t="n">
        <v>45961.38581018519</v>
      </c>
      <c r="C1613" s="1" t="n">
        <v>46075</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54193-2025</t>
        </is>
      </c>
      <c r="B1614" s="1" t="n">
        <v>45964.57373842593</v>
      </c>
      <c r="C1614" s="1" t="n">
        <v>46075</v>
      </c>
      <c r="D1614" t="inlineStr">
        <is>
          <t>VÄSTERNORRLANDS LÄN</t>
        </is>
      </c>
      <c r="E1614" t="inlineStr">
        <is>
          <t>SOLLEFTEÅ</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54194-2025</t>
        </is>
      </c>
      <c r="B1615" s="1" t="n">
        <v>45964.57395833333</v>
      </c>
      <c r="C1615" s="1" t="n">
        <v>46075</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50008-2024</t>
        </is>
      </c>
      <c r="B1616" s="1" t="n">
        <v>45598.57908564815</v>
      </c>
      <c r="C1616" s="1" t="n">
        <v>46075</v>
      </c>
      <c r="D1616" t="inlineStr">
        <is>
          <t>VÄSTERNORRLANDS LÄN</t>
        </is>
      </c>
      <c r="E1616" t="inlineStr">
        <is>
          <t>SOLLEFTEÅ</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55692-2024</t>
        </is>
      </c>
      <c r="B1617" s="1" t="n">
        <v>45622</v>
      </c>
      <c r="C1617" s="1" t="n">
        <v>46075</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54271-2025</t>
        </is>
      </c>
      <c r="B1618" s="1" t="n">
        <v>45964.67839120371</v>
      </c>
      <c r="C1618" s="1" t="n">
        <v>46075</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55759-2024</t>
        </is>
      </c>
      <c r="B1619" s="1" t="n">
        <v>45623.3647337963</v>
      </c>
      <c r="C1619" s="1" t="n">
        <v>46075</v>
      </c>
      <c r="D1619" t="inlineStr">
        <is>
          <t>VÄSTERNORRLANDS LÄN</t>
        </is>
      </c>
      <c r="E1619" t="inlineStr">
        <is>
          <t>SOLLEFTEÅ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55792-2024</t>
        </is>
      </c>
      <c r="B1620" s="1" t="n">
        <v>45623</v>
      </c>
      <c r="C1620" s="1" t="n">
        <v>46075</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54471-2025</t>
        </is>
      </c>
      <c r="B1621" s="1" t="n">
        <v>45965.57357638889</v>
      </c>
      <c r="C1621" s="1" t="n">
        <v>46075</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44172-2024</t>
        </is>
      </c>
      <c r="B1622" s="1" t="n">
        <v>45572.74454861111</v>
      </c>
      <c r="C1622" s="1" t="n">
        <v>46075</v>
      </c>
      <c r="D1622" t="inlineStr">
        <is>
          <t>VÄSTERNORRLANDS LÄN</t>
        </is>
      </c>
      <c r="E1622" t="inlineStr">
        <is>
          <t>SOLLEFTEÅ</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54397-2025</t>
        </is>
      </c>
      <c r="B1623" s="1" t="n">
        <v>45965.44869212963</v>
      </c>
      <c r="C1623" s="1" t="n">
        <v>46075</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53466-2025</t>
        </is>
      </c>
      <c r="B1624" s="1" t="n">
        <v>45959</v>
      </c>
      <c r="C1624" s="1" t="n">
        <v>46075</v>
      </c>
      <c r="D1624" t="inlineStr">
        <is>
          <t>VÄSTERNORRLANDS LÄN</t>
        </is>
      </c>
      <c r="E1624" t="inlineStr">
        <is>
          <t>SOLLEFTEÅ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59647-2022</t>
        </is>
      </c>
      <c r="B1625" s="1" t="n">
        <v>44907.96577546297</v>
      </c>
      <c r="C1625" s="1" t="n">
        <v>46075</v>
      </c>
      <c r="D1625" t="inlineStr">
        <is>
          <t>VÄSTERNORRLANDS LÄN</t>
        </is>
      </c>
      <c r="E1625" t="inlineStr">
        <is>
          <t>SOLLEFTEÅ</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54165-2025</t>
        </is>
      </c>
      <c r="B1626" s="1" t="n">
        <v>45964</v>
      </c>
      <c r="C1626" s="1" t="n">
        <v>46075</v>
      </c>
      <c r="D1626" t="inlineStr">
        <is>
          <t>VÄSTERNORRLANDS LÄN</t>
        </is>
      </c>
      <c r="E1626" t="inlineStr">
        <is>
          <t>SOLLEFTEÅ</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49829-2024</t>
        </is>
      </c>
      <c r="B1627" s="1" t="n">
        <v>45597</v>
      </c>
      <c r="C1627" s="1" t="n">
        <v>46075</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54486-2025</t>
        </is>
      </c>
      <c r="B1628" s="1" t="n">
        <v>45965.59438657408</v>
      </c>
      <c r="C1628" s="1" t="n">
        <v>46075</v>
      </c>
      <c r="D1628" t="inlineStr">
        <is>
          <t>VÄSTERNORRLANDS LÄN</t>
        </is>
      </c>
      <c r="E1628" t="inlineStr">
        <is>
          <t>SOLLEFTEÅ</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54487-2025</t>
        </is>
      </c>
      <c r="B1629" s="1" t="n">
        <v>45965.59460648148</v>
      </c>
      <c r="C1629" s="1" t="n">
        <v>46075</v>
      </c>
      <c r="D1629" t="inlineStr">
        <is>
          <t>VÄSTERNORRLANDS LÄN</t>
        </is>
      </c>
      <c r="E1629" t="inlineStr">
        <is>
          <t>SOLLEFTEÅ</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54256-2025</t>
        </is>
      </c>
      <c r="B1630" s="1" t="n">
        <v>45964.65710648148</v>
      </c>
      <c r="C1630" s="1" t="n">
        <v>46075</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49567-2024</t>
        </is>
      </c>
      <c r="B1631" s="1" t="n">
        <v>45596.49003472222</v>
      </c>
      <c r="C1631" s="1" t="n">
        <v>46075</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c r="U1631">
        <f>HYPERLINK("https://klasma.github.io/Logging_2283/knärot/A 49567-2024 karta knärot.png", "A 49567-2024")</f>
        <v/>
      </c>
      <c r="V1631">
        <f>HYPERLINK("https://klasma.github.io/Logging_2283/klagomål/A 49567-2024 FSC-klagomål.docx", "A 49567-2024")</f>
        <v/>
      </c>
      <c r="W1631">
        <f>HYPERLINK("https://klasma.github.io/Logging_2283/klagomålsmail/A 49567-2024 FSC-klagomål mail.docx", "A 49567-2024")</f>
        <v/>
      </c>
      <c r="X1631">
        <f>HYPERLINK("https://klasma.github.io/Logging_2283/tillsyn/A 49567-2024 tillsynsbegäran.docx", "A 49567-2024")</f>
        <v/>
      </c>
      <c r="Y1631">
        <f>HYPERLINK("https://klasma.github.io/Logging_2283/tillsynsmail/A 49567-2024 tillsynsbegäran mail.docx", "A 49567-2024")</f>
        <v/>
      </c>
    </row>
    <row r="1632" ht="15" customHeight="1">
      <c r="A1632" t="inlineStr">
        <is>
          <t>A 54192-2025</t>
        </is>
      </c>
      <c r="B1632" s="1" t="n">
        <v>45964.57350694444</v>
      </c>
      <c r="C1632" s="1" t="n">
        <v>46075</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53382-2025</t>
        </is>
      </c>
      <c r="B1633" s="1" t="n">
        <v>45959</v>
      </c>
      <c r="C1633" s="1" t="n">
        <v>46075</v>
      </c>
      <c r="D1633" t="inlineStr">
        <is>
          <t>VÄSTERNORRLANDS LÄN</t>
        </is>
      </c>
      <c r="E1633" t="inlineStr">
        <is>
          <t>SOLLEFTEÅ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54255-2025</t>
        </is>
      </c>
      <c r="B1634" s="1" t="n">
        <v>45964.65692129629</v>
      </c>
      <c r="C1634" s="1" t="n">
        <v>46075</v>
      </c>
      <c r="D1634" t="inlineStr">
        <is>
          <t>VÄSTERNORRLANDS LÄN</t>
        </is>
      </c>
      <c r="E1634" t="inlineStr">
        <is>
          <t>SOLLEFTEÅ</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54272-2025</t>
        </is>
      </c>
      <c r="B1635" s="1" t="n">
        <v>45964.67846064815</v>
      </c>
      <c r="C1635" s="1" t="n">
        <v>46075</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38231-2024</t>
        </is>
      </c>
      <c r="B1636" s="1" t="n">
        <v>45545.55601851852</v>
      </c>
      <c r="C1636" s="1" t="n">
        <v>46075</v>
      </c>
      <c r="D1636" t="inlineStr">
        <is>
          <t>VÄSTERNORRLANDS LÄN</t>
        </is>
      </c>
      <c r="E1636" t="inlineStr">
        <is>
          <t>SOLLEFTEÅ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58172-2022</t>
        </is>
      </c>
      <c r="B1637" s="1" t="n">
        <v>44900.95525462963</v>
      </c>
      <c r="C1637" s="1" t="n">
        <v>46075</v>
      </c>
      <c r="D1637" t="inlineStr">
        <is>
          <t>VÄSTERNORRLANDS LÄN</t>
        </is>
      </c>
      <c r="E1637" t="inlineStr">
        <is>
          <t>SOLLEFTEÅ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54472-2025</t>
        </is>
      </c>
      <c r="B1638" s="1" t="n">
        <v>45965.57381944444</v>
      </c>
      <c r="C1638" s="1" t="n">
        <v>46075</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35793-2024</t>
        </is>
      </c>
      <c r="B1639" s="1" t="n">
        <v>45532</v>
      </c>
      <c r="C1639" s="1" t="n">
        <v>46075</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35794-2024</t>
        </is>
      </c>
      <c r="B1640" s="1" t="n">
        <v>45532.62974537037</v>
      </c>
      <c r="C1640" s="1" t="n">
        <v>46075</v>
      </c>
      <c r="D1640" t="inlineStr">
        <is>
          <t>VÄSTERNORRLANDS LÄN</t>
        </is>
      </c>
      <c r="E1640" t="inlineStr">
        <is>
          <t>SOLLEFTEÅ</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15875-2024</t>
        </is>
      </c>
      <c r="B1641" s="1" t="n">
        <v>45405.32438657407</v>
      </c>
      <c r="C1641" s="1" t="n">
        <v>46075</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14134-2023</t>
        </is>
      </c>
      <c r="B1642" s="1" t="n">
        <v>45008</v>
      </c>
      <c r="C1642" s="1" t="n">
        <v>46075</v>
      </c>
      <c r="D1642" t="inlineStr">
        <is>
          <t>VÄSTERNORRLANDS LÄN</t>
        </is>
      </c>
      <c r="E1642" t="inlineStr">
        <is>
          <t>SOLLEFTEÅ</t>
        </is>
      </c>
      <c r="F1642" t="inlineStr">
        <is>
          <t>Övriga Aktiebolag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7463-2024</t>
        </is>
      </c>
      <c r="B1643" s="1" t="n">
        <v>45345.94887731481</v>
      </c>
      <c r="C1643" s="1" t="n">
        <v>46075</v>
      </c>
      <c r="D1643" t="inlineStr">
        <is>
          <t>VÄSTERNORRLANDS LÄN</t>
        </is>
      </c>
      <c r="E1643" t="inlineStr">
        <is>
          <t>SOLLEFTEÅ</t>
        </is>
      </c>
      <c r="F1643" t="inlineStr">
        <is>
          <t>SCA</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43525-2021</t>
        </is>
      </c>
      <c r="B1644" s="1" t="n">
        <v>44433</v>
      </c>
      <c r="C1644" s="1" t="n">
        <v>46075</v>
      </c>
      <c r="D1644" t="inlineStr">
        <is>
          <t>VÄSTERNORRLANDS LÄN</t>
        </is>
      </c>
      <c r="E1644" t="inlineStr">
        <is>
          <t>SOLLEFTEÅ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55053-2025</t>
        </is>
      </c>
      <c r="B1645" s="1" t="n">
        <v>45967.67755787037</v>
      </c>
      <c r="C1645" s="1" t="n">
        <v>46075</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33591-2023</t>
        </is>
      </c>
      <c r="B1646" s="1" t="n">
        <v>45131</v>
      </c>
      <c r="C1646" s="1" t="n">
        <v>46075</v>
      </c>
      <c r="D1646" t="inlineStr">
        <is>
          <t>VÄSTERNORRLANDS LÄN</t>
        </is>
      </c>
      <c r="E1646" t="inlineStr">
        <is>
          <t>SOLLEFTEÅ</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54934-2025</t>
        </is>
      </c>
      <c r="B1647" s="1" t="n">
        <v>45967.42795138889</v>
      </c>
      <c r="C1647" s="1" t="n">
        <v>46075</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54950-2025</t>
        </is>
      </c>
      <c r="B1648" s="1" t="n">
        <v>45967.44888888889</v>
      </c>
      <c r="C1648" s="1" t="n">
        <v>46075</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54697-2025</t>
        </is>
      </c>
      <c r="B1649" s="1" t="n">
        <v>45966.47638888889</v>
      </c>
      <c r="C1649" s="1" t="n">
        <v>46075</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11338-2025</t>
        </is>
      </c>
      <c r="B1650" s="1" t="n">
        <v>45726.48987268518</v>
      </c>
      <c r="C1650" s="1" t="n">
        <v>46075</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54936-2025</t>
        </is>
      </c>
      <c r="B1651" s="1" t="n">
        <v>45967.42828703704</v>
      </c>
      <c r="C1651" s="1" t="n">
        <v>46075</v>
      </c>
      <c r="D1651" t="inlineStr">
        <is>
          <t>VÄSTERNORRLANDS LÄN</t>
        </is>
      </c>
      <c r="E1651" t="inlineStr">
        <is>
          <t>SOLLEFTEÅ</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54951-2025</t>
        </is>
      </c>
      <c r="B1652" s="1" t="n">
        <v>45967.44902777778</v>
      </c>
      <c r="C1652" s="1" t="n">
        <v>46075</v>
      </c>
      <c r="D1652" t="inlineStr">
        <is>
          <t>VÄSTERNORRLANDS LÄN</t>
        </is>
      </c>
      <c r="E1652" t="inlineStr">
        <is>
          <t>SOLLEFTEÅ</t>
        </is>
      </c>
      <c r="F1652" t="inlineStr">
        <is>
          <t>Kyrkan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54956-2025</t>
        </is>
      </c>
      <c r="B1653" s="1" t="n">
        <v>45967.46923611111</v>
      </c>
      <c r="C1653" s="1" t="n">
        <v>46075</v>
      </c>
      <c r="D1653" t="inlineStr">
        <is>
          <t>VÄSTERNORRLANDS LÄN</t>
        </is>
      </c>
      <c r="E1653" t="inlineStr">
        <is>
          <t>SOLLEFTEÅ</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5447-2025</t>
        </is>
      </c>
      <c r="B1654" s="1" t="n">
        <v>45692</v>
      </c>
      <c r="C1654" s="1" t="n">
        <v>46075</v>
      </c>
      <c r="D1654" t="inlineStr">
        <is>
          <t>VÄSTERNORRLANDS LÄN</t>
        </is>
      </c>
      <c r="E1654" t="inlineStr">
        <is>
          <t>SOLLEFTEÅ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54932-2025</t>
        </is>
      </c>
      <c r="B1655" s="1" t="n">
        <v>45967.42759259259</v>
      </c>
      <c r="C1655" s="1" t="n">
        <v>46075</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54935-2025</t>
        </is>
      </c>
      <c r="B1656" s="1" t="n">
        <v>45967.428125</v>
      </c>
      <c r="C1656" s="1" t="n">
        <v>46075</v>
      </c>
      <c r="D1656" t="inlineStr">
        <is>
          <t>VÄSTERNORRLANDS LÄN</t>
        </is>
      </c>
      <c r="E1656" t="inlineStr">
        <is>
          <t>SOLLEFTEÅ</t>
        </is>
      </c>
      <c r="F1656" t="inlineStr">
        <is>
          <t>Kyrkan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54947-2025</t>
        </is>
      </c>
      <c r="B1657" s="1" t="n">
        <v>45967.4485300926</v>
      </c>
      <c r="C1657" s="1" t="n">
        <v>46075</v>
      </c>
      <c r="D1657" t="inlineStr">
        <is>
          <t>VÄSTERNORRLANDS LÄN</t>
        </is>
      </c>
      <c r="E1657" t="inlineStr">
        <is>
          <t>SOLLEFTEÅ</t>
        </is>
      </c>
      <c r="F1657" t="inlineStr">
        <is>
          <t>SCA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42755-2022</t>
        </is>
      </c>
      <c r="B1658" s="1" t="n">
        <v>44832</v>
      </c>
      <c r="C1658" s="1" t="n">
        <v>46075</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12734-2023</t>
        </is>
      </c>
      <c r="B1659" s="1" t="n">
        <v>45000.92436342593</v>
      </c>
      <c r="C1659" s="1" t="n">
        <v>46075</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54619-2025</t>
        </is>
      </c>
      <c r="B1660" s="1" t="n">
        <v>45966.34471064815</v>
      </c>
      <c r="C1660" s="1" t="n">
        <v>46075</v>
      </c>
      <c r="D1660" t="inlineStr">
        <is>
          <t>VÄSTERNORRLANDS LÄN</t>
        </is>
      </c>
      <c r="E1660" t="inlineStr">
        <is>
          <t>SOLLEFTEÅ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54946-2025</t>
        </is>
      </c>
      <c r="B1661" s="1" t="n">
        <v>45967.44832175926</v>
      </c>
      <c r="C1661" s="1" t="n">
        <v>46075</v>
      </c>
      <c r="D1661" t="inlineStr">
        <is>
          <t>VÄSTERNORRLANDS LÄN</t>
        </is>
      </c>
      <c r="E1661" t="inlineStr">
        <is>
          <t>SOLLEFTEÅ</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55013-2025</t>
        </is>
      </c>
      <c r="B1662" s="1" t="n">
        <v>45967.61578703704</v>
      </c>
      <c r="C1662" s="1" t="n">
        <v>46075</v>
      </c>
      <c r="D1662" t="inlineStr">
        <is>
          <t>VÄSTERNORRLANDS LÄN</t>
        </is>
      </c>
      <c r="E1662" t="inlineStr">
        <is>
          <t>SOLLEFTEÅ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55014-2025</t>
        </is>
      </c>
      <c r="B1663" s="1" t="n">
        <v>45967.61597222222</v>
      </c>
      <c r="C1663" s="1" t="n">
        <v>46075</v>
      </c>
      <c r="D1663" t="inlineStr">
        <is>
          <t>VÄSTERNORRLANDS LÄN</t>
        </is>
      </c>
      <c r="E1663" t="inlineStr">
        <is>
          <t>SOLLEFTEÅ</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54816-2025</t>
        </is>
      </c>
      <c r="B1664" s="1" t="n">
        <v>45966.65668981482</v>
      </c>
      <c r="C1664" s="1" t="n">
        <v>46075</v>
      </c>
      <c r="D1664" t="inlineStr">
        <is>
          <t>VÄSTERNORRLANDS LÄN</t>
        </is>
      </c>
      <c r="E1664" t="inlineStr">
        <is>
          <t>SOLLEFTEÅ</t>
        </is>
      </c>
      <c r="F1664" t="inlineStr">
        <is>
          <t>SCA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54903-2025</t>
        </is>
      </c>
      <c r="B1665" s="1" t="n">
        <v>45967.36623842592</v>
      </c>
      <c r="C1665" s="1" t="n">
        <v>46075</v>
      </c>
      <c r="D1665" t="inlineStr">
        <is>
          <t>VÄSTERNORRLANDS LÄN</t>
        </is>
      </c>
      <c r="E1665" t="inlineStr">
        <is>
          <t>SOLLEFTEÅ</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54802-2025</t>
        </is>
      </c>
      <c r="B1666" s="1" t="n">
        <v>45966</v>
      </c>
      <c r="C1666" s="1" t="n">
        <v>46075</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55068-2025</t>
        </is>
      </c>
      <c r="B1667" s="1" t="n">
        <v>45967.7225462963</v>
      </c>
      <c r="C1667" s="1" t="n">
        <v>46075</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52266-2023</t>
        </is>
      </c>
      <c r="B1668" s="1" t="n">
        <v>45217</v>
      </c>
      <c r="C1668" s="1" t="n">
        <v>46075</v>
      </c>
      <c r="D1668" t="inlineStr">
        <is>
          <t>VÄSTERNORRLANDS LÄN</t>
        </is>
      </c>
      <c r="E1668" t="inlineStr">
        <is>
          <t>SOLLEFTEÅ</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51107-2023</t>
        </is>
      </c>
      <c r="B1669" s="1" t="n">
        <v>45218.92530092593</v>
      </c>
      <c r="C1669" s="1" t="n">
        <v>46075</v>
      </c>
      <c r="D1669" t="inlineStr">
        <is>
          <t>VÄSTERNORRLANDS LÄN</t>
        </is>
      </c>
      <c r="E1669" t="inlineStr">
        <is>
          <t>SOLLEFTEÅ</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55289-2025</t>
        </is>
      </c>
      <c r="B1670" s="1" t="n">
        <v>45969.344375</v>
      </c>
      <c r="C1670" s="1" t="n">
        <v>46075</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21362-2021</t>
        </is>
      </c>
      <c r="B1671" s="1" t="n">
        <v>44320.95611111111</v>
      </c>
      <c r="C1671" s="1" t="n">
        <v>46075</v>
      </c>
      <c r="D1671" t="inlineStr">
        <is>
          <t>VÄSTERNORRLANDS LÄN</t>
        </is>
      </c>
      <c r="E1671" t="inlineStr">
        <is>
          <t>SOLLEFTEÅ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60077-2024</t>
        </is>
      </c>
      <c r="B1672" s="1" t="n">
        <v>45642</v>
      </c>
      <c r="C1672" s="1" t="n">
        <v>46075</v>
      </c>
      <c r="D1672" t="inlineStr">
        <is>
          <t>VÄSTERNORRLANDS LÄN</t>
        </is>
      </c>
      <c r="E1672" t="inlineStr">
        <is>
          <t>SOLLEFTEÅ</t>
        </is>
      </c>
      <c r="F1672" t="inlineStr">
        <is>
          <t>SCA</t>
        </is>
      </c>
      <c r="G1672" t="n">
        <v>21.5</v>
      </c>
      <c r="H1672" t="n">
        <v>0</v>
      </c>
      <c r="I1672" t="n">
        <v>0</v>
      </c>
      <c r="J1672" t="n">
        <v>0</v>
      </c>
      <c r="K1672" t="n">
        <v>0</v>
      </c>
      <c r="L1672" t="n">
        <v>0</v>
      </c>
      <c r="M1672" t="n">
        <v>0</v>
      </c>
      <c r="N1672" t="n">
        <v>0</v>
      </c>
      <c r="O1672" t="n">
        <v>0</v>
      </c>
      <c r="P1672" t="n">
        <v>0</v>
      </c>
      <c r="Q1672" t="n">
        <v>0</v>
      </c>
      <c r="R1672" s="2" t="inlineStr"/>
    </row>
    <row r="1673" ht="15" customHeight="1">
      <c r="A1673" t="inlineStr">
        <is>
          <t>A 55096-2025</t>
        </is>
      </c>
      <c r="B1673" s="1" t="n">
        <v>45968.34510416666</v>
      </c>
      <c r="C1673" s="1" t="n">
        <v>46075</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55137-2025</t>
        </is>
      </c>
      <c r="B1674" s="1" t="n">
        <v>45968.42770833334</v>
      </c>
      <c r="C1674" s="1" t="n">
        <v>46075</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11711-2025</t>
        </is>
      </c>
      <c r="B1675" s="1" t="n">
        <v>45727.59398148148</v>
      </c>
      <c r="C1675" s="1" t="n">
        <v>46075</v>
      </c>
      <c r="D1675" t="inlineStr">
        <is>
          <t>VÄSTERNORRLANDS LÄN</t>
        </is>
      </c>
      <c r="E1675" t="inlineStr">
        <is>
          <t>SOLLEFTEÅ</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55136-2025</t>
        </is>
      </c>
      <c r="B1676" s="1" t="n">
        <v>45968.42752314815</v>
      </c>
      <c r="C1676" s="1" t="n">
        <v>46075</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27936-2024</t>
        </is>
      </c>
      <c r="B1677" s="1" t="n">
        <v>45475.95054398148</v>
      </c>
      <c r="C1677" s="1" t="n">
        <v>46075</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60360-2024</t>
        </is>
      </c>
      <c r="B1678" s="1" t="n">
        <v>45643.44837962963</v>
      </c>
      <c r="C1678" s="1" t="n">
        <v>46075</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55471-2025</t>
        </is>
      </c>
      <c r="B1679" s="1" t="n">
        <v>45971</v>
      </c>
      <c r="C1679" s="1" t="n">
        <v>46075</v>
      </c>
      <c r="D1679" t="inlineStr">
        <is>
          <t>VÄSTERNORRLANDS LÄN</t>
        </is>
      </c>
      <c r="E1679" t="inlineStr">
        <is>
          <t>SOLLEFTEÅ</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55529-2025</t>
        </is>
      </c>
      <c r="B1680" s="1" t="n">
        <v>45971.62087962963</v>
      </c>
      <c r="C1680" s="1" t="n">
        <v>46075</v>
      </c>
      <c r="D1680" t="inlineStr">
        <is>
          <t>VÄSTERNORRLANDS LÄN</t>
        </is>
      </c>
      <c r="E1680" t="inlineStr">
        <is>
          <t>SOLLEFTEÅ</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35042-2025</t>
        </is>
      </c>
      <c r="B1681" s="1" t="n">
        <v>45852.34447916667</v>
      </c>
      <c r="C1681" s="1" t="n">
        <v>46075</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55116-2025</t>
        </is>
      </c>
      <c r="B1682" s="1" t="n">
        <v>45968.38623842593</v>
      </c>
      <c r="C1682" s="1" t="n">
        <v>46075</v>
      </c>
      <c r="D1682" t="inlineStr">
        <is>
          <t>VÄSTERNORRLANDS LÄN</t>
        </is>
      </c>
      <c r="E1682" t="inlineStr">
        <is>
          <t>SOLLEFTEÅ</t>
        </is>
      </c>
      <c r="F1682" t="inlineStr">
        <is>
          <t>SCA</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55583-2025</t>
        </is>
      </c>
      <c r="B1683" s="1" t="n">
        <v>45971.67804398148</v>
      </c>
      <c r="C1683" s="1" t="n">
        <v>46075</v>
      </c>
      <c r="D1683" t="inlineStr">
        <is>
          <t>VÄSTERNORRLANDS LÄN</t>
        </is>
      </c>
      <c r="E1683" t="inlineStr">
        <is>
          <t>SOLLEFTEÅ</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55584-2025</t>
        </is>
      </c>
      <c r="B1684" s="1" t="n">
        <v>45971.67821759259</v>
      </c>
      <c r="C1684" s="1" t="n">
        <v>46075</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55585-2025</t>
        </is>
      </c>
      <c r="B1685" s="1" t="n">
        <v>45971.6784375</v>
      </c>
      <c r="C1685" s="1" t="n">
        <v>46075</v>
      </c>
      <c r="D1685" t="inlineStr">
        <is>
          <t>VÄSTERNORRLANDS LÄN</t>
        </is>
      </c>
      <c r="E1685" t="inlineStr">
        <is>
          <t>SOLLEFTEÅ</t>
        </is>
      </c>
      <c r="F1685" t="inlineStr">
        <is>
          <t>SCA</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55510-2025</t>
        </is>
      </c>
      <c r="B1686" s="1" t="n">
        <v>45971.60037037037</v>
      </c>
      <c r="C1686" s="1" t="n">
        <v>46075</v>
      </c>
      <c r="D1686" t="inlineStr">
        <is>
          <t>VÄSTERNORRLANDS LÄN</t>
        </is>
      </c>
      <c r="E1686" t="inlineStr">
        <is>
          <t>SOLLEFTEÅ</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53278-2021</t>
        </is>
      </c>
      <c r="B1687" s="1" t="n">
        <v>44467</v>
      </c>
      <c r="C1687" s="1" t="n">
        <v>46075</v>
      </c>
      <c r="D1687" t="inlineStr">
        <is>
          <t>VÄSTERNORRLANDS LÄN</t>
        </is>
      </c>
      <c r="E1687" t="inlineStr">
        <is>
          <t>SOLLEFTEÅ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55094-2025</t>
        </is>
      </c>
      <c r="B1688" s="1" t="n">
        <v>45968.34483796296</v>
      </c>
      <c r="C1688" s="1" t="n">
        <v>46075</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55726-2024</t>
        </is>
      </c>
      <c r="B1689" s="1" t="n">
        <v>45622.84653935185</v>
      </c>
      <c r="C1689" s="1" t="n">
        <v>46075</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12590-2024</t>
        </is>
      </c>
      <c r="B1690" s="1" t="n">
        <v>45379.93686342592</v>
      </c>
      <c r="C1690" s="1" t="n">
        <v>46075</v>
      </c>
      <c r="D1690" t="inlineStr">
        <is>
          <t>VÄSTERNORRLANDS LÄN</t>
        </is>
      </c>
      <c r="E1690" t="inlineStr">
        <is>
          <t>SOLLEFTEÅ</t>
        </is>
      </c>
      <c r="F1690" t="inlineStr">
        <is>
          <t>SCA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34329-2023</t>
        </is>
      </c>
      <c r="B1691" s="1" t="n">
        <v>45138.94997685185</v>
      </c>
      <c r="C1691" s="1" t="n">
        <v>46075</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60831-2024</t>
        </is>
      </c>
      <c r="B1692" s="1" t="n">
        <v>45644</v>
      </c>
      <c r="C1692" s="1" t="n">
        <v>46075</v>
      </c>
      <c r="D1692" t="inlineStr">
        <is>
          <t>VÄSTERNORRLANDS LÄN</t>
        </is>
      </c>
      <c r="E1692" t="inlineStr">
        <is>
          <t>SOLLEFTEÅ</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55582-2025</t>
        </is>
      </c>
      <c r="B1693" s="1" t="n">
        <v>45971.67768518518</v>
      </c>
      <c r="C1693" s="1" t="n">
        <v>46075</v>
      </c>
      <c r="D1693" t="inlineStr">
        <is>
          <t>VÄSTERNORRLANDS LÄN</t>
        </is>
      </c>
      <c r="E1693" t="inlineStr">
        <is>
          <t>SOLLEFTEÅ</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55586-2025</t>
        </is>
      </c>
      <c r="B1694" s="1" t="n">
        <v>45971</v>
      </c>
      <c r="C1694" s="1" t="n">
        <v>46075</v>
      </c>
      <c r="D1694" t="inlineStr">
        <is>
          <t>VÄSTERNORRLANDS LÄN</t>
        </is>
      </c>
      <c r="E1694" t="inlineStr">
        <is>
          <t>SOLLEFTEÅ</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55115-2025</t>
        </is>
      </c>
      <c r="B1695" s="1" t="n">
        <v>45968</v>
      </c>
      <c r="C1695" s="1" t="n">
        <v>46075</v>
      </c>
      <c r="D1695" t="inlineStr">
        <is>
          <t>VÄSTERNORRLANDS LÄN</t>
        </is>
      </c>
      <c r="E1695" t="inlineStr">
        <is>
          <t>SOLLEFTEÅ</t>
        </is>
      </c>
      <c r="F1695" t="inlineStr">
        <is>
          <t>SCA</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55360-2025</t>
        </is>
      </c>
      <c r="B1696" s="1" t="n">
        <v>45971.38597222222</v>
      </c>
      <c r="C1696" s="1" t="n">
        <v>46075</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55950-2025</t>
        </is>
      </c>
      <c r="B1697" s="1" t="n">
        <v>45973.46942129629</v>
      </c>
      <c r="C1697" s="1" t="n">
        <v>46075</v>
      </c>
      <c r="D1697" t="inlineStr">
        <is>
          <t>VÄSTERNORRLANDS LÄN</t>
        </is>
      </c>
      <c r="E1697" t="inlineStr">
        <is>
          <t>SOLLEFTEÅ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55168-2025</t>
        </is>
      </c>
      <c r="B1698" s="1" t="n">
        <v>45968</v>
      </c>
      <c r="C1698" s="1" t="n">
        <v>46075</v>
      </c>
      <c r="D1698" t="inlineStr">
        <is>
          <t>VÄSTERNORRLANDS LÄN</t>
        </is>
      </c>
      <c r="E1698" t="inlineStr">
        <is>
          <t>SOLLEFTEÅ</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55725-2025</t>
        </is>
      </c>
      <c r="B1699" s="1" t="n">
        <v>45972.53172453704</v>
      </c>
      <c r="C1699" s="1" t="n">
        <v>46075</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13860-2025</t>
        </is>
      </c>
      <c r="B1700" s="1" t="n">
        <v>45737.57387731481</v>
      </c>
      <c r="C1700" s="1" t="n">
        <v>46075</v>
      </c>
      <c r="D1700" t="inlineStr">
        <is>
          <t>VÄSTERNORRLANDS LÄN</t>
        </is>
      </c>
      <c r="E1700" t="inlineStr">
        <is>
          <t>SOLLEFTEÅ</t>
        </is>
      </c>
      <c r="F1700" t="inlineStr">
        <is>
          <t>SCA</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52461-2024</t>
        </is>
      </c>
      <c r="B1701" s="1" t="n">
        <v>45609.51947916667</v>
      </c>
      <c r="C1701" s="1" t="n">
        <v>46075</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58276-2021</t>
        </is>
      </c>
      <c r="B1702" s="1" t="n">
        <v>44487.94453703704</v>
      </c>
      <c r="C1702" s="1" t="n">
        <v>46075</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14353-2025</t>
        </is>
      </c>
      <c r="B1703" s="1" t="n">
        <v>45741.36502314815</v>
      </c>
      <c r="C1703" s="1" t="n">
        <v>46075</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16463-2024</t>
        </is>
      </c>
      <c r="B1704" s="1" t="n">
        <v>45408.05027777778</v>
      </c>
      <c r="C1704" s="1" t="n">
        <v>46075</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16467-2024</t>
        </is>
      </c>
      <c r="B1705" s="1" t="n">
        <v>45408</v>
      </c>
      <c r="C1705" s="1" t="n">
        <v>46075</v>
      </c>
      <c r="D1705" t="inlineStr">
        <is>
          <t>VÄSTERNORRLANDS LÄN</t>
        </is>
      </c>
      <c r="E1705" t="inlineStr">
        <is>
          <t>SOLLEFTEÅ</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55790-2025</t>
        </is>
      </c>
      <c r="B1706" s="1" t="n">
        <v>45972.64644675926</v>
      </c>
      <c r="C1706" s="1" t="n">
        <v>46075</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55819-2025</t>
        </is>
      </c>
      <c r="B1707" s="1" t="n">
        <v>45972</v>
      </c>
      <c r="C1707" s="1" t="n">
        <v>46075</v>
      </c>
      <c r="D1707" t="inlineStr">
        <is>
          <t>VÄSTERNORRLANDS LÄN</t>
        </is>
      </c>
      <c r="E1707" t="inlineStr">
        <is>
          <t>SOLLEFTEÅ</t>
        </is>
      </c>
      <c r="F1707" t="inlineStr">
        <is>
          <t>SCA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12972-2023</t>
        </is>
      </c>
      <c r="B1708" s="1" t="n">
        <v>45001</v>
      </c>
      <c r="C1708" s="1" t="n">
        <v>46075</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55686-2025</t>
        </is>
      </c>
      <c r="B1709" s="1" t="n">
        <v>45972.42771990741</v>
      </c>
      <c r="C1709" s="1" t="n">
        <v>46075</v>
      </c>
      <c r="D1709" t="inlineStr">
        <is>
          <t>VÄSTERNORRLANDS LÄN</t>
        </is>
      </c>
      <c r="E1709" t="inlineStr">
        <is>
          <t>SOLLEFTEÅ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55886-2025</t>
        </is>
      </c>
      <c r="B1710" s="1" t="n">
        <v>45973</v>
      </c>
      <c r="C1710" s="1" t="n">
        <v>46075</v>
      </c>
      <c r="D1710" t="inlineStr">
        <is>
          <t>VÄSTERNORRLANDS LÄN</t>
        </is>
      </c>
      <c r="E1710" t="inlineStr">
        <is>
          <t>SOLLEFTEÅ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56076-2025</t>
        </is>
      </c>
      <c r="B1711" s="1" t="n">
        <v>45973.65740740741</v>
      </c>
      <c r="C1711" s="1" t="n">
        <v>46075</v>
      </c>
      <c r="D1711" t="inlineStr">
        <is>
          <t>VÄSTERNORRLANDS LÄN</t>
        </is>
      </c>
      <c r="E1711" t="inlineStr">
        <is>
          <t>SOLLEFTEÅ</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17512-2024</t>
        </is>
      </c>
      <c r="B1712" s="1" t="n">
        <v>45415</v>
      </c>
      <c r="C1712" s="1" t="n">
        <v>46075</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56074-2025</t>
        </is>
      </c>
      <c r="B1713" s="1" t="n">
        <v>45973.65700231482</v>
      </c>
      <c r="C1713" s="1" t="n">
        <v>46075</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56075-2025</t>
        </is>
      </c>
      <c r="B1714" s="1" t="n">
        <v>45973.65723379629</v>
      </c>
      <c r="C1714" s="1" t="n">
        <v>46075</v>
      </c>
      <c r="D1714" t="inlineStr">
        <is>
          <t>VÄSTERNORRLANDS LÄN</t>
        </is>
      </c>
      <c r="E1714" t="inlineStr">
        <is>
          <t>SOLLEFTEÅ</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56425-2025</t>
        </is>
      </c>
      <c r="B1715" s="1" t="n">
        <v>45975.34559027778</v>
      </c>
      <c r="C1715" s="1" t="n">
        <v>46075</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56311-2023</t>
        </is>
      </c>
      <c r="B1716" s="1" t="n">
        <v>45242.94203703704</v>
      </c>
      <c r="C1716" s="1" t="n">
        <v>46075</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56393-2025</t>
        </is>
      </c>
      <c r="B1717" s="1" t="n">
        <v>45974.74042824074</v>
      </c>
      <c r="C1717" s="1" t="n">
        <v>46075</v>
      </c>
      <c r="D1717" t="inlineStr">
        <is>
          <t>VÄSTERNORRLANDS LÄN</t>
        </is>
      </c>
      <c r="E1717" t="inlineStr">
        <is>
          <t>SOLLEFTEÅ</t>
        </is>
      </c>
      <c r="F1717" t="inlineStr">
        <is>
          <t>Holmen skog AB</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60170-2022</t>
        </is>
      </c>
      <c r="B1718" s="1" t="n">
        <v>44909</v>
      </c>
      <c r="C1718" s="1" t="n">
        <v>46075</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774-2025</t>
        </is>
      </c>
      <c r="B1719" s="1" t="n">
        <v>45659</v>
      </c>
      <c r="C1719" s="1" t="n">
        <v>46075</v>
      </c>
      <c r="D1719" t="inlineStr">
        <is>
          <t>VÄSTERNORRLANDS LÄN</t>
        </is>
      </c>
      <c r="E1719" t="inlineStr">
        <is>
          <t>SOLLEFTEÅ</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775-2025</t>
        </is>
      </c>
      <c r="B1720" s="1" t="n">
        <v>45659</v>
      </c>
      <c r="C1720" s="1" t="n">
        <v>46075</v>
      </c>
      <c r="D1720" t="inlineStr">
        <is>
          <t>VÄSTERNORRLANDS LÄN</t>
        </is>
      </c>
      <c r="E1720" t="inlineStr">
        <is>
          <t>SOLLEFTEÅ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56438-2025</t>
        </is>
      </c>
      <c r="B1721" s="1" t="n">
        <v>45975.34724537037</v>
      </c>
      <c r="C1721" s="1" t="n">
        <v>46075</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5394-2025</t>
        </is>
      </c>
      <c r="B1722" s="1" t="n">
        <v>45692.63591435185</v>
      </c>
      <c r="C1722" s="1" t="n">
        <v>46075</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56443-2025</t>
        </is>
      </c>
      <c r="B1723" s="1" t="n">
        <v>45975.34791666667</v>
      </c>
      <c r="C1723" s="1" t="n">
        <v>46075</v>
      </c>
      <c r="D1723" t="inlineStr">
        <is>
          <t>VÄSTERNORRLANDS LÄN</t>
        </is>
      </c>
      <c r="E1723" t="inlineStr">
        <is>
          <t>SOLLEFTEÅ</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56458-2025</t>
        </is>
      </c>
      <c r="B1724" s="1" t="n">
        <v>45975.3650462963</v>
      </c>
      <c r="C1724" s="1" t="n">
        <v>46075</v>
      </c>
      <c r="D1724" t="inlineStr">
        <is>
          <t>VÄSTERNORRLANDS LÄN</t>
        </is>
      </c>
      <c r="E1724" t="inlineStr">
        <is>
          <t>SOLLEFTEÅ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13252-2023</t>
        </is>
      </c>
      <c r="B1725" s="1" t="n">
        <v>45002</v>
      </c>
      <c r="C1725" s="1" t="n">
        <v>46075</v>
      </c>
      <c r="D1725" t="inlineStr">
        <is>
          <t>VÄSTERNORRLANDS LÄN</t>
        </is>
      </c>
      <c r="E1725" t="inlineStr">
        <is>
          <t>SOLLEFTEÅ</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48001-2024</t>
        </is>
      </c>
      <c r="B1726" s="1" t="n">
        <v>45589.44826388889</v>
      </c>
      <c r="C1726" s="1" t="n">
        <v>46075</v>
      </c>
      <c r="D1726" t="inlineStr">
        <is>
          <t>VÄSTERNORRLANDS LÄN</t>
        </is>
      </c>
      <c r="E1726" t="inlineStr">
        <is>
          <t>SOLLEFTEÅ</t>
        </is>
      </c>
      <c r="F1726" t="inlineStr">
        <is>
          <t>SCA</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56631-2025</t>
        </is>
      </c>
      <c r="B1727" s="1" t="n">
        <v>45975.61549768518</v>
      </c>
      <c r="C1727" s="1" t="n">
        <v>46075</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56632-2025</t>
        </is>
      </c>
      <c r="B1728" s="1" t="n">
        <v>45975.61571759259</v>
      </c>
      <c r="C1728" s="1" t="n">
        <v>46075</v>
      </c>
      <c r="D1728" t="inlineStr">
        <is>
          <t>VÄSTERNORRLANDS LÄN</t>
        </is>
      </c>
      <c r="E1728" t="inlineStr">
        <is>
          <t>SOLLEFTEÅ</t>
        </is>
      </c>
      <c r="F1728" t="inlineStr">
        <is>
          <t>SCA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61997-2022</t>
        </is>
      </c>
      <c r="B1729" s="1" t="n">
        <v>44914</v>
      </c>
      <c r="C1729" s="1" t="n">
        <v>46075</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56434-2025</t>
        </is>
      </c>
      <c r="B1730" s="1" t="n">
        <v>45975.34666666666</v>
      </c>
      <c r="C1730" s="1" t="n">
        <v>46075</v>
      </c>
      <c r="D1730" t="inlineStr">
        <is>
          <t>VÄSTERNORRLANDS LÄN</t>
        </is>
      </c>
      <c r="E1730" t="inlineStr">
        <is>
          <t>SOLLEFTEÅ</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39429-2024</t>
        </is>
      </c>
      <c r="B1731" s="1" t="n">
        <v>45551.59427083333</v>
      </c>
      <c r="C1731" s="1" t="n">
        <v>46075</v>
      </c>
      <c r="D1731" t="inlineStr">
        <is>
          <t>VÄSTERNORRLANDS LÄN</t>
        </is>
      </c>
      <c r="E1731" t="inlineStr">
        <is>
          <t>SOLLEFTEÅ</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57224-2025</t>
        </is>
      </c>
      <c r="B1732" s="1" t="n">
        <v>45979.61547453704</v>
      </c>
      <c r="C1732" s="1" t="n">
        <v>46075</v>
      </c>
      <c r="D1732" t="inlineStr">
        <is>
          <t>VÄSTERNORRLANDS LÄN</t>
        </is>
      </c>
      <c r="E1732" t="inlineStr">
        <is>
          <t>SOLLEFTEÅ</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57225-2025</t>
        </is>
      </c>
      <c r="B1733" s="1" t="n">
        <v>45979.61555555555</v>
      </c>
      <c r="C1733" s="1" t="n">
        <v>46075</v>
      </c>
      <c r="D1733" t="inlineStr">
        <is>
          <t>VÄSTERNORRLANDS LÄN</t>
        </is>
      </c>
      <c r="E1733" t="inlineStr">
        <is>
          <t>SOLLEFTEÅ</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56987-2025</t>
        </is>
      </c>
      <c r="B1734" s="1" t="n">
        <v>45978.71915509259</v>
      </c>
      <c r="C1734" s="1" t="n">
        <v>46075</v>
      </c>
      <c r="D1734" t="inlineStr">
        <is>
          <t>VÄSTERNORRLANDS LÄN</t>
        </is>
      </c>
      <c r="E1734" t="inlineStr">
        <is>
          <t>SOLLEFTEÅ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11551-2023</t>
        </is>
      </c>
      <c r="B1735" s="1" t="n">
        <v>44993</v>
      </c>
      <c r="C1735" s="1" t="n">
        <v>46075</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57061-2025</t>
        </is>
      </c>
      <c r="B1736" s="1" t="n">
        <v>45979.37059027778</v>
      </c>
      <c r="C1736" s="1" t="n">
        <v>46075</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57176-2025</t>
        </is>
      </c>
      <c r="B1737" s="1" t="n">
        <v>45979.55251157407</v>
      </c>
      <c r="C1737" s="1" t="n">
        <v>46075</v>
      </c>
      <c r="D1737" t="inlineStr">
        <is>
          <t>VÄSTERNORRLANDS LÄN</t>
        </is>
      </c>
      <c r="E1737" t="inlineStr">
        <is>
          <t>SOLLEFTEÅ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9072-2025</t>
        </is>
      </c>
      <c r="B1738" s="1" t="n">
        <v>45713.65673611111</v>
      </c>
      <c r="C1738" s="1" t="n">
        <v>46075</v>
      </c>
      <c r="D1738" t="inlineStr">
        <is>
          <t>VÄSTERNORRLANDS LÄN</t>
        </is>
      </c>
      <c r="E1738" t="inlineStr">
        <is>
          <t>SOLLEFTEÅ</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57205-2025</t>
        </is>
      </c>
      <c r="B1739" s="1" t="n">
        <v>45979.59429398148</v>
      </c>
      <c r="C1739" s="1" t="n">
        <v>46075</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57042-2025</t>
        </is>
      </c>
      <c r="B1740" s="1" t="n">
        <v>45979.34598379629</v>
      </c>
      <c r="C1740" s="1" t="n">
        <v>46075</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10737-2025</t>
        </is>
      </c>
      <c r="B1741" s="1" t="n">
        <v>45722</v>
      </c>
      <c r="C1741" s="1" t="n">
        <v>46075</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61778-2024</t>
        </is>
      </c>
      <c r="B1742" s="1" t="n">
        <v>45649.46961805555</v>
      </c>
      <c r="C1742" s="1" t="n">
        <v>46075</v>
      </c>
      <c r="D1742" t="inlineStr">
        <is>
          <t>VÄSTERNORRLANDS LÄN</t>
        </is>
      </c>
      <c r="E1742" t="inlineStr">
        <is>
          <t>SOLLEFTEÅ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57019-2025</t>
        </is>
      </c>
      <c r="B1743" s="1" t="n">
        <v>45978.85565972222</v>
      </c>
      <c r="C1743" s="1" t="n">
        <v>46075</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11117-2022</t>
        </is>
      </c>
      <c r="B1744" s="1" t="n">
        <v>44628.94248842593</v>
      </c>
      <c r="C1744" s="1" t="n">
        <v>46075</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18621-2024</t>
        </is>
      </c>
      <c r="B1745" s="1" t="n">
        <v>45425</v>
      </c>
      <c r="C1745" s="1" t="n">
        <v>46075</v>
      </c>
      <c r="D1745" t="inlineStr">
        <is>
          <t>VÄSTERNORRLANDS LÄN</t>
        </is>
      </c>
      <c r="E1745" t="inlineStr">
        <is>
          <t>SOLLEFTEÅ</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18622-2024</t>
        </is>
      </c>
      <c r="B1746" s="1" t="n">
        <v>45425.96364583333</v>
      </c>
      <c r="C1746" s="1" t="n">
        <v>46075</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40569-2024</t>
        </is>
      </c>
      <c r="B1747" s="1" t="n">
        <v>45555.67744212963</v>
      </c>
      <c r="C1747" s="1" t="n">
        <v>46075</v>
      </c>
      <c r="D1747" t="inlineStr">
        <is>
          <t>VÄSTERNORRLANDS LÄN</t>
        </is>
      </c>
      <c r="E1747" t="inlineStr">
        <is>
          <t>SOLLEFTEÅ</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13539-2024</t>
        </is>
      </c>
      <c r="B1748" s="1" t="n">
        <v>45387.92583333333</v>
      </c>
      <c r="C1748" s="1" t="n">
        <v>46075</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57373-2025</t>
        </is>
      </c>
      <c r="B1749" s="1" t="n">
        <v>45980.38606481482</v>
      </c>
      <c r="C1749" s="1" t="n">
        <v>46075</v>
      </c>
      <c r="D1749" t="inlineStr">
        <is>
          <t>VÄSTERNORRLANDS LÄN</t>
        </is>
      </c>
      <c r="E1749" t="inlineStr">
        <is>
          <t>SOLLEFTEÅ</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34543-2022</t>
        </is>
      </c>
      <c r="B1750" s="1" t="n">
        <v>44793</v>
      </c>
      <c r="C1750" s="1" t="n">
        <v>46075</v>
      </c>
      <c r="D1750" t="inlineStr">
        <is>
          <t>VÄSTERNORRLANDS LÄN</t>
        </is>
      </c>
      <c r="E1750" t="inlineStr">
        <is>
          <t>SOLLEFTEÅ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42115-2024</t>
        </is>
      </c>
      <c r="B1751" s="1" t="n">
        <v>45562.38615740741</v>
      </c>
      <c r="C1751" s="1" t="n">
        <v>46075</v>
      </c>
      <c r="D1751" t="inlineStr">
        <is>
          <t>VÄSTERNORRLANDS LÄN</t>
        </is>
      </c>
      <c r="E1751" t="inlineStr">
        <is>
          <t>SOLLEFTEÅ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67702-2021</t>
        </is>
      </c>
      <c r="B1752" s="1" t="n">
        <v>44524.94660879629</v>
      </c>
      <c r="C1752" s="1" t="n">
        <v>46075</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57784-2025</t>
        </is>
      </c>
      <c r="B1753" s="1" t="n">
        <v>45981.57376157407</v>
      </c>
      <c r="C1753" s="1" t="n">
        <v>46075</v>
      </c>
      <c r="D1753" t="inlineStr">
        <is>
          <t>VÄSTERNORRLANDS LÄN</t>
        </is>
      </c>
      <c r="E1753" t="inlineStr">
        <is>
          <t>SOLLEFTEÅ</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3633-2024</t>
        </is>
      </c>
      <c r="B1754" s="1" t="n">
        <v>45320</v>
      </c>
      <c r="C1754" s="1" t="n">
        <v>46075</v>
      </c>
      <c r="D1754" t="inlineStr">
        <is>
          <t>VÄSTERNORRLANDS LÄN</t>
        </is>
      </c>
      <c r="E1754" t="inlineStr">
        <is>
          <t>SOLLEFTEÅ</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58151-2025</t>
        </is>
      </c>
      <c r="B1755" s="1" t="n">
        <v>45982.65255787037</v>
      </c>
      <c r="C1755" s="1" t="n">
        <v>46075</v>
      </c>
      <c r="D1755" t="inlineStr">
        <is>
          <t>VÄSTERNORRLANDS LÄN</t>
        </is>
      </c>
      <c r="E1755" t="inlineStr">
        <is>
          <t>SOLLEFTEÅ</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57990-2025</t>
        </is>
      </c>
      <c r="B1756" s="1" t="n">
        <v>45982.4240625</v>
      </c>
      <c r="C1756" s="1" t="n">
        <v>46075</v>
      </c>
      <c r="D1756" t="inlineStr">
        <is>
          <t>VÄSTERNORRLANDS LÄN</t>
        </is>
      </c>
      <c r="E1756" t="inlineStr">
        <is>
          <t>SOLLEFTEÅ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58313-2025</t>
        </is>
      </c>
      <c r="B1757" s="1" t="n">
        <v>45985.47021990741</v>
      </c>
      <c r="C1757" s="1" t="n">
        <v>46075</v>
      </c>
      <c r="D1757" t="inlineStr">
        <is>
          <t>VÄSTERNORRLANDS LÄN</t>
        </is>
      </c>
      <c r="E1757" t="inlineStr">
        <is>
          <t>SOLLEFTEÅ</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58383-2025</t>
        </is>
      </c>
      <c r="B1758" s="1" t="n">
        <v>45985.54152777778</v>
      </c>
      <c r="C1758" s="1" t="n">
        <v>46075</v>
      </c>
      <c r="D1758" t="inlineStr">
        <is>
          <t>VÄSTERNORRLANDS LÄN</t>
        </is>
      </c>
      <c r="E1758" t="inlineStr">
        <is>
          <t>SOLLEFTEÅ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58512-2025</t>
        </is>
      </c>
      <c r="B1759" s="1" t="n">
        <v>45982</v>
      </c>
      <c r="C1759" s="1" t="n">
        <v>46075</v>
      </c>
      <c r="D1759" t="inlineStr">
        <is>
          <t>VÄSTERNORRLANDS LÄN</t>
        </is>
      </c>
      <c r="E1759" t="inlineStr">
        <is>
          <t>SOLLEFTEÅ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58509-2025</t>
        </is>
      </c>
      <c r="B1760" s="1" t="n">
        <v>45982</v>
      </c>
      <c r="C1760" s="1" t="n">
        <v>46075</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58510-2025</t>
        </is>
      </c>
      <c r="B1761" s="1" t="n">
        <v>45982</v>
      </c>
      <c r="C1761" s="1" t="n">
        <v>46075</v>
      </c>
      <c r="D1761" t="inlineStr">
        <is>
          <t>VÄSTERNORRLANDS LÄN</t>
        </is>
      </c>
      <c r="E1761" t="inlineStr">
        <is>
          <t>SOLLEFTEÅ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58032-2025</t>
        </is>
      </c>
      <c r="B1762" s="1" t="n">
        <v>45982.48753472222</v>
      </c>
      <c r="C1762" s="1" t="n">
        <v>46075</v>
      </c>
      <c r="D1762" t="inlineStr">
        <is>
          <t>VÄSTERNORRLANDS LÄN</t>
        </is>
      </c>
      <c r="E1762" t="inlineStr">
        <is>
          <t>SOLLEFTEÅ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58034-2025</t>
        </is>
      </c>
      <c r="B1763" s="1" t="n">
        <v>45982.48967592593</v>
      </c>
      <c r="C1763" s="1" t="n">
        <v>46075</v>
      </c>
      <c r="D1763" t="inlineStr">
        <is>
          <t>VÄSTERNORRLANDS LÄN</t>
        </is>
      </c>
      <c r="E1763" t="inlineStr">
        <is>
          <t>SOLLEFTEÅ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58505-2025</t>
        </is>
      </c>
      <c r="B1764" s="1" t="n">
        <v>45985.69831018519</v>
      </c>
      <c r="C1764" s="1" t="n">
        <v>46075</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51573-2024</t>
        </is>
      </c>
      <c r="B1765" s="1" t="n">
        <v>45604</v>
      </c>
      <c r="C1765" s="1" t="n">
        <v>46075</v>
      </c>
      <c r="D1765" t="inlineStr">
        <is>
          <t>VÄSTERNORRLANDS LÄN</t>
        </is>
      </c>
      <c r="E1765" t="inlineStr">
        <is>
          <t>SOLLEFTEÅ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58511-2025</t>
        </is>
      </c>
      <c r="B1766" s="1" t="n">
        <v>45982</v>
      </c>
      <c r="C1766" s="1" t="n">
        <v>46075</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58445-2025</t>
        </is>
      </c>
      <c r="B1767" s="1" t="n">
        <v>45985.62047453703</v>
      </c>
      <c r="C1767" s="1" t="n">
        <v>46075</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18459-2021</t>
        </is>
      </c>
      <c r="B1768" s="1" t="n">
        <v>44305.93701388889</v>
      </c>
      <c r="C1768" s="1" t="n">
        <v>46075</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9254-2025</t>
        </is>
      </c>
      <c r="B1769" s="1" t="n">
        <v>45714.59442129629</v>
      </c>
      <c r="C1769" s="1" t="n">
        <v>46075</v>
      </c>
      <c r="D1769" t="inlineStr">
        <is>
          <t>VÄSTERNORRLANDS LÄN</t>
        </is>
      </c>
      <c r="E1769" t="inlineStr">
        <is>
          <t>SOLLEFTEÅ</t>
        </is>
      </c>
      <c r="F1769" t="inlineStr">
        <is>
          <t>SCA</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58030-2025</t>
        </is>
      </c>
      <c r="B1770" s="1" t="n">
        <v>45982.48627314815</v>
      </c>
      <c r="C1770" s="1" t="n">
        <v>46075</v>
      </c>
      <c r="D1770" t="inlineStr">
        <is>
          <t>VÄSTERNORRLANDS LÄN</t>
        </is>
      </c>
      <c r="E1770" t="inlineStr">
        <is>
          <t>SOLLEFTEÅ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58046-2025</t>
        </is>
      </c>
      <c r="B1771" s="1" t="n">
        <v>45982.50449074074</v>
      </c>
      <c r="C1771" s="1" t="n">
        <v>46075</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58126-2025</t>
        </is>
      </c>
      <c r="B1772" s="1" t="n">
        <v>45982.61518518518</v>
      </c>
      <c r="C1772" s="1" t="n">
        <v>46075</v>
      </c>
      <c r="D1772" t="inlineStr">
        <is>
          <t>VÄSTERNORRLANDS LÄN</t>
        </is>
      </c>
      <c r="E1772" t="inlineStr">
        <is>
          <t>SOLLEFTEÅ</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42164-2023</t>
        </is>
      </c>
      <c r="B1773" s="1" t="n">
        <v>45177.93747685185</v>
      </c>
      <c r="C1773" s="1" t="n">
        <v>46075</v>
      </c>
      <c r="D1773" t="inlineStr">
        <is>
          <t>VÄSTERNORRLANDS LÄN</t>
        </is>
      </c>
      <c r="E1773" t="inlineStr">
        <is>
          <t>SOLLEFTEÅ</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42514-2023</t>
        </is>
      </c>
      <c r="B1774" s="1" t="n">
        <v>45180.95969907408</v>
      </c>
      <c r="C1774" s="1" t="n">
        <v>46075</v>
      </c>
      <c r="D1774" t="inlineStr">
        <is>
          <t>VÄSTERNORRLANDS LÄN</t>
        </is>
      </c>
      <c r="E1774" t="inlineStr">
        <is>
          <t>SOLLEFTEÅ</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58384-2025</t>
        </is>
      </c>
      <c r="B1775" s="1" t="n">
        <v>45985.54319444444</v>
      </c>
      <c r="C1775" s="1" t="n">
        <v>46075</v>
      </c>
      <c r="D1775" t="inlineStr">
        <is>
          <t>VÄSTERNORRLANDS LÄN</t>
        </is>
      </c>
      <c r="E1775" t="inlineStr">
        <is>
          <t>SOLLEFTEÅ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58386-2025</t>
        </is>
      </c>
      <c r="B1776" s="1" t="n">
        <v>45985.54576388889</v>
      </c>
      <c r="C1776" s="1" t="n">
        <v>46075</v>
      </c>
      <c r="D1776" t="inlineStr">
        <is>
          <t>VÄSTERNORRLANDS LÄN</t>
        </is>
      </c>
      <c r="E1776" t="inlineStr">
        <is>
          <t>SOLLEFTEÅ</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58314-2025</t>
        </is>
      </c>
      <c r="B1777" s="1" t="n">
        <v>45985.47027777778</v>
      </c>
      <c r="C1777" s="1" t="n">
        <v>46075</v>
      </c>
      <c r="D1777" t="inlineStr">
        <is>
          <t>VÄSTERNORRLANDS LÄN</t>
        </is>
      </c>
      <c r="E1777" t="inlineStr">
        <is>
          <t>SOLLEFTEÅ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58205-2025</t>
        </is>
      </c>
      <c r="B1778" s="1" t="n">
        <v>45984.64722222222</v>
      </c>
      <c r="C1778" s="1" t="n">
        <v>46075</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58152-2025</t>
        </is>
      </c>
      <c r="B1779" s="1" t="n">
        <v>45982.65260416667</v>
      </c>
      <c r="C1779" s="1" t="n">
        <v>46075</v>
      </c>
      <c r="D1779" t="inlineStr">
        <is>
          <t>VÄSTERNORRLANDS LÄN</t>
        </is>
      </c>
      <c r="E1779" t="inlineStr">
        <is>
          <t>SOLLEFTEÅ</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58153-2025</t>
        </is>
      </c>
      <c r="B1780" s="1" t="n">
        <v>45982.65262731481</v>
      </c>
      <c r="C1780" s="1" t="n">
        <v>46075</v>
      </c>
      <c r="D1780" t="inlineStr">
        <is>
          <t>VÄSTERNORRLANDS LÄN</t>
        </is>
      </c>
      <c r="E1780" t="inlineStr">
        <is>
          <t>SOLLEFTEÅ</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37696-2023</t>
        </is>
      </c>
      <c r="B1781" s="1" t="n">
        <v>45156</v>
      </c>
      <c r="C1781" s="1" t="n">
        <v>46075</v>
      </c>
      <c r="D1781" t="inlineStr">
        <is>
          <t>VÄSTERNORRLANDS LÄN</t>
        </is>
      </c>
      <c r="E1781" t="inlineStr">
        <is>
          <t>SOLLEFTEÅ</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58027-2025</t>
        </is>
      </c>
      <c r="B1782" s="1" t="n">
        <v>45982.48417824074</v>
      </c>
      <c r="C1782" s="1" t="n">
        <v>46075</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58315-2025</t>
        </is>
      </c>
      <c r="B1783" s="1" t="n">
        <v>45985.47033564815</v>
      </c>
      <c r="C1783" s="1" t="n">
        <v>46075</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34878-2024</t>
        </is>
      </c>
      <c r="B1784" s="1" t="n">
        <v>45527</v>
      </c>
      <c r="C1784" s="1" t="n">
        <v>46075</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58234-2025</t>
        </is>
      </c>
      <c r="B1785" s="1" t="n">
        <v>45985.38688657407</v>
      </c>
      <c r="C1785" s="1" t="n">
        <v>46075</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31681-2024</t>
        </is>
      </c>
      <c r="B1786" s="1" t="n">
        <v>45506.94902777778</v>
      </c>
      <c r="C1786" s="1" t="n">
        <v>46075</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58845-2025</t>
        </is>
      </c>
      <c r="B1787" s="1" t="n">
        <v>45987.3859375</v>
      </c>
      <c r="C1787" s="1" t="n">
        <v>46075</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54233-2024</t>
        </is>
      </c>
      <c r="B1788" s="1" t="n">
        <v>45616.67791666667</v>
      </c>
      <c r="C1788" s="1" t="n">
        <v>46075</v>
      </c>
      <c r="D1788" t="inlineStr">
        <is>
          <t>VÄSTERNORRLANDS LÄN</t>
        </is>
      </c>
      <c r="E1788" t="inlineStr">
        <is>
          <t>SOLLEFTEÅ</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58973-2025</t>
        </is>
      </c>
      <c r="B1789" s="1" t="n">
        <v>45987</v>
      </c>
      <c r="C1789" s="1" t="n">
        <v>46075</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38100-2023</t>
        </is>
      </c>
      <c r="B1790" s="1" t="n">
        <v>45160.9647800926</v>
      </c>
      <c r="C1790" s="1" t="n">
        <v>46075</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58999-2025</t>
        </is>
      </c>
      <c r="B1791" s="1" t="n">
        <v>45987</v>
      </c>
      <c r="C1791" s="1" t="n">
        <v>46075</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25877-2021</t>
        </is>
      </c>
      <c r="B1792" s="1" t="n">
        <v>44344</v>
      </c>
      <c r="C1792" s="1" t="n">
        <v>46075</v>
      </c>
      <c r="D1792" t="inlineStr">
        <is>
          <t>VÄSTERNORRLANDS LÄN</t>
        </is>
      </c>
      <c r="E1792" t="inlineStr">
        <is>
          <t>SOLLEFTEÅ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58948-2025</t>
        </is>
      </c>
      <c r="B1793" s="1" t="n">
        <v>45987</v>
      </c>
      <c r="C1793" s="1" t="n">
        <v>46075</v>
      </c>
      <c r="D1793" t="inlineStr">
        <is>
          <t>VÄSTERNORRLANDS LÄN</t>
        </is>
      </c>
      <c r="E1793" t="inlineStr">
        <is>
          <t>SOLLEFTEÅ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23542-2024</t>
        </is>
      </c>
      <c r="B1794" s="1" t="n">
        <v>45453.95262731481</v>
      </c>
      <c r="C1794" s="1" t="n">
        <v>46075</v>
      </c>
      <c r="D1794" t="inlineStr">
        <is>
          <t>VÄSTERNORRLANDS LÄN</t>
        </is>
      </c>
      <c r="E1794" t="inlineStr">
        <is>
          <t>SOLLEFTEÅ</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58558-2025</t>
        </is>
      </c>
      <c r="B1795" s="1" t="n">
        <v>45986.34451388889</v>
      </c>
      <c r="C1795" s="1" t="n">
        <v>46075</v>
      </c>
      <c r="D1795" t="inlineStr">
        <is>
          <t>VÄSTERNORRLANDS LÄN</t>
        </is>
      </c>
      <c r="E1795" t="inlineStr">
        <is>
          <t>SOLLEFTEÅ</t>
        </is>
      </c>
      <c r="F1795" t="inlineStr">
        <is>
          <t>SCA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18861-2023</t>
        </is>
      </c>
      <c r="B1796" s="1" t="n">
        <v>45042</v>
      </c>
      <c r="C1796" s="1" t="n">
        <v>46075</v>
      </c>
      <c r="D1796" t="inlineStr">
        <is>
          <t>VÄSTERNORRLANDS LÄN</t>
        </is>
      </c>
      <c r="E1796" t="inlineStr">
        <is>
          <t>SOLLEFTEÅ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17993-2025</t>
        </is>
      </c>
      <c r="B1797" s="1" t="n">
        <v>45761.40673611111</v>
      </c>
      <c r="C1797" s="1" t="n">
        <v>46075</v>
      </c>
      <c r="D1797" t="inlineStr">
        <is>
          <t>VÄSTERNORRLANDS LÄN</t>
        </is>
      </c>
      <c r="E1797" t="inlineStr">
        <is>
          <t>SOLLEFTEÅ</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58998-2025</t>
        </is>
      </c>
      <c r="B1798" s="1" t="n">
        <v>45987</v>
      </c>
      <c r="C1798" s="1" t="n">
        <v>46075</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59002-2025</t>
        </is>
      </c>
      <c r="B1799" s="1" t="n">
        <v>45987</v>
      </c>
      <c r="C1799" s="1" t="n">
        <v>46075</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58772-2025</t>
        </is>
      </c>
      <c r="B1800" s="1" t="n">
        <v>45986</v>
      </c>
      <c r="C1800" s="1" t="n">
        <v>46075</v>
      </c>
      <c r="D1800" t="inlineStr">
        <is>
          <t>VÄSTERNORRLANDS LÄN</t>
        </is>
      </c>
      <c r="E1800" t="inlineStr">
        <is>
          <t>SOLLEFTEÅ</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58382-2025</t>
        </is>
      </c>
      <c r="B1801" s="1" t="n">
        <v>45982</v>
      </c>
      <c r="C1801" s="1" t="n">
        <v>46075</v>
      </c>
      <c r="D1801" t="inlineStr">
        <is>
          <t>VÄSTERNORRLANDS LÄN</t>
        </is>
      </c>
      <c r="E1801" t="inlineStr">
        <is>
          <t>SOLLEFTEÅ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58391-2025</t>
        </is>
      </c>
      <c r="B1802" s="1" t="n">
        <v>45982</v>
      </c>
      <c r="C1802" s="1" t="n">
        <v>46075</v>
      </c>
      <c r="D1802" t="inlineStr">
        <is>
          <t>VÄSTERNORRLANDS LÄN</t>
        </is>
      </c>
      <c r="E1802" t="inlineStr">
        <is>
          <t>SOLLEFTEÅ</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59181-2025</t>
        </is>
      </c>
      <c r="B1803" s="1" t="n">
        <v>45988.57390046296</v>
      </c>
      <c r="C1803" s="1" t="n">
        <v>46075</v>
      </c>
      <c r="D1803" t="inlineStr">
        <is>
          <t>VÄSTERNORRLANDS LÄN</t>
        </is>
      </c>
      <c r="E1803" t="inlineStr">
        <is>
          <t>SOLLEFTEÅ</t>
        </is>
      </c>
      <c r="F1803" t="inlineStr">
        <is>
          <t>SCA</t>
        </is>
      </c>
      <c r="G1803" t="n">
        <v>28.3</v>
      </c>
      <c r="H1803" t="n">
        <v>0</v>
      </c>
      <c r="I1803" t="n">
        <v>0</v>
      </c>
      <c r="J1803" t="n">
        <v>0</v>
      </c>
      <c r="K1803" t="n">
        <v>0</v>
      </c>
      <c r="L1803" t="n">
        <v>0</v>
      </c>
      <c r="M1803" t="n">
        <v>0</v>
      </c>
      <c r="N1803" t="n">
        <v>0</v>
      </c>
      <c r="O1803" t="n">
        <v>0</v>
      </c>
      <c r="P1803" t="n">
        <v>0</v>
      </c>
      <c r="Q1803" t="n">
        <v>0</v>
      </c>
      <c r="R1803" s="2" t="inlineStr"/>
    </row>
    <row r="1804" ht="15" customHeight="1">
      <c r="A1804" t="inlineStr">
        <is>
          <t>A 59408-2025</t>
        </is>
      </c>
      <c r="B1804" s="1" t="n">
        <v>45989.49541666666</v>
      </c>
      <c r="C1804" s="1" t="n">
        <v>46075</v>
      </c>
      <c r="D1804" t="inlineStr">
        <is>
          <t>VÄSTERNORRLANDS LÄN</t>
        </is>
      </c>
      <c r="E1804" t="inlineStr">
        <is>
          <t>SOLLEFTEÅ</t>
        </is>
      </c>
      <c r="F1804" t="inlineStr">
        <is>
          <t>Holmen skog AB</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59436-2025</t>
        </is>
      </c>
      <c r="B1805" s="1" t="n">
        <v>45989.55641203704</v>
      </c>
      <c r="C1805" s="1" t="n">
        <v>46075</v>
      </c>
      <c r="D1805" t="inlineStr">
        <is>
          <t>VÄSTERNORRLANDS LÄN</t>
        </is>
      </c>
      <c r="E1805" t="inlineStr">
        <is>
          <t>SOLLEFTEÅ</t>
        </is>
      </c>
      <c r="F1805" t="inlineStr">
        <is>
          <t>Holmen skog AB</t>
        </is>
      </c>
      <c r="G1805" t="n">
        <v>20</v>
      </c>
      <c r="H1805" t="n">
        <v>0</v>
      </c>
      <c r="I1805" t="n">
        <v>0</v>
      </c>
      <c r="J1805" t="n">
        <v>0</v>
      </c>
      <c r="K1805" t="n">
        <v>0</v>
      </c>
      <c r="L1805" t="n">
        <v>0</v>
      </c>
      <c r="M1805" t="n">
        <v>0</v>
      </c>
      <c r="N1805" t="n">
        <v>0</v>
      </c>
      <c r="O1805" t="n">
        <v>0</v>
      </c>
      <c r="P1805" t="n">
        <v>0</v>
      </c>
      <c r="Q1805" t="n">
        <v>0</v>
      </c>
      <c r="R1805" s="2" t="inlineStr"/>
    </row>
    <row r="1806" ht="15" customHeight="1">
      <c r="A1806" t="inlineStr">
        <is>
          <t>A 58508-2025</t>
        </is>
      </c>
      <c r="B1806" s="1" t="n">
        <v>45982</v>
      </c>
      <c r="C1806" s="1" t="n">
        <v>46075</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59038-2025</t>
        </is>
      </c>
      <c r="B1807" s="1" t="n">
        <v>45988.36515046296</v>
      </c>
      <c r="C1807" s="1" t="n">
        <v>46075</v>
      </c>
      <c r="D1807" t="inlineStr">
        <is>
          <t>VÄSTERNORRLANDS LÄN</t>
        </is>
      </c>
      <c r="E1807" t="inlineStr">
        <is>
          <t>SOLLEFTEÅ</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59051-2025</t>
        </is>
      </c>
      <c r="B1808" s="1" t="n">
        <v>45988.38612268519</v>
      </c>
      <c r="C1808" s="1" t="n">
        <v>46075</v>
      </c>
      <c r="D1808" t="inlineStr">
        <is>
          <t>VÄSTERNORRLANDS LÄN</t>
        </is>
      </c>
      <c r="E1808" t="inlineStr">
        <is>
          <t>SOLLEFTEÅ</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49253-2024</t>
        </is>
      </c>
      <c r="B1809" s="1" t="n">
        <v>45595</v>
      </c>
      <c r="C1809" s="1" t="n">
        <v>46075</v>
      </c>
      <c r="D1809" t="inlineStr">
        <is>
          <t>VÄSTERNORRLANDS LÄN</t>
        </is>
      </c>
      <c r="E1809" t="inlineStr">
        <is>
          <t>SOLLEFTEÅ</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59024-2025</t>
        </is>
      </c>
      <c r="B1810" s="1" t="n">
        <v>45988</v>
      </c>
      <c r="C1810" s="1" t="n">
        <v>46075</v>
      </c>
      <c r="D1810" t="inlineStr">
        <is>
          <t>VÄSTERNORRLANDS LÄN</t>
        </is>
      </c>
      <c r="E1810" t="inlineStr">
        <is>
          <t>SOLLEFTEÅ</t>
        </is>
      </c>
      <c r="F1810" t="inlineStr">
        <is>
          <t>SCA</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59260-2025</t>
        </is>
      </c>
      <c r="B1811" s="1" t="n">
        <v>45988.65762731482</v>
      </c>
      <c r="C1811" s="1" t="n">
        <v>46075</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59648-2025</t>
        </is>
      </c>
      <c r="B1812" s="1" t="n">
        <v>45992.42827546296</v>
      </c>
      <c r="C1812" s="1" t="n">
        <v>46075</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60063-2025</t>
        </is>
      </c>
      <c r="B1813" s="1" t="n">
        <v>45993.65711805555</v>
      </c>
      <c r="C1813" s="1" t="n">
        <v>46075</v>
      </c>
      <c r="D1813" t="inlineStr">
        <is>
          <t>VÄSTERNORRLANDS LÄN</t>
        </is>
      </c>
      <c r="E1813" t="inlineStr">
        <is>
          <t>SOLLEFTEÅ</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11455-2025</t>
        </is>
      </c>
      <c r="B1814" s="1" t="n">
        <v>45726.64886574074</v>
      </c>
      <c r="C1814" s="1" t="n">
        <v>46075</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59865-2025</t>
        </is>
      </c>
      <c r="B1815" s="1" t="n">
        <v>45992.86313657407</v>
      </c>
      <c r="C1815" s="1" t="n">
        <v>46075</v>
      </c>
      <c r="D1815" t="inlineStr">
        <is>
          <t>VÄSTERNORRLANDS LÄN</t>
        </is>
      </c>
      <c r="E1815" t="inlineStr">
        <is>
          <t>SOLLEFTEÅ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59766-2025</t>
        </is>
      </c>
      <c r="B1816" s="1" t="n">
        <v>45992.59480324074</v>
      </c>
      <c r="C1816" s="1" t="n">
        <v>46075</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10138-2022</t>
        </is>
      </c>
      <c r="B1817" s="1" t="n">
        <v>44621.94612268519</v>
      </c>
      <c r="C1817" s="1" t="n">
        <v>46075</v>
      </c>
      <c r="D1817" t="inlineStr">
        <is>
          <t>VÄSTERNORRLANDS LÄN</t>
        </is>
      </c>
      <c r="E1817" t="inlineStr">
        <is>
          <t>SOLLEFTEÅ</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59999-2025</t>
        </is>
      </c>
      <c r="B1818" s="1" t="n">
        <v>45993.57372685185</v>
      </c>
      <c r="C1818" s="1" t="n">
        <v>46075</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11746-2025</t>
        </is>
      </c>
      <c r="B1819" s="1" t="n">
        <v>45727.63577546296</v>
      </c>
      <c r="C1819" s="1" t="n">
        <v>46075</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1812-2026</t>
        </is>
      </c>
      <c r="B1820" s="1" t="n">
        <v>46035.34425925926</v>
      </c>
      <c r="C1820" s="1" t="n">
        <v>46075</v>
      </c>
      <c r="D1820" t="inlineStr">
        <is>
          <t>VÄSTERNORRLANDS LÄN</t>
        </is>
      </c>
      <c r="E1820" t="inlineStr">
        <is>
          <t>SOLLEFTEÅ</t>
        </is>
      </c>
      <c r="F1820" t="inlineStr">
        <is>
          <t>SCA</t>
        </is>
      </c>
      <c r="G1820" t="n">
        <v>25.8</v>
      </c>
      <c r="H1820" t="n">
        <v>0</v>
      </c>
      <c r="I1820" t="n">
        <v>0</v>
      </c>
      <c r="J1820" t="n">
        <v>0</v>
      </c>
      <c r="K1820" t="n">
        <v>0</v>
      </c>
      <c r="L1820" t="n">
        <v>0</v>
      </c>
      <c r="M1820" t="n">
        <v>0</v>
      </c>
      <c r="N1820" t="n">
        <v>0</v>
      </c>
      <c r="O1820" t="n">
        <v>0</v>
      </c>
      <c r="P1820" t="n">
        <v>0</v>
      </c>
      <c r="Q1820" t="n">
        <v>0</v>
      </c>
      <c r="R1820" s="2" t="inlineStr"/>
    </row>
    <row r="1821" ht="15" customHeight="1">
      <c r="A1821" t="inlineStr">
        <is>
          <t>A 51847-2021</t>
        </is>
      </c>
      <c r="B1821" s="1" t="n">
        <v>44462.69077546296</v>
      </c>
      <c r="C1821" s="1" t="n">
        <v>46075</v>
      </c>
      <c r="D1821" t="inlineStr">
        <is>
          <t>VÄSTERNORRLANDS LÄN</t>
        </is>
      </c>
      <c r="E1821" t="inlineStr">
        <is>
          <t>SOLLEFTEÅ</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59541-2025</t>
        </is>
      </c>
      <c r="B1822" s="1" t="n">
        <v>45990.34443287037</v>
      </c>
      <c r="C1822" s="1" t="n">
        <v>46075</v>
      </c>
      <c r="D1822" t="inlineStr">
        <is>
          <t>VÄSTERNORRLANDS LÄN</t>
        </is>
      </c>
      <c r="E1822" t="inlineStr">
        <is>
          <t>SOLLEFTEÅ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59789-2025</t>
        </is>
      </c>
      <c r="B1823" s="1" t="n">
        <v>45992.61519675926</v>
      </c>
      <c r="C1823" s="1" t="n">
        <v>46075</v>
      </c>
      <c r="D1823" t="inlineStr">
        <is>
          <t>VÄSTERNORRLANDS LÄN</t>
        </is>
      </c>
      <c r="E1823" t="inlineStr">
        <is>
          <t>SOLLEFTEÅ</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30063-2024</t>
        </is>
      </c>
      <c r="B1824" s="1" t="n">
        <v>45488.94841435185</v>
      </c>
      <c r="C1824" s="1" t="n">
        <v>46075</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59842-2025</t>
        </is>
      </c>
      <c r="B1825" s="1" t="n">
        <v>45992.67807870371</v>
      </c>
      <c r="C1825" s="1" t="n">
        <v>46075</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59849-2025</t>
        </is>
      </c>
      <c r="B1826" s="1" t="n">
        <v>45992.70704861111</v>
      </c>
      <c r="C1826" s="1" t="n">
        <v>46075</v>
      </c>
      <c r="D1826" t="inlineStr">
        <is>
          <t>VÄSTERNORRLANDS LÄN</t>
        </is>
      </c>
      <c r="E1826" t="inlineStr">
        <is>
          <t>SOLLEFTEÅ</t>
        </is>
      </c>
      <c r="F1826" t="inlineStr">
        <is>
          <t>Holmen skog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59317-2024</t>
        </is>
      </c>
      <c r="B1827" s="1" t="n">
        <v>45637.69873842593</v>
      </c>
      <c r="C1827" s="1" t="n">
        <v>46075</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59679-2025</t>
        </is>
      </c>
      <c r="B1828" s="1" t="n">
        <v>45992.46934027778</v>
      </c>
      <c r="C1828" s="1" t="n">
        <v>46075</v>
      </c>
      <c r="D1828" t="inlineStr">
        <is>
          <t>VÄSTERNORRLANDS LÄN</t>
        </is>
      </c>
      <c r="E1828" t="inlineStr">
        <is>
          <t>SOLLEFTEÅ</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59764-2025</t>
        </is>
      </c>
      <c r="B1829" s="1" t="n">
        <v>45992.59456018519</v>
      </c>
      <c r="C1829" s="1" t="n">
        <v>46075</v>
      </c>
      <c r="D1829" t="inlineStr">
        <is>
          <t>VÄSTERNORRLANDS LÄN</t>
        </is>
      </c>
      <c r="E1829" t="inlineStr">
        <is>
          <t>SOLLEFTEÅ</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59765-2025</t>
        </is>
      </c>
      <c r="B1830" s="1" t="n">
        <v>45992.59473379629</v>
      </c>
      <c r="C1830" s="1" t="n">
        <v>46075</v>
      </c>
      <c r="D1830" t="inlineStr">
        <is>
          <t>VÄSTERNORRLANDS LÄN</t>
        </is>
      </c>
      <c r="E1830" t="inlineStr">
        <is>
          <t>SOLLEFTEÅ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59388-2024</t>
        </is>
      </c>
      <c r="B1831" s="1" t="n">
        <v>45638.365</v>
      </c>
      <c r="C1831" s="1" t="n">
        <v>46075</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23527-2023</t>
        </is>
      </c>
      <c r="B1832" s="1" t="n">
        <v>45076</v>
      </c>
      <c r="C1832" s="1" t="n">
        <v>46075</v>
      </c>
      <c r="D1832" t="inlineStr">
        <is>
          <t>VÄSTERNORRLANDS LÄN</t>
        </is>
      </c>
      <c r="E1832" t="inlineStr">
        <is>
          <t>SOLLEFTEÅ</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51341-2024</t>
        </is>
      </c>
      <c r="B1833" s="1" t="n">
        <v>45604.34481481482</v>
      </c>
      <c r="C1833" s="1" t="n">
        <v>46075</v>
      </c>
      <c r="D1833" t="inlineStr">
        <is>
          <t>VÄSTERNORRLANDS LÄN</t>
        </is>
      </c>
      <c r="E1833" t="inlineStr">
        <is>
          <t>SOLLEFTEÅ</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59758-2025</t>
        </is>
      </c>
      <c r="B1834" s="1" t="n">
        <v>45992.59136574074</v>
      </c>
      <c r="C1834" s="1" t="n">
        <v>46075</v>
      </c>
      <c r="D1834" t="inlineStr">
        <is>
          <t>VÄSTERNORRLANDS LÄN</t>
        </is>
      </c>
      <c r="E1834" t="inlineStr">
        <is>
          <t>SOLLEFTEÅ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19407-2025</t>
        </is>
      </c>
      <c r="B1835" s="1" t="n">
        <v>45769.67832175926</v>
      </c>
      <c r="C1835" s="1" t="n">
        <v>46075</v>
      </c>
      <c r="D1835" t="inlineStr">
        <is>
          <t>VÄSTERNORRLANDS LÄN</t>
        </is>
      </c>
      <c r="E1835" t="inlineStr">
        <is>
          <t>SOLLEFTEÅ</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20551-2022</t>
        </is>
      </c>
      <c r="B1836" s="1" t="n">
        <v>44699</v>
      </c>
      <c r="C1836" s="1" t="n">
        <v>46075</v>
      </c>
      <c r="D1836" t="inlineStr">
        <is>
          <t>VÄSTERNORRLANDS LÄN</t>
        </is>
      </c>
      <c r="E1836" t="inlineStr">
        <is>
          <t>SOLLEFTEÅ</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59645-2025</t>
        </is>
      </c>
      <c r="B1837" s="1" t="n">
        <v>45992.42796296296</v>
      </c>
      <c r="C1837" s="1" t="n">
        <v>46075</v>
      </c>
      <c r="D1837" t="inlineStr">
        <is>
          <t>VÄSTERNORRLANDS LÄN</t>
        </is>
      </c>
      <c r="E1837" t="inlineStr">
        <is>
          <t>SOLLEFTEÅ</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59767-2025</t>
        </is>
      </c>
      <c r="B1838" s="1" t="n">
        <v>45992.59505787037</v>
      </c>
      <c r="C1838" s="1" t="n">
        <v>46075</v>
      </c>
      <c r="D1838" t="inlineStr">
        <is>
          <t>VÄSTERNORRLANDS LÄN</t>
        </is>
      </c>
      <c r="E1838" t="inlineStr">
        <is>
          <t>SOLLEFTEÅ</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2027-2026</t>
        </is>
      </c>
      <c r="B1839" s="1" t="n">
        <v>46035.72739583333</v>
      </c>
      <c r="C1839" s="1" t="n">
        <v>46075</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1964-2026</t>
        </is>
      </c>
      <c r="B1840" s="1" t="n">
        <v>46035.63594907407</v>
      </c>
      <c r="C1840" s="1" t="n">
        <v>46075</v>
      </c>
      <c r="D1840" t="inlineStr">
        <is>
          <t>VÄSTERNORRLANDS LÄN</t>
        </is>
      </c>
      <c r="E1840" t="inlineStr">
        <is>
          <t>SOLLEFTEÅ</t>
        </is>
      </c>
      <c r="F1840" t="inlineStr">
        <is>
          <t>SCA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60036-2025</t>
        </is>
      </c>
      <c r="B1841" s="1" t="n">
        <v>45993.61569444444</v>
      </c>
      <c r="C1841" s="1" t="n">
        <v>46075</v>
      </c>
      <c r="D1841" t="inlineStr">
        <is>
          <t>VÄSTERNORRLANDS LÄN</t>
        </is>
      </c>
      <c r="E1841" t="inlineStr">
        <is>
          <t>SOLLEFTEÅ</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59680-2025</t>
        </is>
      </c>
      <c r="B1842" s="1" t="n">
        <v>45992.46940972222</v>
      </c>
      <c r="C1842" s="1" t="n">
        <v>46075</v>
      </c>
      <c r="D1842" t="inlineStr">
        <is>
          <t>VÄSTERNORRLANDS LÄN</t>
        </is>
      </c>
      <c r="E1842" t="inlineStr">
        <is>
          <t>SOLLEFTEÅ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10094-2023</t>
        </is>
      </c>
      <c r="B1843" s="1" t="n">
        <v>44985</v>
      </c>
      <c r="C1843" s="1" t="n">
        <v>46075</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1601-2026</t>
        </is>
      </c>
      <c r="B1844" s="1" t="n">
        <v>46034.45820601852</v>
      </c>
      <c r="C1844" s="1" t="n">
        <v>46075</v>
      </c>
      <c r="D1844" t="inlineStr">
        <is>
          <t>VÄSTERNORRLANDS LÄN</t>
        </is>
      </c>
      <c r="E1844" t="inlineStr">
        <is>
          <t>SOLLEFTEÅ</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59866-2025</t>
        </is>
      </c>
      <c r="B1845" s="1" t="n">
        <v>45992.86497685185</v>
      </c>
      <c r="C1845" s="1" t="n">
        <v>46075</v>
      </c>
      <c r="D1845" t="inlineStr">
        <is>
          <t>VÄSTERNORRLANDS LÄN</t>
        </is>
      </c>
      <c r="E1845" t="inlineStr">
        <is>
          <t>SOLLEFTEÅ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59592-2025</t>
        </is>
      </c>
      <c r="B1846" s="1" t="n">
        <v>45992.34443287037</v>
      </c>
      <c r="C1846" s="1" t="n">
        <v>46075</v>
      </c>
      <c r="D1846" t="inlineStr">
        <is>
          <t>VÄSTERNORRLANDS LÄN</t>
        </is>
      </c>
      <c r="E1846" t="inlineStr">
        <is>
          <t>SOLLEFTEÅ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10865-2025</t>
        </is>
      </c>
      <c r="B1847" s="1" t="n">
        <v>45722.61526620371</v>
      </c>
      <c r="C1847" s="1" t="n">
        <v>46075</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2023-2026</t>
        </is>
      </c>
      <c r="B1848" s="1" t="n">
        <v>46035.72098379629</v>
      </c>
      <c r="C1848" s="1" t="n">
        <v>46075</v>
      </c>
      <c r="D1848" t="inlineStr">
        <is>
          <t>VÄSTERNORRLANDS LÄN</t>
        </is>
      </c>
      <c r="E1848" t="inlineStr">
        <is>
          <t>SOLLEFTEÅ</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1999-2026</t>
        </is>
      </c>
      <c r="B1849" s="1" t="n">
        <v>46035.67773148148</v>
      </c>
      <c r="C1849" s="1" t="n">
        <v>46075</v>
      </c>
      <c r="D1849" t="inlineStr">
        <is>
          <t>VÄSTERNORRLANDS LÄN</t>
        </is>
      </c>
      <c r="E1849" t="inlineStr">
        <is>
          <t>SOLLEFTEÅ</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17279-2025</t>
        </is>
      </c>
      <c r="B1850" s="1" t="n">
        <v>45756.56396990741</v>
      </c>
      <c r="C1850" s="1" t="n">
        <v>46075</v>
      </c>
      <c r="D1850" t="inlineStr">
        <is>
          <t>VÄSTERNORRLANDS LÄN</t>
        </is>
      </c>
      <c r="E1850" t="inlineStr">
        <is>
          <t>SOLLEFTEÅ</t>
        </is>
      </c>
      <c r="G1850" t="n">
        <v>22.4</v>
      </c>
      <c r="H1850" t="n">
        <v>0</v>
      </c>
      <c r="I1850" t="n">
        <v>0</v>
      </c>
      <c r="J1850" t="n">
        <v>0</v>
      </c>
      <c r="K1850" t="n">
        <v>0</v>
      </c>
      <c r="L1850" t="n">
        <v>0</v>
      </c>
      <c r="M1850" t="n">
        <v>0</v>
      </c>
      <c r="N1850" t="n">
        <v>0</v>
      </c>
      <c r="O1850" t="n">
        <v>0</v>
      </c>
      <c r="P1850" t="n">
        <v>0</v>
      </c>
      <c r="Q1850" t="n">
        <v>0</v>
      </c>
      <c r="R1850" s="2" t="inlineStr"/>
    </row>
    <row r="1851" ht="15" customHeight="1">
      <c r="A1851" t="inlineStr">
        <is>
          <t>A 59896-2025</t>
        </is>
      </c>
      <c r="B1851" s="1" t="n">
        <v>45993.34427083333</v>
      </c>
      <c r="C1851" s="1" t="n">
        <v>46075</v>
      </c>
      <c r="D1851" t="inlineStr">
        <is>
          <t>VÄSTERNORRLANDS LÄN</t>
        </is>
      </c>
      <c r="E1851" t="inlineStr">
        <is>
          <t>SOLLEFTEÅ</t>
        </is>
      </c>
      <c r="F1851" t="inlineStr">
        <is>
          <t>SCA</t>
        </is>
      </c>
      <c r="G1851" t="n">
        <v>16.1</v>
      </c>
      <c r="H1851" t="n">
        <v>0</v>
      </c>
      <c r="I1851" t="n">
        <v>0</v>
      </c>
      <c r="J1851" t="n">
        <v>0</v>
      </c>
      <c r="K1851" t="n">
        <v>0</v>
      </c>
      <c r="L1851" t="n">
        <v>0</v>
      </c>
      <c r="M1851" t="n">
        <v>0</v>
      </c>
      <c r="N1851" t="n">
        <v>0</v>
      </c>
      <c r="O1851" t="n">
        <v>0</v>
      </c>
      <c r="P1851" t="n">
        <v>0</v>
      </c>
      <c r="Q1851" t="n">
        <v>0</v>
      </c>
      <c r="R1851" s="2" t="inlineStr"/>
    </row>
    <row r="1852" ht="15" customHeight="1">
      <c r="A1852" t="inlineStr">
        <is>
          <t>A 2391-2026</t>
        </is>
      </c>
      <c r="B1852" s="1" t="n">
        <v>46035</v>
      </c>
      <c r="C1852" s="1" t="n">
        <v>46075</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52702-2024</t>
        </is>
      </c>
      <c r="B1853" s="1" t="n">
        <v>45610</v>
      </c>
      <c r="C1853" s="1" t="n">
        <v>46075</v>
      </c>
      <c r="D1853" t="inlineStr">
        <is>
          <t>VÄSTERNORRLANDS LÄN</t>
        </is>
      </c>
      <c r="E1853" t="inlineStr">
        <is>
          <t>SOLLEFTEÅ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25017-2022</t>
        </is>
      </c>
      <c r="B1854" s="1" t="n">
        <v>44728.94331018518</v>
      </c>
      <c r="C1854" s="1" t="n">
        <v>46075</v>
      </c>
      <c r="D1854" t="inlineStr">
        <is>
          <t>VÄSTERNORRLANDS LÄN</t>
        </is>
      </c>
      <c r="E1854" t="inlineStr">
        <is>
          <t>SOLLEFTEÅ</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58226-2024</t>
        </is>
      </c>
      <c r="B1855" s="1" t="n">
        <v>45632.51076388889</v>
      </c>
      <c r="C1855" s="1" t="n">
        <v>46075</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2453-2026</t>
        </is>
      </c>
      <c r="B1856" s="1" t="n">
        <v>46037.34457175926</v>
      </c>
      <c r="C1856" s="1" t="n">
        <v>46075</v>
      </c>
      <c r="D1856" t="inlineStr">
        <is>
          <t>VÄSTERNORRLANDS LÄN</t>
        </is>
      </c>
      <c r="E1856" t="inlineStr">
        <is>
          <t>SOLLEFTEÅ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13554-2023</t>
        </is>
      </c>
      <c r="B1857" s="1" t="n">
        <v>45005</v>
      </c>
      <c r="C1857" s="1" t="n">
        <v>46075</v>
      </c>
      <c r="D1857" t="inlineStr">
        <is>
          <t>VÄSTERNORRLANDS LÄN</t>
        </is>
      </c>
      <c r="E1857" t="inlineStr">
        <is>
          <t>SOLLEFTEÅ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60515-2025</t>
        </is>
      </c>
      <c r="B1858" s="1" t="n">
        <v>45995</v>
      </c>
      <c r="C1858" s="1" t="n">
        <v>46075</v>
      </c>
      <c r="D1858" t="inlineStr">
        <is>
          <t>VÄSTERNORRLANDS LÄN</t>
        </is>
      </c>
      <c r="E1858" t="inlineStr">
        <is>
          <t>SOLLEFTEÅ</t>
        </is>
      </c>
      <c r="F1858" t="inlineStr">
        <is>
          <t>SCA</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2376-2026</t>
        </is>
      </c>
      <c r="B1859" s="1" t="n">
        <v>46036.65675925926</v>
      </c>
      <c r="C1859" s="1" t="n">
        <v>46075</v>
      </c>
      <c r="D1859" t="inlineStr">
        <is>
          <t>VÄSTERNORRLANDS LÄN</t>
        </is>
      </c>
      <c r="E1859" t="inlineStr">
        <is>
          <t>SOLLEFTEÅ</t>
        </is>
      </c>
      <c r="F1859" t="inlineStr">
        <is>
          <t>SCA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26391-2024</t>
        </is>
      </c>
      <c r="B1860" s="1" t="n">
        <v>45468</v>
      </c>
      <c r="C1860" s="1" t="n">
        <v>46075</v>
      </c>
      <c r="D1860" t="inlineStr">
        <is>
          <t>VÄSTERNORRLANDS LÄN</t>
        </is>
      </c>
      <c r="E1860" t="inlineStr">
        <is>
          <t>SOLLEFTEÅ</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2459-2026</t>
        </is>
      </c>
      <c r="B1861" s="1" t="n">
        <v>46035</v>
      </c>
      <c r="C1861" s="1" t="n">
        <v>46075</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34309-2023</t>
        </is>
      </c>
      <c r="B1862" s="1" t="n">
        <v>45138.92300925926</v>
      </c>
      <c r="C1862" s="1" t="n">
        <v>46075</v>
      </c>
      <c r="D1862" t="inlineStr">
        <is>
          <t>VÄSTERNORRLANDS LÄN</t>
        </is>
      </c>
      <c r="E1862" t="inlineStr">
        <is>
          <t>SOLLEFTEÅ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60514-2025</t>
        </is>
      </c>
      <c r="B1863" s="1" t="n">
        <v>45995.63584490741</v>
      </c>
      <c r="C1863" s="1" t="n">
        <v>46075</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60516-2025</t>
        </is>
      </c>
      <c r="B1864" s="1" t="n">
        <v>45995.63630787037</v>
      </c>
      <c r="C1864" s="1" t="n">
        <v>46075</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13009-2023</t>
        </is>
      </c>
      <c r="B1865" s="1" t="n">
        <v>45002.03643518518</v>
      </c>
      <c r="C1865" s="1" t="n">
        <v>46075</v>
      </c>
      <c r="D1865" t="inlineStr">
        <is>
          <t>VÄSTERNORRLANDS LÄN</t>
        </is>
      </c>
      <c r="E1865" t="inlineStr">
        <is>
          <t>SOLLEFTEÅ</t>
        </is>
      </c>
      <c r="F1865" t="inlineStr">
        <is>
          <t>SCA</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2263-2026</t>
        </is>
      </c>
      <c r="B1866" s="1" t="n">
        <v>46036.56760416667</v>
      </c>
      <c r="C1866" s="1" t="n">
        <v>46075</v>
      </c>
      <c r="D1866" t="inlineStr">
        <is>
          <t>VÄSTERNORRLANDS LÄN</t>
        </is>
      </c>
      <c r="E1866" t="inlineStr">
        <is>
          <t>SOLLEFTEÅ</t>
        </is>
      </c>
      <c r="G1866" t="n">
        <v>14.3</v>
      </c>
      <c r="H1866" t="n">
        <v>0</v>
      </c>
      <c r="I1866" t="n">
        <v>0</v>
      </c>
      <c r="J1866" t="n">
        <v>0</v>
      </c>
      <c r="K1866" t="n">
        <v>0</v>
      </c>
      <c r="L1866" t="n">
        <v>0</v>
      </c>
      <c r="M1866" t="n">
        <v>0</v>
      </c>
      <c r="N1866" t="n">
        <v>0</v>
      </c>
      <c r="O1866" t="n">
        <v>0</v>
      </c>
      <c r="P1866" t="n">
        <v>0</v>
      </c>
      <c r="Q1866" t="n">
        <v>0</v>
      </c>
      <c r="R1866" s="2" t="inlineStr"/>
    </row>
    <row r="1867" ht="15" customHeight="1">
      <c r="A1867" t="inlineStr">
        <is>
          <t>A 5036-2024</t>
        </is>
      </c>
      <c r="B1867" s="1" t="n">
        <v>45329.87555555555</v>
      </c>
      <c r="C1867" s="1" t="n">
        <v>46075</v>
      </c>
      <c r="D1867" t="inlineStr">
        <is>
          <t>VÄSTERNORRLANDS LÄN</t>
        </is>
      </c>
      <c r="E1867" t="inlineStr">
        <is>
          <t>SOLLEFTEÅ</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2074-2026</t>
        </is>
      </c>
      <c r="B1868" s="1" t="n">
        <v>46036.34439814815</v>
      </c>
      <c r="C1868" s="1" t="n">
        <v>46075</v>
      </c>
      <c r="D1868" t="inlineStr">
        <is>
          <t>VÄSTERNORRLANDS LÄN</t>
        </is>
      </c>
      <c r="E1868" t="inlineStr">
        <is>
          <t>SOLLEFTEÅ</t>
        </is>
      </c>
      <c r="F1868" t="inlineStr">
        <is>
          <t>SCA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60410-2025</t>
        </is>
      </c>
      <c r="B1869" s="1" t="n">
        <v>45995.44840277778</v>
      </c>
      <c r="C1869" s="1" t="n">
        <v>46075</v>
      </c>
      <c r="D1869" t="inlineStr">
        <is>
          <t>VÄSTERNORRLANDS LÄN</t>
        </is>
      </c>
      <c r="E1869" t="inlineStr">
        <is>
          <t>SOLLEFTEÅ</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60123-2025</t>
        </is>
      </c>
      <c r="B1870" s="1" t="n">
        <v>45994.33506944445</v>
      </c>
      <c r="C1870" s="1" t="n">
        <v>46075</v>
      </c>
      <c r="D1870" t="inlineStr">
        <is>
          <t>VÄSTERNORRLANDS LÄN</t>
        </is>
      </c>
      <c r="E1870" t="inlineStr">
        <is>
          <t>SOLLEFTEÅ</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42512-2023</t>
        </is>
      </c>
      <c r="B1871" s="1" t="n">
        <v>45180.95953703704</v>
      </c>
      <c r="C1871" s="1" t="n">
        <v>46075</v>
      </c>
      <c r="D1871" t="inlineStr">
        <is>
          <t>VÄSTERNORRLANDS LÄN</t>
        </is>
      </c>
      <c r="E1871" t="inlineStr">
        <is>
          <t>SOLLEFTEÅ</t>
        </is>
      </c>
      <c r="F1871" t="inlineStr">
        <is>
          <t>SCA</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2080-2026</t>
        </is>
      </c>
      <c r="B1872" s="1" t="n">
        <v>46036.35287037037</v>
      </c>
      <c r="C1872" s="1" t="n">
        <v>46075</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44591-2024</t>
        </is>
      </c>
      <c r="B1873" s="1" t="n">
        <v>45574</v>
      </c>
      <c r="C1873" s="1" t="n">
        <v>46075</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59635-2025</t>
        </is>
      </c>
      <c r="B1874" s="1" t="n">
        <v>45992.4065625</v>
      </c>
      <c r="C1874" s="1" t="n">
        <v>46075</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60645-2025</t>
        </is>
      </c>
      <c r="B1875" s="1" t="n">
        <v>45996.44834490741</v>
      </c>
      <c r="C1875" s="1" t="n">
        <v>46075</v>
      </c>
      <c r="D1875" t="inlineStr">
        <is>
          <t>VÄSTERNORRLANDS LÄN</t>
        </is>
      </c>
      <c r="E1875" t="inlineStr">
        <is>
          <t>SOLLEFTEÅ</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60764-2025</t>
        </is>
      </c>
      <c r="B1876" s="1" t="n">
        <v>45999.38659722222</v>
      </c>
      <c r="C1876" s="1" t="n">
        <v>46075</v>
      </c>
      <c r="D1876" t="inlineStr">
        <is>
          <t>VÄSTERNORRLANDS LÄN</t>
        </is>
      </c>
      <c r="E1876" t="inlineStr">
        <is>
          <t>SOLLEFTEÅ</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60854-2025</t>
        </is>
      </c>
      <c r="B1877" s="1" t="n">
        <v>45999</v>
      </c>
      <c r="C1877" s="1" t="n">
        <v>46075</v>
      </c>
      <c r="D1877" t="inlineStr">
        <is>
          <t>VÄSTERNORRLANDS LÄN</t>
        </is>
      </c>
      <c r="E1877" t="inlineStr">
        <is>
          <t>SOLLEFTEÅ</t>
        </is>
      </c>
      <c r="F1877" t="inlineStr">
        <is>
          <t>SCA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60591-2025</t>
        </is>
      </c>
      <c r="B1878" s="1" t="n">
        <v>45996.34302083333</v>
      </c>
      <c r="C1878" s="1" t="n">
        <v>46075</v>
      </c>
      <c r="D1878" t="inlineStr">
        <is>
          <t>VÄSTERNORRLANDS LÄN</t>
        </is>
      </c>
      <c r="E1878" t="inlineStr">
        <is>
          <t>SOLLEFTEÅ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3179-2026</t>
        </is>
      </c>
      <c r="B1879" s="1" t="n">
        <v>46041.44837962963</v>
      </c>
      <c r="C1879" s="1" t="n">
        <v>46075</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31177-2023</t>
        </is>
      </c>
      <c r="B1880" s="1" t="n">
        <v>45113</v>
      </c>
      <c r="C1880" s="1" t="n">
        <v>46075</v>
      </c>
      <c r="D1880" t="inlineStr">
        <is>
          <t>VÄSTERNORRLANDS LÄN</t>
        </is>
      </c>
      <c r="E1880" t="inlineStr">
        <is>
          <t>SOLLEFTEÅ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53669-2023</t>
        </is>
      </c>
      <c r="B1881" s="1" t="n">
        <v>45230</v>
      </c>
      <c r="C1881" s="1" t="n">
        <v>46075</v>
      </c>
      <c r="D1881" t="inlineStr">
        <is>
          <t>VÄSTERNORRLANDS LÄN</t>
        </is>
      </c>
      <c r="E1881" t="inlineStr">
        <is>
          <t>SOLLEFTEÅ</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60803-2025</t>
        </is>
      </c>
      <c r="B1882" s="1" t="n">
        <v>45999.43230324074</v>
      </c>
      <c r="C1882" s="1" t="n">
        <v>46075</v>
      </c>
      <c r="D1882" t="inlineStr">
        <is>
          <t>VÄSTERNORRLANDS LÄN</t>
        </is>
      </c>
      <c r="E1882" t="inlineStr">
        <is>
          <t>SOLLEFTEÅ</t>
        </is>
      </c>
      <c r="F1882" t="inlineStr">
        <is>
          <t>Holmen skog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60956-2025</t>
        </is>
      </c>
      <c r="B1883" s="1" t="n">
        <v>45999.65674768519</v>
      </c>
      <c r="C1883" s="1" t="n">
        <v>46075</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23287-2023</t>
        </is>
      </c>
      <c r="B1884" s="1" t="n">
        <v>45075</v>
      </c>
      <c r="C1884" s="1" t="n">
        <v>46075</v>
      </c>
      <c r="D1884" t="inlineStr">
        <is>
          <t>VÄSTERNORRLANDS LÄN</t>
        </is>
      </c>
      <c r="E1884" t="inlineStr">
        <is>
          <t>SOLLEFTEÅ</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3210-2026</t>
        </is>
      </c>
      <c r="B1885" s="1" t="n">
        <v>46041.48989583334</v>
      </c>
      <c r="C1885" s="1" t="n">
        <v>46075</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37197-2024</t>
        </is>
      </c>
      <c r="B1886" s="1" t="n">
        <v>45539</v>
      </c>
      <c r="C1886" s="1" t="n">
        <v>46075</v>
      </c>
      <c r="D1886" t="inlineStr">
        <is>
          <t>VÄSTERNORRLANDS LÄN</t>
        </is>
      </c>
      <c r="E1886" t="inlineStr">
        <is>
          <t>SOLLEFTEÅ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46075</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3052-2026</t>
        </is>
      </c>
      <c r="B1888" s="1" t="n">
        <v>46039.26511574074</v>
      </c>
      <c r="C1888" s="1" t="n">
        <v>46075</v>
      </c>
      <c r="D1888" t="inlineStr">
        <is>
          <t>VÄSTERNORRLANDS LÄN</t>
        </is>
      </c>
      <c r="E1888" t="inlineStr">
        <is>
          <t>SOLLEFTEÅ</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2834-2026</t>
        </is>
      </c>
      <c r="B1889" s="1" t="n">
        <v>46036</v>
      </c>
      <c r="C1889" s="1" t="n">
        <v>46075</v>
      </c>
      <c r="D1889" t="inlineStr">
        <is>
          <t>VÄSTERNORRLANDS LÄN</t>
        </is>
      </c>
      <c r="E1889" t="inlineStr">
        <is>
          <t>SOLLEFTEÅ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60761-2025</t>
        </is>
      </c>
      <c r="B1890" s="1" t="n">
        <v>45999.3862037037</v>
      </c>
      <c r="C1890" s="1" t="n">
        <v>46075</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60709-2025</t>
        </is>
      </c>
      <c r="B1891" s="1" t="n">
        <v>45996.62238425926</v>
      </c>
      <c r="C1891" s="1" t="n">
        <v>46075</v>
      </c>
      <c r="D1891" t="inlineStr">
        <is>
          <t>VÄSTERNORRLANDS LÄN</t>
        </is>
      </c>
      <c r="E1891" t="inlineStr">
        <is>
          <t>SOLLEFTEÅ</t>
        </is>
      </c>
      <c r="F1891" t="inlineStr">
        <is>
          <t>Holmen skog AB</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2987-2026</t>
        </is>
      </c>
      <c r="B1892" s="1" t="n">
        <v>46038.63591435185</v>
      </c>
      <c r="C1892" s="1" t="n">
        <v>46075</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3229-2026</t>
        </is>
      </c>
      <c r="B1893" s="1" t="n">
        <v>46041.55244212963</v>
      </c>
      <c r="C1893" s="1" t="n">
        <v>46075</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18456-2023</t>
        </is>
      </c>
      <c r="B1894" s="1" t="n">
        <v>45041</v>
      </c>
      <c r="C1894" s="1" t="n">
        <v>46075</v>
      </c>
      <c r="D1894" t="inlineStr">
        <is>
          <t>VÄSTERNORRLANDS LÄN</t>
        </is>
      </c>
      <c r="E1894" t="inlineStr">
        <is>
          <t>SOLLEFTEÅ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2836-2026</t>
        </is>
      </c>
      <c r="B1895" s="1" t="n">
        <v>46036</v>
      </c>
      <c r="C1895" s="1" t="n">
        <v>46075</v>
      </c>
      <c r="D1895" t="inlineStr">
        <is>
          <t>VÄSTERNORRLANDS LÄN</t>
        </is>
      </c>
      <c r="E1895" t="inlineStr">
        <is>
          <t>SOLLEFTEÅ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60597-2025</t>
        </is>
      </c>
      <c r="B1896" s="1" t="n">
        <v>45996</v>
      </c>
      <c r="C1896" s="1" t="n">
        <v>46075</v>
      </c>
      <c r="D1896" t="inlineStr">
        <is>
          <t>VÄSTERNORRLANDS LÄN</t>
        </is>
      </c>
      <c r="E1896" t="inlineStr">
        <is>
          <t>SOLLEFTEÅ</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54532-2024</t>
        </is>
      </c>
      <c r="B1897" s="1" t="n">
        <v>45617.60480324074</v>
      </c>
      <c r="C1897" s="1" t="n">
        <v>46075</v>
      </c>
      <c r="D1897" t="inlineStr">
        <is>
          <t>VÄSTERNORRLANDS LÄN</t>
        </is>
      </c>
      <c r="E1897" t="inlineStr">
        <is>
          <t>SOLLEFTEÅ</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48606-2024</t>
        </is>
      </c>
      <c r="B1898" s="1" t="n">
        <v>45593.4485300926</v>
      </c>
      <c r="C1898" s="1" t="n">
        <v>46075</v>
      </c>
      <c r="D1898" t="inlineStr">
        <is>
          <t>VÄSTERNORRLANDS LÄN</t>
        </is>
      </c>
      <c r="E1898" t="inlineStr">
        <is>
          <t>SOLLEFTEÅ</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60677-2025</t>
        </is>
      </c>
      <c r="B1899" s="1" t="n">
        <v>45996.56097222222</v>
      </c>
      <c r="C1899" s="1" t="n">
        <v>46075</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6065-2024</t>
        </is>
      </c>
      <c r="B1900" s="1" t="n">
        <v>45336.87826388889</v>
      </c>
      <c r="C1900" s="1" t="n">
        <v>46075</v>
      </c>
      <c r="D1900" t="inlineStr">
        <is>
          <t>VÄSTERNORRLANDS LÄN</t>
        </is>
      </c>
      <c r="E1900" t="inlineStr">
        <is>
          <t>SOLLEFTEÅ</t>
        </is>
      </c>
      <c r="F1900" t="inlineStr">
        <is>
          <t>Övriga Aktiebolag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3274-2026</t>
        </is>
      </c>
      <c r="B1901" s="1" t="n">
        <v>46041.61489583334</v>
      </c>
      <c r="C1901" s="1" t="n">
        <v>46075</v>
      </c>
      <c r="D1901" t="inlineStr">
        <is>
          <t>VÄSTERNORRLANDS LÄN</t>
        </is>
      </c>
      <c r="E1901" t="inlineStr">
        <is>
          <t>SOLLEFTEÅ</t>
        </is>
      </c>
      <c r="G1901" t="n">
        <v>14.7</v>
      </c>
      <c r="H1901" t="n">
        <v>0</v>
      </c>
      <c r="I1901" t="n">
        <v>0</v>
      </c>
      <c r="J1901" t="n">
        <v>0</v>
      </c>
      <c r="K1901" t="n">
        <v>0</v>
      </c>
      <c r="L1901" t="n">
        <v>0</v>
      </c>
      <c r="M1901" t="n">
        <v>0</v>
      </c>
      <c r="N1901" t="n">
        <v>0</v>
      </c>
      <c r="O1901" t="n">
        <v>0</v>
      </c>
      <c r="P1901" t="n">
        <v>0</v>
      </c>
      <c r="Q1901" t="n">
        <v>0</v>
      </c>
      <c r="R1901" s="2" t="inlineStr"/>
    </row>
    <row r="1902" ht="15" customHeight="1">
      <c r="A1902" t="inlineStr">
        <is>
          <t>A 3314-2026</t>
        </is>
      </c>
      <c r="B1902" s="1" t="n">
        <v>46041</v>
      </c>
      <c r="C1902" s="1" t="n">
        <v>46075</v>
      </c>
      <c r="D1902" t="inlineStr">
        <is>
          <t>VÄSTERNORRLANDS LÄN</t>
        </is>
      </c>
      <c r="E1902" t="inlineStr">
        <is>
          <t>SOLLEFTEÅ</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54485-2024</t>
        </is>
      </c>
      <c r="B1903" s="1" t="n">
        <v>45617.5625462963</v>
      </c>
      <c r="C1903" s="1" t="n">
        <v>46075</v>
      </c>
      <c r="D1903" t="inlineStr">
        <is>
          <t>VÄSTERNORRLANDS LÄN</t>
        </is>
      </c>
      <c r="E1903" t="inlineStr">
        <is>
          <t>SOLLEFTEÅ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60601-2025</t>
        </is>
      </c>
      <c r="B1904" s="1" t="n">
        <v>45996.3521412037</v>
      </c>
      <c r="C1904" s="1" t="n">
        <v>46075</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14875-2023</t>
        </is>
      </c>
      <c r="B1905" s="1" t="n">
        <v>45015.07292824074</v>
      </c>
      <c r="C1905" s="1" t="n">
        <v>46075</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3398-2026</t>
        </is>
      </c>
      <c r="B1906" s="1" t="n">
        <v>46042.38586805556</v>
      </c>
      <c r="C1906" s="1" t="n">
        <v>46075</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14975-2024</t>
        </is>
      </c>
      <c r="B1907" s="1" t="n">
        <v>45398.94100694444</v>
      </c>
      <c r="C1907" s="1" t="n">
        <v>46075</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14983-2024</t>
        </is>
      </c>
      <c r="B1908" s="1" t="n">
        <v>45398.94237268518</v>
      </c>
      <c r="C1908" s="1" t="n">
        <v>46075</v>
      </c>
      <c r="D1908" t="inlineStr">
        <is>
          <t>VÄSTERNORRLANDS LÄN</t>
        </is>
      </c>
      <c r="E1908" t="inlineStr">
        <is>
          <t>SOLLEFTEÅ</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50721-2024</t>
        </is>
      </c>
      <c r="B1909" s="1" t="n">
        <v>45602.3863425926</v>
      </c>
      <c r="C1909" s="1" t="n">
        <v>46075</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3400-2026</t>
        </is>
      </c>
      <c r="B1910" s="1" t="n">
        <v>46042.38619212963</v>
      </c>
      <c r="C1910" s="1" t="n">
        <v>46075</v>
      </c>
      <c r="D1910" t="inlineStr">
        <is>
          <t>VÄSTERNORRLANDS LÄN</t>
        </is>
      </c>
      <c r="E1910" t="inlineStr">
        <is>
          <t>SOLLEFTEÅ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15621-2025</t>
        </is>
      </c>
      <c r="B1911" s="1" t="n">
        <v>45748.35635416667</v>
      </c>
      <c r="C1911" s="1" t="n">
        <v>46075</v>
      </c>
      <c r="D1911" t="inlineStr">
        <is>
          <t>VÄSTERNORRLANDS LÄN</t>
        </is>
      </c>
      <c r="E1911" t="inlineStr">
        <is>
          <t>SOLLEFTEÅ</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53477-2024</t>
        </is>
      </c>
      <c r="B1912" s="1" t="n">
        <v>45611</v>
      </c>
      <c r="C1912" s="1" t="n">
        <v>46075</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1986-2025</t>
        </is>
      </c>
      <c r="B1913" s="1" t="n">
        <v>45672.40684027778</v>
      </c>
      <c r="C1913" s="1" t="n">
        <v>46075</v>
      </c>
      <c r="D1913" t="inlineStr">
        <is>
          <t>VÄSTERNORRLANDS LÄN</t>
        </is>
      </c>
      <c r="E1913" t="inlineStr">
        <is>
          <t>SOLLEFTEÅ</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16492-2025</t>
        </is>
      </c>
      <c r="B1914" s="1" t="n">
        <v>45751.59414351852</v>
      </c>
      <c r="C1914" s="1" t="n">
        <v>46075</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7330-2023</t>
        </is>
      </c>
      <c r="B1915" s="1" t="n">
        <v>44970.97920138889</v>
      </c>
      <c r="C1915" s="1" t="n">
        <v>46075</v>
      </c>
      <c r="D1915" t="inlineStr">
        <is>
          <t>VÄSTERNORRLANDS LÄN</t>
        </is>
      </c>
      <c r="E1915" t="inlineStr">
        <is>
          <t>SOLLEFTEÅ</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7333-2023</t>
        </is>
      </c>
      <c r="B1916" s="1" t="n">
        <v>44970.97947916666</v>
      </c>
      <c r="C1916" s="1" t="n">
        <v>46075</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3805-2026</t>
        </is>
      </c>
      <c r="B1917" s="1" t="n">
        <v>46043.58320601852</v>
      </c>
      <c r="C1917" s="1" t="n">
        <v>46075</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3426-2026</t>
        </is>
      </c>
      <c r="B1918" s="1" t="n">
        <v>46042.44835648148</v>
      </c>
      <c r="C1918" s="1" t="n">
        <v>46075</v>
      </c>
      <c r="D1918" t="inlineStr">
        <is>
          <t>VÄSTERNORRLANDS LÄN</t>
        </is>
      </c>
      <c r="E1918" t="inlineStr">
        <is>
          <t>SOLLEFTEÅ</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61488-2025</t>
        </is>
      </c>
      <c r="B1919" s="1" t="n">
        <v>46001.63652777778</v>
      </c>
      <c r="C1919" s="1" t="n">
        <v>46075</v>
      </c>
      <c r="D1919" t="inlineStr">
        <is>
          <t>VÄSTERNORRLANDS LÄN</t>
        </is>
      </c>
      <c r="E1919" t="inlineStr">
        <is>
          <t>SOLLEFTEÅ</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61523-2025</t>
        </is>
      </c>
      <c r="B1920" s="1" t="n">
        <v>46001.68748842592</v>
      </c>
      <c r="C1920" s="1" t="n">
        <v>46075</v>
      </c>
      <c r="D1920" t="inlineStr">
        <is>
          <t>VÄSTERNORRLANDS LÄN</t>
        </is>
      </c>
      <c r="E1920" t="inlineStr">
        <is>
          <t>SOLLEFTEÅ</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4905-2025</t>
        </is>
      </c>
      <c r="B1921" s="1" t="n">
        <v>45688.68043981482</v>
      </c>
      <c r="C1921" s="1" t="n">
        <v>46075</v>
      </c>
      <c r="D1921" t="inlineStr">
        <is>
          <t>VÄSTERNORRLANDS LÄN</t>
        </is>
      </c>
      <c r="E1921" t="inlineStr">
        <is>
          <t>SOLLEFTEÅ</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56204-2024</t>
        </is>
      </c>
      <c r="B1922" s="1" t="n">
        <v>45624</v>
      </c>
      <c r="C1922" s="1" t="n">
        <v>46075</v>
      </c>
      <c r="D1922" t="inlineStr">
        <is>
          <t>VÄSTERNORRLANDS LÄN</t>
        </is>
      </c>
      <c r="E1922" t="inlineStr">
        <is>
          <t>SOLLEFTEÅ</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2346-2025</t>
        </is>
      </c>
      <c r="B1923" s="1" t="n">
        <v>45673.67767361111</v>
      </c>
      <c r="C1923" s="1" t="n">
        <v>46075</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55149-2024</t>
        </is>
      </c>
      <c r="B1924" s="1" t="n">
        <v>45621.49055555555</v>
      </c>
      <c r="C1924" s="1" t="n">
        <v>46075</v>
      </c>
      <c r="D1924" t="inlineStr">
        <is>
          <t>VÄSTERNORRLANDS LÄN</t>
        </is>
      </c>
      <c r="E1924" t="inlineStr">
        <is>
          <t>SOLLEFTEÅ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61265-2025</t>
        </is>
      </c>
      <c r="B1925" s="1" t="n">
        <v>46000.67771990741</v>
      </c>
      <c r="C1925" s="1" t="n">
        <v>46075</v>
      </c>
      <c r="D1925" t="inlineStr">
        <is>
          <t>VÄSTERNORRLANDS LÄN</t>
        </is>
      </c>
      <c r="E1925" t="inlineStr">
        <is>
          <t>SOLLEFTEÅ</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61347-2025</t>
        </is>
      </c>
      <c r="B1926" s="1" t="n">
        <v>46001.3863425926</v>
      </c>
      <c r="C1926" s="1" t="n">
        <v>46075</v>
      </c>
      <c r="D1926" t="inlineStr">
        <is>
          <t>VÄSTERNORRLANDS LÄN</t>
        </is>
      </c>
      <c r="E1926" t="inlineStr">
        <is>
          <t>SOLLEFTEÅ</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34284-2023</t>
        </is>
      </c>
      <c r="B1927" s="1" t="n">
        <v>45128</v>
      </c>
      <c r="C1927" s="1" t="n">
        <v>46075</v>
      </c>
      <c r="D1927" t="inlineStr">
        <is>
          <t>VÄSTERNORRLANDS LÄN</t>
        </is>
      </c>
      <c r="E1927" t="inlineStr">
        <is>
          <t>SOLLEFTEÅ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3807-2026</t>
        </is>
      </c>
      <c r="B1928" s="1" t="n">
        <v>46043.5834375</v>
      </c>
      <c r="C1928" s="1" t="n">
        <v>46075</v>
      </c>
      <c r="D1928" t="inlineStr">
        <is>
          <t>VÄSTERNORRLANDS LÄN</t>
        </is>
      </c>
      <c r="E1928" t="inlineStr">
        <is>
          <t>SOLLEFTEÅ</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54235-2024</t>
        </is>
      </c>
      <c r="B1929" s="1" t="n">
        <v>45616.67806712963</v>
      </c>
      <c r="C1929" s="1" t="n">
        <v>46075</v>
      </c>
      <c r="D1929" t="inlineStr">
        <is>
          <t>VÄSTERNORRLANDS LÄN</t>
        </is>
      </c>
      <c r="E1929" t="inlineStr">
        <is>
          <t>SOLLEFTEÅ</t>
        </is>
      </c>
      <c r="F1929" t="inlineStr">
        <is>
          <t>SCA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61485-2025</t>
        </is>
      </c>
      <c r="B1930" s="1" t="n">
        <v>46001.63587962963</v>
      </c>
      <c r="C1930" s="1" t="n">
        <v>46075</v>
      </c>
      <c r="D1930" t="inlineStr">
        <is>
          <t>VÄSTERNORRLANDS LÄN</t>
        </is>
      </c>
      <c r="E1930" t="inlineStr">
        <is>
          <t>SOLLEFTEÅ</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31547-2024</t>
        </is>
      </c>
      <c r="B1931" s="1" t="n">
        <v>45505.96362268519</v>
      </c>
      <c r="C1931" s="1" t="n">
        <v>46075</v>
      </c>
      <c r="D1931" t="inlineStr">
        <is>
          <t>VÄSTERNORRLANDS LÄN</t>
        </is>
      </c>
      <c r="E1931" t="inlineStr">
        <is>
          <t>SOLLEFTEÅ</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1030-2025</t>
        </is>
      </c>
      <c r="B1932" s="1" t="n">
        <v>45666</v>
      </c>
      <c r="C1932" s="1" t="n">
        <v>46075</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14731-2025</t>
        </is>
      </c>
      <c r="B1933" s="1" t="n">
        <v>45742.6360300926</v>
      </c>
      <c r="C1933" s="1" t="n">
        <v>46075</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3812-2026</t>
        </is>
      </c>
      <c r="B1934" s="1" t="n">
        <v>46043.58417824074</v>
      </c>
      <c r="C1934" s="1" t="n">
        <v>46075</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51711-2025</t>
        </is>
      </c>
      <c r="B1935" s="1" t="n">
        <v>45951.57133101852</v>
      </c>
      <c r="C1935" s="1" t="n">
        <v>46075</v>
      </c>
      <c r="D1935" t="inlineStr">
        <is>
          <t>VÄSTERNORRLANDS LÄN</t>
        </is>
      </c>
      <c r="E1935" t="inlineStr">
        <is>
          <t>SOLLEFTEÅ</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61062-2025</t>
        </is>
      </c>
      <c r="B1936" s="1" t="n">
        <v>46000.36528935185</v>
      </c>
      <c r="C1936" s="1" t="n">
        <v>46075</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3425-2026</t>
        </is>
      </c>
      <c r="B1937" s="1" t="n">
        <v>46042.44827546296</v>
      </c>
      <c r="C1937" s="1" t="n">
        <v>46075</v>
      </c>
      <c r="D1937" t="inlineStr">
        <is>
          <t>VÄSTERNORRLANDS LÄN</t>
        </is>
      </c>
      <c r="E1937" t="inlineStr">
        <is>
          <t>SOLLEFTEÅ</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31925-2023</t>
        </is>
      </c>
      <c r="B1938" s="1" t="n">
        <v>45118</v>
      </c>
      <c r="C1938" s="1" t="n">
        <v>46075</v>
      </c>
      <c r="D1938" t="inlineStr">
        <is>
          <t>VÄSTERNORRLANDS LÄN</t>
        </is>
      </c>
      <c r="E1938" t="inlineStr">
        <is>
          <t>SOLLEFTEÅ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469-2025</t>
        </is>
      </c>
      <c r="B1939" s="1" t="n">
        <v>45664</v>
      </c>
      <c r="C1939" s="1" t="n">
        <v>46075</v>
      </c>
      <c r="D1939" t="inlineStr">
        <is>
          <t>VÄSTERNORRLANDS LÄN</t>
        </is>
      </c>
      <c r="E1939" t="inlineStr">
        <is>
          <t>SOLLEFTEÅ</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3324-2025</t>
        </is>
      </c>
      <c r="B1940" s="1" t="n">
        <v>45679.69924768519</v>
      </c>
      <c r="C1940" s="1" t="n">
        <v>46075</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6876-2025</t>
        </is>
      </c>
      <c r="B1941" s="1" t="n">
        <v>45701.34446759259</v>
      </c>
      <c r="C1941" s="1" t="n">
        <v>46075</v>
      </c>
      <c r="D1941" t="inlineStr">
        <is>
          <t>VÄSTERNORRLANDS LÄN</t>
        </is>
      </c>
      <c r="E1941" t="inlineStr">
        <is>
          <t>SOLLEFTEÅ</t>
        </is>
      </c>
      <c r="F1941" t="inlineStr">
        <is>
          <t>SCA</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46759-2024</t>
        </is>
      </c>
      <c r="B1942" s="1" t="n">
        <v>45583.49101851852</v>
      </c>
      <c r="C1942" s="1" t="n">
        <v>46075</v>
      </c>
      <c r="D1942" t="inlineStr">
        <is>
          <t>VÄSTERNORRLANDS LÄN</t>
        </is>
      </c>
      <c r="E1942" t="inlineStr">
        <is>
          <t>SOLLEFTEÅ</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59424-2024</t>
        </is>
      </c>
      <c r="B1943" s="1" t="n">
        <v>45638</v>
      </c>
      <c r="C1943" s="1" t="n">
        <v>46075</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59434-2024</t>
        </is>
      </c>
      <c r="B1944" s="1" t="n">
        <v>45638.43040509259</v>
      </c>
      <c r="C1944" s="1" t="n">
        <v>46075</v>
      </c>
      <c r="D1944" t="inlineStr">
        <is>
          <t>VÄSTERNORRLANDS LÄN</t>
        </is>
      </c>
      <c r="E1944" t="inlineStr">
        <is>
          <t>SOLLEFTEÅ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50655-2022</t>
        </is>
      </c>
      <c r="B1945" s="1" t="n">
        <v>44866</v>
      </c>
      <c r="C1945" s="1" t="n">
        <v>46075</v>
      </c>
      <c r="D1945" t="inlineStr">
        <is>
          <t>VÄSTERNORRLANDS LÄN</t>
        </is>
      </c>
      <c r="E1945" t="inlineStr">
        <is>
          <t>SOLLEFTEÅ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61428-2025</t>
        </is>
      </c>
      <c r="B1946" s="1" t="n">
        <v>46001.55237268518</v>
      </c>
      <c r="C1946" s="1" t="n">
        <v>46075</v>
      </c>
      <c r="D1946" t="inlineStr">
        <is>
          <t>VÄSTERNORRLANDS LÄN</t>
        </is>
      </c>
      <c r="E1946" t="inlineStr">
        <is>
          <t>SOLLEFTEÅ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10926-2022</t>
        </is>
      </c>
      <c r="B1947" s="1" t="n">
        <v>44627.94447916667</v>
      </c>
      <c r="C1947" s="1" t="n">
        <v>46075</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3584-2026</t>
        </is>
      </c>
      <c r="B1948" s="1" t="n">
        <v>46042.73206018518</v>
      </c>
      <c r="C1948" s="1" t="n">
        <v>46075</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61442-2025</t>
        </is>
      </c>
      <c r="B1949" s="1" t="n">
        <v>46001</v>
      </c>
      <c r="C1949" s="1" t="n">
        <v>46075</v>
      </c>
      <c r="D1949" t="inlineStr">
        <is>
          <t>VÄSTERNORRLANDS LÄN</t>
        </is>
      </c>
      <c r="E1949" t="inlineStr">
        <is>
          <t>SOLLEFTEÅ</t>
        </is>
      </c>
      <c r="F1949" t="inlineStr">
        <is>
          <t>SCA</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61061-2025</t>
        </is>
      </c>
      <c r="B1950" s="1" t="n">
        <v>46000.36512731481</v>
      </c>
      <c r="C1950" s="1" t="n">
        <v>46075</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61278-2025</t>
        </is>
      </c>
      <c r="B1951" s="1" t="n">
        <v>46000.69827546296</v>
      </c>
      <c r="C1951" s="1" t="n">
        <v>46075</v>
      </c>
      <c r="D1951" t="inlineStr">
        <is>
          <t>VÄSTERNORRLANDS LÄN</t>
        </is>
      </c>
      <c r="E1951" t="inlineStr">
        <is>
          <t>SOLLEFTEÅ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61280-2025</t>
        </is>
      </c>
      <c r="B1952" s="1" t="n">
        <v>46000.6985300926</v>
      </c>
      <c r="C1952" s="1" t="n">
        <v>46075</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61507-2025</t>
        </is>
      </c>
      <c r="B1953" s="1" t="n">
        <v>46001.68109953704</v>
      </c>
      <c r="C1953" s="1" t="n">
        <v>46075</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3435-2026</t>
        </is>
      </c>
      <c r="B1954" s="1" t="n">
        <v>46042.46942129629</v>
      </c>
      <c r="C1954" s="1" t="n">
        <v>46075</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3436-2026</t>
        </is>
      </c>
      <c r="B1955" s="1" t="n">
        <v>46042.46947916667</v>
      </c>
      <c r="C1955" s="1" t="n">
        <v>46075</v>
      </c>
      <c r="D1955" t="inlineStr">
        <is>
          <t>VÄSTERNORRLANDS LÄN</t>
        </is>
      </c>
      <c r="E1955" t="inlineStr">
        <is>
          <t>SOLLEFTEÅ</t>
        </is>
      </c>
      <c r="G1955" t="n">
        <v>18.4</v>
      </c>
      <c r="H1955" t="n">
        <v>0</v>
      </c>
      <c r="I1955" t="n">
        <v>0</v>
      </c>
      <c r="J1955" t="n">
        <v>0</v>
      </c>
      <c r="K1955" t="n">
        <v>0</v>
      </c>
      <c r="L1955" t="n">
        <v>0</v>
      </c>
      <c r="M1955" t="n">
        <v>0</v>
      </c>
      <c r="N1955" t="n">
        <v>0</v>
      </c>
      <c r="O1955" t="n">
        <v>0</v>
      </c>
      <c r="P1955" t="n">
        <v>0</v>
      </c>
      <c r="Q1955" t="n">
        <v>0</v>
      </c>
      <c r="R1955" s="2" t="inlineStr"/>
    </row>
    <row r="1956" ht="15" customHeight="1">
      <c r="A1956" t="inlineStr">
        <is>
          <t>A 61242-2025</t>
        </is>
      </c>
      <c r="B1956" s="1" t="n">
        <v>46000</v>
      </c>
      <c r="C1956" s="1" t="n">
        <v>46075</v>
      </c>
      <c r="D1956" t="inlineStr">
        <is>
          <t>VÄSTERNORRLANDS LÄN</t>
        </is>
      </c>
      <c r="E1956" t="inlineStr">
        <is>
          <t>SOLLEFTEÅ</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61333-2025</t>
        </is>
      </c>
      <c r="B1957" s="1" t="n">
        <v>46001.34421296296</v>
      </c>
      <c r="C1957" s="1" t="n">
        <v>46075</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21191-2022</t>
        </is>
      </c>
      <c r="B1958" s="1" t="n">
        <v>44704.94193287037</v>
      </c>
      <c r="C1958" s="1" t="n">
        <v>46075</v>
      </c>
      <c r="D1958" t="inlineStr">
        <is>
          <t>VÄSTERNORRLANDS LÄN</t>
        </is>
      </c>
      <c r="E1958" t="inlineStr">
        <is>
          <t>SOLLEFTEÅ</t>
        </is>
      </c>
      <c r="F1958" t="inlineStr">
        <is>
          <t>SCA</t>
        </is>
      </c>
      <c r="G1958" t="n">
        <v>26.5</v>
      </c>
      <c r="H1958" t="n">
        <v>0</v>
      </c>
      <c r="I1958" t="n">
        <v>0</v>
      </c>
      <c r="J1958" t="n">
        <v>0</v>
      </c>
      <c r="K1958" t="n">
        <v>0</v>
      </c>
      <c r="L1958" t="n">
        <v>0</v>
      </c>
      <c r="M1958" t="n">
        <v>0</v>
      </c>
      <c r="N1958" t="n">
        <v>0</v>
      </c>
      <c r="O1958" t="n">
        <v>0</v>
      </c>
      <c r="P1958" t="n">
        <v>0</v>
      </c>
      <c r="Q1958" t="n">
        <v>0</v>
      </c>
      <c r="R1958" s="2" t="inlineStr"/>
    </row>
    <row r="1959" ht="15" customHeight="1">
      <c r="A1959" t="inlineStr">
        <is>
          <t>A 4052-2026</t>
        </is>
      </c>
      <c r="B1959" s="1" t="n">
        <v>46044.47467592593</v>
      </c>
      <c r="C1959" s="1" t="n">
        <v>46075</v>
      </c>
      <c r="D1959" t="inlineStr">
        <is>
          <t>VÄSTERNORRLANDS LÄN</t>
        </is>
      </c>
      <c r="E1959" t="inlineStr">
        <is>
          <t>SOLLEFTEÅ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61832-2025</t>
        </is>
      </c>
      <c r="B1960" s="1" t="n">
        <v>46003.34456018519</v>
      </c>
      <c r="C1960" s="1" t="n">
        <v>46075</v>
      </c>
      <c r="D1960" t="inlineStr">
        <is>
          <t>VÄSTERNORRLANDS LÄN</t>
        </is>
      </c>
      <c r="E1960" t="inlineStr">
        <is>
          <t>SOLLEFTEÅ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37046-2024</t>
        </is>
      </c>
      <c r="B1961" s="1" t="n">
        <v>45539.42739583334</v>
      </c>
      <c r="C1961" s="1" t="n">
        <v>46075</v>
      </c>
      <c r="D1961" t="inlineStr">
        <is>
          <t>VÄSTERNORRLANDS LÄN</t>
        </is>
      </c>
      <c r="E1961" t="inlineStr">
        <is>
          <t>SOLLEFTEÅ</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61915-2025</t>
        </is>
      </c>
      <c r="B1962" s="1" t="n">
        <v>46003.49025462963</v>
      </c>
      <c r="C1962" s="1" t="n">
        <v>46075</v>
      </c>
      <c r="D1962" t="inlineStr">
        <is>
          <t>VÄSTERNORRLANDS LÄN</t>
        </is>
      </c>
      <c r="E1962" t="inlineStr">
        <is>
          <t>SOLLEFTEÅ</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61920-2025</t>
        </is>
      </c>
      <c r="B1963" s="1" t="n">
        <v>46003.51108796296</v>
      </c>
      <c r="C1963" s="1" t="n">
        <v>46075</v>
      </c>
      <c r="D1963" t="inlineStr">
        <is>
          <t>VÄSTERNORRLANDS LÄN</t>
        </is>
      </c>
      <c r="E1963" t="inlineStr">
        <is>
          <t>SOLLEFTEÅ</t>
        </is>
      </c>
      <c r="F1963" t="inlineStr">
        <is>
          <t>SCA</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60426-2025</t>
        </is>
      </c>
      <c r="B1964" s="1" t="n">
        <v>45995.46984953704</v>
      </c>
      <c r="C1964" s="1" t="n">
        <v>46075</v>
      </c>
      <c r="D1964" t="inlineStr">
        <is>
          <t>VÄSTERNORRLANDS LÄN</t>
        </is>
      </c>
      <c r="E1964" t="inlineStr">
        <is>
          <t>SOLLEFTEÅ</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4461-2026</t>
        </is>
      </c>
      <c r="B1965" s="1" t="n">
        <v>46045.65018518519</v>
      </c>
      <c r="C1965" s="1" t="n">
        <v>46075</v>
      </c>
      <c r="D1965" t="inlineStr">
        <is>
          <t>VÄSTERNORRLANDS LÄN</t>
        </is>
      </c>
      <c r="E1965" t="inlineStr">
        <is>
          <t>SOLLEFTEÅ</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61953-2025</t>
        </is>
      </c>
      <c r="B1966" s="1" t="n">
        <v>46003.57358796296</v>
      </c>
      <c r="C1966" s="1" t="n">
        <v>46075</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61980-2025</t>
        </is>
      </c>
      <c r="B1967" s="1" t="n">
        <v>46003.61520833334</v>
      </c>
      <c r="C1967" s="1" t="n">
        <v>46075</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61861-2025</t>
        </is>
      </c>
      <c r="B1968" s="1" t="n">
        <v>46003.3868287037</v>
      </c>
      <c r="C1968" s="1" t="n">
        <v>46075</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50688-2023</t>
        </is>
      </c>
      <c r="B1969" s="1" t="n">
        <v>45210</v>
      </c>
      <c r="C1969" s="1" t="n">
        <v>46075</v>
      </c>
      <c r="D1969" t="inlineStr">
        <is>
          <t>VÄSTERNORRLANDS LÄN</t>
        </is>
      </c>
      <c r="E1969" t="inlineStr">
        <is>
          <t>SOLLEFTEÅ</t>
        </is>
      </c>
      <c r="G1969" t="n">
        <v>15.6</v>
      </c>
      <c r="H1969" t="n">
        <v>0</v>
      </c>
      <c r="I1969" t="n">
        <v>0</v>
      </c>
      <c r="J1969" t="n">
        <v>0</v>
      </c>
      <c r="K1969" t="n">
        <v>0</v>
      </c>
      <c r="L1969" t="n">
        <v>0</v>
      </c>
      <c r="M1969" t="n">
        <v>0</v>
      </c>
      <c r="N1969" t="n">
        <v>0</v>
      </c>
      <c r="O1969" t="n">
        <v>0</v>
      </c>
      <c r="P1969" t="n">
        <v>0</v>
      </c>
      <c r="Q1969" t="n">
        <v>0</v>
      </c>
      <c r="R1969" s="2" t="inlineStr"/>
    </row>
    <row r="1970" ht="15" customHeight="1">
      <c r="A1970" t="inlineStr">
        <is>
          <t>A 2076-2026</t>
        </is>
      </c>
      <c r="B1970" s="1" t="n">
        <v>46036</v>
      </c>
      <c r="C1970" s="1" t="n">
        <v>46075</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50745-2023</t>
        </is>
      </c>
      <c r="B1971" s="1" t="n">
        <v>45210</v>
      </c>
      <c r="C1971" s="1" t="n">
        <v>46075</v>
      </c>
      <c r="D1971" t="inlineStr">
        <is>
          <t>VÄSTERNORRLANDS LÄN</t>
        </is>
      </c>
      <c r="E1971" t="inlineStr">
        <is>
          <t>SOLLEFTEÅ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43772-2022</t>
        </is>
      </c>
      <c r="B1972" s="1" t="n">
        <v>44837</v>
      </c>
      <c r="C1972" s="1" t="n">
        <v>46075</v>
      </c>
      <c r="D1972" t="inlineStr">
        <is>
          <t>VÄSTERNORRLANDS LÄN</t>
        </is>
      </c>
      <c r="E1972" t="inlineStr">
        <is>
          <t>SOLLEFTEÅ</t>
        </is>
      </c>
      <c r="F1972" t="inlineStr">
        <is>
          <t>Kyrkan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61775-2025</t>
        </is>
      </c>
      <c r="B1973" s="1" t="n">
        <v>46002.65674768519</v>
      </c>
      <c r="C1973" s="1" t="n">
        <v>46075</v>
      </c>
      <c r="D1973" t="inlineStr">
        <is>
          <t>VÄSTERNORRLANDS LÄN</t>
        </is>
      </c>
      <c r="E1973" t="inlineStr">
        <is>
          <t>SOLLEFTEÅ</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48038-2024</t>
        </is>
      </c>
      <c r="B1974" s="1" t="n">
        <v>45589.49350694445</v>
      </c>
      <c r="C1974" s="1" t="n">
        <v>46075</v>
      </c>
      <c r="D1974" t="inlineStr">
        <is>
          <t>VÄSTERNORRLANDS LÄN</t>
        </is>
      </c>
      <c r="E1974" t="inlineStr">
        <is>
          <t>SOLLEFTEÅ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4722-2025</t>
        </is>
      </c>
      <c r="B1975" s="1" t="n">
        <v>45688.41627314815</v>
      </c>
      <c r="C1975" s="1" t="n">
        <v>46075</v>
      </c>
      <c r="D1975" t="inlineStr">
        <is>
          <t>VÄSTERNORRLANDS LÄN</t>
        </is>
      </c>
      <c r="E1975" t="inlineStr">
        <is>
          <t>SOLLEFTEÅ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4726-2025</t>
        </is>
      </c>
      <c r="B1976" s="1" t="n">
        <v>45688</v>
      </c>
      <c r="C1976" s="1" t="n">
        <v>46075</v>
      </c>
      <c r="D1976" t="inlineStr">
        <is>
          <t>VÄSTERNORRLANDS LÄN</t>
        </is>
      </c>
      <c r="E1976" t="inlineStr">
        <is>
          <t>SOLLEFTEÅ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6282-2024</t>
        </is>
      </c>
      <c r="B1977" s="1" t="n">
        <v>45337</v>
      </c>
      <c r="C1977" s="1" t="n">
        <v>46075</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61914-2025</t>
        </is>
      </c>
      <c r="B1978" s="1" t="n">
        <v>46003.49018518518</v>
      </c>
      <c r="C1978" s="1" t="n">
        <v>46075</v>
      </c>
      <c r="D1978" t="inlineStr">
        <is>
          <t>VÄSTERNORRLANDS LÄN</t>
        </is>
      </c>
      <c r="E1978" t="inlineStr">
        <is>
          <t>SOLLEFTEÅ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62001-2025</t>
        </is>
      </c>
      <c r="B1979" s="1" t="n">
        <v>46003.65665509259</v>
      </c>
      <c r="C1979" s="1" t="n">
        <v>46075</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4149-2026</t>
        </is>
      </c>
      <c r="B1980" s="1" t="n">
        <v>46044.64534722222</v>
      </c>
      <c r="C1980" s="1" t="n">
        <v>46075</v>
      </c>
      <c r="D1980" t="inlineStr">
        <is>
          <t>VÄSTERNORRLANDS LÄN</t>
        </is>
      </c>
      <c r="E1980" t="inlineStr">
        <is>
          <t>SOLLEFTEÅ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61732-2025</t>
        </is>
      </c>
      <c r="B1981" s="1" t="n">
        <v>46002.59408564815</v>
      </c>
      <c r="C1981" s="1" t="n">
        <v>46075</v>
      </c>
      <c r="D1981" t="inlineStr">
        <is>
          <t>VÄSTERNORRLANDS LÄN</t>
        </is>
      </c>
      <c r="E1981" t="inlineStr">
        <is>
          <t>SOLLEFTEÅ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61733-2025</t>
        </is>
      </c>
      <c r="B1982" s="1" t="n">
        <v>46002.59412037037</v>
      </c>
      <c r="C1982" s="1" t="n">
        <v>46075</v>
      </c>
      <c r="D1982" t="inlineStr">
        <is>
          <t>VÄSTERNORRLANDS LÄN</t>
        </is>
      </c>
      <c r="E1982" t="inlineStr">
        <is>
          <t>SOLLEFTEÅ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60430-2025</t>
        </is>
      </c>
      <c r="B1983" s="1" t="n">
        <v>45995.47020833333</v>
      </c>
      <c r="C1983" s="1" t="n">
        <v>46075</v>
      </c>
      <c r="D1983" t="inlineStr">
        <is>
          <t>VÄSTERNORRLANDS LÄN</t>
        </is>
      </c>
      <c r="E1983" t="inlineStr">
        <is>
          <t>SOLLEFTEÅ</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61588-2025</t>
        </is>
      </c>
      <c r="B1984" s="1" t="n">
        <v>46002.34503472222</v>
      </c>
      <c r="C1984" s="1" t="n">
        <v>46075</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55654-2023</t>
        </is>
      </c>
      <c r="B1985" s="1" t="n">
        <v>45238.96642361111</v>
      </c>
      <c r="C1985" s="1" t="n">
        <v>46075</v>
      </c>
      <c r="D1985" t="inlineStr">
        <is>
          <t>VÄSTERNORRLANDS LÄN</t>
        </is>
      </c>
      <c r="E1985" t="inlineStr">
        <is>
          <t>SOLLEFTEÅ</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4064-2026</t>
        </is>
      </c>
      <c r="B1986" s="1" t="n">
        <v>46044.5109837963</v>
      </c>
      <c r="C1986" s="1" t="n">
        <v>46075</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45036.94416666667</v>
      </c>
      <c r="C1987" s="1" t="n">
        <v>46075</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4058-2026</t>
        </is>
      </c>
      <c r="B1988" s="1" t="n">
        <v>46044.49015046296</v>
      </c>
      <c r="C1988" s="1" t="n">
        <v>46075</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18741-2021</t>
        </is>
      </c>
      <c r="B1989" s="1" t="n">
        <v>44306</v>
      </c>
      <c r="C1989" s="1" t="n">
        <v>46075</v>
      </c>
      <c r="D1989" t="inlineStr">
        <is>
          <t>VÄSTERNORRLANDS LÄN</t>
        </is>
      </c>
      <c r="E1989" t="inlineStr">
        <is>
          <t>SOLLEFTEÅ</t>
        </is>
      </c>
      <c r="F1989" t="inlineStr">
        <is>
          <t>Kyrkan</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7007-2025</t>
        </is>
      </c>
      <c r="B1990" s="1" t="n">
        <v>45701</v>
      </c>
      <c r="C1990" s="1" t="n">
        <v>46075</v>
      </c>
      <c r="D1990" t="inlineStr">
        <is>
          <t>VÄSTERNORRLANDS LÄN</t>
        </is>
      </c>
      <c r="E1990" t="inlineStr">
        <is>
          <t>SOLLEFTEÅ</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61663-2025</t>
        </is>
      </c>
      <c r="B1991" s="1" t="n">
        <v>46002.46935185185</v>
      </c>
      <c r="C1991" s="1" t="n">
        <v>46075</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23285-2023</t>
        </is>
      </c>
      <c r="B1992" s="1" t="n">
        <v>45075</v>
      </c>
      <c r="C1992" s="1" t="n">
        <v>46075</v>
      </c>
      <c r="D1992" t="inlineStr">
        <is>
          <t>VÄSTERNORRLANDS LÄN</t>
        </is>
      </c>
      <c r="E1992" t="inlineStr">
        <is>
          <t>SOLLEFTEÅ</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19936-2025</t>
        </is>
      </c>
      <c r="B1993" s="1" t="n">
        <v>45771.64130787037</v>
      </c>
      <c r="C1993" s="1" t="n">
        <v>46075</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61967-2025</t>
        </is>
      </c>
      <c r="B1994" s="1" t="n">
        <v>46003.59440972222</v>
      </c>
      <c r="C1994" s="1" t="n">
        <v>46075</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20183-2025</t>
        </is>
      </c>
      <c r="B1995" s="1" t="n">
        <v>45772.59440972222</v>
      </c>
      <c r="C1995" s="1" t="n">
        <v>46075</v>
      </c>
      <c r="D1995" t="inlineStr">
        <is>
          <t>VÄSTERNORRLANDS LÄN</t>
        </is>
      </c>
      <c r="E1995" t="inlineStr">
        <is>
          <t>SOLLEFTEÅ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61669-2025</t>
        </is>
      </c>
      <c r="B1996" s="1" t="n">
        <v>46002.46998842592</v>
      </c>
      <c r="C1996" s="1" t="n">
        <v>46075</v>
      </c>
      <c r="D1996" t="inlineStr">
        <is>
          <t>VÄSTERNORRLANDS LÄN</t>
        </is>
      </c>
      <c r="E1996" t="inlineStr">
        <is>
          <t>SOLLEFTEÅ</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20334-2025</t>
        </is>
      </c>
      <c r="B1997" s="1" t="n">
        <v>45775.36496527777</v>
      </c>
      <c r="C1997" s="1" t="n">
        <v>46075</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39230-2021</t>
        </is>
      </c>
      <c r="B1998" s="1" t="n">
        <v>44413.43902777778</v>
      </c>
      <c r="C1998" s="1" t="n">
        <v>46075</v>
      </c>
      <c r="D1998" t="inlineStr">
        <is>
          <t>VÄSTERNORRLANDS LÄN</t>
        </is>
      </c>
      <c r="E1998" t="inlineStr">
        <is>
          <t>SOLLEFTEÅ</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62544-2025</t>
        </is>
      </c>
      <c r="B1999" s="1" t="n">
        <v>46007.65690972222</v>
      </c>
      <c r="C1999" s="1" t="n">
        <v>46075</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40571-2024</t>
        </is>
      </c>
      <c r="B2000" s="1" t="n">
        <v>45555.67759259259</v>
      </c>
      <c r="C2000" s="1" t="n">
        <v>46075</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40679-2024</t>
        </is>
      </c>
      <c r="B2001" s="1" t="n">
        <v>45558</v>
      </c>
      <c r="C2001" s="1" t="n">
        <v>46075</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62526-2025</t>
        </is>
      </c>
      <c r="B2002" s="1" t="n">
        <v>46007.63583333333</v>
      </c>
      <c r="C2002" s="1" t="n">
        <v>46075</v>
      </c>
      <c r="D2002" t="inlineStr">
        <is>
          <t>VÄSTERNORRLANDS LÄN</t>
        </is>
      </c>
      <c r="E2002" t="inlineStr">
        <is>
          <t>SOLLEFTEÅ</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14308-2022</t>
        </is>
      </c>
      <c r="B2003" s="1" t="n">
        <v>44651.93954861111</v>
      </c>
      <c r="C2003" s="1" t="n">
        <v>46075</v>
      </c>
      <c r="D2003" t="inlineStr">
        <is>
          <t>VÄSTERNORRLANDS LÄN</t>
        </is>
      </c>
      <c r="E2003" t="inlineStr">
        <is>
          <t>SOLLEFTEÅ</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42663-2022</t>
        </is>
      </c>
      <c r="B2004" s="1" t="n">
        <v>44831</v>
      </c>
      <c r="C2004" s="1" t="n">
        <v>46075</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62195-2025</t>
        </is>
      </c>
      <c r="B2005" s="1" t="n">
        <v>46006.55266203704</v>
      </c>
      <c r="C2005" s="1" t="n">
        <v>46075</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62280-2025</t>
        </is>
      </c>
      <c r="B2006" s="1" t="n">
        <v>46006.63635416667</v>
      </c>
      <c r="C2006" s="1" t="n">
        <v>46075</v>
      </c>
      <c r="D2006" t="inlineStr">
        <is>
          <t>VÄSTERNORRLANDS LÄN</t>
        </is>
      </c>
      <c r="E2006" t="inlineStr">
        <is>
          <t>SOLLEFTEÅ</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62312-2025</t>
        </is>
      </c>
      <c r="B2007" s="1" t="n">
        <v>46006.67767361111</v>
      </c>
      <c r="C2007" s="1" t="n">
        <v>46075</v>
      </c>
      <c r="D2007" t="inlineStr">
        <is>
          <t>VÄSTERNORRLANDS LÄN</t>
        </is>
      </c>
      <c r="E2007" t="inlineStr">
        <is>
          <t>SOLLEFTEÅ</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19749-2025</t>
        </is>
      </c>
      <c r="B2008" s="1" t="n">
        <v>45771.38582175926</v>
      </c>
      <c r="C2008" s="1" t="n">
        <v>46075</v>
      </c>
      <c r="D2008" t="inlineStr">
        <is>
          <t>VÄSTERNORRLANDS LÄN</t>
        </is>
      </c>
      <c r="E2008" t="inlineStr">
        <is>
          <t>SOLLEFTEÅ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17172-2024</t>
        </is>
      </c>
      <c r="B2009" s="1" t="n">
        <v>45412.97858796296</v>
      </c>
      <c r="C2009" s="1" t="n">
        <v>46075</v>
      </c>
      <c r="D2009" t="inlineStr">
        <is>
          <t>VÄSTERNORRLANDS LÄN</t>
        </is>
      </c>
      <c r="E2009" t="inlineStr">
        <is>
          <t>SOLLEFTEÅ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62311-2025</t>
        </is>
      </c>
      <c r="B2010" s="1" t="n">
        <v>46006.67753472222</v>
      </c>
      <c r="C2010" s="1" t="n">
        <v>46075</v>
      </c>
      <c r="D2010" t="inlineStr">
        <is>
          <t>VÄSTERNORRLANDS LÄN</t>
        </is>
      </c>
      <c r="E2010" t="inlineStr">
        <is>
          <t>SOLLEFTEÅ</t>
        </is>
      </c>
      <c r="F2010" t="inlineStr">
        <is>
          <t>SCA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5159-2026</t>
        </is>
      </c>
      <c r="B2011" s="1" t="n">
        <v>46049.61608796296</v>
      </c>
      <c r="C2011" s="1" t="n">
        <v>46075</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2939-2025</t>
        </is>
      </c>
      <c r="B2012" s="1" t="n">
        <v>45678.38581018519</v>
      </c>
      <c r="C2012" s="1" t="n">
        <v>46075</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62281-2025</t>
        </is>
      </c>
      <c r="B2013" s="1" t="n">
        <v>46006.63652777778</v>
      </c>
      <c r="C2013" s="1" t="n">
        <v>46075</v>
      </c>
      <c r="D2013" t="inlineStr">
        <is>
          <t>VÄSTERNORRLANDS LÄN</t>
        </is>
      </c>
      <c r="E2013" t="inlineStr">
        <is>
          <t>SOLLEFTEÅ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62285-2025</t>
        </is>
      </c>
      <c r="B2014" s="1" t="n">
        <v>46006</v>
      </c>
      <c r="C2014" s="1" t="n">
        <v>46075</v>
      </c>
      <c r="D2014" t="inlineStr">
        <is>
          <t>VÄSTERNORRLANDS LÄN</t>
        </is>
      </c>
      <c r="E2014" t="inlineStr">
        <is>
          <t>SOLLEFTEÅ</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62283-2025</t>
        </is>
      </c>
      <c r="B2015" s="1" t="n">
        <v>46006.63672453703</v>
      </c>
      <c r="C2015" s="1" t="n">
        <v>46075</v>
      </c>
      <c r="D2015" t="inlineStr">
        <is>
          <t>VÄSTERNORRLANDS LÄN</t>
        </is>
      </c>
      <c r="E2015" t="inlineStr">
        <is>
          <t>SOLLEFTEÅ</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62371-2025</t>
        </is>
      </c>
      <c r="B2016" s="1" t="n">
        <v>46007.34425925926</v>
      </c>
      <c r="C2016" s="1" t="n">
        <v>46075</v>
      </c>
      <c r="D2016" t="inlineStr">
        <is>
          <t>VÄSTERNORRLANDS LÄN</t>
        </is>
      </c>
      <c r="E2016" t="inlineStr">
        <is>
          <t>SOLLEFTEÅ</t>
        </is>
      </c>
      <c r="F2016" t="inlineStr">
        <is>
          <t>SCA</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62064-2025</t>
        </is>
      </c>
      <c r="B2017" s="1" t="n">
        <v>46006.3446875</v>
      </c>
      <c r="C2017" s="1" t="n">
        <v>46075</v>
      </c>
      <c r="D2017" t="inlineStr">
        <is>
          <t>VÄSTERNORRLANDS LÄN</t>
        </is>
      </c>
      <c r="E2017" t="inlineStr">
        <is>
          <t>SOLLEFTEÅ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62065-2025</t>
        </is>
      </c>
      <c r="B2018" s="1" t="n">
        <v>46006.34474537037</v>
      </c>
      <c r="C2018" s="1" t="n">
        <v>46075</v>
      </c>
      <c r="D2018" t="inlineStr">
        <is>
          <t>VÄSTERNORRLANDS LÄN</t>
        </is>
      </c>
      <c r="E2018" t="inlineStr">
        <is>
          <t>SOLLEFTEÅ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20461-2023</t>
        </is>
      </c>
      <c r="B2019" s="1" t="n">
        <v>45056.95284722222</v>
      </c>
      <c r="C2019" s="1" t="n">
        <v>46075</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3081-2025</t>
        </is>
      </c>
      <c r="B2020" s="1" t="n">
        <v>45678.644375</v>
      </c>
      <c r="C2020" s="1" t="n">
        <v>46075</v>
      </c>
      <c r="D2020" t="inlineStr">
        <is>
          <t>VÄSTERNORRLANDS LÄN</t>
        </is>
      </c>
      <c r="E2020" t="inlineStr">
        <is>
          <t>SOLLEFTEÅ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5059-2026</t>
        </is>
      </c>
      <c r="B2021" s="1" t="n">
        <v>46049.48384259259</v>
      </c>
      <c r="C2021" s="1" t="n">
        <v>46075</v>
      </c>
      <c r="D2021" t="inlineStr">
        <is>
          <t>VÄSTERNORRLANDS LÄN</t>
        </is>
      </c>
      <c r="E2021" t="inlineStr">
        <is>
          <t>SOLLEFTEÅ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19929-2025</t>
        </is>
      </c>
      <c r="B2022" s="1" t="n">
        <v>45771.6359837963</v>
      </c>
      <c r="C2022" s="1" t="n">
        <v>46075</v>
      </c>
      <c r="D2022" t="inlineStr">
        <is>
          <t>VÄSTERNORRLANDS LÄN</t>
        </is>
      </c>
      <c r="E2022" t="inlineStr">
        <is>
          <t>SOLLEFTEÅ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19932-2025</t>
        </is>
      </c>
      <c r="B2023" s="1" t="n">
        <v>45771.63940972222</v>
      </c>
      <c r="C2023" s="1" t="n">
        <v>46075</v>
      </c>
      <c r="D2023" t="inlineStr">
        <is>
          <t>VÄSTERNORRLANDS LÄN</t>
        </is>
      </c>
      <c r="E2023" t="inlineStr">
        <is>
          <t>SOLLEFTEÅ</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62279-2025</t>
        </is>
      </c>
      <c r="B2024" s="1" t="n">
        <v>46006.63605324074</v>
      </c>
      <c r="C2024" s="1" t="n">
        <v>46075</v>
      </c>
      <c r="D2024" t="inlineStr">
        <is>
          <t>VÄSTERNORRLANDS LÄN</t>
        </is>
      </c>
      <c r="E2024" t="inlineStr">
        <is>
          <t>SOLLEFTEÅ</t>
        </is>
      </c>
      <c r="F2024" t="inlineStr">
        <is>
          <t>SCA</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18949-2025</t>
        </is>
      </c>
      <c r="B2025" s="1" t="n">
        <v>45764</v>
      </c>
      <c r="C2025" s="1" t="n">
        <v>46075</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3583-2026</t>
        </is>
      </c>
      <c r="B2026" s="1" t="n">
        <v>46042.72951388889</v>
      </c>
      <c r="C2026" s="1" t="n">
        <v>46075</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48396-2024</t>
        </is>
      </c>
      <c r="B2027" s="1" t="n">
        <v>45590.61503472222</v>
      </c>
      <c r="C2027" s="1" t="n">
        <v>46075</v>
      </c>
      <c r="D2027" t="inlineStr">
        <is>
          <t>VÄSTERNORRLANDS LÄN</t>
        </is>
      </c>
      <c r="E2027" t="inlineStr">
        <is>
          <t>SOLLEFTEÅ</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62458-2025</t>
        </is>
      </c>
      <c r="B2028" s="1" t="n">
        <v>46007.50270833333</v>
      </c>
      <c r="C2028" s="1" t="n">
        <v>46075</v>
      </c>
      <c r="D2028" t="inlineStr">
        <is>
          <t>VÄSTERNORRLANDS LÄN</t>
        </is>
      </c>
      <c r="E2028" t="inlineStr">
        <is>
          <t>SOLLEFTEÅ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56252-2024</t>
        </is>
      </c>
      <c r="B2029" s="1" t="n">
        <v>45624</v>
      </c>
      <c r="C2029" s="1" t="n">
        <v>46075</v>
      </c>
      <c r="D2029" t="inlineStr">
        <is>
          <t>VÄSTERNORRLANDS LÄN</t>
        </is>
      </c>
      <c r="E2029" t="inlineStr">
        <is>
          <t>SOLLEFTEÅ</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51314-2022</t>
        </is>
      </c>
      <c r="B2030" s="1" t="n">
        <v>44868.950625</v>
      </c>
      <c r="C2030" s="1" t="n">
        <v>46075</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62494-2025</t>
        </is>
      </c>
      <c r="B2031" s="1" t="n">
        <v>46007.5735300926</v>
      </c>
      <c r="C2031" s="1" t="n">
        <v>46075</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5158-2026</t>
        </is>
      </c>
      <c r="B2032" s="1" t="n">
        <v>46049.61594907408</v>
      </c>
      <c r="C2032" s="1" t="n">
        <v>46075</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26407-2022</t>
        </is>
      </c>
      <c r="B2033" s="1" t="n">
        <v>44735</v>
      </c>
      <c r="C2033" s="1" t="n">
        <v>46075</v>
      </c>
      <c r="D2033" t="inlineStr">
        <is>
          <t>VÄSTERNORRLANDS LÄN</t>
        </is>
      </c>
      <c r="E2033" t="inlineStr">
        <is>
          <t>SOLLEFTEÅ</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62181-2025</t>
        </is>
      </c>
      <c r="B2034" s="1" t="n">
        <v>46006.53164351852</v>
      </c>
      <c r="C2034" s="1" t="n">
        <v>46075</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19326-2024</t>
        </is>
      </c>
      <c r="B2035" s="1" t="n">
        <v>45428</v>
      </c>
      <c r="C2035" s="1" t="n">
        <v>46075</v>
      </c>
      <c r="D2035" t="inlineStr">
        <is>
          <t>VÄSTERNORRLANDS LÄN</t>
        </is>
      </c>
      <c r="E2035" t="inlineStr">
        <is>
          <t>SOLLEFTEÅ</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5032-2026</t>
        </is>
      </c>
      <c r="B2036" s="1" t="n">
        <v>46049.45354166667</v>
      </c>
      <c r="C2036" s="1" t="n">
        <v>46075</v>
      </c>
      <c r="D2036" t="inlineStr">
        <is>
          <t>VÄSTERNORRLANDS LÄN</t>
        </is>
      </c>
      <c r="E2036" t="inlineStr">
        <is>
          <t>SOLLEFTEÅ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17604-2021</t>
        </is>
      </c>
      <c r="B2037" s="1" t="n">
        <v>44299</v>
      </c>
      <c r="C2037" s="1" t="n">
        <v>46075</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16238-2024</t>
        </is>
      </c>
      <c r="B2038" s="1" t="n">
        <v>45407.05692129629</v>
      </c>
      <c r="C2038" s="1" t="n">
        <v>46075</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14554-2024</t>
        </is>
      </c>
      <c r="B2039" s="1" t="n">
        <v>45394</v>
      </c>
      <c r="C2039" s="1" t="n">
        <v>46075</v>
      </c>
      <c r="D2039" t="inlineStr">
        <is>
          <t>VÄSTERNORRLANDS LÄN</t>
        </is>
      </c>
      <c r="E2039" t="inlineStr">
        <is>
          <t>SOLLEFTEÅ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5511-2026</t>
        </is>
      </c>
      <c r="B2040" s="1" t="n">
        <v>46050.6358912037</v>
      </c>
      <c r="C2040" s="1" t="n">
        <v>46075</v>
      </c>
      <c r="D2040" t="inlineStr">
        <is>
          <t>VÄSTERNORRLANDS LÄN</t>
        </is>
      </c>
      <c r="E2040" t="inlineStr">
        <is>
          <t>SOLLEFTEÅ</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1840-2024</t>
        </is>
      </c>
      <c r="B2041" s="1" t="n">
        <v>45307</v>
      </c>
      <c r="C2041" s="1" t="n">
        <v>46075</v>
      </c>
      <c r="D2041" t="inlineStr">
        <is>
          <t>VÄSTERNORRLANDS LÄN</t>
        </is>
      </c>
      <c r="E2041" t="inlineStr">
        <is>
          <t>SOLLEFTEÅ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1844-2024</t>
        </is>
      </c>
      <c r="B2042" s="1" t="n">
        <v>45307</v>
      </c>
      <c r="C2042" s="1" t="n">
        <v>46075</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62585-2025</t>
        </is>
      </c>
      <c r="B2043" s="1" t="n">
        <v>46007.84189814814</v>
      </c>
      <c r="C2043" s="1" t="n">
        <v>46075</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39177-2024</t>
        </is>
      </c>
      <c r="B2044" s="1" t="n">
        <v>45548.65681712963</v>
      </c>
      <c r="C2044" s="1" t="n">
        <v>46075</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15080-2023</t>
        </is>
      </c>
      <c r="B2045" s="1" t="n">
        <v>45016.07525462963</v>
      </c>
      <c r="C2045" s="1" t="n">
        <v>46075</v>
      </c>
      <c r="D2045" t="inlineStr">
        <is>
          <t>VÄSTERNORRLANDS LÄN</t>
        </is>
      </c>
      <c r="E2045" t="inlineStr">
        <is>
          <t>SOLLEFTEÅ</t>
        </is>
      </c>
      <c r="F2045" t="inlineStr">
        <is>
          <t>SCA</t>
        </is>
      </c>
      <c r="G2045" t="n">
        <v>33.6</v>
      </c>
      <c r="H2045" t="n">
        <v>0</v>
      </c>
      <c r="I2045" t="n">
        <v>0</v>
      </c>
      <c r="J2045" t="n">
        <v>0</v>
      </c>
      <c r="K2045" t="n">
        <v>0</v>
      </c>
      <c r="L2045" t="n">
        <v>0</v>
      </c>
      <c r="M2045" t="n">
        <v>0</v>
      </c>
      <c r="N2045" t="n">
        <v>0</v>
      </c>
      <c r="O2045" t="n">
        <v>0</v>
      </c>
      <c r="P2045" t="n">
        <v>0</v>
      </c>
      <c r="Q2045" t="n">
        <v>0</v>
      </c>
      <c r="R2045" s="2" t="inlineStr"/>
    </row>
    <row r="2046" ht="15" customHeight="1">
      <c r="A2046" t="inlineStr">
        <is>
          <t>A 57394-2023</t>
        </is>
      </c>
      <c r="B2046" s="1" t="n">
        <v>45245.96774305555</v>
      </c>
      <c r="C2046" s="1" t="n">
        <v>46075</v>
      </c>
      <c r="D2046" t="inlineStr">
        <is>
          <t>VÄSTERNORRLANDS LÄN</t>
        </is>
      </c>
      <c r="E2046" t="inlineStr">
        <is>
          <t>SOLLEFTEÅ</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47181-2023</t>
        </is>
      </c>
      <c r="B2047" s="1" t="n">
        <v>45201.94876157407</v>
      </c>
      <c r="C2047" s="1" t="n">
        <v>46075</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62901-2025</t>
        </is>
      </c>
      <c r="B2048" s="1" t="n">
        <v>46009.34457175926</v>
      </c>
      <c r="C2048" s="1" t="n">
        <v>46075</v>
      </c>
      <c r="D2048" t="inlineStr">
        <is>
          <t>VÄSTERNORRLANDS LÄN</t>
        </is>
      </c>
      <c r="E2048" t="inlineStr">
        <is>
          <t>SOLLEFTEÅ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62902-2025</t>
        </is>
      </c>
      <c r="B2049" s="1" t="n">
        <v>46009.34462962963</v>
      </c>
      <c r="C2049" s="1" t="n">
        <v>46075</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4181-2026</t>
        </is>
      </c>
      <c r="B2050" s="1" t="n">
        <v>46044</v>
      </c>
      <c r="C2050" s="1" t="n">
        <v>46075</v>
      </c>
      <c r="D2050" t="inlineStr">
        <is>
          <t>VÄSTERNORRLANDS LÄN</t>
        </is>
      </c>
      <c r="E2050" t="inlineStr">
        <is>
          <t>SOLLEFTEÅ</t>
        </is>
      </c>
      <c r="F2050" t="inlineStr">
        <is>
          <t>Kommuner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4212-2026</t>
        </is>
      </c>
      <c r="B2051" s="1" t="n">
        <v>46044</v>
      </c>
      <c r="C2051" s="1" t="n">
        <v>46075</v>
      </c>
      <c r="D2051" t="inlineStr">
        <is>
          <t>VÄSTERNORRLANDS LÄN</t>
        </is>
      </c>
      <c r="E2051" t="inlineStr">
        <is>
          <t>SOLLEFTEÅ</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4211-2026</t>
        </is>
      </c>
      <c r="B2052" s="1" t="n">
        <v>46044</v>
      </c>
      <c r="C2052" s="1" t="n">
        <v>46075</v>
      </c>
      <c r="D2052" t="inlineStr">
        <is>
          <t>VÄSTERNORRLANDS LÄN</t>
        </is>
      </c>
      <c r="E2052" t="inlineStr">
        <is>
          <t>SOLLEFTEÅ</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5390-2026</t>
        </is>
      </c>
      <c r="B2053" s="1" t="n">
        <v>46050.46929398148</v>
      </c>
      <c r="C2053" s="1" t="n">
        <v>46075</v>
      </c>
      <c r="D2053" t="inlineStr">
        <is>
          <t>VÄSTERNORRLANDS LÄN</t>
        </is>
      </c>
      <c r="E2053" t="inlineStr">
        <is>
          <t>SOLLEFTEÅ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62903-2025</t>
        </is>
      </c>
      <c r="B2054" s="1" t="n">
        <v>46009.34466435185</v>
      </c>
      <c r="C2054" s="1" t="n">
        <v>46075</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5434-2026</t>
        </is>
      </c>
      <c r="B2055" s="1" t="n">
        <v>46050.55648148148</v>
      </c>
      <c r="C2055" s="1" t="n">
        <v>46075</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46804-2023</t>
        </is>
      </c>
      <c r="B2056" s="1" t="n">
        <v>45198</v>
      </c>
      <c r="C2056" s="1" t="n">
        <v>46075</v>
      </c>
      <c r="D2056" t="inlineStr">
        <is>
          <t>VÄSTERNORRLANDS LÄN</t>
        </is>
      </c>
      <c r="E2056" t="inlineStr">
        <is>
          <t>SOLLEFTEÅ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62847-2025</t>
        </is>
      </c>
      <c r="B2057" s="1" t="n">
        <v>46008.69819444444</v>
      </c>
      <c r="C2057" s="1" t="n">
        <v>46075</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4501-2023</t>
        </is>
      </c>
      <c r="B2058" s="1" t="n">
        <v>44952</v>
      </c>
      <c r="C2058" s="1" t="n">
        <v>46075</v>
      </c>
      <c r="D2058" t="inlineStr">
        <is>
          <t>VÄSTERNORRLANDS LÄN</t>
        </is>
      </c>
      <c r="E2058" t="inlineStr">
        <is>
          <t>SOLLEFTEÅ</t>
        </is>
      </c>
      <c r="F2058" t="inlineStr">
        <is>
          <t>Övriga Aktiebolag</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12064-2025</t>
        </is>
      </c>
      <c r="B2059" s="1" t="n">
        <v>45728.69861111111</v>
      </c>
      <c r="C2059" s="1" t="n">
        <v>46075</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63038-2025</t>
        </is>
      </c>
      <c r="B2060" s="1" t="n">
        <v>46009.61511574074</v>
      </c>
      <c r="C2060" s="1" t="n">
        <v>46075</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5489-2026</t>
        </is>
      </c>
      <c r="B2061" s="1" t="n">
        <v>46050.61511574074</v>
      </c>
      <c r="C2061" s="1" t="n">
        <v>46075</v>
      </c>
      <c r="D2061" t="inlineStr">
        <is>
          <t>VÄSTERNORRLANDS LÄN</t>
        </is>
      </c>
      <c r="E2061" t="inlineStr">
        <is>
          <t>SOLLEFTEÅ</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59038-2022</t>
        </is>
      </c>
      <c r="B2062" s="1" t="n">
        <v>44903.9496412037</v>
      </c>
      <c r="C2062" s="1" t="n">
        <v>46075</v>
      </c>
      <c r="D2062" t="inlineStr">
        <is>
          <t>VÄSTERNORRLANDS LÄN</t>
        </is>
      </c>
      <c r="E2062" t="inlineStr">
        <is>
          <t>SOLLEFTEÅ</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62981-2025</t>
        </is>
      </c>
      <c r="B2063" s="1" t="n">
        <v>46009.49001157407</v>
      </c>
      <c r="C2063" s="1" t="n">
        <v>46075</v>
      </c>
      <c r="D2063" t="inlineStr">
        <is>
          <t>VÄSTERNORRLANDS LÄN</t>
        </is>
      </c>
      <c r="E2063" t="inlineStr">
        <is>
          <t>SOLLEFTEÅ</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48296-2022</t>
        </is>
      </c>
      <c r="B2064" s="1" t="n">
        <v>44858.51815972223</v>
      </c>
      <c r="C2064" s="1" t="n">
        <v>46075</v>
      </c>
      <c r="D2064" t="inlineStr">
        <is>
          <t>VÄSTERNORRLANDS LÄN</t>
        </is>
      </c>
      <c r="E2064" t="inlineStr">
        <is>
          <t>SOLLEFTEÅ</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11318-2022</t>
        </is>
      </c>
      <c r="B2065" s="1" t="n">
        <v>44629.94743055556</v>
      </c>
      <c r="C2065" s="1" t="n">
        <v>46075</v>
      </c>
      <c r="D2065" t="inlineStr">
        <is>
          <t>VÄSTERNORRLANDS LÄN</t>
        </is>
      </c>
      <c r="E2065" t="inlineStr">
        <is>
          <t>SOLLEFTEÅ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62982-2025</t>
        </is>
      </c>
      <c r="B2066" s="1" t="n">
        <v>46009.49017361111</v>
      </c>
      <c r="C2066" s="1" t="n">
        <v>46075</v>
      </c>
      <c r="D2066" t="inlineStr">
        <is>
          <t>VÄSTERNORRLANDS LÄN</t>
        </is>
      </c>
      <c r="E2066" t="inlineStr">
        <is>
          <t>SOLLEFTEÅ</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62900-2025</t>
        </is>
      </c>
      <c r="B2067" s="1" t="n">
        <v>46009.34457175926</v>
      </c>
      <c r="C2067" s="1" t="n">
        <v>46075</v>
      </c>
      <c r="D2067" t="inlineStr">
        <is>
          <t>VÄSTERNORRLANDS LÄN</t>
        </is>
      </c>
      <c r="E2067" t="inlineStr">
        <is>
          <t>SOLLEFTEÅ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5646-2026</t>
        </is>
      </c>
      <c r="B2068" s="1" t="n">
        <v>46051.42618055556</v>
      </c>
      <c r="C2068" s="1" t="n">
        <v>46075</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4208-2026</t>
        </is>
      </c>
      <c r="B2069" s="1" t="n">
        <v>46044</v>
      </c>
      <c r="C2069" s="1" t="n">
        <v>46075</v>
      </c>
      <c r="D2069" t="inlineStr">
        <is>
          <t>VÄSTERNORRLANDS LÄN</t>
        </is>
      </c>
      <c r="E2069" t="inlineStr">
        <is>
          <t>SOLLEFTEÅ</t>
        </is>
      </c>
      <c r="F2069" t="inlineStr">
        <is>
          <t>Kommuner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50557-2024</t>
        </is>
      </c>
      <c r="B2070" s="1" t="n">
        <v>45601</v>
      </c>
      <c r="C2070" s="1" t="n">
        <v>46075</v>
      </c>
      <c r="D2070" t="inlineStr">
        <is>
          <t>VÄSTERNORRLANDS LÄN</t>
        </is>
      </c>
      <c r="E2070" t="inlineStr">
        <is>
          <t>SOLLEFTEÅ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14094-2025</t>
        </is>
      </c>
      <c r="B2071" s="1" t="n">
        <v>45740.44827546296</v>
      </c>
      <c r="C2071" s="1" t="n">
        <v>46075</v>
      </c>
      <c r="D2071" t="inlineStr">
        <is>
          <t>VÄSTERNORRLANDS LÄN</t>
        </is>
      </c>
      <c r="E2071" t="inlineStr">
        <is>
          <t>SOLLEFTEÅ</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14096-2025</t>
        </is>
      </c>
      <c r="B2072" s="1" t="n">
        <v>45740.44858796296</v>
      </c>
      <c r="C2072" s="1" t="n">
        <v>46075</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14097-2025</t>
        </is>
      </c>
      <c r="B2073" s="1" t="n">
        <v>45740.44875</v>
      </c>
      <c r="C2073" s="1" t="n">
        <v>46075</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63433-2025</t>
        </is>
      </c>
      <c r="B2074" s="1" t="n">
        <v>46013.36335648148</v>
      </c>
      <c r="C2074" s="1" t="n">
        <v>46075</v>
      </c>
      <c r="D2074" t="inlineStr">
        <is>
          <t>VÄSTERNORRLANDS LÄN</t>
        </is>
      </c>
      <c r="E2074" t="inlineStr">
        <is>
          <t>SOLLEFTEÅ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63456-2025</t>
        </is>
      </c>
      <c r="B2075" s="1" t="n">
        <v>46013.42209490741</v>
      </c>
      <c r="C2075" s="1" t="n">
        <v>46075</v>
      </c>
      <c r="D2075" t="inlineStr">
        <is>
          <t>VÄSTERNORRLANDS LÄN</t>
        </is>
      </c>
      <c r="E2075" t="inlineStr">
        <is>
          <t>SOLLEFTEÅ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6053-2026</t>
        </is>
      </c>
      <c r="B2076" s="1" t="n">
        <v>46052.6358912037</v>
      </c>
      <c r="C2076" s="1" t="n">
        <v>46075</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63296-2025</t>
        </is>
      </c>
      <c r="B2077" s="1" t="n">
        <v>46010.5952662037</v>
      </c>
      <c r="C2077" s="1" t="n">
        <v>46075</v>
      </c>
      <c r="D2077" t="inlineStr">
        <is>
          <t>VÄSTERNORRLANDS LÄN</t>
        </is>
      </c>
      <c r="E2077" t="inlineStr">
        <is>
          <t>SOLLEFTEÅ</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61391-2022</t>
        </is>
      </c>
      <c r="B2078" s="1" t="n">
        <v>44915.94334490741</v>
      </c>
      <c r="C2078" s="1" t="n">
        <v>46075</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18188-2022</t>
        </is>
      </c>
      <c r="B2079" s="1" t="n">
        <v>44684.94004629629</v>
      </c>
      <c r="C2079" s="1" t="n">
        <v>46075</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46032-2022</t>
        </is>
      </c>
      <c r="B2080" s="1" t="n">
        <v>44846</v>
      </c>
      <c r="C2080" s="1" t="n">
        <v>46075</v>
      </c>
      <c r="D2080" t="inlineStr">
        <is>
          <t>VÄSTERNORRLANDS LÄN</t>
        </is>
      </c>
      <c r="E2080" t="inlineStr">
        <is>
          <t>SOLLEFTEÅ</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63728-2025</t>
        </is>
      </c>
      <c r="B2081" s="1" t="n">
        <v>46010</v>
      </c>
      <c r="C2081" s="1" t="n">
        <v>46075</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63180-2025</t>
        </is>
      </c>
      <c r="B2082" s="1" t="n">
        <v>46010.42760416667</v>
      </c>
      <c r="C2082" s="1" t="n">
        <v>46075</v>
      </c>
      <c r="D2082" t="inlineStr">
        <is>
          <t>VÄSTERNORRLANDS LÄN</t>
        </is>
      </c>
      <c r="E2082" t="inlineStr">
        <is>
          <t>SOLLEFTEÅ</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35276-2023</t>
        </is>
      </c>
      <c r="B2083" s="1" t="n">
        <v>45145.95409722222</v>
      </c>
      <c r="C2083" s="1" t="n">
        <v>46075</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63727-2025</t>
        </is>
      </c>
      <c r="B2084" s="1" t="n">
        <v>46010</v>
      </c>
      <c r="C2084" s="1" t="n">
        <v>46075</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56249-2023</t>
        </is>
      </c>
      <c r="B2085" s="1" t="n">
        <v>45240.9468287037</v>
      </c>
      <c r="C2085" s="1" t="n">
        <v>46075</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63382-2025</t>
        </is>
      </c>
      <c r="B2086" s="1" t="n">
        <v>46011.34420138889</v>
      </c>
      <c r="C2086" s="1" t="n">
        <v>46075</v>
      </c>
      <c r="D2086" t="inlineStr">
        <is>
          <t>VÄSTERNORRLANDS LÄN</t>
        </is>
      </c>
      <c r="E2086" t="inlineStr">
        <is>
          <t>SOLLEFTEÅ</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63273-2025</t>
        </is>
      </c>
      <c r="B2087" s="1" t="n">
        <v>46010.57322916666</v>
      </c>
      <c r="C2087" s="1" t="n">
        <v>46075</v>
      </c>
      <c r="D2087" t="inlineStr">
        <is>
          <t>VÄSTERNORRLANDS LÄN</t>
        </is>
      </c>
      <c r="E2087" t="inlineStr">
        <is>
          <t>SOLLEFTEÅ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47272-2022</t>
        </is>
      </c>
      <c r="B2088" s="1" t="n">
        <v>44852.95016203704</v>
      </c>
      <c r="C2088" s="1" t="n">
        <v>46075</v>
      </c>
      <c r="D2088" t="inlineStr">
        <is>
          <t>VÄSTERNORRLANDS LÄN</t>
        </is>
      </c>
      <c r="E2088" t="inlineStr">
        <is>
          <t>SOLLEFTEÅ</t>
        </is>
      </c>
      <c r="G2088" t="n">
        <v>12.2</v>
      </c>
      <c r="H2088" t="n">
        <v>0</v>
      </c>
      <c r="I2088" t="n">
        <v>0</v>
      </c>
      <c r="J2088" t="n">
        <v>0</v>
      </c>
      <c r="K2088" t="n">
        <v>0</v>
      </c>
      <c r="L2088" t="n">
        <v>0</v>
      </c>
      <c r="M2088" t="n">
        <v>0</v>
      </c>
      <c r="N2088" t="n">
        <v>0</v>
      </c>
      <c r="O2088" t="n">
        <v>0</v>
      </c>
      <c r="P2088" t="n">
        <v>0</v>
      </c>
      <c r="Q2088" t="n">
        <v>0</v>
      </c>
      <c r="R2088" s="2" t="inlineStr"/>
    </row>
    <row r="2089" ht="15" customHeight="1">
      <c r="A2089" t="inlineStr">
        <is>
          <t>A 5842-2026</t>
        </is>
      </c>
      <c r="B2089" s="1" t="n">
        <v>46052.34503472222</v>
      </c>
      <c r="C2089" s="1" t="n">
        <v>46075</v>
      </c>
      <c r="D2089" t="inlineStr">
        <is>
          <t>VÄSTERNORRLANDS LÄN</t>
        </is>
      </c>
      <c r="E2089" t="inlineStr">
        <is>
          <t>SOLLEFTEÅ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23030-2021</t>
        </is>
      </c>
      <c r="B2090" s="1" t="n">
        <v>44328.94091435185</v>
      </c>
      <c r="C2090" s="1" t="n">
        <v>46075</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52455-2024</t>
        </is>
      </c>
      <c r="B2091" s="1" t="n">
        <v>45609.50984953704</v>
      </c>
      <c r="C2091" s="1" t="n">
        <v>46075</v>
      </c>
      <c r="D2091" t="inlineStr">
        <is>
          <t>VÄSTERNORRLANDS LÄN</t>
        </is>
      </c>
      <c r="E2091" t="inlineStr">
        <is>
          <t>SOLLEFTEÅ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46075</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45118.94021990741</v>
      </c>
      <c r="C2093" s="1" t="n">
        <v>46075</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63412-2025</t>
        </is>
      </c>
      <c r="B2094" s="1" t="n">
        <v>46013.31016203704</v>
      </c>
      <c r="C2094" s="1" t="n">
        <v>46075</v>
      </c>
      <c r="D2094" t="inlineStr">
        <is>
          <t>VÄSTERNORRLANDS LÄN</t>
        </is>
      </c>
      <c r="E2094" t="inlineStr">
        <is>
          <t>SOLLEFTEÅ</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63470-2025</t>
        </is>
      </c>
      <c r="B2095" s="1" t="n">
        <v>46013.4347337963</v>
      </c>
      <c r="C2095" s="1" t="n">
        <v>46075</v>
      </c>
      <c r="D2095" t="inlineStr">
        <is>
          <t>VÄSTERNORRLANDS LÄN</t>
        </is>
      </c>
      <c r="E2095" t="inlineStr">
        <is>
          <t>SOLLEFTEÅ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63471-2025</t>
        </is>
      </c>
      <c r="B2096" s="1" t="n">
        <v>46013.43973379629</v>
      </c>
      <c r="C2096" s="1" t="n">
        <v>46075</v>
      </c>
      <c r="D2096" t="inlineStr">
        <is>
          <t>VÄSTERNORRLANDS LÄN</t>
        </is>
      </c>
      <c r="E2096" t="inlineStr">
        <is>
          <t>SOLLEFTEÅ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59402-2025</t>
        </is>
      </c>
      <c r="B2097" s="1" t="n">
        <v>45989</v>
      </c>
      <c r="C2097" s="1" t="n">
        <v>46075</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63158-2025</t>
        </is>
      </c>
      <c r="B2098" s="1" t="n">
        <v>46010.36509259259</v>
      </c>
      <c r="C2098" s="1" t="n">
        <v>46075</v>
      </c>
      <c r="D2098" t="inlineStr">
        <is>
          <t>VÄSTERNORRLANDS LÄN</t>
        </is>
      </c>
      <c r="E2098" t="inlineStr">
        <is>
          <t>SOLLEFTEÅ</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13300-2022</t>
        </is>
      </c>
      <c r="B2099" s="1" t="n">
        <v>44644</v>
      </c>
      <c r="C2099" s="1" t="n">
        <v>46075</v>
      </c>
      <c r="D2099" t="inlineStr">
        <is>
          <t>VÄSTERNORRLANDS LÄN</t>
        </is>
      </c>
      <c r="E2099" t="inlineStr">
        <is>
          <t>SOLLEFTEÅ</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27908-2024</t>
        </is>
      </c>
      <c r="B2100" s="1" t="n">
        <v>45475.94615740741</v>
      </c>
      <c r="C2100" s="1" t="n">
        <v>46075</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27916-2024</t>
        </is>
      </c>
      <c r="B2101" s="1" t="n">
        <v>45475.94834490741</v>
      </c>
      <c r="C2101" s="1" t="n">
        <v>46075</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7585-2024</t>
        </is>
      </c>
      <c r="B2102" s="1" t="n">
        <v>45348</v>
      </c>
      <c r="C2102" s="1" t="n">
        <v>46075</v>
      </c>
      <c r="D2102" t="inlineStr">
        <is>
          <t>VÄSTERNORRLANDS LÄN</t>
        </is>
      </c>
      <c r="E2102" t="inlineStr">
        <is>
          <t>SOLLEFTEÅ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63442-2025</t>
        </is>
      </c>
      <c r="B2103" s="1" t="n">
        <v>46013.38599537037</v>
      </c>
      <c r="C2103" s="1" t="n">
        <v>46075</v>
      </c>
      <c r="D2103" t="inlineStr">
        <is>
          <t>VÄSTERNORRLANDS LÄN</t>
        </is>
      </c>
      <c r="E2103" t="inlineStr">
        <is>
          <t>SOLLEFTEÅ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63443-2025</t>
        </is>
      </c>
      <c r="B2104" s="1" t="n">
        <v>46013.38929398148</v>
      </c>
      <c r="C2104" s="1" t="n">
        <v>46075</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63569-2025</t>
        </is>
      </c>
      <c r="B2105" s="1" t="n">
        <v>46013.63601851852</v>
      </c>
      <c r="C2105" s="1" t="n">
        <v>46075</v>
      </c>
      <c r="D2105" t="inlineStr">
        <is>
          <t>VÄSTERNORRLANDS LÄN</t>
        </is>
      </c>
      <c r="E2105" t="inlineStr">
        <is>
          <t>SOLLEFTEÅ</t>
        </is>
      </c>
      <c r="G2105" t="n">
        <v>20.6</v>
      </c>
      <c r="H2105" t="n">
        <v>0</v>
      </c>
      <c r="I2105" t="n">
        <v>0</v>
      </c>
      <c r="J2105" t="n">
        <v>0</v>
      </c>
      <c r="K2105" t="n">
        <v>0</v>
      </c>
      <c r="L2105" t="n">
        <v>0</v>
      </c>
      <c r="M2105" t="n">
        <v>0</v>
      </c>
      <c r="N2105" t="n">
        <v>0</v>
      </c>
      <c r="O2105" t="n">
        <v>0</v>
      </c>
      <c r="P2105" t="n">
        <v>0</v>
      </c>
      <c r="Q2105" t="n">
        <v>0</v>
      </c>
      <c r="R2105" s="2" t="inlineStr"/>
    </row>
    <row r="2106" ht="15" customHeight="1">
      <c r="A2106" t="inlineStr">
        <is>
          <t>A 63568-2025</t>
        </is>
      </c>
      <c r="B2106" s="1" t="n">
        <v>46013.63594907407</v>
      </c>
      <c r="C2106" s="1" t="n">
        <v>46075</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27633-2024</t>
        </is>
      </c>
      <c r="B2107" s="1" t="n">
        <v>45474.94590277778</v>
      </c>
      <c r="C2107" s="1" t="n">
        <v>46075</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27634-2024</t>
        </is>
      </c>
      <c r="B2108" s="1" t="n">
        <v>45474.94599537037</v>
      </c>
      <c r="C2108" s="1" t="n">
        <v>46075</v>
      </c>
      <c r="D2108" t="inlineStr">
        <is>
          <t>VÄSTERNORRLANDS LÄN</t>
        </is>
      </c>
      <c r="E2108" t="inlineStr">
        <is>
          <t>SOLLEFTEÅ</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46261-2024</t>
        </is>
      </c>
      <c r="B2109" s="1" t="n">
        <v>45581.61048611111</v>
      </c>
      <c r="C2109" s="1" t="n">
        <v>46075</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25702-2024</t>
        </is>
      </c>
      <c r="B2110" s="1" t="n">
        <v>45463</v>
      </c>
      <c r="C2110" s="1" t="n">
        <v>46075</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25711-2024</t>
        </is>
      </c>
      <c r="B2111" s="1" t="n">
        <v>45463</v>
      </c>
      <c r="C2111" s="1" t="n">
        <v>46075</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63579-2025</t>
        </is>
      </c>
      <c r="B2112" s="1" t="n">
        <v>46013.67748842593</v>
      </c>
      <c r="C2112" s="1" t="n">
        <v>46075</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63726-2025</t>
        </is>
      </c>
      <c r="B2113" s="1" t="n">
        <v>46010</v>
      </c>
      <c r="C2113" s="1" t="n">
        <v>46075</v>
      </c>
      <c r="D2113" t="inlineStr">
        <is>
          <t>VÄSTERNORRLANDS LÄN</t>
        </is>
      </c>
      <c r="E2113" t="inlineStr">
        <is>
          <t>SOLLEFTEÅ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25356-2024</t>
        </is>
      </c>
      <c r="B2114" s="1" t="n">
        <v>45462.9565162037</v>
      </c>
      <c r="C2114" s="1" t="n">
        <v>46075</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62662-2022</t>
        </is>
      </c>
      <c r="B2115" s="1" t="n">
        <v>44917</v>
      </c>
      <c r="C2115" s="1" t="n">
        <v>46075</v>
      </c>
      <c r="D2115" t="inlineStr">
        <is>
          <t>VÄSTERNORRLANDS LÄN</t>
        </is>
      </c>
      <c r="E2115" t="inlineStr">
        <is>
          <t>SOLLEFTEÅ</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63413-2023</t>
        </is>
      </c>
      <c r="B2116" s="1" t="n">
        <v>45274</v>
      </c>
      <c r="C2116" s="1" t="n">
        <v>46075</v>
      </c>
      <c r="D2116" t="inlineStr">
        <is>
          <t>VÄSTERNORRLANDS LÄN</t>
        </is>
      </c>
      <c r="E2116" t="inlineStr">
        <is>
          <t>SOLLEFTEÅ</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63422-2023</t>
        </is>
      </c>
      <c r="B2117" s="1" t="n">
        <v>45274</v>
      </c>
      <c r="C2117" s="1" t="n">
        <v>46075</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64638-2021</t>
        </is>
      </c>
      <c r="B2118" s="1" t="n">
        <v>44511</v>
      </c>
      <c r="C2118" s="1" t="n">
        <v>46075</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6615-2026</t>
        </is>
      </c>
      <c r="B2119" s="1" t="n">
        <v>46056.49050925926</v>
      </c>
      <c r="C2119" s="1" t="n">
        <v>46075</v>
      </c>
      <c r="D2119" t="inlineStr">
        <is>
          <t>VÄSTERNORRLANDS LÄN</t>
        </is>
      </c>
      <c r="E2119" t="inlineStr">
        <is>
          <t>SOLLEFTEÅ</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31670-2024</t>
        </is>
      </c>
      <c r="B2120" s="1" t="n">
        <v>45506.94805555556</v>
      </c>
      <c r="C2120" s="1" t="n">
        <v>46075</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32157-2024</t>
        </is>
      </c>
      <c r="B2121" s="1" t="n">
        <v>45511.57340277778</v>
      </c>
      <c r="C2121" s="1" t="n">
        <v>46075</v>
      </c>
      <c r="D2121" t="inlineStr">
        <is>
          <t>VÄSTERNORRLANDS LÄN</t>
        </is>
      </c>
      <c r="E2121" t="inlineStr">
        <is>
          <t>SOLLEFTEÅ</t>
        </is>
      </c>
      <c r="F2121" t="inlineStr">
        <is>
          <t>Holmen skog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40421-2023</t>
        </is>
      </c>
      <c r="B2122" s="1" t="n">
        <v>45169.93973379629</v>
      </c>
      <c r="C2122" s="1" t="n">
        <v>46075</v>
      </c>
      <c r="D2122" t="inlineStr">
        <is>
          <t>VÄSTERNORRLANDS LÄN</t>
        </is>
      </c>
      <c r="E2122" t="inlineStr">
        <is>
          <t>SOLLEFTEÅ</t>
        </is>
      </c>
      <c r="F2122" t="inlineStr">
        <is>
          <t>SCA</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6725-2026</t>
        </is>
      </c>
      <c r="B2123" s="1" t="n">
        <v>46056.67760416667</v>
      </c>
      <c r="C2123" s="1" t="n">
        <v>46075</v>
      </c>
      <c r="D2123" t="inlineStr">
        <is>
          <t>VÄSTERNORRLANDS LÄN</t>
        </is>
      </c>
      <c r="E2123" t="inlineStr">
        <is>
          <t>SOLLEFTEÅ</t>
        </is>
      </c>
      <c r="F2123" t="inlineStr">
        <is>
          <t>SCA</t>
        </is>
      </c>
      <c r="G2123" t="n">
        <v>27.7</v>
      </c>
      <c r="H2123" t="n">
        <v>0</v>
      </c>
      <c r="I2123" t="n">
        <v>0</v>
      </c>
      <c r="J2123" t="n">
        <v>0</v>
      </c>
      <c r="K2123" t="n">
        <v>0</v>
      </c>
      <c r="L2123" t="n">
        <v>0</v>
      </c>
      <c r="M2123" t="n">
        <v>0</v>
      </c>
      <c r="N2123" t="n">
        <v>0</v>
      </c>
      <c r="O2123" t="n">
        <v>0</v>
      </c>
      <c r="P2123" t="n">
        <v>0</v>
      </c>
      <c r="Q2123" t="n">
        <v>0</v>
      </c>
      <c r="R2123" s="2" t="inlineStr"/>
    </row>
    <row r="2124" ht="15" customHeight="1">
      <c r="A2124" t="inlineStr">
        <is>
          <t>A 63646-2025</t>
        </is>
      </c>
      <c r="B2124" s="1" t="n">
        <v>46014.42746527777</v>
      </c>
      <c r="C2124" s="1" t="n">
        <v>46075</v>
      </c>
      <c r="D2124" t="inlineStr">
        <is>
          <t>VÄSTERNORRLANDS LÄN</t>
        </is>
      </c>
      <c r="E2124" t="inlineStr">
        <is>
          <t>SOLLEFTEÅ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63677-2025</t>
        </is>
      </c>
      <c r="B2125" s="1" t="n">
        <v>46014.48986111111</v>
      </c>
      <c r="C2125" s="1" t="n">
        <v>46075</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45120-2022</t>
        </is>
      </c>
      <c r="B2126" s="1" t="n">
        <v>44843</v>
      </c>
      <c r="C2126" s="1" t="n">
        <v>46075</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34473-2021</t>
        </is>
      </c>
      <c r="B2127" s="1" t="n">
        <v>44381.93096064815</v>
      </c>
      <c r="C2127" s="1" t="n">
        <v>46075</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57094-2024</t>
        </is>
      </c>
      <c r="B2128" s="1" t="n">
        <v>45629.35780092593</v>
      </c>
      <c r="C2128" s="1" t="n">
        <v>46075</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6544-2026</t>
        </is>
      </c>
      <c r="B2129" s="1" t="n">
        <v>46056.42792824074</v>
      </c>
      <c r="C2129" s="1" t="n">
        <v>46075</v>
      </c>
      <c r="D2129" t="inlineStr">
        <is>
          <t>VÄSTERNORRLANDS LÄN</t>
        </is>
      </c>
      <c r="E2129" t="inlineStr">
        <is>
          <t>SOLLEFTEÅ</t>
        </is>
      </c>
      <c r="F2129" t="inlineStr">
        <is>
          <t>SCA</t>
        </is>
      </c>
      <c r="G2129" t="n">
        <v>28.3</v>
      </c>
      <c r="H2129" t="n">
        <v>0</v>
      </c>
      <c r="I2129" t="n">
        <v>0</v>
      </c>
      <c r="J2129" t="n">
        <v>0</v>
      </c>
      <c r="K2129" t="n">
        <v>0</v>
      </c>
      <c r="L2129" t="n">
        <v>0</v>
      </c>
      <c r="M2129" t="n">
        <v>0</v>
      </c>
      <c r="N2129" t="n">
        <v>0</v>
      </c>
      <c r="O2129" t="n">
        <v>0</v>
      </c>
      <c r="P2129" t="n">
        <v>0</v>
      </c>
      <c r="Q2129" t="n">
        <v>0</v>
      </c>
      <c r="R2129" s="2" t="inlineStr"/>
    </row>
    <row r="2130" ht="15" customHeight="1">
      <c r="A2130" t="inlineStr">
        <is>
          <t>A 6468-2026</t>
        </is>
      </c>
      <c r="B2130" s="1" t="n">
        <v>46056.32021990741</v>
      </c>
      <c r="C2130" s="1" t="n">
        <v>46075</v>
      </c>
      <c r="D2130" t="inlineStr">
        <is>
          <t>VÄSTERNORRLANDS LÄN</t>
        </is>
      </c>
      <c r="E2130" t="inlineStr">
        <is>
          <t>SOLLEFTEÅ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35975-2023</t>
        </is>
      </c>
      <c r="B2131" s="1" t="n">
        <v>45148</v>
      </c>
      <c r="C2131" s="1" t="n">
        <v>46075</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7453-2026</t>
        </is>
      </c>
      <c r="B2132" s="1" t="n">
        <v>46059.46925925926</v>
      </c>
      <c r="C2132" s="1" t="n">
        <v>46075</v>
      </c>
      <c r="D2132" t="inlineStr">
        <is>
          <t>VÄSTERNORRLANDS LÄN</t>
        </is>
      </c>
      <c r="E2132" t="inlineStr">
        <is>
          <t>SOLLEFTEÅ</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4031-2025</t>
        </is>
      </c>
      <c r="B2133" s="1" t="n">
        <v>45684.5978125</v>
      </c>
      <c r="C2133" s="1" t="n">
        <v>46075</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56684-2023</t>
        </is>
      </c>
      <c r="B2134" s="1" t="n">
        <v>45243.96592592593</v>
      </c>
      <c r="C2134" s="1" t="n">
        <v>46075</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7528-2026</t>
        </is>
      </c>
      <c r="B2135" s="1" t="n">
        <v>46059.61530092593</v>
      </c>
      <c r="C2135" s="1" t="n">
        <v>46075</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7161-2026</t>
        </is>
      </c>
      <c r="B2136" s="1" t="n">
        <v>46058.44846064815</v>
      </c>
      <c r="C2136" s="1" t="n">
        <v>46075</v>
      </c>
      <c r="D2136" t="inlineStr">
        <is>
          <t>VÄSTERNORRLANDS LÄN</t>
        </is>
      </c>
      <c r="E2136" t="inlineStr">
        <is>
          <t>SOLLEFTEÅ</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7304-2026</t>
        </is>
      </c>
      <c r="B2137" s="1" t="n">
        <v>46058.65677083333</v>
      </c>
      <c r="C2137" s="1" t="n">
        <v>46075</v>
      </c>
      <c r="D2137" t="inlineStr">
        <is>
          <t>VÄSTERNORRLANDS LÄN</t>
        </is>
      </c>
      <c r="E2137" t="inlineStr">
        <is>
          <t>SOLLEFTEÅ</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7387-2026</t>
        </is>
      </c>
      <c r="B2138" s="1" t="n">
        <v>46059.36527777778</v>
      </c>
      <c r="C2138" s="1" t="n">
        <v>46075</v>
      </c>
      <c r="D2138" t="inlineStr">
        <is>
          <t>VÄSTERNORRLANDS LÄN</t>
        </is>
      </c>
      <c r="E2138" t="inlineStr">
        <is>
          <t>SOLLEFTEÅ</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1269-2024</t>
        </is>
      </c>
      <c r="B2139" s="1" t="n">
        <v>45302</v>
      </c>
      <c r="C2139" s="1" t="n">
        <v>46075</v>
      </c>
      <c r="D2139" t="inlineStr">
        <is>
          <t>VÄSTERNORRLANDS LÄN</t>
        </is>
      </c>
      <c r="E2139" t="inlineStr">
        <is>
          <t>SOLLEFTEÅ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12706-2025</t>
        </is>
      </c>
      <c r="B2140" s="1" t="n">
        <v>45733.46958333333</v>
      </c>
      <c r="C2140" s="1" t="n">
        <v>46075</v>
      </c>
      <c r="D2140" t="inlineStr">
        <is>
          <t>VÄSTERNORRLANDS LÄN</t>
        </is>
      </c>
      <c r="E2140" t="inlineStr">
        <is>
          <t>SOLLEFTEÅ</t>
        </is>
      </c>
      <c r="F2140" t="inlineStr">
        <is>
          <t>SCA</t>
        </is>
      </c>
      <c r="G2140" t="n">
        <v>21.7</v>
      </c>
      <c r="H2140" t="n">
        <v>0</v>
      </c>
      <c r="I2140" t="n">
        <v>0</v>
      </c>
      <c r="J2140" t="n">
        <v>0</v>
      </c>
      <c r="K2140" t="n">
        <v>0</v>
      </c>
      <c r="L2140" t="n">
        <v>0</v>
      </c>
      <c r="M2140" t="n">
        <v>0</v>
      </c>
      <c r="N2140" t="n">
        <v>0</v>
      </c>
      <c r="O2140" t="n">
        <v>0</v>
      </c>
      <c r="P2140" t="n">
        <v>0</v>
      </c>
      <c r="Q2140" t="n">
        <v>0</v>
      </c>
      <c r="R2140" s="2" t="inlineStr"/>
    </row>
    <row r="2141" ht="15" customHeight="1">
      <c r="A2141" t="inlineStr">
        <is>
          <t>A 31179-2023</t>
        </is>
      </c>
      <c r="B2141" s="1" t="n">
        <v>45113.92564814815</v>
      </c>
      <c r="C2141" s="1" t="n">
        <v>46075</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45644-2023</t>
        </is>
      </c>
      <c r="B2142" s="1" t="n">
        <v>45188</v>
      </c>
      <c r="C2142" s="1" t="n">
        <v>46075</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c r="U2142">
        <f>HYPERLINK("https://klasma.github.io/Logging_2283/knärot/A 45644-2023 karta knärot.png", "A 45644-2023")</f>
        <v/>
      </c>
      <c r="V2142">
        <f>HYPERLINK("https://klasma.github.io/Logging_2283/klagomål/A 45644-2023 FSC-klagomål.docx", "A 45644-2023")</f>
        <v/>
      </c>
      <c r="W2142">
        <f>HYPERLINK("https://klasma.github.io/Logging_2283/klagomålsmail/A 45644-2023 FSC-klagomål mail.docx", "A 45644-2023")</f>
        <v/>
      </c>
      <c r="X2142">
        <f>HYPERLINK("https://klasma.github.io/Logging_2283/tillsyn/A 45644-2023 tillsynsbegäran.docx", "A 45644-2023")</f>
        <v/>
      </c>
      <c r="Y2142">
        <f>HYPERLINK("https://klasma.github.io/Logging_2283/tillsynsmail/A 45644-2023 tillsynsbegäran mail.docx", "A 45644-2023")</f>
        <v/>
      </c>
    </row>
    <row r="2143" ht="15" customHeight="1">
      <c r="A2143" t="inlineStr">
        <is>
          <t>A 34765-2024</t>
        </is>
      </c>
      <c r="B2143" s="1" t="n">
        <v>45526</v>
      </c>
      <c r="C2143" s="1" t="n">
        <v>46075</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5359-2025</t>
        </is>
      </c>
      <c r="B2144" s="1" t="n">
        <v>45692</v>
      </c>
      <c r="C2144" s="1" t="n">
        <v>46075</v>
      </c>
      <c r="D2144" t="inlineStr">
        <is>
          <t>VÄSTERNORRLANDS LÄN</t>
        </is>
      </c>
      <c r="E2144" t="inlineStr">
        <is>
          <t>SOLLEFTEÅ</t>
        </is>
      </c>
      <c r="F2144" t="inlineStr">
        <is>
          <t>Övriga statliga verk och myndigheter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52718-2022</t>
        </is>
      </c>
      <c r="B2145" s="1" t="n">
        <v>44874</v>
      </c>
      <c r="C2145" s="1" t="n">
        <v>46075</v>
      </c>
      <c r="D2145" t="inlineStr">
        <is>
          <t>VÄSTERNORRLANDS LÄN</t>
        </is>
      </c>
      <c r="E2145" t="inlineStr">
        <is>
          <t>SOLLEFTEÅ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7386-2026</t>
        </is>
      </c>
      <c r="B2146" s="1" t="n">
        <v>46059.36519675926</v>
      </c>
      <c r="C2146" s="1" t="n">
        <v>46075</v>
      </c>
      <c r="D2146" t="inlineStr">
        <is>
          <t>VÄSTERNORRLANDS LÄN</t>
        </is>
      </c>
      <c r="E2146" t="inlineStr">
        <is>
          <t>SOLLEFTEÅ</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7397-2026</t>
        </is>
      </c>
      <c r="B2147" s="1" t="n">
        <v>46059.37511574074</v>
      </c>
      <c r="C2147" s="1" t="n">
        <v>46075</v>
      </c>
      <c r="D2147" t="inlineStr">
        <is>
          <t>VÄSTERNORRLANDS LÄN</t>
        </is>
      </c>
      <c r="E2147" t="inlineStr">
        <is>
          <t>SOLLEFTEÅ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7154-2026</t>
        </is>
      </c>
      <c r="B2148" s="1" t="n">
        <v>46058.42788194444</v>
      </c>
      <c r="C2148" s="1" t="n">
        <v>46075</v>
      </c>
      <c r="D2148" t="inlineStr">
        <is>
          <t>VÄSTERNORRLANDS LÄN</t>
        </is>
      </c>
      <c r="E2148" t="inlineStr">
        <is>
          <t>SOLLEFTEÅ</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18761-2023</t>
        </is>
      </c>
      <c r="B2149" s="1" t="n">
        <v>45043</v>
      </c>
      <c r="C2149" s="1" t="n">
        <v>46075</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18762-2023</t>
        </is>
      </c>
      <c r="B2150" s="1" t="n">
        <v>45043</v>
      </c>
      <c r="C2150" s="1" t="n">
        <v>46075</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5519-2023</t>
        </is>
      </c>
      <c r="B2151" s="1" t="n">
        <v>44960.42409722223</v>
      </c>
      <c r="C2151" s="1" t="n">
        <v>46075</v>
      </c>
      <c r="D2151" t="inlineStr">
        <is>
          <t>VÄSTERNORRLANDS LÄN</t>
        </is>
      </c>
      <c r="E2151" t="inlineStr">
        <is>
          <t>SOLLEFTEÅ</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27392-2023</t>
        </is>
      </c>
      <c r="B2152" s="1" t="n">
        <v>45096.93997685185</v>
      </c>
      <c r="C2152" s="1" t="n">
        <v>46075</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8084-2026</t>
        </is>
      </c>
      <c r="B2153" s="1" t="n">
        <v>46063.6775462963</v>
      </c>
      <c r="C2153" s="1" t="n">
        <v>46075</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12062-2025</t>
        </is>
      </c>
      <c r="B2154" s="1" t="n">
        <v>45728.6984837963</v>
      </c>
      <c r="C2154" s="1" t="n">
        <v>46075</v>
      </c>
      <c r="D2154" t="inlineStr">
        <is>
          <t>VÄSTERNORRLANDS LÄN</t>
        </is>
      </c>
      <c r="E2154" t="inlineStr">
        <is>
          <t>SOLLEFTEÅ</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12063-2025</t>
        </is>
      </c>
      <c r="B2155" s="1" t="n">
        <v>45728.69851851852</v>
      </c>
      <c r="C2155" s="1" t="n">
        <v>46075</v>
      </c>
      <c r="D2155" t="inlineStr">
        <is>
          <t>VÄSTERNORRLANDS LÄN</t>
        </is>
      </c>
      <c r="E2155" t="inlineStr">
        <is>
          <t>SOLLEFTEÅ</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7261-2024</t>
        </is>
      </c>
      <c r="B2156" s="1" t="n">
        <v>45344</v>
      </c>
      <c r="C2156" s="1" t="n">
        <v>46075</v>
      </c>
      <c r="D2156" t="inlineStr">
        <is>
          <t>VÄSTERNORRLANDS LÄN</t>
        </is>
      </c>
      <c r="E2156" t="inlineStr">
        <is>
          <t>SOLLEFTEÅ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1096-2025</t>
        </is>
      </c>
      <c r="B2157" s="1" t="n">
        <v>45666</v>
      </c>
      <c r="C2157" s="1" t="n">
        <v>46075</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8028-2026</t>
        </is>
      </c>
      <c r="B2158" s="1" t="n">
        <v>46063.57350694444</v>
      </c>
      <c r="C2158" s="1" t="n">
        <v>46075</v>
      </c>
      <c r="D2158" t="inlineStr">
        <is>
          <t>VÄSTERNORRLANDS LÄN</t>
        </is>
      </c>
      <c r="E2158" t="inlineStr">
        <is>
          <t>SOLLEFTEÅ</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52471-2024</t>
        </is>
      </c>
      <c r="B2159" s="1" t="n">
        <v>45609.53076388889</v>
      </c>
      <c r="C2159" s="1" t="n">
        <v>46075</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149-2026</t>
        </is>
      </c>
      <c r="B2160" s="1" t="n">
        <v>46020</v>
      </c>
      <c r="C2160" s="1" t="n">
        <v>46075</v>
      </c>
      <c r="D2160" t="inlineStr">
        <is>
          <t>VÄSTERNORRLANDS LÄN</t>
        </is>
      </c>
      <c r="E2160" t="inlineStr">
        <is>
          <t>SOLLEFTEÅ</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25139-2024</t>
        </is>
      </c>
      <c r="B2161" s="1" t="n">
        <v>45462.48130787037</v>
      </c>
      <c r="C2161" s="1" t="n">
        <v>46075</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63712-2023</t>
        </is>
      </c>
      <c r="B2162" s="1" t="n">
        <v>45275.95094907407</v>
      </c>
      <c r="C2162" s="1" t="n">
        <v>46075</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33628-2024</t>
        </is>
      </c>
      <c r="B2163" s="1" t="n">
        <v>45520.4302662037</v>
      </c>
      <c r="C2163" s="1" t="n">
        <v>46075</v>
      </c>
      <c r="D2163" t="inlineStr">
        <is>
          <t>VÄSTERNORRLANDS LÄN</t>
        </is>
      </c>
      <c r="E2163" t="inlineStr">
        <is>
          <t>SOLLEFTEÅ</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49403-2024</t>
        </is>
      </c>
      <c r="B2164" s="1" t="n">
        <v>45595.67730324074</v>
      </c>
      <c r="C2164" s="1" t="n">
        <v>46075</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1402-2022</t>
        </is>
      </c>
      <c r="B2165" s="1" t="n">
        <v>44573</v>
      </c>
      <c r="C2165" s="1" t="n">
        <v>46075</v>
      </c>
      <c r="D2165" t="inlineStr">
        <is>
          <t>VÄSTERNORRLANDS LÄN</t>
        </is>
      </c>
      <c r="E2165" t="inlineStr">
        <is>
          <t>SOLLEFTEÅ</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127-2026</t>
        </is>
      </c>
      <c r="B2166" s="1" t="n">
        <v>46020</v>
      </c>
      <c r="C2166" s="1" t="n">
        <v>46075</v>
      </c>
      <c r="D2166" t="inlineStr">
        <is>
          <t>VÄSTERNORRLANDS LÄN</t>
        </is>
      </c>
      <c r="E2166" t="inlineStr">
        <is>
          <t>SOLLEFTEÅ</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18691-2025</t>
        </is>
      </c>
      <c r="B2167" s="1" t="n">
        <v>45763.61511574074</v>
      </c>
      <c r="C2167" s="1" t="n">
        <v>46075</v>
      </c>
      <c r="D2167" t="inlineStr">
        <is>
          <t>VÄSTERNORRLANDS LÄN</t>
        </is>
      </c>
      <c r="E2167" t="inlineStr">
        <is>
          <t>SOLLEFTEÅ</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35556-2023</t>
        </is>
      </c>
      <c r="B2168" s="1" t="n">
        <v>45147</v>
      </c>
      <c r="C2168" s="1" t="n">
        <v>46075</v>
      </c>
      <c r="D2168" t="inlineStr">
        <is>
          <t>VÄSTERNORRLANDS LÄN</t>
        </is>
      </c>
      <c r="E2168" t="inlineStr">
        <is>
          <t>SOLLEFTEÅ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55851-2024</t>
        </is>
      </c>
      <c r="B2169" s="1" t="n">
        <v>45623.51140046296</v>
      </c>
      <c r="C2169" s="1" t="n">
        <v>46075</v>
      </c>
      <c r="D2169" t="inlineStr">
        <is>
          <t>VÄSTERNORRLANDS LÄN</t>
        </is>
      </c>
      <c r="E2169" t="inlineStr">
        <is>
          <t>SOLLEFTEÅ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61429-2025</t>
        </is>
      </c>
      <c r="B2170" s="1" t="n">
        <v>46001.55243055556</v>
      </c>
      <c r="C2170" s="1" t="n">
        <v>46075</v>
      </c>
      <c r="D2170" t="inlineStr">
        <is>
          <t>VÄSTERNORRLANDS LÄN</t>
        </is>
      </c>
      <c r="E2170" t="inlineStr">
        <is>
          <t>SOLLEFTEÅ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40921-2024</t>
        </is>
      </c>
      <c r="B2171" s="1" t="n">
        <v>45558.6358912037</v>
      </c>
      <c r="C2171" s="1" t="n">
        <v>46075</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52267-2023</t>
        </is>
      </c>
      <c r="B2172" s="1" t="n">
        <v>45217</v>
      </c>
      <c r="C2172" s="1" t="n">
        <v>46075</v>
      </c>
      <c r="D2172" t="inlineStr">
        <is>
          <t>VÄSTERNORRLANDS LÄN</t>
        </is>
      </c>
      <c r="E2172" t="inlineStr">
        <is>
          <t>SOLLEFTEÅ</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63138-2023</t>
        </is>
      </c>
      <c r="B2173" s="1" t="n">
        <v>45272</v>
      </c>
      <c r="C2173" s="1" t="n">
        <v>46075</v>
      </c>
      <c r="D2173" t="inlineStr">
        <is>
          <t>VÄSTERNORRLANDS LÄN</t>
        </is>
      </c>
      <c r="E2173" t="inlineStr">
        <is>
          <t>SOLLEFTEÅ</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53929-2022</t>
        </is>
      </c>
      <c r="B2174" s="1" t="n">
        <v>44880</v>
      </c>
      <c r="C2174" s="1" t="n">
        <v>46075</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53947-2022</t>
        </is>
      </c>
      <c r="B2175" s="1" t="n">
        <v>44880.95685185185</v>
      </c>
      <c r="C2175" s="1" t="n">
        <v>46075</v>
      </c>
      <c r="D2175" t="inlineStr">
        <is>
          <t>VÄSTERNORRLANDS LÄN</t>
        </is>
      </c>
      <c r="E2175" t="inlineStr">
        <is>
          <t>SOLLEFTEÅ</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49324-2023</t>
        </is>
      </c>
      <c r="B2176" s="1" t="n">
        <v>45210</v>
      </c>
      <c r="C2176" s="1" t="n">
        <v>46075</v>
      </c>
      <c r="D2176" t="inlineStr">
        <is>
          <t>VÄSTERNORRLANDS LÄN</t>
        </is>
      </c>
      <c r="E2176" t="inlineStr">
        <is>
          <t>SOLLEFTEÅ</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3495-2026</t>
        </is>
      </c>
      <c r="B2177" s="1" t="n">
        <v>46042</v>
      </c>
      <c r="C2177" s="1" t="n">
        <v>46075</v>
      </c>
      <c r="D2177" t="inlineStr">
        <is>
          <t>VÄSTERNORRLANDS LÄN</t>
        </is>
      </c>
      <c r="E2177" t="inlineStr">
        <is>
          <t>SOLLEFTEÅ</t>
        </is>
      </c>
      <c r="F2177" t="inlineStr">
        <is>
          <t>Kyrkan</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8088-2026</t>
        </is>
      </c>
      <c r="B2178" s="1" t="n">
        <v>46063</v>
      </c>
      <c r="C2178" s="1" t="n">
        <v>46075</v>
      </c>
      <c r="D2178" t="inlineStr">
        <is>
          <t>VÄSTERNORRLANDS LÄN</t>
        </is>
      </c>
      <c r="E2178" t="inlineStr">
        <is>
          <t>SOLLEFTEÅ</t>
        </is>
      </c>
      <c r="F2178" t="inlineStr">
        <is>
          <t>Kyrkan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3320-2026</t>
        </is>
      </c>
      <c r="B2179" s="1" t="n">
        <v>46041</v>
      </c>
      <c r="C2179" s="1" t="n">
        <v>46075</v>
      </c>
      <c r="D2179" t="inlineStr">
        <is>
          <t>VÄSTERNORRLANDS LÄN</t>
        </is>
      </c>
      <c r="E2179" t="inlineStr">
        <is>
          <t>SOLLEFTEÅ</t>
        </is>
      </c>
      <c r="F2179" t="inlineStr">
        <is>
          <t>Övriga statliga verk och myndigheter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64617-2023</t>
        </is>
      </c>
      <c r="B2180" s="1" t="n">
        <v>45281</v>
      </c>
      <c r="C2180" s="1" t="n">
        <v>46075</v>
      </c>
      <c r="D2180" t="inlineStr">
        <is>
          <t>VÄSTERNORRLANDS LÄN</t>
        </is>
      </c>
      <c r="E2180" t="inlineStr">
        <is>
          <t>SOLLEFTEÅ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34560-2024</t>
        </is>
      </c>
      <c r="B2181" s="1" t="n">
        <v>45526.31116898148</v>
      </c>
      <c r="C2181" s="1" t="n">
        <v>46075</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27641-2024</t>
        </is>
      </c>
      <c r="B2182" s="1" t="n">
        <v>45474.94694444445</v>
      </c>
      <c r="C2182" s="1" t="n">
        <v>46075</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37201-2024</t>
        </is>
      </c>
      <c r="B2183" s="1" t="n">
        <v>45539</v>
      </c>
      <c r="C2183" s="1" t="n">
        <v>46075</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60177-2024</t>
        </is>
      </c>
      <c r="B2184" s="1" t="n">
        <v>45642.63850694444</v>
      </c>
      <c r="C2184" s="1" t="n">
        <v>46075</v>
      </c>
      <c r="D2184" t="inlineStr">
        <is>
          <t>VÄSTERNORRLANDS LÄN</t>
        </is>
      </c>
      <c r="E2184" t="inlineStr">
        <is>
          <t>SOLLEFTEÅ</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7674-2026</t>
        </is>
      </c>
      <c r="B2185" s="1" t="n">
        <v>46062</v>
      </c>
      <c r="C2185" s="1" t="n">
        <v>46075</v>
      </c>
      <c r="D2185" t="inlineStr">
        <is>
          <t>VÄSTERNORRLANDS LÄN</t>
        </is>
      </c>
      <c r="E2185" t="inlineStr">
        <is>
          <t>SOLLEFTEÅ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43627-2024</t>
        </is>
      </c>
      <c r="B2186" s="1" t="n">
        <v>45569.49006944444</v>
      </c>
      <c r="C2186" s="1" t="n">
        <v>46075</v>
      </c>
      <c r="D2186" t="inlineStr">
        <is>
          <t>VÄSTERNORRLANDS LÄN</t>
        </is>
      </c>
      <c r="E2186" t="inlineStr">
        <is>
          <t>SOLLEFTEÅ</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8206-2026</t>
        </is>
      </c>
      <c r="B2187" s="1" t="n">
        <v>46064.44851851852</v>
      </c>
      <c r="C2187" s="1" t="n">
        <v>46075</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8207-2026</t>
        </is>
      </c>
      <c r="B2188" s="1" t="n">
        <v>46064.44872685185</v>
      </c>
      <c r="C2188" s="1" t="n">
        <v>46075</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3496-2026</t>
        </is>
      </c>
      <c r="B2189" s="1" t="n">
        <v>46042</v>
      </c>
      <c r="C2189" s="1" t="n">
        <v>46075</v>
      </c>
      <c r="D2189" t="inlineStr">
        <is>
          <t>VÄSTERNORRLANDS LÄN</t>
        </is>
      </c>
      <c r="E2189" t="inlineStr">
        <is>
          <t>SOLLEFTEÅ</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8546-2026</t>
        </is>
      </c>
      <c r="B2190" s="1" t="n">
        <v>46065.61515046296</v>
      </c>
      <c r="C2190" s="1" t="n">
        <v>46075</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8834-2026</t>
        </is>
      </c>
      <c r="B2191" s="1" t="n">
        <v>46066.63671296297</v>
      </c>
      <c r="C2191" s="1" t="n">
        <v>46075</v>
      </c>
      <c r="D2191" t="inlineStr">
        <is>
          <t>VÄSTERNORRLANDS LÄN</t>
        </is>
      </c>
      <c r="E2191" t="inlineStr">
        <is>
          <t>SOLLEFTEÅ</t>
        </is>
      </c>
      <c r="F2191" t="inlineStr">
        <is>
          <t>SCA</t>
        </is>
      </c>
      <c r="G2191" t="n">
        <v>28.4</v>
      </c>
      <c r="H2191" t="n">
        <v>0</v>
      </c>
      <c r="I2191" t="n">
        <v>0</v>
      </c>
      <c r="J2191" t="n">
        <v>0</v>
      </c>
      <c r="K2191" t="n">
        <v>0</v>
      </c>
      <c r="L2191" t="n">
        <v>0</v>
      </c>
      <c r="M2191" t="n">
        <v>0</v>
      </c>
      <c r="N2191" t="n">
        <v>0</v>
      </c>
      <c r="O2191" t="n">
        <v>0</v>
      </c>
      <c r="P2191" t="n">
        <v>0</v>
      </c>
      <c r="Q2191" t="n">
        <v>0</v>
      </c>
      <c r="R2191" s="2" t="inlineStr"/>
    </row>
    <row r="2192" ht="15" customHeight="1">
      <c r="A2192" t="inlineStr">
        <is>
          <t>A 8221-2022</t>
        </is>
      </c>
      <c r="B2192" s="1" t="n">
        <v>44609.93001157408</v>
      </c>
      <c r="C2192" s="1" t="n">
        <v>46075</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8739-2026</t>
        </is>
      </c>
      <c r="B2193" s="1" t="n">
        <v>46066.51086805556</v>
      </c>
      <c r="C2193" s="1" t="n">
        <v>46075</v>
      </c>
      <c r="D2193" t="inlineStr">
        <is>
          <t>VÄSTERNORRLANDS LÄN</t>
        </is>
      </c>
      <c r="E2193" t="inlineStr">
        <is>
          <t>SOLLEFTEÅ</t>
        </is>
      </c>
      <c r="F2193" t="inlineStr">
        <is>
          <t>Kyrkan</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23286-2023</t>
        </is>
      </c>
      <c r="B2194" s="1" t="n">
        <v>45075</v>
      </c>
      <c r="C2194" s="1" t="n">
        <v>46075</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8666-2026</t>
        </is>
      </c>
      <c r="B2195" s="1" t="n">
        <v>46066.38591435185</v>
      </c>
      <c r="C2195" s="1" t="n">
        <v>46075</v>
      </c>
      <c r="D2195" t="inlineStr">
        <is>
          <t>VÄSTERNORRLANDS LÄN</t>
        </is>
      </c>
      <c r="E2195" t="inlineStr">
        <is>
          <t>SOLLEFTEÅ</t>
        </is>
      </c>
      <c r="F2195" t="inlineStr">
        <is>
          <t>SCA</t>
        </is>
      </c>
      <c r="G2195" t="n">
        <v>27.7</v>
      </c>
      <c r="H2195" t="n">
        <v>0</v>
      </c>
      <c r="I2195" t="n">
        <v>0</v>
      </c>
      <c r="J2195" t="n">
        <v>0</v>
      </c>
      <c r="K2195" t="n">
        <v>0</v>
      </c>
      <c r="L2195" t="n">
        <v>0</v>
      </c>
      <c r="M2195" t="n">
        <v>0</v>
      </c>
      <c r="N2195" t="n">
        <v>0</v>
      </c>
      <c r="O2195" t="n">
        <v>0</v>
      </c>
      <c r="P2195" t="n">
        <v>0</v>
      </c>
      <c r="Q2195" t="n">
        <v>0</v>
      </c>
      <c r="R2195" s="2" t="inlineStr"/>
    </row>
    <row r="2196" ht="15" customHeight="1">
      <c r="A2196" t="inlineStr">
        <is>
          <t>A 13499-2023</t>
        </is>
      </c>
      <c r="B2196" s="1" t="n">
        <v>45005</v>
      </c>
      <c r="C2196" s="1" t="n">
        <v>46075</v>
      </c>
      <c r="D2196" t="inlineStr">
        <is>
          <t>VÄSTERNORRLANDS LÄN</t>
        </is>
      </c>
      <c r="E2196" t="inlineStr">
        <is>
          <t>SOLLEFTEÅ</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18187-2022</t>
        </is>
      </c>
      <c r="B2197" s="1" t="n">
        <v>44684</v>
      </c>
      <c r="C2197" s="1" t="n">
        <v>46075</v>
      </c>
      <c r="D2197" t="inlineStr">
        <is>
          <t>VÄSTERNORRLANDS LÄN</t>
        </is>
      </c>
      <c r="E2197" t="inlineStr">
        <is>
          <t>SOLLEFTEÅ</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25363-2024</t>
        </is>
      </c>
      <c r="B2198" s="1" t="n">
        <v>45462.95833333334</v>
      </c>
      <c r="C2198" s="1" t="n">
        <v>46075</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25384-2024</t>
        </is>
      </c>
      <c r="B2199" s="1" t="n">
        <v>45462.96334490741</v>
      </c>
      <c r="C2199" s="1" t="n">
        <v>46075</v>
      </c>
      <c r="D2199" t="inlineStr">
        <is>
          <t>VÄSTERNORRLANDS LÄN</t>
        </is>
      </c>
      <c r="E2199" t="inlineStr">
        <is>
          <t>SOLLEFTEÅ</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50698-2023</t>
        </is>
      </c>
      <c r="B2200" s="1" t="n">
        <v>45210</v>
      </c>
      <c r="C2200" s="1" t="n">
        <v>46075</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8855-2026</t>
        </is>
      </c>
      <c r="B2201" s="1" t="n">
        <v>46066.67763888889</v>
      </c>
      <c r="C2201" s="1" t="n">
        <v>46075</v>
      </c>
      <c r="D2201" t="inlineStr">
        <is>
          <t>VÄSTERNORRLANDS LÄN</t>
        </is>
      </c>
      <c r="E2201" t="inlineStr">
        <is>
          <t>SOLLEFTEÅ</t>
        </is>
      </c>
      <c r="F2201" t="inlineStr">
        <is>
          <t>SCA</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42970-2024</t>
        </is>
      </c>
      <c r="B2202" s="1" t="n">
        <v>45567.37322916667</v>
      </c>
      <c r="C2202" s="1" t="n">
        <v>46075</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42981-2024</t>
        </is>
      </c>
      <c r="B2203" s="1" t="n">
        <v>45567.37460648148</v>
      </c>
      <c r="C2203" s="1" t="n">
        <v>46075</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8647-2026</t>
        </is>
      </c>
      <c r="B2204" s="1" t="n">
        <v>46065</v>
      </c>
      <c r="C2204" s="1" t="n">
        <v>46075</v>
      </c>
      <c r="D2204" t="inlineStr">
        <is>
          <t>VÄSTERNORRLANDS LÄN</t>
        </is>
      </c>
      <c r="E2204" t="inlineStr">
        <is>
          <t>SOLLEFTEÅ</t>
        </is>
      </c>
      <c r="F2204" t="inlineStr">
        <is>
          <t>Övriga Aktiebolag</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8655-2026</t>
        </is>
      </c>
      <c r="B2205" s="1" t="n">
        <v>46066.37125</v>
      </c>
      <c r="C2205" s="1" t="n">
        <v>46075</v>
      </c>
      <c r="D2205" t="inlineStr">
        <is>
          <t>VÄSTERNORRLANDS LÄN</t>
        </is>
      </c>
      <c r="E2205" t="inlineStr">
        <is>
          <t>SOLLEFTEÅ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8667-2026</t>
        </is>
      </c>
      <c r="B2206" s="1" t="n">
        <v>46066.38613425926</v>
      </c>
      <c r="C2206" s="1" t="n">
        <v>46075</v>
      </c>
      <c r="D2206" t="inlineStr">
        <is>
          <t>VÄSTERNORRLANDS LÄN</t>
        </is>
      </c>
      <c r="E2206" t="inlineStr">
        <is>
          <t>SOLLEFTEÅ</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8692-2026</t>
        </is>
      </c>
      <c r="B2207" s="1" t="n">
        <v>46066.44842592593</v>
      </c>
      <c r="C2207" s="1" t="n">
        <v>46075</v>
      </c>
      <c r="D2207" t="inlineStr">
        <is>
          <t>VÄSTERNORRLANDS LÄN</t>
        </is>
      </c>
      <c r="E2207" t="inlineStr">
        <is>
          <t>SOLLEFTEÅ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8693-2026</t>
        </is>
      </c>
      <c r="B2208" s="1" t="n">
        <v>46066.44861111111</v>
      </c>
      <c r="C2208" s="1" t="n">
        <v>46075</v>
      </c>
      <c r="D2208" t="inlineStr">
        <is>
          <t>VÄSTERNORRLANDS LÄN</t>
        </is>
      </c>
      <c r="E2208" t="inlineStr">
        <is>
          <t>SOLLEFTEÅ</t>
        </is>
      </c>
      <c r="F2208" t="inlineStr">
        <is>
          <t>SCA</t>
        </is>
      </c>
      <c r="G2208" t="n">
        <v>31.1</v>
      </c>
      <c r="H2208" t="n">
        <v>0</v>
      </c>
      <c r="I2208" t="n">
        <v>0</v>
      </c>
      <c r="J2208" t="n">
        <v>0</v>
      </c>
      <c r="K2208" t="n">
        <v>0</v>
      </c>
      <c r="L2208" t="n">
        <v>0</v>
      </c>
      <c r="M2208" t="n">
        <v>0</v>
      </c>
      <c r="N2208" t="n">
        <v>0</v>
      </c>
      <c r="O2208" t="n">
        <v>0</v>
      </c>
      <c r="P2208" t="n">
        <v>0</v>
      </c>
      <c r="Q2208" t="n">
        <v>0</v>
      </c>
      <c r="R2208" s="2" t="inlineStr"/>
    </row>
    <row r="2209" ht="15" customHeight="1">
      <c r="A2209" t="inlineStr">
        <is>
          <t>A 33134-2024</t>
        </is>
      </c>
      <c r="B2209" s="1" t="n">
        <v>45518</v>
      </c>
      <c r="C2209" s="1" t="n">
        <v>46075</v>
      </c>
      <c r="D2209" t="inlineStr">
        <is>
          <t>VÄSTERNORRLANDS LÄN</t>
        </is>
      </c>
      <c r="E2209" t="inlineStr">
        <is>
          <t>SOLLEFTEÅ</t>
        </is>
      </c>
      <c r="F2209" t="inlineStr">
        <is>
          <t>Holmen skog AB</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33141-2024</t>
        </is>
      </c>
      <c r="B2210" s="1" t="n">
        <v>45518</v>
      </c>
      <c r="C2210" s="1" t="n">
        <v>46075</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18882-2021</t>
        </is>
      </c>
      <c r="B2211" s="1" t="n">
        <v>44307.93505787037</v>
      </c>
      <c r="C2211" s="1" t="n">
        <v>46075</v>
      </c>
      <c r="D2211" t="inlineStr">
        <is>
          <t>VÄSTERNORRLANDS LÄN</t>
        </is>
      </c>
      <c r="E2211" t="inlineStr">
        <is>
          <t>SOLLEFTEÅ</t>
        </is>
      </c>
      <c r="F2211" t="inlineStr">
        <is>
          <t>SCA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19055-2022</t>
        </is>
      </c>
      <c r="B2212" s="1" t="n">
        <v>44691.42189814815</v>
      </c>
      <c r="C2212" s="1" t="n">
        <v>46075</v>
      </c>
      <c r="D2212" t="inlineStr">
        <is>
          <t>VÄSTERNORRLANDS LÄN</t>
        </is>
      </c>
      <c r="E2212" t="inlineStr">
        <is>
          <t>SOLLEFTEÅ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8724-2026</t>
        </is>
      </c>
      <c r="B2213" s="1" t="n">
        <v>46066.49011574074</v>
      </c>
      <c r="C2213" s="1" t="n">
        <v>46075</v>
      </c>
      <c r="D2213" t="inlineStr">
        <is>
          <t>VÄSTERNORRLANDS LÄN</t>
        </is>
      </c>
      <c r="E2213" t="inlineStr">
        <is>
          <t>SOLLEFTEÅ</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2816-2024</t>
        </is>
      </c>
      <c r="B2214" s="1" t="n">
        <v>45314</v>
      </c>
      <c r="C2214" s="1" t="n">
        <v>46075</v>
      </c>
      <c r="D2214" t="inlineStr">
        <is>
          <t>VÄSTERNORRLANDS LÄN</t>
        </is>
      </c>
      <c r="E2214" t="inlineStr">
        <is>
          <t>SOLLEFTEÅ</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8982-2026</t>
        </is>
      </c>
      <c r="B2215" s="1" t="n">
        <v>46069.44921296297</v>
      </c>
      <c r="C2215" s="1" t="n">
        <v>46075</v>
      </c>
      <c r="D2215" t="inlineStr">
        <is>
          <t>VÄSTERNORRLANDS LÄN</t>
        </is>
      </c>
      <c r="E2215" t="inlineStr">
        <is>
          <t>SOLLEFTEÅ</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358-2026</t>
        </is>
      </c>
      <c r="B2216" s="1" t="n">
        <v>46027.65996527778</v>
      </c>
      <c r="C2216" s="1" t="n">
        <v>46075</v>
      </c>
      <c r="D2216" t="inlineStr">
        <is>
          <t>VÄSTERNORRLANDS LÄN</t>
        </is>
      </c>
      <c r="E2216" t="inlineStr">
        <is>
          <t>SOLLEFTEÅ</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20859-2023</t>
        </is>
      </c>
      <c r="B2217" s="1" t="n">
        <v>45058.94212962963</v>
      </c>
      <c r="C2217" s="1" t="n">
        <v>46075</v>
      </c>
      <c r="D2217" t="inlineStr">
        <is>
          <t>VÄSTERNORRLANDS LÄN</t>
        </is>
      </c>
      <c r="E2217" t="inlineStr">
        <is>
          <t>SOLLEFTEÅ</t>
        </is>
      </c>
      <c r="F2217" t="inlineStr">
        <is>
          <t>SCA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54458-2024</t>
        </is>
      </c>
      <c r="B2218" s="1" t="n">
        <v>45617.5325</v>
      </c>
      <c r="C2218" s="1" t="n">
        <v>46075</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61480-2021</t>
        </is>
      </c>
      <c r="B2219" s="1" t="n">
        <v>44500</v>
      </c>
      <c r="C2219" s="1" t="n">
        <v>46075</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26444-2024</t>
        </is>
      </c>
      <c r="B2220" s="1" t="n">
        <v>45469.50122685185</v>
      </c>
      <c r="C2220" s="1" t="n">
        <v>46075</v>
      </c>
      <c r="D2220" t="inlineStr">
        <is>
          <t>VÄSTERNORRLANDS LÄN</t>
        </is>
      </c>
      <c r="E2220" t="inlineStr">
        <is>
          <t>SOLLEFTEÅ</t>
        </is>
      </c>
      <c r="F2220" t="inlineStr">
        <is>
          <t>Holmen skog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40211-2024</t>
        </is>
      </c>
      <c r="B2221" s="1" t="n">
        <v>45554.59435185185</v>
      </c>
      <c r="C2221" s="1" t="n">
        <v>46075</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18111-2025</t>
        </is>
      </c>
      <c r="B2222" s="1" t="n">
        <v>45761.57334490741</v>
      </c>
      <c r="C2222" s="1" t="n">
        <v>46075</v>
      </c>
      <c r="D2222" t="inlineStr">
        <is>
          <t>VÄSTERNORRLANDS LÄN</t>
        </is>
      </c>
      <c r="E2222" t="inlineStr">
        <is>
          <t>SOLLEFTEÅ</t>
        </is>
      </c>
      <c r="F2222" t="inlineStr">
        <is>
          <t>SCA</t>
        </is>
      </c>
      <c r="G2222" t="n">
        <v>41.6</v>
      </c>
      <c r="H2222" t="n">
        <v>0</v>
      </c>
      <c r="I2222" t="n">
        <v>0</v>
      </c>
      <c r="J2222" t="n">
        <v>0</v>
      </c>
      <c r="K2222" t="n">
        <v>0</v>
      </c>
      <c r="L2222" t="n">
        <v>0</v>
      </c>
      <c r="M2222" t="n">
        <v>0</v>
      </c>
      <c r="N2222" t="n">
        <v>0</v>
      </c>
      <c r="O2222" t="n">
        <v>0</v>
      </c>
      <c r="P2222" t="n">
        <v>0</v>
      </c>
      <c r="Q2222" t="n">
        <v>0</v>
      </c>
      <c r="R2222" s="2" t="inlineStr"/>
    </row>
    <row r="2223" ht="15" customHeight="1">
      <c r="A2223" t="inlineStr">
        <is>
          <t>A 12632-2025</t>
        </is>
      </c>
      <c r="B2223" s="1" t="n">
        <v>45733.37693287037</v>
      </c>
      <c r="C2223" s="1" t="n">
        <v>46075</v>
      </c>
      <c r="D2223" t="inlineStr">
        <is>
          <t>VÄSTERNORRLANDS LÄN</t>
        </is>
      </c>
      <c r="E2223" t="inlineStr">
        <is>
          <t>SOLLEFTEÅ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738-2026</t>
        </is>
      </c>
      <c r="B2224" s="1" t="n">
        <v>46029.65686342592</v>
      </c>
      <c r="C2224" s="1" t="n">
        <v>46075</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53524-2021</t>
        </is>
      </c>
      <c r="B2225" s="1" t="n">
        <v>44468</v>
      </c>
      <c r="C2225" s="1" t="n">
        <v>46075</v>
      </c>
      <c r="D2225" t="inlineStr">
        <is>
          <t>VÄSTERNORRLANDS LÄN</t>
        </is>
      </c>
      <c r="E2225" t="inlineStr">
        <is>
          <t>SOLLEFTEÅ</t>
        </is>
      </c>
      <c r="F2225" t="inlineStr">
        <is>
          <t>SCA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26655-2024</t>
        </is>
      </c>
      <c r="B2226" s="1" t="n">
        <v>45469</v>
      </c>
      <c r="C2226" s="1" t="n">
        <v>46075</v>
      </c>
      <c r="D2226" t="inlineStr">
        <is>
          <t>VÄSTERNORRLANDS LÄN</t>
        </is>
      </c>
      <c r="E2226" t="inlineStr">
        <is>
          <t>SOLLEFTEÅ</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9967-2025</t>
        </is>
      </c>
      <c r="B2227" s="1" t="n">
        <v>45719.37890046297</v>
      </c>
      <c r="C2227" s="1" t="n">
        <v>46075</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45435-2024</t>
        </is>
      </c>
      <c r="B2228" s="1" t="n">
        <v>45576.61538194444</v>
      </c>
      <c r="C2228" s="1" t="n">
        <v>46075</v>
      </c>
      <c r="D2228" t="inlineStr">
        <is>
          <t>VÄSTERNORRLANDS LÄN</t>
        </is>
      </c>
      <c r="E2228" t="inlineStr">
        <is>
          <t>SOLLEFTEÅ</t>
        </is>
      </c>
      <c r="F2228" t="inlineStr">
        <is>
          <t>SCA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31554-2024</t>
        </is>
      </c>
      <c r="B2229" s="1" t="n">
        <v>45505.96472222222</v>
      </c>
      <c r="C2229" s="1" t="n">
        <v>46075</v>
      </c>
      <c r="D2229" t="inlineStr">
        <is>
          <t>VÄSTERNORRLANDS LÄN</t>
        </is>
      </c>
      <c r="E2229" t="inlineStr">
        <is>
          <t>SOLLEFTEÅ</t>
        </is>
      </c>
      <c r="F2229" t="inlineStr">
        <is>
          <t>SCA</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1082-2025</t>
        </is>
      </c>
      <c r="B2230" s="1" t="n">
        <v>45666.61646990741</v>
      </c>
      <c r="C2230" s="1" t="n">
        <v>46075</v>
      </c>
      <c r="D2230" t="inlineStr">
        <is>
          <t>VÄSTERNORRLANDS LÄN</t>
        </is>
      </c>
      <c r="E2230" t="inlineStr">
        <is>
          <t>SOLLEFTEÅ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3319-2025</t>
        </is>
      </c>
      <c r="B2231" s="1" t="n">
        <v>45679</v>
      </c>
      <c r="C2231" s="1" t="n">
        <v>46075</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394-2024</t>
        </is>
      </c>
      <c r="B2232" s="1" t="n">
        <v>45296</v>
      </c>
      <c r="C2232" s="1" t="n">
        <v>46075</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34313-2024</t>
        </is>
      </c>
      <c r="B2233" s="1" t="n">
        <v>45524</v>
      </c>
      <c r="C2233" s="1" t="n">
        <v>46075</v>
      </c>
      <c r="D2233" t="inlineStr">
        <is>
          <t>VÄSTERNORRLANDS LÄN</t>
        </is>
      </c>
      <c r="E2233" t="inlineStr">
        <is>
          <t>SOLLEFTEÅ</t>
        </is>
      </c>
      <c r="F2233" t="inlineStr">
        <is>
          <t>Övriga statliga verk och myndigheter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34318-2024</t>
        </is>
      </c>
      <c r="B2234" s="1" t="n">
        <v>45524</v>
      </c>
      <c r="C2234" s="1" t="n">
        <v>46075</v>
      </c>
      <c r="D2234" t="inlineStr">
        <is>
          <t>VÄSTERNORRLANDS LÄN</t>
        </is>
      </c>
      <c r="E2234" t="inlineStr">
        <is>
          <t>SOLLEFTEÅ</t>
        </is>
      </c>
      <c r="F2234" t="inlineStr">
        <is>
          <t>Övriga statliga verk och myndigheter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53483-2024</t>
        </is>
      </c>
      <c r="B2235" s="1" t="n">
        <v>45611</v>
      </c>
      <c r="C2235" s="1" t="n">
        <v>46075</v>
      </c>
      <c r="D2235" t="inlineStr">
        <is>
          <t>VÄSTERNORRLANDS LÄN</t>
        </is>
      </c>
      <c r="E2235" t="inlineStr">
        <is>
          <t>SOLLEFTEÅ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23730-2024</t>
        </is>
      </c>
      <c r="B2236" s="1" t="n">
        <v>45454.95877314815</v>
      </c>
      <c r="C2236" s="1" t="n">
        <v>46075</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36771-2023</t>
        </is>
      </c>
      <c r="B2237" s="1" t="n">
        <v>45153</v>
      </c>
      <c r="C2237" s="1" t="n">
        <v>46075</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403-2026</t>
        </is>
      </c>
      <c r="B2238" s="1" t="n">
        <v>46028.66550925926</v>
      </c>
      <c r="C2238" s="1" t="n">
        <v>46075</v>
      </c>
      <c r="D2238" t="inlineStr">
        <is>
          <t>VÄSTERNORRLANDS LÄN</t>
        </is>
      </c>
      <c r="E2238" t="inlineStr">
        <is>
          <t>SOLLEFTEÅ</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20066-2024</t>
        </is>
      </c>
      <c r="B2239" s="1" t="n">
        <v>45434</v>
      </c>
      <c r="C2239" s="1" t="n">
        <v>46075</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42950-2024</t>
        </is>
      </c>
      <c r="B2240" s="1" t="n">
        <v>45567.36657407408</v>
      </c>
      <c r="C2240" s="1" t="n">
        <v>46075</v>
      </c>
      <c r="D2240" t="inlineStr">
        <is>
          <t>VÄSTERNORRLANDS LÄN</t>
        </is>
      </c>
      <c r="E2240" t="inlineStr">
        <is>
          <t>SOLLEFTEÅ</t>
        </is>
      </c>
      <c r="F2240" t="inlineStr">
        <is>
          <t>SCA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20515-2024</t>
        </is>
      </c>
      <c r="B2241" s="1" t="n">
        <v>45435</v>
      </c>
      <c r="C2241" s="1" t="n">
        <v>46075</v>
      </c>
      <c r="D2241" t="inlineStr">
        <is>
          <t>VÄSTERNORRLANDS LÄN</t>
        </is>
      </c>
      <c r="E2241" t="inlineStr">
        <is>
          <t>SOLLEFTEÅ</t>
        </is>
      </c>
      <c r="F2241" t="inlineStr">
        <is>
          <t>SCA</t>
        </is>
      </c>
      <c r="G2241" t="n">
        <v>18.8</v>
      </c>
      <c r="H2241" t="n">
        <v>0</v>
      </c>
      <c r="I2241" t="n">
        <v>0</v>
      </c>
      <c r="J2241" t="n">
        <v>0</v>
      </c>
      <c r="K2241" t="n">
        <v>0</v>
      </c>
      <c r="L2241" t="n">
        <v>0</v>
      </c>
      <c r="M2241" t="n">
        <v>0</v>
      </c>
      <c r="N2241" t="n">
        <v>0</v>
      </c>
      <c r="O2241" t="n">
        <v>0</v>
      </c>
      <c r="P2241" t="n">
        <v>0</v>
      </c>
      <c r="Q2241" t="n">
        <v>0</v>
      </c>
      <c r="R2241" s="2" t="inlineStr"/>
    </row>
    <row r="2242" ht="15" customHeight="1">
      <c r="A2242" t="inlineStr">
        <is>
          <t>A 658-2026</t>
        </is>
      </c>
      <c r="B2242" s="1" t="n">
        <v>46029.58168981481</v>
      </c>
      <c r="C2242" s="1" t="n">
        <v>46075</v>
      </c>
      <c r="D2242" t="inlineStr">
        <is>
          <t>VÄSTERNORRLANDS LÄN</t>
        </is>
      </c>
      <c r="E2242" t="inlineStr">
        <is>
          <t>SOLLEFTEÅ</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52136-2023</t>
        </is>
      </c>
      <c r="B2243" s="1" t="n">
        <v>45223.96625</v>
      </c>
      <c r="C2243" s="1" t="n">
        <v>46075</v>
      </c>
      <c r="D2243" t="inlineStr">
        <is>
          <t>VÄSTERNORRLANDS LÄN</t>
        </is>
      </c>
      <c r="E2243" t="inlineStr">
        <is>
          <t>SOLLEFTEÅ</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9014-2026</t>
        </is>
      </c>
      <c r="B2244" s="1" t="n">
        <v>46069</v>
      </c>
      <c r="C2244" s="1" t="n">
        <v>46075</v>
      </c>
      <c r="D2244" t="inlineStr">
        <is>
          <t>VÄSTERNORRLANDS LÄN</t>
        </is>
      </c>
      <c r="E2244" t="inlineStr">
        <is>
          <t>SOLLEFTEÅ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29070-2023</t>
        </is>
      </c>
      <c r="B2245" s="1" t="n">
        <v>45104.94119212963</v>
      </c>
      <c r="C2245" s="1" t="n">
        <v>46075</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29197-2023</t>
        </is>
      </c>
      <c r="B2246" s="1" t="n">
        <v>45097</v>
      </c>
      <c r="C2246" s="1" t="n">
        <v>46075</v>
      </c>
      <c r="D2246" t="inlineStr">
        <is>
          <t>VÄSTERNORRLANDS LÄN</t>
        </is>
      </c>
      <c r="E2246" t="inlineStr">
        <is>
          <t>SOLLEFTEÅ</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19814-2022</t>
        </is>
      </c>
      <c r="B2247" s="1" t="n">
        <v>44694.93945601852</v>
      </c>
      <c r="C2247" s="1" t="n">
        <v>46075</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45973-2023</t>
        </is>
      </c>
      <c r="B2248" s="1" t="n">
        <v>45195</v>
      </c>
      <c r="C2248" s="1" t="n">
        <v>46075</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59421-2024</t>
        </is>
      </c>
      <c r="B2249" s="1" t="n">
        <v>45638.41244212963</v>
      </c>
      <c r="C2249" s="1" t="n">
        <v>46075</v>
      </c>
      <c r="D2249" t="inlineStr">
        <is>
          <t>VÄSTERNORRLANDS LÄN</t>
        </is>
      </c>
      <c r="E2249" t="inlineStr">
        <is>
          <t>SOLLEFTEÅ</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55912-2023</t>
        </is>
      </c>
      <c r="B2250" s="1" t="n">
        <v>45239.92665509259</v>
      </c>
      <c r="C2250" s="1" t="n">
        <v>46075</v>
      </c>
      <c r="D2250" t="inlineStr">
        <is>
          <t>VÄSTERNORRLANDS LÄN</t>
        </is>
      </c>
      <c r="E2250" t="inlineStr">
        <is>
          <t>SOLLEFTEÅ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11125-2022</t>
        </is>
      </c>
      <c r="B2251" s="1" t="n">
        <v>44628</v>
      </c>
      <c r="C2251" s="1" t="n">
        <v>46075</v>
      </c>
      <c r="D2251" t="inlineStr">
        <is>
          <t>VÄSTERNORRLANDS LÄN</t>
        </is>
      </c>
      <c r="E2251" t="inlineStr">
        <is>
          <t>SOLLEFTEÅ</t>
        </is>
      </c>
      <c r="F2251" t="inlineStr">
        <is>
          <t>SCA</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22475-2024</t>
        </is>
      </c>
      <c r="B2252" s="1" t="n">
        <v>45446.95151620371</v>
      </c>
      <c r="C2252" s="1" t="n">
        <v>46075</v>
      </c>
      <c r="D2252" t="inlineStr">
        <is>
          <t>VÄSTERNORRLANDS LÄN</t>
        </is>
      </c>
      <c r="E2252" t="inlineStr">
        <is>
          <t>SOLLEFTEÅ</t>
        </is>
      </c>
      <c r="F2252" t="inlineStr">
        <is>
          <t>SCA</t>
        </is>
      </c>
      <c r="G2252" t="n">
        <v>18.5</v>
      </c>
      <c r="H2252" t="n">
        <v>0</v>
      </c>
      <c r="I2252" t="n">
        <v>0</v>
      </c>
      <c r="J2252" t="n">
        <v>0</v>
      </c>
      <c r="K2252" t="n">
        <v>0</v>
      </c>
      <c r="L2252" t="n">
        <v>0</v>
      </c>
      <c r="M2252" t="n">
        <v>0</v>
      </c>
      <c r="N2252" t="n">
        <v>0</v>
      </c>
      <c r="O2252" t="n">
        <v>0</v>
      </c>
      <c r="P2252" t="n">
        <v>0</v>
      </c>
      <c r="Q2252" t="n">
        <v>0</v>
      </c>
      <c r="R2252" s="2" t="inlineStr"/>
    </row>
    <row r="2253" ht="15" customHeight="1">
      <c r="A2253" t="inlineStr">
        <is>
          <t>A 37042-2021</t>
        </is>
      </c>
      <c r="B2253" s="1" t="n">
        <v>44393.93495370371</v>
      </c>
      <c r="C2253" s="1" t="n">
        <v>46075</v>
      </c>
      <c r="D2253" t="inlineStr">
        <is>
          <t>VÄSTERNORRLANDS LÄN</t>
        </is>
      </c>
      <c r="E2253" t="inlineStr">
        <is>
          <t>SOLLEFTEÅ</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9515-2026</t>
        </is>
      </c>
      <c r="B2254" s="1" t="n">
        <v>46071.59465277778</v>
      </c>
      <c r="C2254" s="1" t="n">
        <v>46075</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58995-2024</t>
        </is>
      </c>
      <c r="B2255" s="1" t="n">
        <v>45636.63726851852</v>
      </c>
      <c r="C2255" s="1" t="n">
        <v>46075</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9578-2026</t>
        </is>
      </c>
      <c r="B2256" s="1" t="n">
        <v>46071.6775462963</v>
      </c>
      <c r="C2256" s="1" t="n">
        <v>46075</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10089-2026</t>
        </is>
      </c>
      <c r="B2257" s="1" t="n">
        <v>46073.69857638889</v>
      </c>
      <c r="C2257" s="1" t="n">
        <v>46075</v>
      </c>
      <c r="D2257" t="inlineStr">
        <is>
          <t>VÄSTERNORRLANDS LÄN</t>
        </is>
      </c>
      <c r="E2257" t="inlineStr">
        <is>
          <t>SOLLEFTEÅ</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896-2026</t>
        </is>
      </c>
      <c r="B2258" s="1" t="n">
        <v>46030.46054398148</v>
      </c>
      <c r="C2258" s="1" t="n">
        <v>46075</v>
      </c>
      <c r="D2258" t="inlineStr">
        <is>
          <t>VÄSTERNORRLANDS LÄN</t>
        </is>
      </c>
      <c r="E2258" t="inlineStr">
        <is>
          <t>SOLLEFTEÅ</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27377-2024</t>
        </is>
      </c>
      <c r="B2259" s="1" t="n">
        <v>45473.88317129629</v>
      </c>
      <c r="C2259" s="1" t="n">
        <v>46075</v>
      </c>
      <c r="D2259" t="inlineStr">
        <is>
          <t>VÄSTERNORRLANDS LÄN</t>
        </is>
      </c>
      <c r="E2259" t="inlineStr">
        <is>
          <t>SOLLEFTEÅ</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1114-2025</t>
        </is>
      </c>
      <c r="B2260" s="1" t="n">
        <v>45666.65664351852</v>
      </c>
      <c r="C2260" s="1" t="n">
        <v>46075</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39799-2024</t>
        </is>
      </c>
      <c r="B2261" s="1" t="n">
        <v>45553.34415509259</v>
      </c>
      <c r="C2261" s="1" t="n">
        <v>46075</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39801-2024</t>
        </is>
      </c>
      <c r="B2262" s="1" t="n">
        <v>45553.34439814815</v>
      </c>
      <c r="C2262" s="1" t="n">
        <v>46075</v>
      </c>
      <c r="D2262" t="inlineStr">
        <is>
          <t>VÄSTERNORRLANDS LÄN</t>
        </is>
      </c>
      <c r="E2262" t="inlineStr">
        <is>
          <t>SOLLEFTEÅ</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60168-2022</t>
        </is>
      </c>
      <c r="B2263" s="1" t="n">
        <v>44909</v>
      </c>
      <c r="C2263" s="1" t="n">
        <v>46075</v>
      </c>
      <c r="D2263" t="inlineStr">
        <is>
          <t>VÄSTERNORRLANDS LÄN</t>
        </is>
      </c>
      <c r="E2263" t="inlineStr">
        <is>
          <t>SOLLEFTEÅ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60171-2022</t>
        </is>
      </c>
      <c r="B2264" s="1" t="n">
        <v>44909</v>
      </c>
      <c r="C2264" s="1" t="n">
        <v>46075</v>
      </c>
      <c r="D2264" t="inlineStr">
        <is>
          <t>VÄSTERNORRLANDS LÄN</t>
        </is>
      </c>
      <c r="E2264" t="inlineStr">
        <is>
          <t>SOLLEFTEÅ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1066-2026</t>
        </is>
      </c>
      <c r="B2265" s="1" t="n">
        <v>46030.64322916666</v>
      </c>
      <c r="C2265" s="1" t="n">
        <v>46075</v>
      </c>
      <c r="D2265" t="inlineStr">
        <is>
          <t>VÄSTERNORRLANDS LÄN</t>
        </is>
      </c>
      <c r="E2265" t="inlineStr">
        <is>
          <t>SOLLEFTEÅ</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40429-2024</t>
        </is>
      </c>
      <c r="B2266" s="1" t="n">
        <v>45555</v>
      </c>
      <c r="C2266" s="1" t="n">
        <v>46075</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41595-2024</t>
        </is>
      </c>
      <c r="B2267" s="1" t="n">
        <v>45560.57378472222</v>
      </c>
      <c r="C2267" s="1" t="n">
        <v>46075</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1679-2024</t>
        </is>
      </c>
      <c r="B2268" s="1" t="n">
        <v>45306</v>
      </c>
      <c r="C2268" s="1" t="n">
        <v>46075</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9784-2026</t>
        </is>
      </c>
      <c r="B2269" s="1" t="n">
        <v>46072.59284722222</v>
      </c>
      <c r="C2269" s="1" t="n">
        <v>46075</v>
      </c>
      <c r="D2269" t="inlineStr">
        <is>
          <t>VÄSTERNORRLANDS LÄN</t>
        </is>
      </c>
      <c r="E2269" t="inlineStr">
        <is>
          <t>SOLLEFTEÅ</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41146-2023</t>
        </is>
      </c>
      <c r="B2270" s="1" t="n">
        <v>45173.94277777777</v>
      </c>
      <c r="C2270" s="1" t="n">
        <v>46075</v>
      </c>
      <c r="D2270" t="inlineStr">
        <is>
          <t>VÄSTERNORRLANDS LÄN</t>
        </is>
      </c>
      <c r="E2270" t="inlineStr">
        <is>
          <t>SOLLEFTEÅ</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22462-2024</t>
        </is>
      </c>
      <c r="B2271" s="1" t="n">
        <v>45446</v>
      </c>
      <c r="C2271" s="1" t="n">
        <v>46075</v>
      </c>
      <c r="D2271" t="inlineStr">
        <is>
          <t>VÄSTERNORRLANDS LÄN</t>
        </is>
      </c>
      <c r="E2271" t="inlineStr">
        <is>
          <t>SOLLEFTEÅ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22468-2024</t>
        </is>
      </c>
      <c r="B2272" s="1" t="n">
        <v>45446.95068287037</v>
      </c>
      <c r="C2272" s="1" t="n">
        <v>46075</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1031-2026</t>
        </is>
      </c>
      <c r="B2273" s="1" t="n">
        <v>46030.61530092593</v>
      </c>
      <c r="C2273" s="1" t="n">
        <v>46075</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31555-2024</t>
        </is>
      </c>
      <c r="B2274" s="1" t="n">
        <v>45505.96484953703</v>
      </c>
      <c r="C2274" s="1" t="n">
        <v>46075</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9156-2026</t>
        </is>
      </c>
      <c r="B2275" s="1" t="n">
        <v>46070</v>
      </c>
      <c r="C2275" s="1" t="n">
        <v>46075</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9706-2026</t>
        </is>
      </c>
      <c r="B2276" s="1" t="n">
        <v>46072.4278125</v>
      </c>
      <c r="C2276" s="1" t="n">
        <v>46075</v>
      </c>
      <c r="D2276" t="inlineStr">
        <is>
          <t>VÄSTERNORRLANDS LÄN</t>
        </is>
      </c>
      <c r="E2276" t="inlineStr">
        <is>
          <t>SOLLEFTEÅ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18442-2025</t>
        </is>
      </c>
      <c r="B2277" s="1" t="n">
        <v>45762.65658564815</v>
      </c>
      <c r="C2277" s="1" t="n">
        <v>46075</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20738-2022</t>
        </is>
      </c>
      <c r="B2278" s="1" t="n">
        <v>44700</v>
      </c>
      <c r="C2278" s="1" t="n">
        <v>46075</v>
      </c>
      <c r="D2278" t="inlineStr">
        <is>
          <t>VÄSTERNORRLANDS LÄN</t>
        </is>
      </c>
      <c r="E2278" t="inlineStr">
        <is>
          <t>SOLLEFTEÅ</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42482-2024</t>
        </is>
      </c>
      <c r="B2279" s="1" t="n">
        <v>45565</v>
      </c>
      <c r="C2279" s="1" t="n">
        <v>46075</v>
      </c>
      <c r="D2279" t="inlineStr">
        <is>
          <t>VÄSTERNORRLANDS LÄN</t>
        </is>
      </c>
      <c r="E2279" t="inlineStr">
        <is>
          <t>SOLLEFTEÅ</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9739-2026</t>
        </is>
      </c>
      <c r="B2280" s="1" t="n">
        <v>46072.50528935185</v>
      </c>
      <c r="C2280" s="1" t="n">
        <v>46075</v>
      </c>
      <c r="D2280" t="inlineStr">
        <is>
          <t>VÄSTERNORRLANDS LÄN</t>
        </is>
      </c>
      <c r="E2280" t="inlineStr">
        <is>
          <t>SOLLEFTEÅ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25999-2021</t>
        </is>
      </c>
      <c r="B2281" s="1" t="n">
        <v>44344</v>
      </c>
      <c r="C2281" s="1" t="n">
        <v>46075</v>
      </c>
      <c r="D2281" t="inlineStr">
        <is>
          <t>VÄSTERNORRLANDS LÄN</t>
        </is>
      </c>
      <c r="E2281" t="inlineStr">
        <is>
          <t>SOLLEFTEÅ</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9777-2026</t>
        </is>
      </c>
      <c r="B2282" s="1" t="n">
        <v>46072.57767361111</v>
      </c>
      <c r="C2282" s="1" t="n">
        <v>46075</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9757-2026</t>
        </is>
      </c>
      <c r="B2283" s="1" t="n">
        <v>46072.54966435185</v>
      </c>
      <c r="C2283" s="1" t="n">
        <v>46075</v>
      </c>
      <c r="D2283" t="inlineStr">
        <is>
          <t>VÄSTERNORRLANDS LÄN</t>
        </is>
      </c>
      <c r="E2283" t="inlineStr">
        <is>
          <t>SOLLEFTEÅ</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9765-2026</t>
        </is>
      </c>
      <c r="B2284" s="1" t="n">
        <v>46072.56244212963</v>
      </c>
      <c r="C2284" s="1" t="n">
        <v>46075</v>
      </c>
      <c r="D2284" t="inlineStr">
        <is>
          <t>VÄSTERNORRLANDS LÄN</t>
        </is>
      </c>
      <c r="E2284" t="inlineStr">
        <is>
          <t>SOLLEFTEÅ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9773-2026</t>
        </is>
      </c>
      <c r="B2285" s="1" t="n">
        <v>46072.5735300926</v>
      </c>
      <c r="C2285" s="1" t="n">
        <v>46075</v>
      </c>
      <c r="D2285" t="inlineStr">
        <is>
          <t>VÄSTERNORRLANDS LÄN</t>
        </is>
      </c>
      <c r="E2285" t="inlineStr">
        <is>
          <t>SOLLEFTEÅ</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31680-2024</t>
        </is>
      </c>
      <c r="B2286" s="1" t="n">
        <v>45506.94894675926</v>
      </c>
      <c r="C2286" s="1" t="n">
        <v>46075</v>
      </c>
      <c r="D2286" t="inlineStr">
        <is>
          <t>VÄSTERNORRLANDS LÄN</t>
        </is>
      </c>
      <c r="E2286" t="inlineStr">
        <is>
          <t>SOLLEFTEÅ</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10053-2026</t>
        </is>
      </c>
      <c r="B2287" s="1" t="n">
        <v>46073.61542824074</v>
      </c>
      <c r="C2287" s="1" t="n">
        <v>46075</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10066-2026</t>
        </is>
      </c>
      <c r="B2288" s="1" t="n">
        <v>46073.63586805556</v>
      </c>
      <c r="C2288" s="1" t="n">
        <v>46075</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9924-2026</t>
        </is>
      </c>
      <c r="B2289" s="1" t="n">
        <v>46073.44850694444</v>
      </c>
      <c r="C2289" s="1" t="n">
        <v>46075</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10726-2025</t>
        </is>
      </c>
      <c r="B2290" s="1" t="n">
        <v>45722.38599537037</v>
      </c>
      <c r="C2290" s="1" t="n">
        <v>46075</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9786-2026</t>
        </is>
      </c>
      <c r="B2291" s="1" t="n">
        <v>46072.59431712963</v>
      </c>
      <c r="C2291" s="1" t="n">
        <v>46075</v>
      </c>
      <c r="D2291" t="inlineStr">
        <is>
          <t>VÄSTERNORRLANDS LÄN</t>
        </is>
      </c>
      <c r="E2291" t="inlineStr">
        <is>
          <t>SOLLEFTEÅ</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7257-2024</t>
        </is>
      </c>
      <c r="B2292" s="1" t="n">
        <v>45344.7371412037</v>
      </c>
      <c r="C2292" s="1" t="n">
        <v>46075</v>
      </c>
      <c r="D2292" t="inlineStr">
        <is>
          <t>VÄSTERNORRLANDS LÄN</t>
        </is>
      </c>
      <c r="E2292" t="inlineStr">
        <is>
          <t>SOLLEFTEÅ</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11108-2025</t>
        </is>
      </c>
      <c r="B2293" s="1" t="n">
        <v>45723.6150462963</v>
      </c>
      <c r="C2293" s="1" t="n">
        <v>46075</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61847-2024</t>
        </is>
      </c>
      <c r="B2294" s="1" t="n">
        <v>45646</v>
      </c>
      <c r="C2294" s="1" t="n">
        <v>46075</v>
      </c>
      <c r="D2294" t="inlineStr">
        <is>
          <t>VÄSTERNORRLANDS LÄN</t>
        </is>
      </c>
      <c r="E2294" t="inlineStr">
        <is>
          <t>SOLLEFTEÅ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53831-2024</t>
        </is>
      </c>
      <c r="B2295" s="1" t="n">
        <v>45615.61575231481</v>
      </c>
      <c r="C2295" s="1" t="n">
        <v>46075</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57010-2023</t>
        </is>
      </c>
      <c r="B2296" s="1" t="n">
        <v>45239</v>
      </c>
      <c r="C2296" s="1" t="n">
        <v>46075</v>
      </c>
      <c r="D2296" t="inlineStr">
        <is>
          <t>VÄSTERNORRLANDS LÄN</t>
        </is>
      </c>
      <c r="E2296" t="inlineStr">
        <is>
          <t>SOLLEFTEÅ</t>
        </is>
      </c>
      <c r="G2296" t="n">
        <v>1.6</v>
      </c>
      <c r="H2296" t="n">
        <v>0</v>
      </c>
      <c r="I2296" t="n">
        <v>0</v>
      </c>
      <c r="J2296" t="n">
        <v>0</v>
      </c>
      <c r="K2296" t="n">
        <v>0</v>
      </c>
      <c r="L2296" t="n">
        <v>0</v>
      </c>
      <c r="M2296" t="n">
        <v>0</v>
      </c>
      <c r="N2296" t="n">
        <v>0</v>
      </c>
      <c r="O2296" t="n">
        <v>0</v>
      </c>
      <c r="P2296" t="n">
        <v>0</v>
      </c>
      <c r="Q2296" t="n">
        <v>0</v>
      </c>
      <c r="R2296" s="2" t="inlineStr"/>
      <c r="U2296">
        <f>HYPERLINK("https://klasma.github.io/Logging_2283/knärot/A 57010-2023 karta knärot.png", "A 57010-2023")</f>
        <v/>
      </c>
      <c r="V2296">
        <f>HYPERLINK("https://klasma.github.io/Logging_2283/klagomål/A 57010-2023 FSC-klagomål.docx", "A 57010-2023")</f>
        <v/>
      </c>
      <c r="W2296">
        <f>HYPERLINK("https://klasma.github.io/Logging_2283/klagomålsmail/A 57010-2023 FSC-klagomål mail.docx", "A 57010-2023")</f>
        <v/>
      </c>
      <c r="X2296">
        <f>HYPERLINK("https://klasma.github.io/Logging_2283/tillsyn/A 57010-2023 tillsynsbegäran.docx", "A 57010-2023")</f>
        <v/>
      </c>
      <c r="Y2296">
        <f>HYPERLINK("https://klasma.github.io/Logging_2283/tillsynsmail/A 57010-2023 tillsynsbegäran mail.docx", "A 57010-2023")</f>
        <v/>
      </c>
    </row>
    <row r="2297" ht="15" customHeight="1">
      <c r="A2297" t="inlineStr">
        <is>
          <t>A 10052-2026</t>
        </is>
      </c>
      <c r="B2297" s="1" t="n">
        <v>46073.61515046296</v>
      </c>
      <c r="C2297" s="1" t="n">
        <v>46075</v>
      </c>
      <c r="D2297" t="inlineStr">
        <is>
          <t>VÄSTERNORRLANDS LÄN</t>
        </is>
      </c>
      <c r="E2297" t="inlineStr">
        <is>
          <t>SOLLEFTEÅ</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14109-2023</t>
        </is>
      </c>
      <c r="B2298" s="1" t="n">
        <v>45008</v>
      </c>
      <c r="C2298" s="1" t="n">
        <v>46075</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58155-2023</t>
        </is>
      </c>
      <c r="B2299" s="1" t="n">
        <v>45250</v>
      </c>
      <c r="C2299" s="1" t="n">
        <v>46075</v>
      </c>
      <c r="D2299" t="inlineStr">
        <is>
          <t>VÄSTERNORRLANDS LÄN</t>
        </is>
      </c>
      <c r="E2299" t="inlineStr">
        <is>
          <t>SOLLEFTEÅ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19053-2022</t>
        </is>
      </c>
      <c r="B2300" s="1" t="n">
        <v>44691.41626157407</v>
      </c>
      <c r="C2300" s="1" t="n">
        <v>46075</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54572-2024</t>
        </is>
      </c>
      <c r="B2301" s="1" t="n">
        <v>45617.65054398148</v>
      </c>
      <c r="C2301" s="1" t="n">
        <v>46075</v>
      </c>
      <c r="D2301" t="inlineStr">
        <is>
          <t>VÄSTERNORRLANDS LÄN</t>
        </is>
      </c>
      <c r="E2301" t="inlineStr">
        <is>
          <t>SOLLEFTEÅ</t>
        </is>
      </c>
      <c r="G2301" t="n">
        <v>28.2</v>
      </c>
      <c r="H2301" t="n">
        <v>0</v>
      </c>
      <c r="I2301" t="n">
        <v>0</v>
      </c>
      <c r="J2301" t="n">
        <v>0</v>
      </c>
      <c r="K2301" t="n">
        <v>0</v>
      </c>
      <c r="L2301" t="n">
        <v>0</v>
      </c>
      <c r="M2301" t="n">
        <v>0</v>
      </c>
      <c r="N2301" t="n">
        <v>0</v>
      </c>
      <c r="O2301" t="n">
        <v>0</v>
      </c>
      <c r="P2301" t="n">
        <v>0</v>
      </c>
      <c r="Q2301" t="n">
        <v>0</v>
      </c>
      <c r="R2301" s="2" t="inlineStr"/>
    </row>
    <row r="2302" ht="15" customHeight="1">
      <c r="A2302" t="inlineStr">
        <is>
          <t>A 24731-2021</t>
        </is>
      </c>
      <c r="B2302" s="1" t="n">
        <v>44340</v>
      </c>
      <c r="C2302" s="1" t="n">
        <v>46075</v>
      </c>
      <c r="D2302" t="inlineStr">
        <is>
          <t>VÄSTERNORRLANDS LÄN</t>
        </is>
      </c>
      <c r="E2302" t="inlineStr">
        <is>
          <t>SOLLEFTEÅ</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10093-2023</t>
        </is>
      </c>
      <c r="B2303" s="1" t="n">
        <v>44985</v>
      </c>
      <c r="C2303" s="1" t="n">
        <v>46075</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60856-2022</t>
        </is>
      </c>
      <c r="B2304" s="1" t="n">
        <v>44907</v>
      </c>
      <c r="C2304" s="1" t="n">
        <v>46075</v>
      </c>
      <c r="D2304" t="inlineStr">
        <is>
          <t>VÄSTERNORRLANDS LÄN</t>
        </is>
      </c>
      <c r="E2304" t="inlineStr">
        <is>
          <t>SOLLEFTEÅ</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2536-2022</t>
        </is>
      </c>
      <c r="B2305" s="1" t="n">
        <v>44579</v>
      </c>
      <c r="C2305" s="1" t="n">
        <v>46075</v>
      </c>
      <c r="D2305" t="inlineStr">
        <is>
          <t>VÄSTERNORRLANDS LÄN</t>
        </is>
      </c>
      <c r="E2305" t="inlineStr">
        <is>
          <t>SOLLEFTEÅ</t>
        </is>
      </c>
      <c r="F2305" t="inlineStr">
        <is>
          <t>Övriga Aktiebolag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43585-2024</t>
        </is>
      </c>
      <c r="B2306" s="1" t="n">
        <v>45569.42770833334</v>
      </c>
      <c r="C2306" s="1" t="n">
        <v>46075</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54238-2024</t>
        </is>
      </c>
      <c r="B2307" s="1" t="n">
        <v>45616.67844907408</v>
      </c>
      <c r="C2307" s="1" t="n">
        <v>46075</v>
      </c>
      <c r="D2307" t="inlineStr">
        <is>
          <t>VÄSTERNORRLANDS LÄN</t>
        </is>
      </c>
      <c r="E2307" t="inlineStr">
        <is>
          <t>SOLLEFTEÅ</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8105-2025</t>
        </is>
      </c>
      <c r="B2308" s="1" t="n">
        <v>45707.6990625</v>
      </c>
      <c r="C2308" s="1" t="n">
        <v>46075</v>
      </c>
      <c r="D2308" t="inlineStr">
        <is>
          <t>VÄSTERNORRLANDS LÄN</t>
        </is>
      </c>
      <c r="E2308" t="inlineStr">
        <is>
          <t>SOLLEFTEÅ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6376-2025</t>
        </is>
      </c>
      <c r="B2309" s="1" t="n">
        <v>45699</v>
      </c>
      <c r="C2309" s="1" t="n">
        <v>46075</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1880-2024</t>
        </is>
      </c>
      <c r="B2310" s="1" t="n">
        <v>45307</v>
      </c>
      <c r="C2310" s="1" t="n">
        <v>46075</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53452-2023</t>
        </is>
      </c>
      <c r="B2311" s="1" t="n">
        <v>45229</v>
      </c>
      <c r="C2311" s="1" t="n">
        <v>46075</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53453-2023</t>
        </is>
      </c>
      <c r="B2312" s="1" t="n">
        <v>45229.96586805556</v>
      </c>
      <c r="C2312" s="1" t="n">
        <v>46075</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4129-2025</t>
        </is>
      </c>
      <c r="B2313" s="1" t="n">
        <v>45685.34425925926</v>
      </c>
      <c r="C2313" s="1" t="n">
        <v>46075</v>
      </c>
      <c r="D2313" t="inlineStr">
        <is>
          <t>VÄSTERNORRLANDS LÄN</t>
        </is>
      </c>
      <c r="E2313" t="inlineStr">
        <is>
          <t>SOLLEFTEÅ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4133-2025</t>
        </is>
      </c>
      <c r="B2314" s="1" t="n">
        <v>45685.34559027778</v>
      </c>
      <c r="C2314" s="1" t="n">
        <v>46075</v>
      </c>
      <c r="D2314" t="inlineStr">
        <is>
          <t>VÄSTERNORRLANDS LÄN</t>
        </is>
      </c>
      <c r="E2314" t="inlineStr">
        <is>
          <t>SOLLEFTEÅ</t>
        </is>
      </c>
      <c r="F2314" t="inlineStr">
        <is>
          <t>SCA</t>
        </is>
      </c>
      <c r="G2314" t="n">
        <v>37.2</v>
      </c>
      <c r="H2314" t="n">
        <v>0</v>
      </c>
      <c r="I2314" t="n">
        <v>0</v>
      </c>
      <c r="J2314" t="n">
        <v>0</v>
      </c>
      <c r="K2314" t="n">
        <v>0</v>
      </c>
      <c r="L2314" t="n">
        <v>0</v>
      </c>
      <c r="M2314" t="n">
        <v>0</v>
      </c>
      <c r="N2314" t="n">
        <v>0</v>
      </c>
      <c r="O2314" t="n">
        <v>0</v>
      </c>
      <c r="P2314" t="n">
        <v>0</v>
      </c>
      <c r="Q2314" t="n">
        <v>0</v>
      </c>
      <c r="R2314" s="2" t="inlineStr"/>
    </row>
    <row r="2315" ht="15" customHeight="1">
      <c r="A2315" t="inlineStr">
        <is>
          <t>A 41532-2024</t>
        </is>
      </c>
      <c r="B2315" s="1" t="n">
        <v>45560.49050925926</v>
      </c>
      <c r="C2315" s="1" t="n">
        <v>46075</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54617-2023</t>
        </is>
      </c>
      <c r="B2316" s="1" t="n">
        <v>45233.95835648148</v>
      </c>
      <c r="C2316" s="1" t="n">
        <v>46075</v>
      </c>
      <c r="D2316" t="inlineStr">
        <is>
          <t>VÄSTERNORRLANDS LÄN</t>
        </is>
      </c>
      <c r="E2316" t="inlineStr">
        <is>
          <t>SOLLEFTEÅ</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2408-2023</t>
        </is>
      </c>
      <c r="B2317" s="1" t="n">
        <v>44942</v>
      </c>
      <c r="C2317" s="1" t="n">
        <v>46075</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35469-2024</t>
        </is>
      </c>
      <c r="B2318" s="1" t="n">
        <v>45531</v>
      </c>
      <c r="C2318" s="1" t="n">
        <v>46075</v>
      </c>
      <c r="D2318" t="inlineStr">
        <is>
          <t>VÄSTERNORRLANDS LÄN</t>
        </is>
      </c>
      <c r="E2318" t="inlineStr">
        <is>
          <t>SOLLEFTEÅ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6067-2024</t>
        </is>
      </c>
      <c r="B2319" s="1" t="n">
        <v>45336.89018518518</v>
      </c>
      <c r="C2319" s="1" t="n">
        <v>46075</v>
      </c>
      <c r="D2319" t="inlineStr">
        <is>
          <t>VÄSTERNORRLANDS LÄN</t>
        </is>
      </c>
      <c r="E2319" t="inlineStr">
        <is>
          <t>SOLLEFTEÅ</t>
        </is>
      </c>
      <c r="F2319" t="inlineStr">
        <is>
          <t>Övriga Aktiebolag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19416-2022</t>
        </is>
      </c>
      <c r="B2320" s="1" t="n">
        <v>44693</v>
      </c>
      <c r="C2320" s="1" t="n">
        <v>46075</v>
      </c>
      <c r="D2320" t="inlineStr">
        <is>
          <t>VÄSTERNORRLANDS LÄN</t>
        </is>
      </c>
      <c r="E2320" t="inlineStr">
        <is>
          <t>SOLLEFTEÅ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63144-2023</t>
        </is>
      </c>
      <c r="B2321" s="1" t="n">
        <v>45272</v>
      </c>
      <c r="C2321" s="1" t="n">
        <v>46075</v>
      </c>
      <c r="D2321" t="inlineStr">
        <is>
          <t>VÄSTERNORRLANDS LÄN</t>
        </is>
      </c>
      <c r="E2321" t="inlineStr">
        <is>
          <t>SOLLEFTEÅ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62260-2022</t>
        </is>
      </c>
      <c r="B2322" s="1" t="n">
        <v>44922.94366898148</v>
      </c>
      <c r="C2322" s="1" t="n">
        <v>46075</v>
      </c>
      <c r="D2322" t="inlineStr">
        <is>
          <t>VÄSTERNORRLANDS LÄN</t>
        </is>
      </c>
      <c r="E2322" t="inlineStr">
        <is>
          <t>SOLLEFTEÅ</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25989-2021</t>
        </is>
      </c>
      <c r="B2323" s="1" t="n">
        <v>44344</v>
      </c>
      <c r="C2323" s="1" t="n">
        <v>46075</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34804-2022</t>
        </is>
      </c>
      <c r="B2324" s="1" t="n">
        <v>44795.94761574074</v>
      </c>
      <c r="C2324" s="1" t="n">
        <v>46075</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3556-2022</t>
        </is>
      </c>
      <c r="B2325" s="1" t="n">
        <v>44585</v>
      </c>
      <c r="C2325" s="1" t="n">
        <v>46075</v>
      </c>
      <c r="D2325" t="inlineStr">
        <is>
          <t>VÄSTERNORRLANDS LÄN</t>
        </is>
      </c>
      <c r="E2325" t="inlineStr">
        <is>
          <t>SOLLEFTEÅ</t>
        </is>
      </c>
      <c r="F2325" t="inlineStr">
        <is>
          <t>SCA</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5258-2025</t>
        </is>
      </c>
      <c r="B2326" s="1" t="n">
        <v>45692</v>
      </c>
      <c r="C2326" s="1" t="n">
        <v>46075</v>
      </c>
      <c r="D2326" t="inlineStr">
        <is>
          <t>VÄSTERNORRLANDS LÄN</t>
        </is>
      </c>
      <c r="E2326" t="inlineStr">
        <is>
          <t>SOLLEFTEÅ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29869-2024</t>
        </is>
      </c>
      <c r="B2327" s="1" t="n">
        <v>45485.94493055555</v>
      </c>
      <c r="C2327" s="1" t="n">
        <v>46075</v>
      </c>
      <c r="D2327" t="inlineStr">
        <is>
          <t>VÄSTERNORRLANDS LÄN</t>
        </is>
      </c>
      <c r="E2327" t="inlineStr">
        <is>
          <t>SOLLEFTEÅ</t>
        </is>
      </c>
      <c r="F2327" t="inlineStr">
        <is>
          <t>SCA</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29957-2023</t>
        </is>
      </c>
      <c r="B2328" s="1" t="n">
        <v>45107</v>
      </c>
      <c r="C2328" s="1" t="n">
        <v>46075</v>
      </c>
      <c r="D2328" t="inlineStr">
        <is>
          <t>VÄSTERNORRLANDS LÄN</t>
        </is>
      </c>
      <c r="E2328" t="inlineStr">
        <is>
          <t>SOLLEFTEÅ</t>
        </is>
      </c>
      <c r="F2328" t="inlineStr">
        <is>
          <t>SCA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42771-2022</t>
        </is>
      </c>
      <c r="B2329" s="1" t="n">
        <v>44832</v>
      </c>
      <c r="C2329" s="1" t="n">
        <v>46075</v>
      </c>
      <c r="D2329" t="inlineStr">
        <is>
          <t>VÄSTERNORRLANDS LÄN</t>
        </is>
      </c>
      <c r="E2329" t="inlineStr">
        <is>
          <t>SOLLEFTEÅ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59593-2023</t>
        </is>
      </c>
      <c r="B2330" s="1" t="n">
        <v>45254.61885416666</v>
      </c>
      <c r="C2330" s="1" t="n">
        <v>46075</v>
      </c>
      <c r="D2330" t="inlineStr">
        <is>
          <t>VÄSTERNORRLANDS LÄN</t>
        </is>
      </c>
      <c r="E2330" t="inlineStr">
        <is>
          <t>SOLLEFTEÅ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38234-2024</t>
        </is>
      </c>
      <c r="B2331" s="1" t="n">
        <v>45545.56025462963</v>
      </c>
      <c r="C2331" s="1" t="n">
        <v>46075</v>
      </c>
      <c r="D2331" t="inlineStr">
        <is>
          <t>VÄSTERNORRLANDS LÄN</t>
        </is>
      </c>
      <c r="E2331" t="inlineStr">
        <is>
          <t>SOLLEFTEÅ</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72244-2021</t>
        </is>
      </c>
      <c r="B2332" s="1" t="n">
        <v>44544.9390162037</v>
      </c>
      <c r="C2332" s="1" t="n">
        <v>46075</v>
      </c>
      <c r="D2332" t="inlineStr">
        <is>
          <t>VÄSTERNORRLANDS LÄN</t>
        </is>
      </c>
      <c r="E2332" t="inlineStr">
        <is>
          <t>SOLLEFTEÅ</t>
        </is>
      </c>
      <c r="F2332" t="inlineStr">
        <is>
          <t>SCA</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18304-2022</t>
        </is>
      </c>
      <c r="B2333" s="1" t="n">
        <v>44685</v>
      </c>
      <c r="C2333" s="1" t="n">
        <v>46075</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11727-2025</t>
        </is>
      </c>
      <c r="B2334" s="1" t="n">
        <v>45727.61512731481</v>
      </c>
      <c r="C2334" s="1" t="n">
        <v>46075</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62363-2023</t>
        </is>
      </c>
      <c r="B2335" s="1" t="n">
        <v>45267</v>
      </c>
      <c r="C2335" s="1" t="n">
        <v>46075</v>
      </c>
      <c r="D2335" t="inlineStr">
        <is>
          <t>VÄSTERNORRLANDS LÄN</t>
        </is>
      </c>
      <c r="E2335" t="inlineStr">
        <is>
          <t>SOLLEFTEÅ</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38749-2024</t>
        </is>
      </c>
      <c r="B2336" s="1" t="n">
        <v>45547</v>
      </c>
      <c r="C2336" s="1" t="n">
        <v>46075</v>
      </c>
      <c r="D2336" t="inlineStr">
        <is>
          <t>VÄSTERNORRLANDS LÄN</t>
        </is>
      </c>
      <c r="E2336" t="inlineStr">
        <is>
          <t>SOLLEFTEÅ</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60583-2024</t>
        </is>
      </c>
      <c r="B2337" s="1" t="n">
        <v>45644</v>
      </c>
      <c r="C2337" s="1" t="n">
        <v>46075</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7721-2023</t>
        </is>
      </c>
      <c r="B2338" s="1" t="n">
        <v>44972.94123842593</v>
      </c>
      <c r="C2338" s="1" t="n">
        <v>46075</v>
      </c>
      <c r="D2338" t="inlineStr">
        <is>
          <t>VÄSTERNORRLANDS LÄN</t>
        </is>
      </c>
      <c r="E2338" t="inlineStr">
        <is>
          <t>SOLLEFTEÅ</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21195-2023</t>
        </is>
      </c>
      <c r="B2339" s="1" t="n">
        <v>45057</v>
      </c>
      <c r="C2339" s="1" t="n">
        <v>46075</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21230-2023</t>
        </is>
      </c>
      <c r="B2340" s="1" t="n">
        <v>45057</v>
      </c>
      <c r="C2340" s="1" t="n">
        <v>46075</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10925-2022</t>
        </is>
      </c>
      <c r="B2341" s="1" t="n">
        <v>44627.9444212963</v>
      </c>
      <c r="C2341" s="1" t="n">
        <v>46075</v>
      </c>
      <c r="D2341" t="inlineStr">
        <is>
          <t>VÄSTERNORRLANDS LÄN</t>
        </is>
      </c>
      <c r="E2341" t="inlineStr">
        <is>
          <t>SOLLEFTEÅ</t>
        </is>
      </c>
      <c r="F2341" t="inlineStr">
        <is>
          <t>SCA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31916-2023</t>
        </is>
      </c>
      <c r="B2342" s="1" t="n">
        <v>45118.93978009259</v>
      </c>
      <c r="C2342" s="1" t="n">
        <v>46075</v>
      </c>
      <c r="D2342" t="inlineStr">
        <is>
          <t>VÄSTERNORRLANDS LÄN</t>
        </is>
      </c>
      <c r="E2342" t="inlineStr">
        <is>
          <t>SOLLEFTEÅ</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31919-2023</t>
        </is>
      </c>
      <c r="B2343" s="1" t="n">
        <v>45118</v>
      </c>
      <c r="C2343" s="1" t="n">
        <v>46075</v>
      </c>
      <c r="D2343" t="inlineStr">
        <is>
          <t>VÄSTERNORRLANDS LÄN</t>
        </is>
      </c>
      <c r="E2343" t="inlineStr">
        <is>
          <t>SOLLEFTEÅ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58085-2023</t>
        </is>
      </c>
      <c r="B2344" s="1" t="n">
        <v>45247</v>
      </c>
      <c r="C2344" s="1" t="n">
        <v>46075</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7569-2025</t>
        </is>
      </c>
      <c r="B2345" s="1" t="n">
        <v>45705.59442129629</v>
      </c>
      <c r="C2345" s="1" t="n">
        <v>46075</v>
      </c>
      <c r="D2345" t="inlineStr">
        <is>
          <t>VÄSTERNORRLANDS LÄN</t>
        </is>
      </c>
      <c r="E2345" t="inlineStr">
        <is>
          <t>SOLLEFTEÅ</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19145-2025</t>
        </is>
      </c>
      <c r="B2346" s="1" t="n">
        <v>45769.34452546296</v>
      </c>
      <c r="C2346" s="1" t="n">
        <v>46075</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54255-2022</t>
        </is>
      </c>
      <c r="B2347" s="1" t="n">
        <v>44881.95225694445</v>
      </c>
      <c r="C2347" s="1" t="n">
        <v>46075</v>
      </c>
      <c r="D2347" t="inlineStr">
        <is>
          <t>VÄSTERNORRLANDS LÄN</t>
        </is>
      </c>
      <c r="E2347" t="inlineStr">
        <is>
          <t>SOLLEFTEÅ</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4061-2024</t>
        </is>
      </c>
      <c r="B2348" s="1" t="n">
        <v>45323</v>
      </c>
      <c r="C2348" s="1" t="n">
        <v>46075</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5034-2024</t>
        </is>
      </c>
      <c r="B2349" s="1" t="n">
        <v>45329.86893518519</v>
      </c>
      <c r="C2349" s="1" t="n">
        <v>46075</v>
      </c>
      <c r="D2349" t="inlineStr">
        <is>
          <t>VÄSTERNORRLANDS LÄN</t>
        </is>
      </c>
      <c r="E2349" t="inlineStr">
        <is>
          <t>SOLLEFTEÅ</t>
        </is>
      </c>
      <c r="F2349" t="inlineStr">
        <is>
          <t>Övriga Aktiebolag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35417-2024</t>
        </is>
      </c>
      <c r="B2350" s="1" t="n">
        <v>45531.40851851852</v>
      </c>
      <c r="C2350" s="1" t="n">
        <v>46075</v>
      </c>
      <c r="D2350" t="inlineStr">
        <is>
          <t>VÄSTERNORRLANDS LÄN</t>
        </is>
      </c>
      <c r="E2350" t="inlineStr">
        <is>
          <t>SOLLEFTEÅ</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48999-2023</t>
        </is>
      </c>
      <c r="B2351" s="1" t="n">
        <v>45209.66075231481</v>
      </c>
      <c r="C2351" s="1" t="n">
        <v>46075</v>
      </c>
      <c r="D2351" t="inlineStr">
        <is>
          <t>VÄSTERNORRLANDS LÄN</t>
        </is>
      </c>
      <c r="E2351" t="inlineStr">
        <is>
          <t>SOLLEFTEÅ</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14448-2022</t>
        </is>
      </c>
      <c r="B2352" s="1" t="n">
        <v>44652</v>
      </c>
      <c r="C2352" s="1" t="n">
        <v>46075</v>
      </c>
      <c r="D2352" t="inlineStr">
        <is>
          <t>VÄSTERNORRLANDS LÄN</t>
        </is>
      </c>
      <c r="E2352" t="inlineStr">
        <is>
          <t>SOLLEFTEÅ</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26500-2024</t>
        </is>
      </c>
      <c r="B2353" s="1" t="n">
        <v>45469.57174768519</v>
      </c>
      <c r="C2353" s="1" t="n">
        <v>46075</v>
      </c>
      <c r="D2353" t="inlineStr">
        <is>
          <t>VÄSTERNORRLANDS LÄN</t>
        </is>
      </c>
      <c r="E2353" t="inlineStr">
        <is>
          <t>SOLLEFTEÅ</t>
        </is>
      </c>
      <c r="F2353" t="inlineStr">
        <is>
          <t>Holmen skog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38432-2022</t>
        </is>
      </c>
      <c r="B2354" s="1" t="n">
        <v>44812</v>
      </c>
      <c r="C2354" s="1" t="n">
        <v>46075</v>
      </c>
      <c r="D2354" t="inlineStr">
        <is>
          <t>VÄSTERNORRLANDS LÄN</t>
        </is>
      </c>
      <c r="E2354" t="inlineStr">
        <is>
          <t>SOLLEFTEÅ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14169-2024</t>
        </is>
      </c>
      <c r="B2355" s="1" t="n">
        <v>45392.95831018518</v>
      </c>
      <c r="C2355" s="1" t="n">
        <v>46075</v>
      </c>
      <c r="D2355" t="inlineStr">
        <is>
          <t>VÄSTERNORRLANDS LÄN</t>
        </is>
      </c>
      <c r="E2355" t="inlineStr">
        <is>
          <t>SOLLEFTEÅ</t>
        </is>
      </c>
      <c r="F2355" t="inlineStr">
        <is>
          <t>SCA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48767-2023</t>
        </is>
      </c>
      <c r="B2356" s="1" t="n">
        <v>45208</v>
      </c>
      <c r="C2356" s="1" t="n">
        <v>46075</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5035-2024</t>
        </is>
      </c>
      <c r="B2357" s="1" t="n">
        <v>45329.86893518519</v>
      </c>
      <c r="C2357" s="1" t="n">
        <v>46075</v>
      </c>
      <c r="D2357" t="inlineStr">
        <is>
          <t>VÄSTERNORRLANDS LÄN</t>
        </is>
      </c>
      <c r="E2357" t="inlineStr">
        <is>
          <t>SOLLEFTEÅ</t>
        </is>
      </c>
      <c r="F2357" t="inlineStr">
        <is>
          <t>Övriga Aktiebolag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5040-2024</t>
        </is>
      </c>
      <c r="B2358" s="1" t="n">
        <v>45329.88962962963</v>
      </c>
      <c r="C2358" s="1" t="n">
        <v>46075</v>
      </c>
      <c r="D2358" t="inlineStr">
        <is>
          <t>VÄSTERNORRLANDS LÄN</t>
        </is>
      </c>
      <c r="E2358" t="inlineStr">
        <is>
          <t>SOLLEFTEÅ</t>
        </is>
      </c>
      <c r="F2358" t="inlineStr">
        <is>
          <t>Övriga Aktiebolag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3537-2025</t>
        </is>
      </c>
      <c r="B2359" s="1" t="n">
        <v>45680</v>
      </c>
      <c r="C2359" s="1" t="n">
        <v>46075</v>
      </c>
      <c r="D2359" t="inlineStr">
        <is>
          <t>VÄSTERNORRLANDS LÄN</t>
        </is>
      </c>
      <c r="E2359" t="inlineStr">
        <is>
          <t>SOLLEFTEÅ</t>
        </is>
      </c>
      <c r="F2359" t="inlineStr">
        <is>
          <t>SCA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16237-2024</t>
        </is>
      </c>
      <c r="B2360" s="1" t="n">
        <v>45407.05681712963</v>
      </c>
      <c r="C2360" s="1" t="n">
        <v>46075</v>
      </c>
      <c r="D2360" t="inlineStr">
        <is>
          <t>VÄSTERNORRLANDS LÄN</t>
        </is>
      </c>
      <c r="E2360" t="inlineStr">
        <is>
          <t>SOLLEFTEÅ</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44662-2024</t>
        </is>
      </c>
      <c r="B2361" s="1" t="n">
        <v>45574.53189814815</v>
      </c>
      <c r="C2361" s="1" t="n">
        <v>46075</v>
      </c>
      <c r="D2361" t="inlineStr">
        <is>
          <t>VÄSTERNORRLANDS LÄN</t>
        </is>
      </c>
      <c r="E2361" t="inlineStr">
        <is>
          <t>SOLLEFTEÅ</t>
        </is>
      </c>
      <c r="F2361" t="inlineStr">
        <is>
          <t>SCA</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38768-2024</t>
        </is>
      </c>
      <c r="B2362" s="1" t="n">
        <v>45547.44892361111</v>
      </c>
      <c r="C2362" s="1" t="n">
        <v>46075</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52034-2022</t>
        </is>
      </c>
      <c r="B2363" s="1" t="n">
        <v>44872</v>
      </c>
      <c r="C2363" s="1" t="n">
        <v>46075</v>
      </c>
      <c r="D2363" t="inlineStr">
        <is>
          <t>VÄSTERNORRLANDS LÄN</t>
        </is>
      </c>
      <c r="E2363" t="inlineStr">
        <is>
          <t>SOLLEFTEÅ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35673-2024</t>
        </is>
      </c>
      <c r="B2364" s="1" t="n">
        <v>45532.39119212963</v>
      </c>
      <c r="C2364" s="1" t="n">
        <v>46075</v>
      </c>
      <c r="D2364" t="inlineStr">
        <is>
          <t>VÄSTERNORRLANDS LÄN</t>
        </is>
      </c>
      <c r="E2364" t="inlineStr">
        <is>
          <t>SOLLEFTEÅ</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13942-2024</t>
        </is>
      </c>
      <c r="B2365" s="1" t="n">
        <v>45391.9540162037</v>
      </c>
      <c r="C2365" s="1" t="n">
        <v>46075</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27972-2021</t>
        </is>
      </c>
      <c r="B2366" s="1" t="n">
        <v>44354.93622685185</v>
      </c>
      <c r="C2366" s="1" t="n">
        <v>46075</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9121-2024</t>
        </is>
      </c>
      <c r="B2367" s="1" t="n">
        <v>45358.04099537037</v>
      </c>
      <c r="C2367" s="1" t="n">
        <v>46075</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57892-2024</t>
        </is>
      </c>
      <c r="B2368" s="1" t="n">
        <v>45631.46910879629</v>
      </c>
      <c r="C2368" s="1" t="n">
        <v>46075</v>
      </c>
      <c r="D2368" t="inlineStr">
        <is>
          <t>VÄSTERNORRLANDS LÄN</t>
        </is>
      </c>
      <c r="E2368" t="inlineStr">
        <is>
          <t>SOLLEFTEÅ</t>
        </is>
      </c>
      <c r="F2368" t="inlineStr">
        <is>
          <t>SCA</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62406-2022</t>
        </is>
      </c>
      <c r="B2369" s="1" t="n">
        <v>44923</v>
      </c>
      <c r="C2369" s="1" t="n">
        <v>46075</v>
      </c>
      <c r="D2369" t="inlineStr">
        <is>
          <t>VÄSTERNORRLANDS LÄN</t>
        </is>
      </c>
      <c r="E2369" t="inlineStr">
        <is>
          <t>SOLLEFTEÅ</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60757-2021</t>
        </is>
      </c>
      <c r="B2370" s="1" t="n">
        <v>44496.92101851852</v>
      </c>
      <c r="C2370" s="1" t="n">
        <v>46075</v>
      </c>
      <c r="D2370" t="inlineStr">
        <is>
          <t>VÄSTERNORRLANDS LÄN</t>
        </is>
      </c>
      <c r="E2370" t="inlineStr">
        <is>
          <t>SOLLEFTEÅ</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14982-2024</t>
        </is>
      </c>
      <c r="B2371" s="1" t="n">
        <v>45398.94193287037</v>
      </c>
      <c r="C2371" s="1" t="n">
        <v>46075</v>
      </c>
      <c r="D2371" t="inlineStr">
        <is>
          <t>VÄSTERNORRLANDS LÄN</t>
        </is>
      </c>
      <c r="E2371" t="inlineStr">
        <is>
          <t>SOLLEFTEÅ</t>
        </is>
      </c>
      <c r="F2371" t="inlineStr">
        <is>
          <t>SCA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36144-2024</t>
        </is>
      </c>
      <c r="B2372" s="1" t="n">
        <v>45534.36309027778</v>
      </c>
      <c r="C2372" s="1" t="n">
        <v>46075</v>
      </c>
      <c r="D2372" t="inlineStr">
        <is>
          <t>VÄSTERNORRLANDS LÄN</t>
        </is>
      </c>
      <c r="E2372" t="inlineStr">
        <is>
          <t>SOLLEFTEÅ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23288-2023</t>
        </is>
      </c>
      <c r="B2373" s="1" t="n">
        <v>45075</v>
      </c>
      <c r="C2373" s="1" t="n">
        <v>46075</v>
      </c>
      <c r="D2373" t="inlineStr">
        <is>
          <t>VÄSTERNORRLANDS LÄN</t>
        </is>
      </c>
      <c r="E2373" t="inlineStr">
        <is>
          <t>SOLLEFTEÅ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23289-2023</t>
        </is>
      </c>
      <c r="B2374" s="1" t="n">
        <v>45075</v>
      </c>
      <c r="C2374" s="1" t="n">
        <v>46075</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59563-2024</t>
        </is>
      </c>
      <c r="B2375" s="1" t="n">
        <v>45638.63733796297</v>
      </c>
      <c r="C2375" s="1" t="n">
        <v>46075</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21031-2024</t>
        </is>
      </c>
      <c r="B2376" s="1" t="n">
        <v>45439</v>
      </c>
      <c r="C2376" s="1" t="n">
        <v>46075</v>
      </c>
      <c r="D2376" t="inlineStr">
        <is>
          <t>VÄSTERNORRLANDS LÄN</t>
        </is>
      </c>
      <c r="E2376" t="inlineStr">
        <is>
          <t>SOLLEFTEÅ</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2883-2025</t>
        </is>
      </c>
      <c r="B2377" s="1" t="n">
        <v>45677</v>
      </c>
      <c r="C2377" s="1" t="n">
        <v>46075</v>
      </c>
      <c r="D2377" t="inlineStr">
        <is>
          <t>VÄSTERNORRLANDS LÄN</t>
        </is>
      </c>
      <c r="E2377" t="inlineStr">
        <is>
          <t>SOLLEFTEÅ</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30329-2024</t>
        </is>
      </c>
      <c r="B2378" s="1" t="n">
        <v>45490.95304398148</v>
      </c>
      <c r="C2378" s="1" t="n">
        <v>46075</v>
      </c>
      <c r="D2378" t="inlineStr">
        <is>
          <t>VÄSTERNORRLANDS LÄN</t>
        </is>
      </c>
      <c r="E2378" t="inlineStr">
        <is>
          <t>SOLLEFTEÅ</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42963-2024</t>
        </is>
      </c>
      <c r="B2379" s="1" t="n">
        <v>45567.37240740741</v>
      </c>
      <c r="C2379" s="1" t="n">
        <v>46075</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42979-2024</t>
        </is>
      </c>
      <c r="B2380" s="1" t="n">
        <v>45567.37438657408</v>
      </c>
      <c r="C2380" s="1" t="n">
        <v>46075</v>
      </c>
      <c r="D2380" t="inlineStr">
        <is>
          <t>VÄSTERNORRLANDS LÄN</t>
        </is>
      </c>
      <c r="E2380" t="inlineStr">
        <is>
          <t>SOLLEFTEÅ</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31559-2024</t>
        </is>
      </c>
      <c r="B2381" s="1" t="n">
        <v>45505.96555555556</v>
      </c>
      <c r="C2381" s="1" t="n">
        <v>46075</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45958-2023</t>
        </is>
      </c>
      <c r="B2382" s="1" t="n">
        <v>45195</v>
      </c>
      <c r="C2382" s="1" t="n">
        <v>46075</v>
      </c>
      <c r="D2382" t="inlineStr">
        <is>
          <t>VÄSTERNORRLANDS LÄN</t>
        </is>
      </c>
      <c r="E2382" t="inlineStr">
        <is>
          <t>SOLLEFTEÅ</t>
        </is>
      </c>
      <c r="F2382" t="inlineStr">
        <is>
          <t>SCA</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9831-2024</t>
        </is>
      </c>
      <c r="B2383" s="1" t="n">
        <v>45363.04699074074</v>
      </c>
      <c r="C2383" s="1" t="n">
        <v>46075</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583-2025</t>
        </is>
      </c>
      <c r="B2384" s="1" t="n">
        <v>45664</v>
      </c>
      <c r="C2384" s="1" t="n">
        <v>46075</v>
      </c>
      <c r="D2384" t="inlineStr">
        <is>
          <t>VÄSTERNORRLANDS LÄN</t>
        </is>
      </c>
      <c r="E2384" t="inlineStr">
        <is>
          <t>SOLLEFTEÅ</t>
        </is>
      </c>
      <c r="G2384" t="n">
        <v>47.2</v>
      </c>
      <c r="H2384" t="n">
        <v>0</v>
      </c>
      <c r="I2384" t="n">
        <v>0</v>
      </c>
      <c r="J2384" t="n">
        <v>0</v>
      </c>
      <c r="K2384" t="n">
        <v>0</v>
      </c>
      <c r="L2384" t="n">
        <v>0</v>
      </c>
      <c r="M2384" t="n">
        <v>0</v>
      </c>
      <c r="N2384" t="n">
        <v>0</v>
      </c>
      <c r="O2384" t="n">
        <v>0</v>
      </c>
      <c r="P2384" t="n">
        <v>0</v>
      </c>
      <c r="Q2384" t="n">
        <v>0</v>
      </c>
      <c r="R2384" s="2" t="inlineStr"/>
    </row>
    <row r="2385" ht="15" customHeight="1">
      <c r="A2385" t="inlineStr">
        <is>
          <t>A 35513-2024</t>
        </is>
      </c>
      <c r="B2385" s="1" t="n">
        <v>45531</v>
      </c>
      <c r="C2385" s="1" t="n">
        <v>46075</v>
      </c>
      <c r="D2385" t="inlineStr">
        <is>
          <t>VÄSTERNORRLANDS LÄN</t>
        </is>
      </c>
      <c r="E2385" t="inlineStr">
        <is>
          <t>SOLLEFTEÅ</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12764-2022</t>
        </is>
      </c>
      <c r="B2386" s="1" t="n">
        <v>44641.93445601852</v>
      </c>
      <c r="C2386" s="1" t="n">
        <v>46075</v>
      </c>
      <c r="D2386" t="inlineStr">
        <is>
          <t>VÄSTERNORRLANDS LÄN</t>
        </is>
      </c>
      <c r="E2386" t="inlineStr">
        <is>
          <t>SOLLEFTEÅ</t>
        </is>
      </c>
      <c r="F2386" t="inlineStr">
        <is>
          <t>SCA</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8195-2025</t>
        </is>
      </c>
      <c r="B2387" s="1" t="n">
        <v>45708</v>
      </c>
      <c r="C2387" s="1" t="n">
        <v>46075</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6271-2023</t>
        </is>
      </c>
      <c r="B2388" s="1" t="n">
        <v>44959</v>
      </c>
      <c r="C2388" s="1" t="n">
        <v>46075</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38275-2024</t>
        </is>
      </c>
      <c r="B2389" s="1" t="n">
        <v>45545</v>
      </c>
      <c r="C2389" s="1" t="n">
        <v>46075</v>
      </c>
      <c r="D2389" t="inlineStr">
        <is>
          <t>VÄSTERNORRLANDS LÄN</t>
        </is>
      </c>
      <c r="E2389" t="inlineStr">
        <is>
          <t>SOLLEFTEÅ</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48265-2024</t>
        </is>
      </c>
      <c r="B2390" s="1" t="n">
        <v>45590.42751157407</v>
      </c>
      <c r="C2390" s="1" t="n">
        <v>46075</v>
      </c>
      <c r="D2390" t="inlineStr">
        <is>
          <t>VÄSTERNORRLANDS LÄN</t>
        </is>
      </c>
      <c r="E2390" t="inlineStr">
        <is>
          <t>SOLLEFTEÅ</t>
        </is>
      </c>
      <c r="F2390" t="inlineStr">
        <is>
          <t>SCA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50226-2023</t>
        </is>
      </c>
      <c r="B2391" s="1" t="n">
        <v>45215.94767361111</v>
      </c>
      <c r="C2391" s="1" t="n">
        <v>46075</v>
      </c>
      <c r="D2391" t="inlineStr">
        <is>
          <t>VÄSTERNORRLANDS LÄN</t>
        </is>
      </c>
      <c r="E2391" t="inlineStr">
        <is>
          <t>SOLLEFTEÅ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1459-2024</t>
        </is>
      </c>
      <c r="B2392" s="1" t="n">
        <v>45303.9331712963</v>
      </c>
      <c r="C2392" s="1" t="n">
        <v>46075</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44393-2023</t>
        </is>
      </c>
      <c r="B2393" s="1" t="n">
        <v>45188.94534722222</v>
      </c>
      <c r="C2393" s="1" t="n">
        <v>46075</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56176-2022</t>
        </is>
      </c>
      <c r="B2394" s="1" t="n">
        <v>44889.94862268519</v>
      </c>
      <c r="C2394" s="1" t="n">
        <v>46075</v>
      </c>
      <c r="D2394" t="inlineStr">
        <is>
          <t>VÄSTERNORRLANDS LÄN</t>
        </is>
      </c>
      <c r="E2394" t="inlineStr">
        <is>
          <t>SOLLEFTEÅ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13584-2025</t>
        </is>
      </c>
      <c r="B2395" s="1" t="n">
        <v>45736.59193287037</v>
      </c>
      <c r="C2395" s="1" t="n">
        <v>46075</v>
      </c>
      <c r="D2395" t="inlineStr">
        <is>
          <t>VÄSTERNORRLANDS LÄN</t>
        </is>
      </c>
      <c r="E2395" t="inlineStr">
        <is>
          <t>SOLLEFTEÅ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6816-2024</t>
        </is>
      </c>
      <c r="B2396" s="1" t="n">
        <v>45342</v>
      </c>
      <c r="C2396" s="1" t="n">
        <v>46075</v>
      </c>
      <c r="D2396" t="inlineStr">
        <is>
          <t>VÄSTERNORRLANDS LÄN</t>
        </is>
      </c>
      <c r="E2396" t="inlineStr">
        <is>
          <t>SOLLEFTEÅ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16693-2024</t>
        </is>
      </c>
      <c r="B2397" s="1" t="n">
        <v>45408</v>
      </c>
      <c r="C2397" s="1" t="n">
        <v>46075</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18623-2024</t>
        </is>
      </c>
      <c r="B2398" s="1" t="n">
        <v>45425.96378472223</v>
      </c>
      <c r="C2398" s="1" t="n">
        <v>46075</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41434-2024</t>
        </is>
      </c>
      <c r="B2399" s="1" t="n">
        <v>45560</v>
      </c>
      <c r="C2399" s="1" t="n">
        <v>46075</v>
      </c>
      <c r="D2399" t="inlineStr">
        <is>
          <t>VÄSTERNORRLANDS LÄN</t>
        </is>
      </c>
      <c r="E2399" t="inlineStr">
        <is>
          <t>SOLLEFTEÅ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45334-2024</t>
        </is>
      </c>
      <c r="B2400" s="1" t="n">
        <v>45576</v>
      </c>
      <c r="C2400" s="1" t="n">
        <v>46075</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42229-2021</t>
        </is>
      </c>
      <c r="B2401" s="1" t="n">
        <v>44426.93474537037</v>
      </c>
      <c r="C2401" s="1" t="n">
        <v>46075</v>
      </c>
      <c r="D2401" t="inlineStr">
        <is>
          <t>VÄSTERNORRLANDS LÄN</t>
        </is>
      </c>
      <c r="E2401" t="inlineStr">
        <is>
          <t>SOLLEFTEÅ</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35019-2022</t>
        </is>
      </c>
      <c r="B2402" s="1" t="n">
        <v>44796.94684027778</v>
      </c>
      <c r="C2402" s="1" t="n">
        <v>46075</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45240.59096064815</v>
      </c>
      <c r="C2403" s="1" t="n">
        <v>46075</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62262-2022</t>
        </is>
      </c>
      <c r="B2404" s="1" t="n">
        <v>44922.94387731481</v>
      </c>
      <c r="C2404" s="1" t="n">
        <v>46075</v>
      </c>
      <c r="D2404" t="inlineStr">
        <is>
          <t>VÄSTERNORRLANDS LÄN</t>
        </is>
      </c>
      <c r="E2404" t="inlineStr">
        <is>
          <t>SOLLEFTEÅ</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10738-2025</t>
        </is>
      </c>
      <c r="B2405" s="1" t="n">
        <v>45722.40704861111</v>
      </c>
      <c r="C2405" s="1" t="n">
        <v>46075</v>
      </c>
      <c r="D2405" t="inlineStr">
        <is>
          <t>VÄSTERNORRLANDS LÄN</t>
        </is>
      </c>
      <c r="E2405" t="inlineStr">
        <is>
          <t>SOLLEFTEÅ</t>
        </is>
      </c>
      <c r="F2405" t="inlineStr">
        <is>
          <t>SCA</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51193-2024</t>
        </is>
      </c>
      <c r="B2406" s="1" t="n">
        <v>45603.61511574074</v>
      </c>
      <c r="C2406" s="1" t="n">
        <v>46075</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3689-2023</t>
        </is>
      </c>
      <c r="B2407" s="1" t="n">
        <v>44950</v>
      </c>
      <c r="C2407" s="1" t="n">
        <v>46075</v>
      </c>
      <c r="D2407" t="inlineStr">
        <is>
          <t>VÄSTERNORRLANDS LÄN</t>
        </is>
      </c>
      <c r="E2407" t="inlineStr">
        <is>
          <t>SOLLEFTEÅ</t>
        </is>
      </c>
      <c r="F2407" t="inlineStr">
        <is>
          <t>SCA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23753-2021</t>
        </is>
      </c>
      <c r="B2408" s="1" t="n">
        <v>44334</v>
      </c>
      <c r="C2408" s="1" t="n">
        <v>46075</v>
      </c>
      <c r="D2408" t="inlineStr">
        <is>
          <t>VÄSTERNORRLANDS LÄN</t>
        </is>
      </c>
      <c r="E2408" t="inlineStr">
        <is>
          <t>SOLLEFTEÅ</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57395-2023</t>
        </is>
      </c>
      <c r="B2409" s="1" t="n">
        <v>45245.9678125</v>
      </c>
      <c r="C2409" s="1" t="n">
        <v>46075</v>
      </c>
      <c r="D2409" t="inlineStr">
        <is>
          <t>VÄSTERNORRLANDS LÄN</t>
        </is>
      </c>
      <c r="E2409" t="inlineStr">
        <is>
          <t>SOLLEFTEÅ</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12752-2023</t>
        </is>
      </c>
      <c r="B2410" s="1" t="n">
        <v>45000.94854166666</v>
      </c>
      <c r="C2410" s="1" t="n">
        <v>46075</v>
      </c>
      <c r="D2410" t="inlineStr">
        <is>
          <t>VÄSTERNORRLANDS LÄN</t>
        </is>
      </c>
      <c r="E2410" t="inlineStr">
        <is>
          <t>SOLLEFTEÅ</t>
        </is>
      </c>
      <c r="F2410" t="inlineStr">
        <is>
          <t>SCA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1416-2025</t>
        </is>
      </c>
      <c r="B2411" s="1" t="n">
        <v>45668</v>
      </c>
      <c r="C2411" s="1" t="n">
        <v>46075</v>
      </c>
      <c r="D2411" t="inlineStr">
        <is>
          <t>VÄSTERNORRLANDS LÄN</t>
        </is>
      </c>
      <c r="E2411" t="inlineStr">
        <is>
          <t>SOLLEFTEÅ</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31481-2024</t>
        </is>
      </c>
      <c r="B2412" s="1" t="n">
        <v>45505</v>
      </c>
      <c r="C2412" s="1" t="n">
        <v>46075</v>
      </c>
      <c r="D2412" t="inlineStr">
        <is>
          <t>VÄSTERNORRLANDS LÄN</t>
        </is>
      </c>
      <c r="E2412" t="inlineStr">
        <is>
          <t>SOLLEFTEÅ</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29290-2022</t>
        </is>
      </c>
      <c r="B2413" s="1" t="n">
        <v>44750</v>
      </c>
      <c r="C2413" s="1" t="n">
        <v>46075</v>
      </c>
      <c r="D2413" t="inlineStr">
        <is>
          <t>VÄSTERNORRLANDS LÄN</t>
        </is>
      </c>
      <c r="E2413" t="inlineStr">
        <is>
          <t>SOLLEFTEÅ</t>
        </is>
      </c>
      <c r="F2413" t="inlineStr">
        <is>
          <t>SCA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29693-2024</t>
        </is>
      </c>
      <c r="B2414" s="1" t="n">
        <v>45484.94490740741</v>
      </c>
      <c r="C2414" s="1" t="n">
        <v>46075</v>
      </c>
      <c r="D2414" t="inlineStr">
        <is>
          <t>VÄSTERNORRLANDS LÄN</t>
        </is>
      </c>
      <c r="E2414" t="inlineStr">
        <is>
          <t>SOLLEFTEÅ</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9632-2025</t>
        </is>
      </c>
      <c r="B2415" s="1" t="n">
        <v>45715.71921296296</v>
      </c>
      <c r="C2415" s="1" t="n">
        <v>46075</v>
      </c>
      <c r="D2415" t="inlineStr">
        <is>
          <t>VÄSTERNORRLANDS LÄN</t>
        </is>
      </c>
      <c r="E2415" t="inlineStr">
        <is>
          <t>SOLLEFTEÅ</t>
        </is>
      </c>
      <c r="F2415" t="inlineStr">
        <is>
          <t>SCA</t>
        </is>
      </c>
      <c r="G2415" t="n">
        <v>21.6</v>
      </c>
      <c r="H2415" t="n">
        <v>0</v>
      </c>
      <c r="I2415" t="n">
        <v>0</v>
      </c>
      <c r="J2415" t="n">
        <v>0</v>
      </c>
      <c r="K2415" t="n">
        <v>0</v>
      </c>
      <c r="L2415" t="n">
        <v>0</v>
      </c>
      <c r="M2415" t="n">
        <v>0</v>
      </c>
      <c r="N2415" t="n">
        <v>0</v>
      </c>
      <c r="O2415" t="n">
        <v>0</v>
      </c>
      <c r="P2415" t="n">
        <v>0</v>
      </c>
      <c r="Q2415" t="n">
        <v>0</v>
      </c>
      <c r="R2415" s="2" t="inlineStr"/>
    </row>
    <row r="2416" ht="15" customHeight="1">
      <c r="A2416" t="inlineStr">
        <is>
          <t>A 47631-2024</t>
        </is>
      </c>
      <c r="B2416" s="1" t="n">
        <v>45588.34465277778</v>
      </c>
      <c r="C2416" s="1" t="n">
        <v>46075</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60827-2024</t>
        </is>
      </c>
      <c r="B2417" s="1" t="n">
        <v>45644.63590277778</v>
      </c>
      <c r="C2417" s="1" t="n">
        <v>46075</v>
      </c>
      <c r="D2417" t="inlineStr">
        <is>
          <t>VÄSTERNORRLANDS LÄN</t>
        </is>
      </c>
      <c r="E2417" t="inlineStr">
        <is>
          <t>SOLLEFTEÅ</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6236-2023</t>
        </is>
      </c>
      <c r="B2418" s="1" t="n">
        <v>44964</v>
      </c>
      <c r="C2418" s="1" t="n">
        <v>46075</v>
      </c>
      <c r="D2418" t="inlineStr">
        <is>
          <t>VÄSTERNORRLANDS LÄN</t>
        </is>
      </c>
      <c r="E2418" t="inlineStr">
        <is>
          <t>SOLLEFTEÅ</t>
        </is>
      </c>
      <c r="F2418" t="inlineStr">
        <is>
          <t>SCA</t>
        </is>
      </c>
      <c r="G2418" t="n">
        <v>0.1</v>
      </c>
      <c r="H2418" t="n">
        <v>0</v>
      </c>
      <c r="I2418" t="n">
        <v>0</v>
      </c>
      <c r="J2418" t="n">
        <v>0</v>
      </c>
      <c r="K2418" t="n">
        <v>0</v>
      </c>
      <c r="L2418" t="n">
        <v>0</v>
      </c>
      <c r="M2418" t="n">
        <v>0</v>
      </c>
      <c r="N2418" t="n">
        <v>0</v>
      </c>
      <c r="O2418" t="n">
        <v>0</v>
      </c>
      <c r="P2418" t="n">
        <v>0</v>
      </c>
      <c r="Q2418" t="n">
        <v>0</v>
      </c>
      <c r="R2418" s="2" t="inlineStr"/>
      <c r="U2418">
        <f>HYPERLINK("https://klasma.github.io/Logging_2283/knärot/A 6236-2023 karta knärot.png", "A 6236-2023")</f>
        <v/>
      </c>
      <c r="V2418">
        <f>HYPERLINK("https://klasma.github.io/Logging_2283/klagomål/A 6236-2023 FSC-klagomål.docx", "A 6236-2023")</f>
        <v/>
      </c>
      <c r="W2418">
        <f>HYPERLINK("https://klasma.github.io/Logging_2283/klagomålsmail/A 6236-2023 FSC-klagomål mail.docx", "A 6236-2023")</f>
        <v/>
      </c>
      <c r="X2418">
        <f>HYPERLINK("https://klasma.github.io/Logging_2283/tillsyn/A 6236-2023 tillsynsbegäran.docx", "A 6236-2023")</f>
        <v/>
      </c>
      <c r="Y2418">
        <f>HYPERLINK("https://klasma.github.io/Logging_2283/tillsynsmail/A 6236-2023 tillsynsbegäran mail.docx", "A 6236-2023")</f>
        <v/>
      </c>
    </row>
    <row r="2419" ht="15" customHeight="1">
      <c r="A2419" t="inlineStr">
        <is>
          <t>A 73564-2021</t>
        </is>
      </c>
      <c r="B2419" s="1" t="n">
        <v>44551.9409375</v>
      </c>
      <c r="C2419" s="1" t="n">
        <v>46075</v>
      </c>
      <c r="D2419" t="inlineStr">
        <is>
          <t>VÄSTERNORRLANDS LÄN</t>
        </is>
      </c>
      <c r="E2419" t="inlineStr">
        <is>
          <t>SOLLEFTEÅ</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10618-2024</t>
        </is>
      </c>
      <c r="B2420" s="1" t="n">
        <v>45367</v>
      </c>
      <c r="C2420" s="1" t="n">
        <v>46075</v>
      </c>
      <c r="D2420" t="inlineStr">
        <is>
          <t>VÄSTERNORRLANDS LÄN</t>
        </is>
      </c>
      <c r="E2420" t="inlineStr">
        <is>
          <t>SOLLEFTEÅ</t>
        </is>
      </c>
      <c r="F2420" t="inlineStr">
        <is>
          <t>SCA</t>
        </is>
      </c>
      <c r="G2420" t="n">
        <v>21.1</v>
      </c>
      <c r="H2420" t="n">
        <v>0</v>
      </c>
      <c r="I2420" t="n">
        <v>0</v>
      </c>
      <c r="J2420" t="n">
        <v>0</v>
      </c>
      <c r="K2420" t="n">
        <v>0</v>
      </c>
      <c r="L2420" t="n">
        <v>0</v>
      </c>
      <c r="M2420" t="n">
        <v>0</v>
      </c>
      <c r="N2420" t="n">
        <v>0</v>
      </c>
      <c r="O2420" t="n">
        <v>0</v>
      </c>
      <c r="P2420" t="n">
        <v>0</v>
      </c>
      <c r="Q2420" t="n">
        <v>0</v>
      </c>
      <c r="R2420" s="2" t="inlineStr"/>
    </row>
    <row r="2421" ht="15" customHeight="1">
      <c r="A2421" t="inlineStr">
        <is>
          <t>A 13150-2025</t>
        </is>
      </c>
      <c r="B2421" s="1" t="n">
        <v>45735.34439814815</v>
      </c>
      <c r="C2421" s="1" t="n">
        <v>46075</v>
      </c>
      <c r="D2421" t="inlineStr">
        <is>
          <t>VÄSTERNORRLANDS LÄN</t>
        </is>
      </c>
      <c r="E2421" t="inlineStr">
        <is>
          <t>SOLLEFTEÅ</t>
        </is>
      </c>
      <c r="F2421" t="inlineStr">
        <is>
          <t>SCA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25314-2023</t>
        </is>
      </c>
      <c r="B2422" s="1" t="n">
        <v>45086</v>
      </c>
      <c r="C2422" s="1" t="n">
        <v>46075</v>
      </c>
      <c r="D2422" t="inlineStr">
        <is>
          <t>VÄSTERNORRLANDS LÄN</t>
        </is>
      </c>
      <c r="E2422" t="inlineStr">
        <is>
          <t>SOLLEFTEÅ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16795-2025</t>
        </is>
      </c>
      <c r="B2423" s="1" t="n">
        <v>45754.61487268518</v>
      </c>
      <c r="C2423" s="1" t="n">
        <v>46075</v>
      </c>
      <c r="D2423" t="inlineStr">
        <is>
          <t>VÄSTERNORRLANDS LÄN</t>
        </is>
      </c>
      <c r="E2423" t="inlineStr">
        <is>
          <t>SOLLEFTEÅ</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56262-2023</t>
        </is>
      </c>
      <c r="B2424" s="1" t="n">
        <v>45240</v>
      </c>
      <c r="C2424" s="1" t="n">
        <v>46075</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1997-2022</t>
        </is>
      </c>
      <c r="B2425" s="1" t="n">
        <v>44575</v>
      </c>
      <c r="C2425" s="1" t="n">
        <v>46075</v>
      </c>
      <c r="D2425" t="inlineStr">
        <is>
          <t>VÄSTERNORRLANDS LÄN</t>
        </is>
      </c>
      <c r="E2425" t="inlineStr">
        <is>
          <t>SOLLEFTEÅ</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7942-2025</t>
        </is>
      </c>
      <c r="B2426" s="1" t="n">
        <v>45707</v>
      </c>
      <c r="C2426" s="1" t="n">
        <v>46075</v>
      </c>
      <c r="D2426" t="inlineStr">
        <is>
          <t>VÄSTERNORRLANDS LÄN</t>
        </is>
      </c>
      <c r="E2426" t="inlineStr">
        <is>
          <t>SOLLEFTEÅ</t>
        </is>
      </c>
      <c r="F2426" t="inlineStr">
        <is>
          <t>SCA</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32812-2024</t>
        </is>
      </c>
      <c r="B2427" s="1" t="n">
        <v>45516</v>
      </c>
      <c r="C2427" s="1" t="n">
        <v>46075</v>
      </c>
      <c r="D2427" t="inlineStr">
        <is>
          <t>VÄSTERNORRLANDS LÄN</t>
        </is>
      </c>
      <c r="E2427" t="inlineStr">
        <is>
          <t>SOLLEFTEÅ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48083-2023</t>
        </is>
      </c>
      <c r="B2428" s="1" t="n">
        <v>45204</v>
      </c>
      <c r="C2428" s="1" t="n">
        <v>46075</v>
      </c>
      <c r="D2428" t="inlineStr">
        <is>
          <t>VÄSTERNORRLANDS LÄN</t>
        </is>
      </c>
      <c r="E2428" t="inlineStr">
        <is>
          <t>SOLLEFTEÅ</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4261-2025</t>
        </is>
      </c>
      <c r="B2429" s="1" t="n">
        <v>45685.61785879629</v>
      </c>
      <c r="C2429" s="1" t="n">
        <v>46075</v>
      </c>
      <c r="D2429" t="inlineStr">
        <is>
          <t>VÄSTERNORRLANDS LÄN</t>
        </is>
      </c>
      <c r="E2429" t="inlineStr">
        <is>
          <t>SOLLEFTEÅ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41834-2024</t>
        </is>
      </c>
      <c r="B2430" s="1" t="n">
        <v>45561.4084375</v>
      </c>
      <c r="C2430" s="1" t="n">
        <v>46075</v>
      </c>
      <c r="D2430" t="inlineStr">
        <is>
          <t>VÄSTERNORRLANDS LÄN</t>
        </is>
      </c>
      <c r="E2430" t="inlineStr">
        <is>
          <t>SOLLEFTEÅ</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41975-2024</t>
        </is>
      </c>
      <c r="B2431" s="1" t="n">
        <v>45561</v>
      </c>
      <c r="C2431" s="1" t="n">
        <v>46075</v>
      </c>
      <c r="D2431" t="inlineStr">
        <is>
          <t>VÄSTERNORRLANDS LÄN</t>
        </is>
      </c>
      <c r="E2431" t="inlineStr">
        <is>
          <t>SOLLEFTEÅ</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58845-2024</t>
        </is>
      </c>
      <c r="B2432" s="1" t="n">
        <v>45636.3862037037</v>
      </c>
      <c r="C2432" s="1" t="n">
        <v>46075</v>
      </c>
      <c r="D2432" t="inlineStr">
        <is>
          <t>VÄSTERNORRLANDS LÄN</t>
        </is>
      </c>
      <c r="E2432" t="inlineStr">
        <is>
          <t>SOLLEFTEÅ</t>
        </is>
      </c>
      <c r="F2432" t="inlineStr">
        <is>
          <t>SCA</t>
        </is>
      </c>
      <c r="G2432" t="n">
        <v>11.3</v>
      </c>
      <c r="H2432" t="n">
        <v>0</v>
      </c>
      <c r="I2432" t="n">
        <v>0</v>
      </c>
      <c r="J2432" t="n">
        <v>0</v>
      </c>
      <c r="K2432" t="n">
        <v>0</v>
      </c>
      <c r="L2432" t="n">
        <v>0</v>
      </c>
      <c r="M2432" t="n">
        <v>0</v>
      </c>
      <c r="N2432" t="n">
        <v>0</v>
      </c>
      <c r="O2432" t="n">
        <v>0</v>
      </c>
      <c r="P2432" t="n">
        <v>0</v>
      </c>
      <c r="Q2432" t="n">
        <v>0</v>
      </c>
      <c r="R2432" s="2" t="inlineStr"/>
    </row>
    <row r="2433" ht="15" customHeight="1">
      <c r="A2433" t="inlineStr">
        <is>
          <t>A 56388-2024</t>
        </is>
      </c>
      <c r="B2433" s="1" t="n">
        <v>45625.34449074074</v>
      </c>
      <c r="C2433" s="1" t="n">
        <v>46075</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53939-2023</t>
        </is>
      </c>
      <c r="B2434" s="1" t="n">
        <v>45224</v>
      </c>
      <c r="C2434" s="1" t="n">
        <v>46075</v>
      </c>
      <c r="D2434" t="inlineStr">
        <is>
          <t>VÄSTERNORRLANDS LÄN</t>
        </is>
      </c>
      <c r="E2434" t="inlineStr">
        <is>
          <t>SOLLEFTEÅ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41924-2023</t>
        </is>
      </c>
      <c r="B2435" s="1" t="n">
        <v>45176</v>
      </c>
      <c r="C2435" s="1" t="n">
        <v>46075</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35872-2024</t>
        </is>
      </c>
      <c r="B2436" s="1" t="n">
        <v>45533</v>
      </c>
      <c r="C2436" s="1" t="n">
        <v>46075</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21582-2022</t>
        </is>
      </c>
      <c r="B2437" s="1" t="n">
        <v>44706</v>
      </c>
      <c r="C2437" s="1" t="n">
        <v>46075</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13858-2025</t>
        </is>
      </c>
      <c r="B2438" s="1" t="n">
        <v>45737.57341435185</v>
      </c>
      <c r="C2438" s="1" t="n">
        <v>46075</v>
      </c>
      <c r="D2438" t="inlineStr">
        <is>
          <t>VÄSTERNORRLANDS LÄN</t>
        </is>
      </c>
      <c r="E2438" t="inlineStr">
        <is>
          <t>SOLLEFTEÅ</t>
        </is>
      </c>
      <c r="F2438" t="inlineStr">
        <is>
          <t>SCA</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16312-2025</t>
        </is>
      </c>
      <c r="B2439" s="1" t="n">
        <v>45751.3474074074</v>
      </c>
      <c r="C2439" s="1" t="n">
        <v>46075</v>
      </c>
      <c r="D2439" t="inlineStr">
        <is>
          <t>VÄSTERNORRLANDS LÄN</t>
        </is>
      </c>
      <c r="E2439" t="inlineStr">
        <is>
          <t>SOLLEFTEÅ</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12683-2025</t>
        </is>
      </c>
      <c r="B2440" s="1" t="n">
        <v>45733.44483796296</v>
      </c>
      <c r="C2440" s="1" t="n">
        <v>46075</v>
      </c>
      <c r="D2440" t="inlineStr">
        <is>
          <t>VÄSTERNORRLANDS LÄN</t>
        </is>
      </c>
      <c r="E2440" t="inlineStr">
        <is>
          <t>SOLLEFTEÅ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58478-2021</t>
        </is>
      </c>
      <c r="B2441" s="1" t="n">
        <v>44488</v>
      </c>
      <c r="C2441" s="1" t="n">
        <v>46075</v>
      </c>
      <c r="D2441" t="inlineStr">
        <is>
          <t>VÄSTERNORRLANDS LÄN</t>
        </is>
      </c>
      <c r="E2441" t="inlineStr">
        <is>
          <t>SOLLEFTEÅ</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19429-2024</t>
        </is>
      </c>
      <c r="B2442" s="1" t="n">
        <v>45429</v>
      </c>
      <c r="C2442" s="1" t="n">
        <v>46075</v>
      </c>
      <c r="D2442" t="inlineStr">
        <is>
          <t>VÄSTERNORRLANDS LÄN</t>
        </is>
      </c>
      <c r="E2442" t="inlineStr">
        <is>
          <t>SOLLEFTEÅ</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35217-2024</t>
        </is>
      </c>
      <c r="B2443" s="1" t="n">
        <v>45530</v>
      </c>
      <c r="C2443" s="1" t="n">
        <v>46075</v>
      </c>
      <c r="D2443" t="inlineStr">
        <is>
          <t>VÄSTERNORRLANDS LÄN</t>
        </is>
      </c>
      <c r="E2443" t="inlineStr">
        <is>
          <t>SOLLEFTEÅ</t>
        </is>
      </c>
      <c r="F2443" t="inlineStr">
        <is>
          <t>Kommuner</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49771-2024</t>
        </is>
      </c>
      <c r="B2444" s="1" t="n">
        <v>45597.34481481482</v>
      </c>
      <c r="C2444" s="1" t="n">
        <v>46075</v>
      </c>
      <c r="D2444" t="inlineStr">
        <is>
          <t>VÄSTERNORRLANDS LÄN</t>
        </is>
      </c>
      <c r="E2444" t="inlineStr">
        <is>
          <t>SOLLEFTEÅ</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49772-2024</t>
        </is>
      </c>
      <c r="B2445" s="1" t="n">
        <v>45597.34483796296</v>
      </c>
      <c r="C2445" s="1" t="n">
        <v>46075</v>
      </c>
      <c r="D2445" t="inlineStr">
        <is>
          <t>VÄSTERNORRLANDS LÄN</t>
        </is>
      </c>
      <c r="E2445" t="inlineStr">
        <is>
          <t>SOLLEFTEÅ</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71580-2021</t>
        </is>
      </c>
      <c r="B2446" s="1" t="n">
        <v>44540</v>
      </c>
      <c r="C2446" s="1" t="n">
        <v>46075</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13315-2025</t>
        </is>
      </c>
      <c r="B2447" s="1" t="n">
        <v>45735.59418981482</v>
      </c>
      <c r="C2447" s="1" t="n">
        <v>46075</v>
      </c>
      <c r="D2447" t="inlineStr">
        <is>
          <t>VÄSTERNORRLANDS LÄN</t>
        </is>
      </c>
      <c r="E2447" t="inlineStr">
        <is>
          <t>SOLLEFTEÅ</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47179-2024</t>
        </is>
      </c>
      <c r="B2448" s="1" t="n">
        <v>45586.61634259259</v>
      </c>
      <c r="C2448" s="1" t="n">
        <v>46075</v>
      </c>
      <c r="D2448" t="inlineStr">
        <is>
          <t>VÄSTERNORRLANDS LÄN</t>
        </is>
      </c>
      <c r="E2448" t="inlineStr">
        <is>
          <t>SOLLEFTEÅ</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15260-2025</t>
        </is>
      </c>
      <c r="B2449" s="1" t="n">
        <v>45744.65659722222</v>
      </c>
      <c r="C2449" s="1" t="n">
        <v>46075</v>
      </c>
      <c r="D2449" t="inlineStr">
        <is>
          <t>VÄSTERNORRLANDS LÄN</t>
        </is>
      </c>
      <c r="E2449" t="inlineStr">
        <is>
          <t>SOLLEFTEÅ</t>
        </is>
      </c>
      <c r="F2449" t="inlineStr">
        <is>
          <t>SCA</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57080-2023</t>
        </is>
      </c>
      <c r="B2450" s="1" t="n">
        <v>45244</v>
      </c>
      <c r="C2450" s="1" t="n">
        <v>46075</v>
      </c>
      <c r="D2450" t="inlineStr">
        <is>
          <t>VÄSTERNORRLANDS LÄN</t>
        </is>
      </c>
      <c r="E2450" t="inlineStr">
        <is>
          <t>SOLLEFTEÅ</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1848-2024</t>
        </is>
      </c>
      <c r="B2451" s="1" t="n">
        <v>45307</v>
      </c>
      <c r="C2451" s="1" t="n">
        <v>46075</v>
      </c>
      <c r="D2451" t="inlineStr">
        <is>
          <t>VÄSTERNORRLANDS LÄN</t>
        </is>
      </c>
      <c r="E2451" t="inlineStr">
        <is>
          <t>SOLLEFTEÅ</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53212-2024</t>
        </is>
      </c>
      <c r="B2452" s="1" t="n">
        <v>45612.63576388889</v>
      </c>
      <c r="C2452" s="1" t="n">
        <v>46075</v>
      </c>
      <c r="D2452" t="inlineStr">
        <is>
          <t>VÄSTERNORRLANDS LÄN</t>
        </is>
      </c>
      <c r="E2452" t="inlineStr">
        <is>
          <t>SOLLEFTEÅ</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9124-2022</t>
        </is>
      </c>
      <c r="B2453" s="1" t="n">
        <v>44615.58287037037</v>
      </c>
      <c r="C2453" s="1" t="n">
        <v>46075</v>
      </c>
      <c r="D2453" t="inlineStr">
        <is>
          <t>VÄSTERNORRLANDS LÄN</t>
        </is>
      </c>
      <c r="E2453" t="inlineStr">
        <is>
          <t>SOLLEFTEÅ</t>
        </is>
      </c>
      <c r="G2453" t="n">
        <v>20.2</v>
      </c>
      <c r="H2453" t="n">
        <v>0</v>
      </c>
      <c r="I2453" t="n">
        <v>0</v>
      </c>
      <c r="J2453" t="n">
        <v>0</v>
      </c>
      <c r="K2453" t="n">
        <v>0</v>
      </c>
      <c r="L2453" t="n">
        <v>0</v>
      </c>
      <c r="M2453" t="n">
        <v>0</v>
      </c>
      <c r="N2453" t="n">
        <v>0</v>
      </c>
      <c r="O2453" t="n">
        <v>0</v>
      </c>
      <c r="P2453" t="n">
        <v>0</v>
      </c>
      <c r="Q2453" t="n">
        <v>0</v>
      </c>
      <c r="R2453" s="2" t="inlineStr"/>
    </row>
    <row r="2454" ht="15" customHeight="1">
      <c r="A2454" t="inlineStr">
        <is>
          <t>A 9253-2025</t>
        </is>
      </c>
      <c r="B2454" s="1" t="n">
        <v>45714.59430555555</v>
      </c>
      <c r="C2454" s="1" t="n">
        <v>46075</v>
      </c>
      <c r="D2454" t="inlineStr">
        <is>
          <t>VÄSTERNORRLANDS LÄN</t>
        </is>
      </c>
      <c r="E2454" t="inlineStr">
        <is>
          <t>SOLLEFTEÅ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21924-2021</t>
        </is>
      </c>
      <c r="B2455" s="1" t="n">
        <v>44322.91836805556</v>
      </c>
      <c r="C2455" s="1" t="n">
        <v>46075</v>
      </c>
      <c r="D2455" t="inlineStr">
        <is>
          <t>VÄSTERNORRLANDS LÄN</t>
        </is>
      </c>
      <c r="E2455" t="inlineStr">
        <is>
          <t>SOLLEFTEÅ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20799-2024</t>
        </is>
      </c>
      <c r="B2456" s="1" t="n">
        <v>45438</v>
      </c>
      <c r="C2456" s="1" t="n">
        <v>46075</v>
      </c>
      <c r="D2456" t="inlineStr">
        <is>
          <t>VÄSTERNORRLANDS LÄN</t>
        </is>
      </c>
      <c r="E2456" t="inlineStr">
        <is>
          <t>SOLLEFTEÅ</t>
        </is>
      </c>
      <c r="F2456" t="inlineStr">
        <is>
          <t>SCA</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2583-2025</t>
        </is>
      </c>
      <c r="B2457" s="1" t="n">
        <v>45674.67803240741</v>
      </c>
      <c r="C2457" s="1" t="n">
        <v>46075</v>
      </c>
      <c r="D2457" t="inlineStr">
        <is>
          <t>VÄSTERNORRLANDS LÄN</t>
        </is>
      </c>
      <c r="E2457" t="inlineStr">
        <is>
          <t>SOLLEFTEÅ</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14036-2025</t>
        </is>
      </c>
      <c r="B2458" s="1" t="n">
        <v>45740.36508101852</v>
      </c>
      <c r="C2458" s="1" t="n">
        <v>46075</v>
      </c>
      <c r="D2458" t="inlineStr">
        <is>
          <t>VÄSTERNORRLANDS LÄN</t>
        </is>
      </c>
      <c r="E2458" t="inlineStr">
        <is>
          <t>SOLLEFTEÅ</t>
        </is>
      </c>
      <c r="F2458" t="inlineStr">
        <is>
          <t>SCA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59564-2024</t>
        </is>
      </c>
      <c r="B2459" s="1" t="n">
        <v>45638.6375</v>
      </c>
      <c r="C2459" s="1" t="n">
        <v>46075</v>
      </c>
      <c r="D2459" t="inlineStr">
        <is>
          <t>VÄSTERNORRLANDS LÄN</t>
        </is>
      </c>
      <c r="E2459" t="inlineStr">
        <is>
          <t>SOLLEFTEÅ</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49036-2023</t>
        </is>
      </c>
      <c r="B2460" s="1" t="n">
        <v>45209.95693287037</v>
      </c>
      <c r="C2460" s="1" t="n">
        <v>46075</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7009-2023</t>
        </is>
      </c>
      <c r="B2461" s="1" t="n">
        <v>44967.92959490741</v>
      </c>
      <c r="C2461" s="1" t="n">
        <v>46075</v>
      </c>
      <c r="D2461" t="inlineStr">
        <is>
          <t>VÄSTERNORRLANDS LÄN</t>
        </is>
      </c>
      <c r="E2461" t="inlineStr">
        <is>
          <t>SOLLEFTEÅ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6736-2025</t>
        </is>
      </c>
      <c r="B2462" s="1" t="n">
        <v>45700.59442129629</v>
      </c>
      <c r="C2462" s="1" t="n">
        <v>46075</v>
      </c>
      <c r="D2462" t="inlineStr">
        <is>
          <t>VÄSTERNORRLANDS LÄN</t>
        </is>
      </c>
      <c r="E2462" t="inlineStr">
        <is>
          <t>SOLLEFTEÅ</t>
        </is>
      </c>
      <c r="F2462" t="inlineStr">
        <is>
          <t>SCA</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49156-2024</t>
        </is>
      </c>
      <c r="B2463" s="1" t="n">
        <v>45594.834375</v>
      </c>
      <c r="C2463" s="1" t="n">
        <v>46075</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17049-2022</t>
        </is>
      </c>
      <c r="B2464" s="1" t="n">
        <v>44676</v>
      </c>
      <c r="C2464" s="1" t="n">
        <v>46075</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c r="U2464">
        <f>HYPERLINK("https://klasma.github.io/Logging_2283/knärot/A 17049-2022 karta knärot.png", "A 17049-2022")</f>
        <v/>
      </c>
      <c r="V2464">
        <f>HYPERLINK("https://klasma.github.io/Logging_2283/klagomål/A 17049-2022 FSC-klagomål.docx", "A 17049-2022")</f>
        <v/>
      </c>
      <c r="W2464">
        <f>HYPERLINK("https://klasma.github.io/Logging_2283/klagomålsmail/A 17049-2022 FSC-klagomål mail.docx", "A 17049-2022")</f>
        <v/>
      </c>
      <c r="X2464">
        <f>HYPERLINK("https://klasma.github.io/Logging_2283/tillsyn/A 17049-2022 tillsynsbegäran.docx", "A 17049-2022")</f>
        <v/>
      </c>
      <c r="Y2464">
        <f>HYPERLINK("https://klasma.github.io/Logging_2283/tillsynsmail/A 17049-2022 tillsynsbegäran mail.docx", "A 17049-2022")</f>
        <v/>
      </c>
    </row>
    <row r="2465" ht="15" customHeight="1">
      <c r="A2465" t="inlineStr">
        <is>
          <t>A 2580-2025</t>
        </is>
      </c>
      <c r="B2465" s="1" t="n">
        <v>45674</v>
      </c>
      <c r="C2465" s="1" t="n">
        <v>46075</v>
      </c>
      <c r="D2465" t="inlineStr">
        <is>
          <t>VÄSTERNORRLANDS LÄN</t>
        </is>
      </c>
      <c r="E2465" t="inlineStr">
        <is>
          <t>SOLLEFTEÅ</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56134-2023</t>
        </is>
      </c>
      <c r="B2466" s="1" t="n">
        <v>45240</v>
      </c>
      <c r="C2466" s="1" t="n">
        <v>46075</v>
      </c>
      <c r="D2466" t="inlineStr">
        <is>
          <t>VÄSTERNORRLANDS LÄN</t>
        </is>
      </c>
      <c r="E2466" t="inlineStr">
        <is>
          <t>SOLLEFTEÅ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2345-2025</t>
        </is>
      </c>
      <c r="B2467" s="1" t="n">
        <v>45673.67747685185</v>
      </c>
      <c r="C2467" s="1" t="n">
        <v>46075</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6735-2025</t>
        </is>
      </c>
      <c r="B2468" s="1" t="n">
        <v>45700.59434027778</v>
      </c>
      <c r="C2468" s="1" t="n">
        <v>46075</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6737-2025</t>
        </is>
      </c>
      <c r="B2469" s="1" t="n">
        <v>45700.59450231482</v>
      </c>
      <c r="C2469" s="1" t="n">
        <v>46075</v>
      </c>
      <c r="D2469" t="inlineStr">
        <is>
          <t>VÄSTERNORRLANDS LÄN</t>
        </is>
      </c>
      <c r="E2469" t="inlineStr">
        <is>
          <t>SOLLEFTEÅ</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31556-2024</t>
        </is>
      </c>
      <c r="B2470" s="1" t="n">
        <v>45505</v>
      </c>
      <c r="C2470" s="1" t="n">
        <v>46075</v>
      </c>
      <c r="D2470" t="inlineStr">
        <is>
          <t>VÄSTERNORRLANDS LÄN</t>
        </is>
      </c>
      <c r="E2470" t="inlineStr">
        <is>
          <t>SOLLEFTEÅ</t>
        </is>
      </c>
      <c r="F2470" t="inlineStr">
        <is>
          <t>SCA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45236.96600694444</v>
      </c>
      <c r="C2471" s="1" t="n">
        <v>46075</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55650-2023</t>
        </is>
      </c>
      <c r="B2472" s="1" t="n">
        <v>45238.96600694444</v>
      </c>
      <c r="C2472" s="1" t="n">
        <v>46075</v>
      </c>
      <c r="D2472" t="inlineStr">
        <is>
          <t>VÄSTERNORRLANDS LÄN</t>
        </is>
      </c>
      <c r="E2472" t="inlineStr">
        <is>
          <t>SOLLEFTEÅ</t>
        </is>
      </c>
      <c r="F2472" t="inlineStr">
        <is>
          <t>SCA</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9557-2024</t>
        </is>
      </c>
      <c r="B2473" s="1" t="n">
        <v>45360</v>
      </c>
      <c r="C2473" s="1" t="n">
        <v>46075</v>
      </c>
      <c r="D2473" t="inlineStr">
        <is>
          <t>VÄSTERNORRLANDS LÄN</t>
        </is>
      </c>
      <c r="E2473" t="inlineStr">
        <is>
          <t>SOLLEFTEÅ</t>
        </is>
      </c>
      <c r="F2473" t="inlineStr">
        <is>
          <t>SCA</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49665-2022</t>
        </is>
      </c>
      <c r="B2474" s="1" t="n">
        <v>44862</v>
      </c>
      <c r="C2474" s="1" t="n">
        <v>46075</v>
      </c>
      <c r="D2474" t="inlineStr">
        <is>
          <t>VÄSTERNORRLANDS LÄN</t>
        </is>
      </c>
      <c r="E2474" t="inlineStr">
        <is>
          <t>SOLLEFTEÅ</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56398-2024</t>
        </is>
      </c>
      <c r="B2475" s="1" t="n">
        <v>45625.35395833333</v>
      </c>
      <c r="C2475" s="1" t="n">
        <v>46075</v>
      </c>
      <c r="D2475" t="inlineStr">
        <is>
          <t>VÄSTERNORRLANDS LÄN</t>
        </is>
      </c>
      <c r="E2475" t="inlineStr">
        <is>
          <t>SOLLEFTEÅ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8712-2025</t>
        </is>
      </c>
      <c r="B2476" s="1" t="n">
        <v>45712.49872685185</v>
      </c>
      <c r="C2476" s="1" t="n">
        <v>46075</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3548-2022</t>
        </is>
      </c>
      <c r="B2477" s="1" t="n">
        <v>44585.93784722222</v>
      </c>
      <c r="C2477" s="1" t="n">
        <v>46075</v>
      </c>
      <c r="D2477" t="inlineStr">
        <is>
          <t>VÄSTERNORRLANDS LÄN</t>
        </is>
      </c>
      <c r="E2477" t="inlineStr">
        <is>
          <t>SOLLEFTEÅ</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7036-2025</t>
        </is>
      </c>
      <c r="B2478" s="1" t="n">
        <v>45701.63597222222</v>
      </c>
      <c r="C2478" s="1" t="n">
        <v>46075</v>
      </c>
      <c r="D2478" t="inlineStr">
        <is>
          <t>VÄSTERNORRLANDS LÄN</t>
        </is>
      </c>
      <c r="E2478" t="inlineStr">
        <is>
          <t>SOLLEFTEÅ</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34638-2024</t>
        </is>
      </c>
      <c r="B2479" s="1" t="n">
        <v>45526</v>
      </c>
      <c r="C2479" s="1" t="n">
        <v>46075</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c r="U2479">
        <f>HYPERLINK("https://klasma.github.io/Logging_2283/knärot/A 34638-2024 karta knärot.png", "A 34638-2024")</f>
        <v/>
      </c>
      <c r="V2479">
        <f>HYPERLINK("https://klasma.github.io/Logging_2283/klagomål/A 34638-2024 FSC-klagomål.docx", "A 34638-2024")</f>
        <v/>
      </c>
      <c r="W2479">
        <f>HYPERLINK("https://klasma.github.io/Logging_2283/klagomålsmail/A 34638-2024 FSC-klagomål mail.docx", "A 34638-2024")</f>
        <v/>
      </c>
      <c r="X2479">
        <f>HYPERLINK("https://klasma.github.io/Logging_2283/tillsyn/A 34638-2024 tillsynsbegäran.docx", "A 34638-2024")</f>
        <v/>
      </c>
      <c r="Y2479">
        <f>HYPERLINK("https://klasma.github.io/Logging_2283/tillsynsmail/A 34638-2024 tillsynsbegäran mail.docx", "A 34638-2024")</f>
        <v/>
      </c>
    </row>
    <row r="2480" ht="15" customHeight="1">
      <c r="A2480" t="inlineStr">
        <is>
          <t>A 29337-2023</t>
        </is>
      </c>
      <c r="B2480" s="1" t="n">
        <v>45105</v>
      </c>
      <c r="C2480" s="1" t="n">
        <v>46075</v>
      </c>
      <c r="D2480" t="inlineStr">
        <is>
          <t>VÄSTERNORRLANDS LÄN</t>
        </is>
      </c>
      <c r="E2480" t="inlineStr">
        <is>
          <t>SOLLEFTEÅ</t>
        </is>
      </c>
      <c r="F2480" t="inlineStr">
        <is>
          <t>SCA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17258-2025</t>
        </is>
      </c>
      <c r="B2481" s="1" t="n">
        <v>45756.53278935186</v>
      </c>
      <c r="C2481" s="1" t="n">
        <v>46075</v>
      </c>
      <c r="D2481" t="inlineStr">
        <is>
          <t>VÄSTERNORRLANDS LÄN</t>
        </is>
      </c>
      <c r="E2481" t="inlineStr">
        <is>
          <t>SOLLEFTEÅ</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19051-2022</t>
        </is>
      </c>
      <c r="B2482" s="1" t="n">
        <v>44691.41167824074</v>
      </c>
      <c r="C2482" s="1" t="n">
        <v>46075</v>
      </c>
      <c r="D2482" t="inlineStr">
        <is>
          <t>VÄSTERNORRLANDS LÄN</t>
        </is>
      </c>
      <c r="E2482" t="inlineStr">
        <is>
          <t>SOLLEFTEÅ</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11539-2024</t>
        </is>
      </c>
      <c r="B2483" s="1" t="n">
        <v>45372.9560300926</v>
      </c>
      <c r="C2483" s="1" t="n">
        <v>46075</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22668-2024</t>
        </is>
      </c>
      <c r="B2484" s="1" t="n">
        <v>45447.94453703704</v>
      </c>
      <c r="C2484" s="1" t="n">
        <v>46075</v>
      </c>
      <c r="D2484" t="inlineStr">
        <is>
          <t>VÄSTERNORRLANDS LÄN</t>
        </is>
      </c>
      <c r="E2484" t="inlineStr">
        <is>
          <t>SOLLEFTEÅ</t>
        </is>
      </c>
      <c r="F2484" t="inlineStr">
        <is>
          <t>SCA</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49673-2024</t>
        </is>
      </c>
      <c r="B2485" s="1" t="n">
        <v>45596.65657407408</v>
      </c>
      <c r="C2485" s="1" t="n">
        <v>46075</v>
      </c>
      <c r="D2485" t="inlineStr">
        <is>
          <t>VÄSTERNORRLANDS LÄN</t>
        </is>
      </c>
      <c r="E2485" t="inlineStr">
        <is>
          <t>SOLLEFTEÅ</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58463-2024</t>
        </is>
      </c>
      <c r="B2486" s="1" t="n">
        <v>45635.36650462963</v>
      </c>
      <c r="C2486" s="1" t="n">
        <v>46075</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13008-2023</t>
        </is>
      </c>
      <c r="B2487" s="1" t="n">
        <v>45002</v>
      </c>
      <c r="C2487" s="1" t="n">
        <v>46075</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15859-2024</t>
        </is>
      </c>
      <c r="B2488" s="1" t="n">
        <v>45404.99732638889</v>
      </c>
      <c r="C2488" s="1" t="n">
        <v>46075</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42228-2021</t>
        </is>
      </c>
      <c r="B2489" s="1" t="n">
        <v>44426</v>
      </c>
      <c r="C2489" s="1" t="n">
        <v>46075</v>
      </c>
      <c r="D2489" t="inlineStr">
        <is>
          <t>VÄSTERNORRLANDS LÄN</t>
        </is>
      </c>
      <c r="E2489" t="inlineStr">
        <is>
          <t>SOLLEFTEÅ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51440-2021</t>
        </is>
      </c>
      <c r="B2490" s="1" t="n">
        <v>44461</v>
      </c>
      <c r="C2490" s="1" t="n">
        <v>46075</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17481-2025</t>
        </is>
      </c>
      <c r="B2491" s="1" t="n">
        <v>45757.48979166667</v>
      </c>
      <c r="C2491" s="1" t="n">
        <v>46075</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21095-2024</t>
        </is>
      </c>
      <c r="B2492" s="1" t="n">
        <v>45439.95034722222</v>
      </c>
      <c r="C2492" s="1" t="n">
        <v>46075</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34328-2023</t>
        </is>
      </c>
      <c r="B2493" s="1" t="n">
        <v>45138.9499074074</v>
      </c>
      <c r="C2493" s="1" t="n">
        <v>46075</v>
      </c>
      <c r="D2493" t="inlineStr">
        <is>
          <t>VÄSTERNORRLANDS LÄN</t>
        </is>
      </c>
      <c r="E2493" t="inlineStr">
        <is>
          <t>SOLLEFTEÅ</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34330-2023</t>
        </is>
      </c>
      <c r="B2494" s="1" t="n">
        <v>45138</v>
      </c>
      <c r="C2494" s="1" t="n">
        <v>46075</v>
      </c>
      <c r="D2494" t="inlineStr">
        <is>
          <t>VÄSTERNORRLANDS LÄN</t>
        </is>
      </c>
      <c r="E2494" t="inlineStr">
        <is>
          <t>SOLLEFTEÅ</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3234-2024</t>
        </is>
      </c>
      <c r="B2495" s="1" t="n">
        <v>45316.94708333333</v>
      </c>
      <c r="C2495" s="1" t="n">
        <v>46075</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3231-2024</t>
        </is>
      </c>
      <c r="B2496" s="1" t="n">
        <v>45316</v>
      </c>
      <c r="C2496" s="1" t="n">
        <v>46075</v>
      </c>
      <c r="D2496" t="inlineStr">
        <is>
          <t>VÄSTERNORRLANDS LÄN</t>
        </is>
      </c>
      <c r="E2496" t="inlineStr">
        <is>
          <t>SOLLEFTEÅ</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3252-2024</t>
        </is>
      </c>
      <c r="B2497" s="1" t="n">
        <v>45316</v>
      </c>
      <c r="C2497" s="1" t="n">
        <v>46075</v>
      </c>
      <c r="D2497" t="inlineStr">
        <is>
          <t>VÄSTERNORRLANDS LÄN</t>
        </is>
      </c>
      <c r="E2497" t="inlineStr">
        <is>
          <t>SOLLEFTEÅ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21589-2021</t>
        </is>
      </c>
      <c r="B2498" s="1" t="n">
        <v>44321.66534722222</v>
      </c>
      <c r="C2498" s="1" t="n">
        <v>46075</v>
      </c>
      <c r="D2498" t="inlineStr">
        <is>
          <t>VÄSTERNORRLANDS LÄN</t>
        </is>
      </c>
      <c r="E2498" t="inlineStr">
        <is>
          <t>SOLLEFTEÅ</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50007-2024</t>
        </is>
      </c>
      <c r="B2499" s="1" t="n">
        <v>45598.57574074074</v>
      </c>
      <c r="C2499" s="1" t="n">
        <v>46075</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59473-2024</t>
        </is>
      </c>
      <c r="B2500" s="1" t="n">
        <v>45638.50436342593</v>
      </c>
      <c r="C2500" s="1" t="n">
        <v>46075</v>
      </c>
      <c r="D2500" t="inlineStr">
        <is>
          <t>VÄSTERNORRLANDS LÄN</t>
        </is>
      </c>
      <c r="E2500" t="inlineStr">
        <is>
          <t>SOLLEFTEÅ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3750-2025</t>
        </is>
      </c>
      <c r="B2501" s="1" t="n">
        <v>45681.580625</v>
      </c>
      <c r="C2501" s="1" t="n">
        <v>46075</v>
      </c>
      <c r="D2501" t="inlineStr">
        <is>
          <t>VÄSTERNORRLANDS LÄN</t>
        </is>
      </c>
      <c r="E2501" t="inlineStr">
        <is>
          <t>SOLLEFTEÅ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34388-2024</t>
        </is>
      </c>
      <c r="B2502" s="1" t="n">
        <v>45525</v>
      </c>
      <c r="C2502" s="1" t="n">
        <v>46075</v>
      </c>
      <c r="D2502" t="inlineStr">
        <is>
          <t>VÄSTERNORRLANDS LÄN</t>
        </is>
      </c>
      <c r="E2502" t="inlineStr">
        <is>
          <t>SOLLEFTEÅ</t>
        </is>
      </c>
      <c r="F2502" t="inlineStr">
        <is>
          <t>SCA</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55338-2023</t>
        </is>
      </c>
      <c r="B2503" s="1" t="n">
        <v>45237.97476851852</v>
      </c>
      <c r="C2503" s="1" t="n">
        <v>46075</v>
      </c>
      <c r="D2503" t="inlineStr">
        <is>
          <t>VÄSTERNORRLANDS LÄN</t>
        </is>
      </c>
      <c r="E2503" t="inlineStr">
        <is>
          <t>SOLLEFTEÅ</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17889-2025</t>
        </is>
      </c>
      <c r="B2504" s="1" t="n">
        <v>45758.67746527777</v>
      </c>
      <c r="C2504" s="1" t="n">
        <v>46075</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32754-2024</t>
        </is>
      </c>
      <c r="B2505" s="1" t="n">
        <v>45516.46685185185</v>
      </c>
      <c r="C2505" s="1" t="n">
        <v>46075</v>
      </c>
      <c r="D2505" t="inlineStr">
        <is>
          <t>VÄSTERNORRLANDS LÄN</t>
        </is>
      </c>
      <c r="E2505" t="inlineStr">
        <is>
          <t>SOLLEFTEÅ</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50615-2023</t>
        </is>
      </c>
      <c r="B2506" s="1" t="n">
        <v>45217</v>
      </c>
      <c r="C2506" s="1" t="n">
        <v>46075</v>
      </c>
      <c r="D2506" t="inlineStr">
        <is>
          <t>VÄSTERNORRLANDS LÄN</t>
        </is>
      </c>
      <c r="E2506" t="inlineStr">
        <is>
          <t>SOLLEFTEÅ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6733-2025</t>
        </is>
      </c>
      <c r="B2507" s="1" t="n">
        <v>45700.59425925926</v>
      </c>
      <c r="C2507" s="1" t="n">
        <v>46075</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4857-2024</t>
        </is>
      </c>
      <c r="B2508" s="1" t="n">
        <v>45329</v>
      </c>
      <c r="C2508" s="1" t="n">
        <v>46075</v>
      </c>
      <c r="D2508" t="inlineStr">
        <is>
          <t>VÄSTERNORRLANDS LÄN</t>
        </is>
      </c>
      <c r="E2508" t="inlineStr">
        <is>
          <t>SOLLEFTEÅ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59583-2023</t>
        </is>
      </c>
      <c r="B2509" s="1" t="n">
        <v>45254.60587962963</v>
      </c>
      <c r="C2509" s="1" t="n">
        <v>46075</v>
      </c>
      <c r="D2509" t="inlineStr">
        <is>
          <t>VÄSTERNORRLANDS LÄN</t>
        </is>
      </c>
      <c r="E2509" t="inlineStr">
        <is>
          <t>SOLLEFTEÅ</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21852-2024</t>
        </is>
      </c>
      <c r="B2510" s="1" t="n">
        <v>45442.9628125</v>
      </c>
      <c r="C2510" s="1" t="n">
        <v>46075</v>
      </c>
      <c r="D2510" t="inlineStr">
        <is>
          <t>VÄSTERNORRLANDS LÄN</t>
        </is>
      </c>
      <c r="E2510" t="inlineStr">
        <is>
          <t>SOLLEFTEÅ</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22672-2024</t>
        </is>
      </c>
      <c r="B2511" s="1" t="n">
        <v>45447.94486111111</v>
      </c>
      <c r="C2511" s="1" t="n">
        <v>46075</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31965-2022</t>
        </is>
      </c>
      <c r="B2512" s="1" t="n">
        <v>44777.95460648148</v>
      </c>
      <c r="C2512" s="1" t="n">
        <v>46075</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28366-2023</t>
        </is>
      </c>
      <c r="B2513" s="1" t="n">
        <v>45099</v>
      </c>
      <c r="C2513" s="1" t="n">
        <v>46075</v>
      </c>
      <c r="D2513" t="inlineStr">
        <is>
          <t>VÄSTERNORRLANDS LÄN</t>
        </is>
      </c>
      <c r="E2513" t="inlineStr">
        <is>
          <t>SOLLEFTEÅ</t>
        </is>
      </c>
      <c r="F2513" t="inlineStr">
        <is>
          <t>SCA</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22666-2024</t>
        </is>
      </c>
      <c r="B2514" s="1" t="n">
        <v>45447</v>
      </c>
      <c r="C2514" s="1" t="n">
        <v>46075</v>
      </c>
      <c r="D2514" t="inlineStr">
        <is>
          <t>VÄSTERNORRLANDS LÄN</t>
        </is>
      </c>
      <c r="E2514" t="inlineStr">
        <is>
          <t>SOLLEFTEÅ</t>
        </is>
      </c>
      <c r="F2514" t="inlineStr">
        <is>
          <t>SCA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22675-2024</t>
        </is>
      </c>
      <c r="B2515" s="1" t="n">
        <v>45447.94508101852</v>
      </c>
      <c r="C2515" s="1" t="n">
        <v>46075</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57273-2022</t>
        </is>
      </c>
      <c r="B2516" s="1" t="n">
        <v>44895.9487962963</v>
      </c>
      <c r="C2516" s="1" t="n">
        <v>46075</v>
      </c>
      <c r="D2516" t="inlineStr">
        <is>
          <t>VÄSTERNORRLANDS LÄN</t>
        </is>
      </c>
      <c r="E2516" t="inlineStr">
        <is>
          <t>SOLLEFTEÅ</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54806-2024</t>
        </is>
      </c>
      <c r="B2517" s="1" t="n">
        <v>45618.51133101852</v>
      </c>
      <c r="C2517" s="1" t="n">
        <v>46075</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38053-2024</t>
        </is>
      </c>
      <c r="B2518" s="1" t="n">
        <v>45544.71903935185</v>
      </c>
      <c r="C2518" s="1" t="n">
        <v>46075</v>
      </c>
      <c r="D2518" t="inlineStr">
        <is>
          <t>VÄSTERNORRLANDS LÄN</t>
        </is>
      </c>
      <c r="E2518" t="inlineStr">
        <is>
          <t>SOLLEFTEÅ</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43487-2023</t>
        </is>
      </c>
      <c r="B2519" s="1" t="n">
        <v>45181</v>
      </c>
      <c r="C2519" s="1" t="n">
        <v>46075</v>
      </c>
      <c r="D2519" t="inlineStr">
        <is>
          <t>VÄSTERNORRLANDS LÄN</t>
        </is>
      </c>
      <c r="E2519" t="inlineStr">
        <is>
          <t>SOLLEFTEÅ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20437-2025</t>
        </is>
      </c>
      <c r="B2520" s="1" t="n">
        <v>45775</v>
      </c>
      <c r="C2520" s="1" t="n">
        <v>46075</v>
      </c>
      <c r="D2520" t="inlineStr">
        <is>
          <t>VÄSTERNORRLANDS LÄN</t>
        </is>
      </c>
      <c r="E2520" t="inlineStr">
        <is>
          <t>SOLLEFTEÅ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12644-2025</t>
        </is>
      </c>
      <c r="B2521" s="1" t="n">
        <v>45733.38726851852</v>
      </c>
      <c r="C2521" s="1" t="n">
        <v>46075</v>
      </c>
      <c r="D2521" t="inlineStr">
        <is>
          <t>VÄSTERNORRLANDS LÄN</t>
        </is>
      </c>
      <c r="E2521" t="inlineStr">
        <is>
          <t>SOLLEFTEÅ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50716-2023</t>
        </is>
      </c>
      <c r="B2522" s="1" t="n">
        <v>45210</v>
      </c>
      <c r="C2522" s="1" t="n">
        <v>46075</v>
      </c>
      <c r="D2522" t="inlineStr">
        <is>
          <t>VÄSTERNORRLANDS LÄN</t>
        </is>
      </c>
      <c r="E2522" t="inlineStr">
        <is>
          <t>SOLLEFTEÅ</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44762-2022</t>
        </is>
      </c>
      <c r="B2523" s="1" t="n">
        <v>44840</v>
      </c>
      <c r="C2523" s="1" t="n">
        <v>46075</v>
      </c>
      <c r="D2523" t="inlineStr">
        <is>
          <t>VÄSTERNORRLANDS LÄN</t>
        </is>
      </c>
      <c r="E2523" t="inlineStr">
        <is>
          <t>SOLLEFTEÅ</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61485-2024</t>
        </is>
      </c>
      <c r="B2524" s="1" t="n">
        <v>45646.53175925926</v>
      </c>
      <c r="C2524" s="1" t="n">
        <v>46075</v>
      </c>
      <c r="D2524" t="inlineStr">
        <is>
          <t>VÄSTERNORRLANDS LÄN</t>
        </is>
      </c>
      <c r="E2524" t="inlineStr">
        <is>
          <t>SOLLEFTEÅ</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40098-2023</t>
        </is>
      </c>
      <c r="B2525" s="1" t="n">
        <v>45168.93726851852</v>
      </c>
      <c r="C2525" s="1" t="n">
        <v>46075</v>
      </c>
      <c r="D2525" t="inlineStr">
        <is>
          <t>VÄSTERNORRLANDS LÄN</t>
        </is>
      </c>
      <c r="E2525" t="inlineStr">
        <is>
          <t>SOLLEFTEÅ</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20335-2025</t>
        </is>
      </c>
      <c r="B2526" s="1" t="n">
        <v>45775.36510416667</v>
      </c>
      <c r="C2526" s="1" t="n">
        <v>46075</v>
      </c>
      <c r="D2526" t="inlineStr">
        <is>
          <t>VÄSTERNORRLANDS LÄN</t>
        </is>
      </c>
      <c r="E2526" t="inlineStr">
        <is>
          <t>SOLLEFTEÅ</t>
        </is>
      </c>
      <c r="F2526" t="inlineStr">
        <is>
          <t>SCA</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14889-2025</t>
        </is>
      </c>
      <c r="B2527" s="1" t="n">
        <v>45743.46898148148</v>
      </c>
      <c r="C2527" s="1" t="n">
        <v>46075</v>
      </c>
      <c r="D2527" t="inlineStr">
        <is>
          <t>VÄSTERNORRLANDS LÄN</t>
        </is>
      </c>
      <c r="E2527" t="inlineStr">
        <is>
          <t>SOLLEFTEÅ</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20628-2023</t>
        </is>
      </c>
      <c r="B2528" s="1" t="n">
        <v>45057.94373842593</v>
      </c>
      <c r="C2528" s="1" t="n">
        <v>46075</v>
      </c>
      <c r="D2528" t="inlineStr">
        <is>
          <t>VÄSTERNORRLANDS LÄN</t>
        </is>
      </c>
      <c r="E2528" t="inlineStr">
        <is>
          <t>SOLLEFTEÅ</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51006-2022</t>
        </is>
      </c>
      <c r="B2529" s="1" t="n">
        <v>44867</v>
      </c>
      <c r="C2529" s="1" t="n">
        <v>46075</v>
      </c>
      <c r="D2529" t="inlineStr">
        <is>
          <t>VÄSTERNORRLANDS LÄN</t>
        </is>
      </c>
      <c r="E2529" t="inlineStr">
        <is>
          <t>SOLLEFTEÅ</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55440-2024</t>
        </is>
      </c>
      <c r="B2530" s="1" t="n">
        <v>45622.40679398148</v>
      </c>
      <c r="C2530" s="1" t="n">
        <v>46075</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60861-2023</t>
        </is>
      </c>
      <c r="B2531" s="1" t="n">
        <v>45260</v>
      </c>
      <c r="C2531" s="1" t="n">
        <v>46075</v>
      </c>
      <c r="D2531" t="inlineStr">
        <is>
          <t>VÄSTERNORRLANDS LÄN</t>
        </is>
      </c>
      <c r="E2531" t="inlineStr">
        <is>
          <t>SOLLEFTEÅ</t>
        </is>
      </c>
      <c r="F2531" t="inlineStr">
        <is>
          <t>SCA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5108-2022</t>
        </is>
      </c>
      <c r="B2532" s="1" t="n">
        <v>44593.92135416667</v>
      </c>
      <c r="C2532" s="1" t="n">
        <v>46075</v>
      </c>
      <c r="D2532" t="inlineStr">
        <is>
          <t>VÄSTERNORRLANDS LÄN</t>
        </is>
      </c>
      <c r="E2532" t="inlineStr">
        <is>
          <t>SOLLEFTEÅ</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5134-2022</t>
        </is>
      </c>
      <c r="B2533" s="1" t="n">
        <v>44594</v>
      </c>
      <c r="C2533" s="1" t="n">
        <v>46075</v>
      </c>
      <c r="D2533" t="inlineStr">
        <is>
          <t>VÄSTERNORRLANDS LÄN</t>
        </is>
      </c>
      <c r="E2533" t="inlineStr">
        <is>
          <t>SOLLEFTEÅ</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55872-2024</t>
        </is>
      </c>
      <c r="B2534" s="1" t="n">
        <v>45623</v>
      </c>
      <c r="C2534" s="1" t="n">
        <v>46075</v>
      </c>
      <c r="D2534" t="inlineStr">
        <is>
          <t>VÄSTERNORRLANDS LÄN</t>
        </is>
      </c>
      <c r="E2534" t="inlineStr">
        <is>
          <t>SOLLEFTEÅ</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35905-2024</t>
        </is>
      </c>
      <c r="B2535" s="1" t="n">
        <v>45533.40674768519</v>
      </c>
      <c r="C2535" s="1" t="n">
        <v>46075</v>
      </c>
      <c r="D2535" t="inlineStr">
        <is>
          <t>VÄSTERNORRLANDS LÄN</t>
        </is>
      </c>
      <c r="E2535" t="inlineStr">
        <is>
          <t>SOLLEFTEÅ</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62750-2022</t>
        </is>
      </c>
      <c r="B2536" s="1" t="n">
        <v>44925.93922453704</v>
      </c>
      <c r="C2536" s="1" t="n">
        <v>46075</v>
      </c>
      <c r="D2536" t="inlineStr">
        <is>
          <t>VÄSTERNORRLANDS LÄN</t>
        </is>
      </c>
      <c r="E2536" t="inlineStr">
        <is>
          <t>SOLLEFTEÅ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12627-2025</t>
        </is>
      </c>
      <c r="B2537" s="1" t="n">
        <v>45733.36728009259</v>
      </c>
      <c r="C2537" s="1" t="n">
        <v>46075</v>
      </c>
      <c r="D2537" t="inlineStr">
        <is>
          <t>VÄSTERNORRLANDS LÄN</t>
        </is>
      </c>
      <c r="E2537" t="inlineStr">
        <is>
          <t>SOLLEFTEÅ</t>
        </is>
      </c>
      <c r="G2537" t="n">
        <v>12.9</v>
      </c>
      <c r="H2537" t="n">
        <v>0</v>
      </c>
      <c r="I2537" t="n">
        <v>0</v>
      </c>
      <c r="J2537" t="n">
        <v>0</v>
      </c>
      <c r="K2537" t="n">
        <v>0</v>
      </c>
      <c r="L2537" t="n">
        <v>0</v>
      </c>
      <c r="M2537" t="n">
        <v>0</v>
      </c>
      <c r="N2537" t="n">
        <v>0</v>
      </c>
      <c r="O2537" t="n">
        <v>0</v>
      </c>
      <c r="P2537" t="n">
        <v>0</v>
      </c>
      <c r="Q2537" t="n">
        <v>0</v>
      </c>
      <c r="R2537" s="2" t="inlineStr"/>
    </row>
    <row r="2538" ht="15" customHeight="1">
      <c r="A2538" t="inlineStr">
        <is>
          <t>A 62827-2023</t>
        </is>
      </c>
      <c r="B2538" s="1" t="n">
        <v>45271.92690972222</v>
      </c>
      <c r="C2538" s="1" t="n">
        <v>46075</v>
      </c>
      <c r="D2538" t="inlineStr">
        <is>
          <t>VÄSTERNORRLANDS LÄN</t>
        </is>
      </c>
      <c r="E2538" t="inlineStr">
        <is>
          <t>SOLLEFTEÅ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31646-2022</t>
        </is>
      </c>
      <c r="B2539" s="1" t="n">
        <v>44775.94166666667</v>
      </c>
      <c r="C2539" s="1" t="n">
        <v>46075</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5548-2025</t>
        </is>
      </c>
      <c r="B2540" s="1" t="n">
        <v>45693.46940972222</v>
      </c>
      <c r="C2540" s="1" t="n">
        <v>46075</v>
      </c>
      <c r="D2540" t="inlineStr">
        <is>
          <t>VÄSTERNORRLANDS LÄN</t>
        </is>
      </c>
      <c r="E2540" t="inlineStr">
        <is>
          <t>SOLLEFTEÅ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44410-2023</t>
        </is>
      </c>
      <c r="B2541" s="1" t="n">
        <v>45188.94677083333</v>
      </c>
      <c r="C2541" s="1" t="n">
        <v>46075</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13138-2024</t>
        </is>
      </c>
      <c r="B2542" s="1" t="n">
        <v>45386</v>
      </c>
      <c r="C2542" s="1" t="n">
        <v>46075</v>
      </c>
      <c r="D2542" t="inlineStr">
        <is>
          <t>VÄSTERNORRLANDS LÄN</t>
        </is>
      </c>
      <c r="E2542" t="inlineStr">
        <is>
          <t>SOLLEFTEÅ</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62507-2022</t>
        </is>
      </c>
      <c r="B2543" s="1" t="n">
        <v>44924</v>
      </c>
      <c r="C2543" s="1" t="n">
        <v>46075</v>
      </c>
      <c r="D2543" t="inlineStr">
        <is>
          <t>VÄSTERNORRLANDS LÄN</t>
        </is>
      </c>
      <c r="E2543" t="inlineStr">
        <is>
          <t>SOLLEFTEÅ</t>
        </is>
      </c>
      <c r="F2543" t="inlineStr">
        <is>
          <t>Holmen skog AB</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30822-2023</t>
        </is>
      </c>
      <c r="B2544" s="1" t="n">
        <v>45112.94289351852</v>
      </c>
      <c r="C2544" s="1" t="n">
        <v>46075</v>
      </c>
      <c r="D2544" t="inlineStr">
        <is>
          <t>VÄSTERNORRLANDS LÄN</t>
        </is>
      </c>
      <c r="E2544" t="inlineStr">
        <is>
          <t>SOLLEFTEÅ</t>
        </is>
      </c>
      <c r="F2544" t="inlineStr">
        <is>
          <t>SCA</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8895-2025</t>
        </is>
      </c>
      <c r="B2545" s="1" t="n">
        <v>45713.40670138889</v>
      </c>
      <c r="C2545" s="1" t="n">
        <v>46075</v>
      </c>
      <c r="D2545" t="inlineStr">
        <is>
          <t>VÄSTERNORRLANDS LÄN</t>
        </is>
      </c>
      <c r="E2545" t="inlineStr">
        <is>
          <t>SOLLEFTEÅ</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8914-2025</t>
        </is>
      </c>
      <c r="B2546" s="1" t="n">
        <v>45713.42743055556</v>
      </c>
      <c r="C2546" s="1" t="n">
        <v>46075</v>
      </c>
      <c r="D2546" t="inlineStr">
        <is>
          <t>VÄSTERNORRLANDS LÄN</t>
        </is>
      </c>
      <c r="E2546" t="inlineStr">
        <is>
          <t>SOLLEFTEÅ</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57922-2024</t>
        </is>
      </c>
      <c r="B2547" s="1" t="n">
        <v>45631.5107175926</v>
      </c>
      <c r="C2547" s="1" t="n">
        <v>46075</v>
      </c>
      <c r="D2547" t="inlineStr">
        <is>
          <t>VÄSTERNORRLANDS LÄN</t>
        </is>
      </c>
      <c r="E2547" t="inlineStr">
        <is>
          <t>SOLLEFTEÅ</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4131-2025</t>
        </is>
      </c>
      <c r="B2548" s="1" t="n">
        <v>45685.34508101852</v>
      </c>
      <c r="C2548" s="1" t="n">
        <v>46075</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3368-2025</t>
        </is>
      </c>
      <c r="B2549" s="1" t="n">
        <v>45679</v>
      </c>
      <c r="C2549" s="1" t="n">
        <v>46075</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20223-2024</t>
        </is>
      </c>
      <c r="B2550" s="1" t="n">
        <v>45434</v>
      </c>
      <c r="C2550" s="1" t="n">
        <v>46075</v>
      </c>
      <c r="D2550" t="inlineStr">
        <is>
          <t>VÄSTERNORRLANDS LÄN</t>
        </is>
      </c>
      <c r="E2550" t="inlineStr">
        <is>
          <t>SOLLEFTEÅ</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20516-2024</t>
        </is>
      </c>
      <c r="B2551" s="1" t="n">
        <v>45435</v>
      </c>
      <c r="C2551" s="1" t="n">
        <v>46075</v>
      </c>
      <c r="D2551" t="inlineStr">
        <is>
          <t>VÄSTERNORRLANDS LÄN</t>
        </is>
      </c>
      <c r="E2551" t="inlineStr">
        <is>
          <t>SOLLEFTEÅ</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57492-2024</t>
        </is>
      </c>
      <c r="B2552" s="1" t="n">
        <v>45630.36827546296</v>
      </c>
      <c r="C2552" s="1" t="n">
        <v>46075</v>
      </c>
      <c r="D2552" t="inlineStr">
        <is>
          <t>VÄSTERNORRLANDS LÄN</t>
        </is>
      </c>
      <c r="E2552" t="inlineStr">
        <is>
          <t>SOLLEFTEÅ</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945-2025</t>
        </is>
      </c>
      <c r="B2553" s="1" t="n">
        <v>45666.34412037037</v>
      </c>
      <c r="C2553" s="1" t="n">
        <v>46075</v>
      </c>
      <c r="D2553" t="inlineStr">
        <is>
          <t>VÄSTERNORRLANDS LÄN</t>
        </is>
      </c>
      <c r="E2553" t="inlineStr">
        <is>
          <t>SOLLEFTEÅ</t>
        </is>
      </c>
      <c r="F2553" t="inlineStr">
        <is>
          <t>SCA</t>
        </is>
      </c>
      <c r="G2553" t="n">
        <v>36.6</v>
      </c>
      <c r="H2553" t="n">
        <v>0</v>
      </c>
      <c r="I2553" t="n">
        <v>0</v>
      </c>
      <c r="J2553" t="n">
        <v>0</v>
      </c>
      <c r="K2553" t="n">
        <v>0</v>
      </c>
      <c r="L2553" t="n">
        <v>0</v>
      </c>
      <c r="M2553" t="n">
        <v>0</v>
      </c>
      <c r="N2553" t="n">
        <v>0</v>
      </c>
      <c r="O2553" t="n">
        <v>0</v>
      </c>
      <c r="P2553" t="n">
        <v>0</v>
      </c>
      <c r="Q2553" t="n">
        <v>0</v>
      </c>
      <c r="R2553" s="2" t="inlineStr"/>
    </row>
    <row r="2554" ht="15" customHeight="1">
      <c r="A2554" t="inlineStr">
        <is>
          <t>A 18696-2025</t>
        </is>
      </c>
      <c r="B2554" s="1" t="n">
        <v>45763.61578703704</v>
      </c>
      <c r="C2554" s="1" t="n">
        <v>46075</v>
      </c>
      <c r="D2554" t="inlineStr">
        <is>
          <t>VÄSTERNORRLANDS LÄN</t>
        </is>
      </c>
      <c r="E2554" t="inlineStr">
        <is>
          <t>SOLLEFTEÅ</t>
        </is>
      </c>
      <c r="F2554" t="inlineStr">
        <is>
          <t>SCA</t>
        </is>
      </c>
      <c r="G2554" t="n">
        <v>11.4</v>
      </c>
      <c r="H2554" t="n">
        <v>0</v>
      </c>
      <c r="I2554" t="n">
        <v>0</v>
      </c>
      <c r="J2554" t="n">
        <v>0</v>
      </c>
      <c r="K2554" t="n">
        <v>0</v>
      </c>
      <c r="L2554" t="n">
        <v>0</v>
      </c>
      <c r="M2554" t="n">
        <v>0</v>
      </c>
      <c r="N2554" t="n">
        <v>0</v>
      </c>
      <c r="O2554" t="n">
        <v>0</v>
      </c>
      <c r="P2554" t="n">
        <v>0</v>
      </c>
      <c r="Q2554" t="n">
        <v>0</v>
      </c>
      <c r="R2554" s="2" t="inlineStr"/>
    </row>
    <row r="2555" ht="15" customHeight="1">
      <c r="A2555" t="inlineStr">
        <is>
          <t>A 21109-2025</t>
        </is>
      </c>
      <c r="B2555" s="1" t="n">
        <v>45777.67744212963</v>
      </c>
      <c r="C2555" s="1" t="n">
        <v>46075</v>
      </c>
      <c r="D2555" t="inlineStr">
        <is>
          <t>VÄSTERNORRLANDS LÄN</t>
        </is>
      </c>
      <c r="E2555" t="inlineStr">
        <is>
          <t>SOLLEFTEÅ</t>
        </is>
      </c>
      <c r="F2555" t="inlineStr">
        <is>
          <t>SCA</t>
        </is>
      </c>
      <c r="G2555" t="n">
        <v>38.2</v>
      </c>
      <c r="H2555" t="n">
        <v>0</v>
      </c>
      <c r="I2555" t="n">
        <v>0</v>
      </c>
      <c r="J2555" t="n">
        <v>0</v>
      </c>
      <c r="K2555" t="n">
        <v>0</v>
      </c>
      <c r="L2555" t="n">
        <v>0</v>
      </c>
      <c r="M2555" t="n">
        <v>0</v>
      </c>
      <c r="N2555" t="n">
        <v>0</v>
      </c>
      <c r="O2555" t="n">
        <v>0</v>
      </c>
      <c r="P2555" t="n">
        <v>0</v>
      </c>
      <c r="Q2555" t="n">
        <v>0</v>
      </c>
      <c r="R2555" s="2" t="inlineStr"/>
    </row>
    <row r="2556" ht="15" customHeight="1">
      <c r="A2556" t="inlineStr">
        <is>
          <t>A 20867-2025</t>
        </is>
      </c>
      <c r="B2556" s="1" t="n">
        <v>45777.34471064815</v>
      </c>
      <c r="C2556" s="1" t="n">
        <v>46075</v>
      </c>
      <c r="D2556" t="inlineStr">
        <is>
          <t>VÄSTERNORRLANDS LÄN</t>
        </is>
      </c>
      <c r="E2556" t="inlineStr">
        <is>
          <t>SOLLEFTEÅ</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21088-2025</t>
        </is>
      </c>
      <c r="B2557" s="1" t="n">
        <v>45777.61498842593</v>
      </c>
      <c r="C2557" s="1" t="n">
        <v>46075</v>
      </c>
      <c r="D2557" t="inlineStr">
        <is>
          <t>VÄSTERNORRLANDS LÄN</t>
        </is>
      </c>
      <c r="E2557" t="inlineStr">
        <is>
          <t>SOLLEFTEÅ</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20638-2025</t>
        </is>
      </c>
      <c r="B2558" s="1" t="n">
        <v>45776.36480324074</v>
      </c>
      <c r="C2558" s="1" t="n">
        <v>46075</v>
      </c>
      <c r="D2558" t="inlineStr">
        <is>
          <t>VÄSTERNORRLANDS LÄN</t>
        </is>
      </c>
      <c r="E2558" t="inlineStr">
        <is>
          <t>SOLLEFTEÅ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20793-2025</t>
        </is>
      </c>
      <c r="B2559" s="1" t="n">
        <v>45776</v>
      </c>
      <c r="C2559" s="1" t="n">
        <v>46075</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20725-2025</t>
        </is>
      </c>
      <c r="B2560" s="1" t="n">
        <v>45776.51074074074</v>
      </c>
      <c r="C2560" s="1" t="n">
        <v>46075</v>
      </c>
      <c r="D2560" t="inlineStr">
        <is>
          <t>VÄSTERNORRLANDS LÄN</t>
        </is>
      </c>
      <c r="E2560" t="inlineStr">
        <is>
          <t>SOLLEFTEÅ</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52087-2023</t>
        </is>
      </c>
      <c r="B2561" s="1" t="n">
        <v>45223</v>
      </c>
      <c r="C2561" s="1" t="n">
        <v>46075</v>
      </c>
      <c r="D2561" t="inlineStr">
        <is>
          <t>VÄSTERNORRLANDS LÄN</t>
        </is>
      </c>
      <c r="E2561" t="inlineStr">
        <is>
          <t>SOLLEFTEÅ</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51527-2024</t>
        </is>
      </c>
      <c r="B2562" s="1" t="n">
        <v>45604</v>
      </c>
      <c r="C2562" s="1" t="n">
        <v>46075</v>
      </c>
      <c r="D2562" t="inlineStr">
        <is>
          <t>VÄSTERNORRLANDS LÄN</t>
        </is>
      </c>
      <c r="E2562" t="inlineStr">
        <is>
          <t>SOLLEFTEÅ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3990-2024</t>
        </is>
      </c>
      <c r="B2563" s="1" t="n">
        <v>45322.94880787037</v>
      </c>
      <c r="C2563" s="1" t="n">
        <v>46075</v>
      </c>
      <c r="D2563" t="inlineStr">
        <is>
          <t>VÄSTERNORRLANDS LÄN</t>
        </is>
      </c>
      <c r="E2563" t="inlineStr">
        <is>
          <t>SOLLEFTEÅ</t>
        </is>
      </c>
      <c r="F2563" t="inlineStr">
        <is>
          <t>SCA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21269-2025</t>
        </is>
      </c>
      <c r="B2564" s="1" t="n">
        <v>45779.62265046296</v>
      </c>
      <c r="C2564" s="1" t="n">
        <v>46075</v>
      </c>
      <c r="D2564" t="inlineStr">
        <is>
          <t>VÄSTERNORRLANDS LÄN</t>
        </is>
      </c>
      <c r="E2564" t="inlineStr">
        <is>
          <t>SOLLEFTEÅ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45719-2022</t>
        </is>
      </c>
      <c r="B2565" s="1" t="n">
        <v>44845.95533564815</v>
      </c>
      <c r="C2565" s="1" t="n">
        <v>46075</v>
      </c>
      <c r="D2565" t="inlineStr">
        <is>
          <t>VÄSTERNORRLANDS LÄN</t>
        </is>
      </c>
      <c r="E2565" t="inlineStr">
        <is>
          <t>SOLLEFTEÅ</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21491-2025</t>
        </is>
      </c>
      <c r="B2566" s="1" t="n">
        <v>45782.59578703704</v>
      </c>
      <c r="C2566" s="1" t="n">
        <v>46075</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21687-2025</t>
        </is>
      </c>
      <c r="B2567" s="1" t="n">
        <v>45783.49135416667</v>
      </c>
      <c r="C2567" s="1" t="n">
        <v>46075</v>
      </c>
      <c r="D2567" t="inlineStr">
        <is>
          <t>VÄSTERNORRLANDS LÄN</t>
        </is>
      </c>
      <c r="E2567" t="inlineStr">
        <is>
          <t>SOLLEFTEÅ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21346-2025</t>
        </is>
      </c>
      <c r="B2568" s="1" t="n">
        <v>45782.40670138889</v>
      </c>
      <c r="C2568" s="1" t="n">
        <v>46075</v>
      </c>
      <c r="D2568" t="inlineStr">
        <is>
          <t>VÄSTERNORRLANDS LÄN</t>
        </is>
      </c>
      <c r="E2568" t="inlineStr">
        <is>
          <t>SOLLEFTEÅ</t>
        </is>
      </c>
      <c r="F2568" t="inlineStr">
        <is>
          <t>SCA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21481-2025</t>
        </is>
      </c>
      <c r="B2569" s="1" t="n">
        <v>45782.59451388889</v>
      </c>
      <c r="C2569" s="1" t="n">
        <v>46075</v>
      </c>
      <c r="D2569" t="inlineStr">
        <is>
          <t>VÄSTERNORRLANDS LÄN</t>
        </is>
      </c>
      <c r="E2569" t="inlineStr">
        <is>
          <t>SOLLEFTEÅ</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21348-2025</t>
        </is>
      </c>
      <c r="B2570" s="1" t="n">
        <v>45782.40679398148</v>
      </c>
      <c r="C2570" s="1" t="n">
        <v>46075</v>
      </c>
      <c r="D2570" t="inlineStr">
        <is>
          <t>VÄSTERNORRLANDS LÄN</t>
        </is>
      </c>
      <c r="E2570" t="inlineStr">
        <is>
          <t>SOLLEFTEÅ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21429-2025</t>
        </is>
      </c>
      <c r="B2571" s="1" t="n">
        <v>45782.51084490741</v>
      </c>
      <c r="C2571" s="1" t="n">
        <v>46075</v>
      </c>
      <c r="D2571" t="inlineStr">
        <is>
          <t>VÄSTERNORRLANDS LÄN</t>
        </is>
      </c>
      <c r="E2571" t="inlineStr">
        <is>
          <t>SOLLEFTEÅ</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21455-2025</t>
        </is>
      </c>
      <c r="B2572" s="1" t="n">
        <v>45782.55332175926</v>
      </c>
      <c r="C2572" s="1" t="n">
        <v>46075</v>
      </c>
      <c r="D2572" t="inlineStr">
        <is>
          <t>VÄSTERNORRLANDS LÄN</t>
        </is>
      </c>
      <c r="E2572" t="inlineStr">
        <is>
          <t>SOLLEFTEÅ</t>
        </is>
      </c>
      <c r="F2572" t="inlineStr">
        <is>
          <t>SCA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21669-2025</t>
        </is>
      </c>
      <c r="B2573" s="1" t="n">
        <v>45783.46905092592</v>
      </c>
      <c r="C2573" s="1" t="n">
        <v>46075</v>
      </c>
      <c r="D2573" t="inlineStr">
        <is>
          <t>VÄSTERNORRLANDS LÄN</t>
        </is>
      </c>
      <c r="E2573" t="inlineStr">
        <is>
          <t>SOLLEFTEÅ</t>
        </is>
      </c>
      <c r="F2573" t="inlineStr">
        <is>
          <t>SCA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21489-2025</t>
        </is>
      </c>
      <c r="B2574" s="1" t="n">
        <v>45782.59555555556</v>
      </c>
      <c r="C2574" s="1" t="n">
        <v>46075</v>
      </c>
      <c r="D2574" t="inlineStr">
        <is>
          <t>VÄSTERNORRLANDS LÄN</t>
        </is>
      </c>
      <c r="E2574" t="inlineStr">
        <is>
          <t>SOLLEFTEÅ</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21553-2025</t>
        </is>
      </c>
      <c r="B2575" s="1" t="n">
        <v>45782.67805555555</v>
      </c>
      <c r="C2575" s="1" t="n">
        <v>46075</v>
      </c>
      <c r="D2575" t="inlineStr">
        <is>
          <t>VÄSTERNORRLANDS LÄN</t>
        </is>
      </c>
      <c r="E2575" t="inlineStr">
        <is>
          <t>SOLLEFTEÅ</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21555-2025</t>
        </is>
      </c>
      <c r="B2576" s="1" t="n">
        <v>45782.67828703704</v>
      </c>
      <c r="C2576" s="1" t="n">
        <v>46075</v>
      </c>
      <c r="D2576" t="inlineStr">
        <is>
          <t>VÄSTERNORRLANDS LÄN</t>
        </is>
      </c>
      <c r="E2576" t="inlineStr">
        <is>
          <t>SOLLEFTEÅ</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21564-2025</t>
        </is>
      </c>
      <c r="B2577" s="1" t="n">
        <v>45782.69837962963</v>
      </c>
      <c r="C2577" s="1" t="n">
        <v>46075</v>
      </c>
      <c r="D2577" t="inlineStr">
        <is>
          <t>VÄSTERNORRLANDS LÄN</t>
        </is>
      </c>
      <c r="E2577" t="inlineStr">
        <is>
          <t>SOLLEFTEÅ</t>
        </is>
      </c>
      <c r="F2577" t="inlineStr">
        <is>
          <t>SCA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6058-2024</t>
        </is>
      </c>
      <c r="B2578" s="1" t="n">
        <v>45336.75866898148</v>
      </c>
      <c r="C2578" s="1" t="n">
        <v>46075</v>
      </c>
      <c r="D2578" t="inlineStr">
        <is>
          <t>VÄSTERNORRLANDS LÄN</t>
        </is>
      </c>
      <c r="E2578" t="inlineStr">
        <is>
          <t>SOLLEFTEÅ</t>
        </is>
      </c>
      <c r="F2578" t="inlineStr">
        <is>
          <t>Övriga Aktiebolag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21565-2025</t>
        </is>
      </c>
      <c r="B2579" s="1" t="n">
        <v>45782</v>
      </c>
      <c r="C2579" s="1" t="n">
        <v>46075</v>
      </c>
      <c r="D2579" t="inlineStr">
        <is>
          <t>VÄSTERNORRLANDS LÄN</t>
        </is>
      </c>
      <c r="E2579" t="inlineStr">
        <is>
          <t>SOLLEFTEÅ</t>
        </is>
      </c>
      <c r="F2579" t="inlineStr">
        <is>
          <t>SCA</t>
        </is>
      </c>
      <c r="G2579" t="n">
        <v>17.4</v>
      </c>
      <c r="H2579" t="n">
        <v>0</v>
      </c>
      <c r="I2579" t="n">
        <v>0</v>
      </c>
      <c r="J2579" t="n">
        <v>0</v>
      </c>
      <c r="K2579" t="n">
        <v>0</v>
      </c>
      <c r="L2579" t="n">
        <v>0</v>
      </c>
      <c r="M2579" t="n">
        <v>0</v>
      </c>
      <c r="N2579" t="n">
        <v>0</v>
      </c>
      <c r="O2579" t="n">
        <v>0</v>
      </c>
      <c r="P2579" t="n">
        <v>0</v>
      </c>
      <c r="Q2579" t="n">
        <v>0</v>
      </c>
      <c r="R2579" s="2" t="inlineStr"/>
    </row>
    <row r="2580" ht="15" customHeight="1">
      <c r="A2580" t="inlineStr">
        <is>
          <t>A 21863-2025</t>
        </is>
      </c>
      <c r="B2580" s="1" t="n">
        <v>45784.36532407408</v>
      </c>
      <c r="C2580" s="1" t="n">
        <v>46075</v>
      </c>
      <c r="D2580" t="inlineStr">
        <is>
          <t>VÄSTERNORRLANDS LÄN</t>
        </is>
      </c>
      <c r="E2580" t="inlineStr">
        <is>
          <t>SOLLEFTEÅ</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22182-2025</t>
        </is>
      </c>
      <c r="B2581" s="1" t="n">
        <v>45785.61640046296</v>
      </c>
      <c r="C2581" s="1" t="n">
        <v>46075</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22106-2025</t>
        </is>
      </c>
      <c r="B2582" s="1" t="n">
        <v>45785.48988425926</v>
      </c>
      <c r="C2582" s="1" t="n">
        <v>46075</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21897-2025</t>
        </is>
      </c>
      <c r="B2583" s="1" t="n">
        <v>45784.45376157408</v>
      </c>
      <c r="C2583" s="1" t="n">
        <v>46075</v>
      </c>
      <c r="D2583" t="inlineStr">
        <is>
          <t>VÄSTERNORRLANDS LÄN</t>
        </is>
      </c>
      <c r="E2583" t="inlineStr">
        <is>
          <t>SOLLEFTEÅ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22184-2025</t>
        </is>
      </c>
      <c r="B2584" s="1" t="n">
        <v>45785.61679398148</v>
      </c>
      <c r="C2584" s="1" t="n">
        <v>46075</v>
      </c>
      <c r="D2584" t="inlineStr">
        <is>
          <t>VÄSTERNORRLANDS LÄN</t>
        </is>
      </c>
      <c r="E2584" t="inlineStr">
        <is>
          <t>SOLLEFTEÅ</t>
        </is>
      </c>
      <c r="F2584" t="inlineStr">
        <is>
          <t>SCA</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7107-2024</t>
        </is>
      </c>
      <c r="B2585" s="1" t="n">
        <v>45343</v>
      </c>
      <c r="C2585" s="1" t="n">
        <v>46075</v>
      </c>
      <c r="D2585" t="inlineStr">
        <is>
          <t>VÄSTERNORRLANDS LÄN</t>
        </is>
      </c>
      <c r="E2585" t="inlineStr">
        <is>
          <t>SOLLEFTEÅ</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22046-2025</t>
        </is>
      </c>
      <c r="B2586" s="1" t="n">
        <v>45785.34412037037</v>
      </c>
      <c r="C2586" s="1" t="n">
        <v>46075</v>
      </c>
      <c r="D2586" t="inlineStr">
        <is>
          <t>VÄSTERNORRLANDS LÄN</t>
        </is>
      </c>
      <c r="E2586" t="inlineStr">
        <is>
          <t>SOLLEFTEÅ</t>
        </is>
      </c>
      <c r="F2586" t="inlineStr">
        <is>
          <t>SCA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22211-2025</t>
        </is>
      </c>
      <c r="B2587" s="1" t="n">
        <v>45785.65752314815</v>
      </c>
      <c r="C2587" s="1" t="n">
        <v>46075</v>
      </c>
      <c r="D2587" t="inlineStr">
        <is>
          <t>VÄSTERNORRLANDS LÄN</t>
        </is>
      </c>
      <c r="E2587" t="inlineStr">
        <is>
          <t>SOLLEFTEÅ</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21898-2025</t>
        </is>
      </c>
      <c r="B2588" s="1" t="n">
        <v>45784.45386574074</v>
      </c>
      <c r="C2588" s="1" t="n">
        <v>46075</v>
      </c>
      <c r="D2588" t="inlineStr">
        <is>
          <t>VÄSTERNORRLANDS LÄN</t>
        </is>
      </c>
      <c r="E2588" t="inlineStr">
        <is>
          <t>SOLLEFTEÅ</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21896-2025</t>
        </is>
      </c>
      <c r="B2589" s="1" t="n">
        <v>45784.45366898148</v>
      </c>
      <c r="C2589" s="1" t="n">
        <v>46075</v>
      </c>
      <c r="D2589" t="inlineStr">
        <is>
          <t>VÄSTERNORRLANDS LÄN</t>
        </is>
      </c>
      <c r="E2589" t="inlineStr">
        <is>
          <t>SOLLEFTEÅ</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60389-2024</t>
        </is>
      </c>
      <c r="B2590" s="1" t="n">
        <v>45643.48988425926</v>
      </c>
      <c r="C2590" s="1" t="n">
        <v>46075</v>
      </c>
      <c r="D2590" t="inlineStr">
        <is>
          <t>VÄSTERNORRLANDS LÄN</t>
        </is>
      </c>
      <c r="E2590" t="inlineStr">
        <is>
          <t>SOLLEFTEÅ</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22218-2025</t>
        </is>
      </c>
      <c r="B2591" s="1" t="n">
        <v>45785.65840277778</v>
      </c>
      <c r="C2591" s="1" t="n">
        <v>46075</v>
      </c>
      <c r="D2591" t="inlineStr">
        <is>
          <t>VÄSTERNORRLANDS LÄN</t>
        </is>
      </c>
      <c r="E2591" t="inlineStr">
        <is>
          <t>SOLLEFTEÅ</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60361-2024</t>
        </is>
      </c>
      <c r="B2592" s="1" t="n">
        <v>45643.44851851852</v>
      </c>
      <c r="C2592" s="1" t="n">
        <v>46075</v>
      </c>
      <c r="D2592" t="inlineStr">
        <is>
          <t>VÄSTERNORRLANDS LÄN</t>
        </is>
      </c>
      <c r="E2592" t="inlineStr">
        <is>
          <t>SOLLEFTEÅ</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8337-2025</t>
        </is>
      </c>
      <c r="B2593" s="1" t="n">
        <v>45708.6597337963</v>
      </c>
      <c r="C2593" s="1" t="n">
        <v>46075</v>
      </c>
      <c r="D2593" t="inlineStr">
        <is>
          <t>VÄSTERNORRLANDS LÄN</t>
        </is>
      </c>
      <c r="E2593" t="inlineStr">
        <is>
          <t>SOLLEFTEÅ</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46207-2023</t>
        </is>
      </c>
      <c r="B2594" s="1" t="n">
        <v>45190</v>
      </c>
      <c r="C2594" s="1" t="n">
        <v>46075</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21983-2025</t>
        </is>
      </c>
      <c r="B2595" s="1" t="n">
        <v>45784.65678240741</v>
      </c>
      <c r="C2595" s="1" t="n">
        <v>46075</v>
      </c>
      <c r="D2595" t="inlineStr">
        <is>
          <t>VÄSTERNORRLANDS LÄN</t>
        </is>
      </c>
      <c r="E2595" t="inlineStr">
        <is>
          <t>SOLLEFTEÅ</t>
        </is>
      </c>
      <c r="F2595" t="inlineStr">
        <is>
          <t>SCA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22036-2025</t>
        </is>
      </c>
      <c r="B2596" s="1" t="n">
        <v>45785.31820601852</v>
      </c>
      <c r="C2596" s="1" t="n">
        <v>46075</v>
      </c>
      <c r="D2596" t="inlineStr">
        <is>
          <t>VÄSTERNORRLANDS LÄN</t>
        </is>
      </c>
      <c r="E2596" t="inlineStr">
        <is>
          <t>SOLLEFTEÅ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21985-2025</t>
        </is>
      </c>
      <c r="B2597" s="1" t="n">
        <v>45784.65689814815</v>
      </c>
      <c r="C2597" s="1" t="n">
        <v>46075</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13521-2023</t>
        </is>
      </c>
      <c r="B2598" s="1" t="n">
        <v>45005</v>
      </c>
      <c r="C2598" s="1" t="n">
        <v>46075</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21099-2024</t>
        </is>
      </c>
      <c r="B2599" s="1" t="n">
        <v>45439</v>
      </c>
      <c r="C2599" s="1" t="n">
        <v>46075</v>
      </c>
      <c r="D2599" t="inlineStr">
        <is>
          <t>VÄSTERNORRLANDS LÄN</t>
        </is>
      </c>
      <c r="E2599" t="inlineStr">
        <is>
          <t>SOLLEFTEÅ</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50864-2024</t>
        </is>
      </c>
      <c r="B2600" s="1" t="n">
        <v>45602.63653935185</v>
      </c>
      <c r="C2600" s="1" t="n">
        <v>46075</v>
      </c>
      <c r="D2600" t="inlineStr">
        <is>
          <t>VÄSTERNORRLANDS LÄN</t>
        </is>
      </c>
      <c r="E2600" t="inlineStr">
        <is>
          <t>SOLLEFTEÅ</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967-2025</t>
        </is>
      </c>
      <c r="B2601" s="1" t="n">
        <v>45666</v>
      </c>
      <c r="C2601" s="1" t="n">
        <v>46075</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22803-2025</t>
        </is>
      </c>
      <c r="B2602" s="1" t="n">
        <v>45789</v>
      </c>
      <c r="C2602" s="1" t="n">
        <v>46075</v>
      </c>
      <c r="D2602" t="inlineStr">
        <is>
          <t>VÄSTERNORRLANDS LÄN</t>
        </is>
      </c>
      <c r="E2602" t="inlineStr">
        <is>
          <t>SOLLEFTEÅ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56249-2024</t>
        </is>
      </c>
      <c r="B2603" s="1" t="n">
        <v>45624.63584490741</v>
      </c>
      <c r="C2603" s="1" t="n">
        <v>46075</v>
      </c>
      <c r="D2603" t="inlineStr">
        <is>
          <t>VÄSTERNORRLANDS LÄN</t>
        </is>
      </c>
      <c r="E2603" t="inlineStr">
        <is>
          <t>SOLLEFTEÅ</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22615-2025</t>
        </is>
      </c>
      <c r="B2604" s="1" t="n">
        <v>45789.42741898148</v>
      </c>
      <c r="C2604" s="1" t="n">
        <v>46075</v>
      </c>
      <c r="D2604" t="inlineStr">
        <is>
          <t>VÄSTERNORRLANDS LÄN</t>
        </is>
      </c>
      <c r="E2604" t="inlineStr">
        <is>
          <t>SOLLEFTEÅ</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22815-2025</t>
        </is>
      </c>
      <c r="B2605" s="1" t="n">
        <v>45789.69826388889</v>
      </c>
      <c r="C2605" s="1" t="n">
        <v>46075</v>
      </c>
      <c r="D2605" t="inlineStr">
        <is>
          <t>VÄSTERNORRLANDS LÄN</t>
        </is>
      </c>
      <c r="E2605" t="inlineStr">
        <is>
          <t>SOLLEFTEÅ</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22569-2025</t>
        </is>
      </c>
      <c r="B2606" s="1" t="n">
        <v>45789.36363425926</v>
      </c>
      <c r="C2606" s="1" t="n">
        <v>46075</v>
      </c>
      <c r="D2606" t="inlineStr">
        <is>
          <t>VÄSTERNORRLANDS LÄN</t>
        </is>
      </c>
      <c r="E2606" t="inlineStr">
        <is>
          <t>SOLLEFTEÅ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22767-2025</t>
        </is>
      </c>
      <c r="B2607" s="1" t="n">
        <v>45789.63309027778</v>
      </c>
      <c r="C2607" s="1" t="n">
        <v>46075</v>
      </c>
      <c r="D2607" t="inlineStr">
        <is>
          <t>VÄSTERNORRLANDS LÄN</t>
        </is>
      </c>
      <c r="E2607" t="inlineStr">
        <is>
          <t>SOLLEFTEÅ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22287-2025</t>
        </is>
      </c>
      <c r="B2608" s="1" t="n">
        <v>45786.34409722222</v>
      </c>
      <c r="C2608" s="1" t="n">
        <v>46075</v>
      </c>
      <c r="D2608" t="inlineStr">
        <is>
          <t>VÄSTERNORRLANDS LÄN</t>
        </is>
      </c>
      <c r="E2608" t="inlineStr">
        <is>
          <t>SOLLEFTEÅ</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4838-2025</t>
        </is>
      </c>
      <c r="B2609" s="1" t="n">
        <v>45688.67167824074</v>
      </c>
      <c r="C2609" s="1" t="n">
        <v>46075</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22562-2025</t>
        </is>
      </c>
      <c r="B2610" s="1" t="n">
        <v>45789.34736111111</v>
      </c>
      <c r="C2610" s="1" t="n">
        <v>46075</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41028-2024</t>
        </is>
      </c>
      <c r="B2611" s="1" t="n">
        <v>45559.34466435185</v>
      </c>
      <c r="C2611" s="1" t="n">
        <v>46075</v>
      </c>
      <c r="D2611" t="inlineStr">
        <is>
          <t>VÄSTERNORRLANDS LÄN</t>
        </is>
      </c>
      <c r="E2611" t="inlineStr">
        <is>
          <t>SOLLEFTEÅ</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22737-2025</t>
        </is>
      </c>
      <c r="B2612" s="1" t="n">
        <v>45789.59130787037</v>
      </c>
      <c r="C2612" s="1" t="n">
        <v>46075</v>
      </c>
      <c r="D2612" t="inlineStr">
        <is>
          <t>VÄSTERNORRLANDS LÄN</t>
        </is>
      </c>
      <c r="E2612" t="inlineStr">
        <is>
          <t>SOLLEFTEÅ</t>
        </is>
      </c>
      <c r="G2612" t="n">
        <v>15.6</v>
      </c>
      <c r="H2612" t="n">
        <v>0</v>
      </c>
      <c r="I2612" t="n">
        <v>0</v>
      </c>
      <c r="J2612" t="n">
        <v>0</v>
      </c>
      <c r="K2612" t="n">
        <v>0</v>
      </c>
      <c r="L2612" t="n">
        <v>0</v>
      </c>
      <c r="M2612" t="n">
        <v>0</v>
      </c>
      <c r="N2612" t="n">
        <v>0</v>
      </c>
      <c r="O2612" t="n">
        <v>0</v>
      </c>
      <c r="P2612" t="n">
        <v>0</v>
      </c>
      <c r="Q2612" t="n">
        <v>0</v>
      </c>
      <c r="R2612" s="2" t="inlineStr"/>
    </row>
    <row r="2613" ht="15" customHeight="1">
      <c r="A2613" t="inlineStr">
        <is>
          <t>A 22810-2025</t>
        </is>
      </c>
      <c r="B2613" s="1" t="n">
        <v>45789.68076388889</v>
      </c>
      <c r="C2613" s="1" t="n">
        <v>46075</v>
      </c>
      <c r="D2613" t="inlineStr">
        <is>
          <t>VÄSTERNORRLANDS LÄN</t>
        </is>
      </c>
      <c r="E2613" t="inlineStr">
        <is>
          <t>SOLLEFTEÅ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26172-2024</t>
        </is>
      </c>
      <c r="B2614" s="1" t="n">
        <v>45468</v>
      </c>
      <c r="C2614" s="1" t="n">
        <v>46075</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22704-2025</t>
        </is>
      </c>
      <c r="B2615" s="1" t="n">
        <v>45789.55251157407</v>
      </c>
      <c r="C2615" s="1" t="n">
        <v>46075</v>
      </c>
      <c r="D2615" t="inlineStr">
        <is>
          <t>VÄSTERNORRLANDS LÄN</t>
        </is>
      </c>
      <c r="E2615" t="inlineStr">
        <is>
          <t>SOLLEFTEÅ</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22866-2025</t>
        </is>
      </c>
      <c r="B2616" s="1" t="n">
        <v>45790.36519675926</v>
      </c>
      <c r="C2616" s="1" t="n">
        <v>46075</v>
      </c>
      <c r="D2616" t="inlineStr">
        <is>
          <t>VÄSTERNORRLANDS LÄN</t>
        </is>
      </c>
      <c r="E2616" t="inlineStr">
        <is>
          <t>SOLLEFTEÅ</t>
        </is>
      </c>
      <c r="F2616" t="inlineStr">
        <is>
          <t>SCA</t>
        </is>
      </c>
      <c r="G2616" t="n">
        <v>16.2</v>
      </c>
      <c r="H2616" t="n">
        <v>0</v>
      </c>
      <c r="I2616" t="n">
        <v>0</v>
      </c>
      <c r="J2616" t="n">
        <v>0</v>
      </c>
      <c r="K2616" t="n">
        <v>0</v>
      </c>
      <c r="L2616" t="n">
        <v>0</v>
      </c>
      <c r="M2616" t="n">
        <v>0</v>
      </c>
      <c r="N2616" t="n">
        <v>0</v>
      </c>
      <c r="O2616" t="n">
        <v>0</v>
      </c>
      <c r="P2616" t="n">
        <v>0</v>
      </c>
      <c r="Q2616" t="n">
        <v>0</v>
      </c>
      <c r="R2616" s="2" t="inlineStr"/>
    </row>
    <row r="2617" ht="15" customHeight="1">
      <c r="A2617" t="inlineStr">
        <is>
          <t>A 918-2023</t>
        </is>
      </c>
      <c r="B2617" s="1" t="n">
        <v>44931.95329861111</v>
      </c>
      <c r="C2617" s="1" t="n">
        <v>46075</v>
      </c>
      <c r="D2617" t="inlineStr">
        <is>
          <t>VÄSTERNORRLANDS LÄN</t>
        </is>
      </c>
      <c r="E2617" t="inlineStr">
        <is>
          <t>SOLLEFTEÅ</t>
        </is>
      </c>
      <c r="F2617" t="inlineStr">
        <is>
          <t>SCA</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20389-2025</t>
        </is>
      </c>
      <c r="B2618" s="1" t="n">
        <v>45775</v>
      </c>
      <c r="C2618" s="1" t="n">
        <v>46075</v>
      </c>
      <c r="D2618" t="inlineStr">
        <is>
          <t>VÄSTERNORRLANDS LÄN</t>
        </is>
      </c>
      <c r="E2618" t="inlineStr">
        <is>
          <t>SOLLEFTEÅ</t>
        </is>
      </c>
      <c r="F2618" t="inlineStr">
        <is>
          <t>SCA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25338-2022</t>
        </is>
      </c>
      <c r="B2619" s="1" t="n">
        <v>44731</v>
      </c>
      <c r="C2619" s="1" t="n">
        <v>46075</v>
      </c>
      <c r="D2619" t="inlineStr">
        <is>
          <t>VÄSTERNORRLANDS LÄN</t>
        </is>
      </c>
      <c r="E2619" t="inlineStr">
        <is>
          <t>SOLLEFTEÅ</t>
        </is>
      </c>
      <c r="F2619" t="inlineStr">
        <is>
          <t>SCA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22514-2025</t>
        </is>
      </c>
      <c r="B2620" s="1" t="n">
        <v>45786.67755787037</v>
      </c>
      <c r="C2620" s="1" t="n">
        <v>46075</v>
      </c>
      <c r="D2620" t="inlineStr">
        <is>
          <t>VÄSTERNORRLANDS LÄN</t>
        </is>
      </c>
      <c r="E2620" t="inlineStr">
        <is>
          <t>SOLLEFTEÅ</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23090-2025</t>
        </is>
      </c>
      <c r="B2621" s="1" t="n">
        <v>45791.34443287037</v>
      </c>
      <c r="C2621" s="1" t="n">
        <v>46075</v>
      </c>
      <c r="D2621" t="inlineStr">
        <is>
          <t>VÄSTERNORRLANDS LÄN</t>
        </is>
      </c>
      <c r="E2621" t="inlineStr">
        <is>
          <t>SOLLEFTEÅ</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22854-2025</t>
        </is>
      </c>
      <c r="B2622" s="1" t="n">
        <v>45790.34457175926</v>
      </c>
      <c r="C2622" s="1" t="n">
        <v>46075</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23339-2025</t>
        </is>
      </c>
      <c r="B2623" s="1" t="n">
        <v>45791.65577546296</v>
      </c>
      <c r="C2623" s="1" t="n">
        <v>46075</v>
      </c>
      <c r="D2623" t="inlineStr">
        <is>
          <t>VÄSTERNORRLANDS LÄN</t>
        </is>
      </c>
      <c r="E2623" t="inlineStr">
        <is>
          <t>SOLLEFTEÅ</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22853-2025</t>
        </is>
      </c>
      <c r="B2624" s="1" t="n">
        <v>45790.34443287037</v>
      </c>
      <c r="C2624" s="1" t="n">
        <v>46075</v>
      </c>
      <c r="D2624" t="inlineStr">
        <is>
          <t>VÄSTERNORRLANDS LÄN</t>
        </is>
      </c>
      <c r="E2624" t="inlineStr">
        <is>
          <t>SOLLEFTEÅ</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42915-2024</t>
        </is>
      </c>
      <c r="B2625" s="1" t="n">
        <v>45566</v>
      </c>
      <c r="C2625" s="1" t="n">
        <v>46075</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23409-2025</t>
        </is>
      </c>
      <c r="B2626" s="1" t="n">
        <v>45792.34560185186</v>
      </c>
      <c r="C2626" s="1" t="n">
        <v>46075</v>
      </c>
      <c r="D2626" t="inlineStr">
        <is>
          <t>VÄSTERNORRLANDS LÄN</t>
        </is>
      </c>
      <c r="E2626" t="inlineStr">
        <is>
          <t>SOLLEFTEÅ</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23735-2025</t>
        </is>
      </c>
      <c r="B2627" s="1" t="n">
        <v>45793.42777777778</v>
      </c>
      <c r="C2627" s="1" t="n">
        <v>46075</v>
      </c>
      <c r="D2627" t="inlineStr">
        <is>
          <t>VÄSTERNORRLANDS LÄN</t>
        </is>
      </c>
      <c r="E2627" t="inlineStr">
        <is>
          <t>SOLLEFTEÅ</t>
        </is>
      </c>
      <c r="F2627" t="inlineStr">
        <is>
          <t>SCA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23738-2025</t>
        </is>
      </c>
      <c r="B2628" s="1" t="n">
        <v>45793.42819444444</v>
      </c>
      <c r="C2628" s="1" t="n">
        <v>46075</v>
      </c>
      <c r="D2628" t="inlineStr">
        <is>
          <t>VÄSTERNORRLANDS LÄN</t>
        </is>
      </c>
      <c r="E2628" t="inlineStr">
        <is>
          <t>SOLLEFTEÅ</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23515-2025</t>
        </is>
      </c>
      <c r="B2629" s="1" t="n">
        <v>45792</v>
      </c>
      <c r="C2629" s="1" t="n">
        <v>46075</v>
      </c>
      <c r="D2629" t="inlineStr">
        <is>
          <t>VÄSTERNORRLANDS LÄN</t>
        </is>
      </c>
      <c r="E2629" t="inlineStr">
        <is>
          <t>SOLLEFTEÅ</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23634-2025</t>
        </is>
      </c>
      <c r="B2630" s="1" t="n">
        <v>45792.67803240741</v>
      </c>
      <c r="C2630" s="1" t="n">
        <v>46075</v>
      </c>
      <c r="D2630" t="inlineStr">
        <is>
          <t>VÄSTERNORRLANDS LÄN</t>
        </is>
      </c>
      <c r="E2630" t="inlineStr">
        <is>
          <t>SOLLEFTEÅ</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23734-2025</t>
        </is>
      </c>
      <c r="B2631" s="1" t="n">
        <v>45793.4275462963</v>
      </c>
      <c r="C2631" s="1" t="n">
        <v>46075</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23564-2025</t>
        </is>
      </c>
      <c r="B2632" s="1" t="n">
        <v>45792.58840277778</v>
      </c>
      <c r="C2632" s="1" t="n">
        <v>46075</v>
      </c>
      <c r="D2632" t="inlineStr">
        <is>
          <t>VÄSTERNORRLANDS LÄN</t>
        </is>
      </c>
      <c r="E2632" t="inlineStr">
        <is>
          <t>SOLLEFTEÅ</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23542-2025</t>
        </is>
      </c>
      <c r="B2633" s="1" t="n">
        <v>45792.56184027778</v>
      </c>
      <c r="C2633" s="1" t="n">
        <v>46075</v>
      </c>
      <c r="D2633" t="inlineStr">
        <is>
          <t>VÄSTERNORRLANDS LÄN</t>
        </is>
      </c>
      <c r="E2633" t="inlineStr">
        <is>
          <t>SOLLEFTEÅ</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23871-2025</t>
        </is>
      </c>
      <c r="B2634" s="1" t="n">
        <v>45793.67741898148</v>
      </c>
      <c r="C2634" s="1" t="n">
        <v>46075</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23478-2025</t>
        </is>
      </c>
      <c r="B2635" s="1" t="n">
        <v>45792</v>
      </c>
      <c r="C2635" s="1" t="n">
        <v>46075</v>
      </c>
      <c r="D2635" t="inlineStr">
        <is>
          <t>VÄSTERNORRLANDS LÄN</t>
        </is>
      </c>
      <c r="E2635" t="inlineStr">
        <is>
          <t>SOLLEFTEÅ</t>
        </is>
      </c>
      <c r="F2635" t="inlineStr">
        <is>
          <t>Holmen skog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23522-2025</t>
        </is>
      </c>
      <c r="B2636" s="1" t="n">
        <v>45792.51415509259</v>
      </c>
      <c r="C2636" s="1" t="n">
        <v>46075</v>
      </c>
      <c r="D2636" t="inlineStr">
        <is>
          <t>VÄSTERNORRLANDS LÄN</t>
        </is>
      </c>
      <c r="E2636" t="inlineStr">
        <is>
          <t>SOLLEFTEÅ</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23977-2025</t>
        </is>
      </c>
      <c r="B2637" s="1" t="n">
        <v>45796.38637731481</v>
      </c>
      <c r="C2637" s="1" t="n">
        <v>46075</v>
      </c>
      <c r="D2637" t="inlineStr">
        <is>
          <t>VÄSTERNORRLANDS LÄN</t>
        </is>
      </c>
      <c r="E2637" t="inlineStr">
        <is>
          <t>SOLLEFTEÅ</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24420-2025</t>
        </is>
      </c>
      <c r="B2638" s="1" t="n">
        <v>45797.67771990741</v>
      </c>
      <c r="C2638" s="1" t="n">
        <v>46075</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31886-2024</t>
        </is>
      </c>
      <c r="B2639" s="1" t="n">
        <v>45509.95780092593</v>
      </c>
      <c r="C2639" s="1" t="n">
        <v>46075</v>
      </c>
      <c r="D2639" t="inlineStr">
        <is>
          <t>VÄSTERNORRLANDS LÄN</t>
        </is>
      </c>
      <c r="E2639" t="inlineStr">
        <is>
          <t>SOLLEFTEÅ</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16365-2022</t>
        </is>
      </c>
      <c r="B2640" s="1" t="n">
        <v>44670.9406712963</v>
      </c>
      <c r="C2640" s="1" t="n">
        <v>46075</v>
      </c>
      <c r="D2640" t="inlineStr">
        <is>
          <t>VÄSTERNORRLANDS LÄN</t>
        </is>
      </c>
      <c r="E2640" t="inlineStr">
        <is>
          <t>SOLLEFTEÅ</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21100-2024</t>
        </is>
      </c>
      <c r="B2641" s="1" t="n">
        <v>45439.95072916667</v>
      </c>
      <c r="C2641" s="1" t="n">
        <v>46075</v>
      </c>
      <c r="D2641" t="inlineStr">
        <is>
          <t>VÄSTERNORRLANDS LÄN</t>
        </is>
      </c>
      <c r="E2641" t="inlineStr">
        <is>
          <t>SOLLEFTEÅ</t>
        </is>
      </c>
      <c r="F2641" t="inlineStr">
        <is>
          <t>SCA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2699-2025</t>
        </is>
      </c>
      <c r="B2642" s="1" t="n">
        <v>45677.40665509259</v>
      </c>
      <c r="C2642" s="1" t="n">
        <v>46075</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55610-2021</t>
        </is>
      </c>
      <c r="B2643" s="1" t="n">
        <v>44475.94237268518</v>
      </c>
      <c r="C2643" s="1" t="n">
        <v>46075</v>
      </c>
      <c r="D2643" t="inlineStr">
        <is>
          <t>VÄSTERNORRLANDS LÄN</t>
        </is>
      </c>
      <c r="E2643" t="inlineStr">
        <is>
          <t>SOLLEFTEÅ</t>
        </is>
      </c>
      <c r="F2643" t="inlineStr">
        <is>
          <t>SCA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23974-2025</t>
        </is>
      </c>
      <c r="B2644" s="1" t="n">
        <v>45796.38594907407</v>
      </c>
      <c r="C2644" s="1" t="n">
        <v>46075</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62523-2023</t>
        </is>
      </c>
      <c r="B2645" s="1" t="n">
        <v>45267</v>
      </c>
      <c r="C2645" s="1" t="n">
        <v>46075</v>
      </c>
      <c r="D2645" t="inlineStr">
        <is>
          <t>VÄSTERNORRLANDS LÄN</t>
        </is>
      </c>
      <c r="E2645" t="inlineStr">
        <is>
          <t>SOLLEFTEÅ</t>
        </is>
      </c>
      <c r="G2645" t="n">
        <v>33.6</v>
      </c>
      <c r="H2645" t="n">
        <v>0</v>
      </c>
      <c r="I2645" t="n">
        <v>0</v>
      </c>
      <c r="J2645" t="n">
        <v>0</v>
      </c>
      <c r="K2645" t="n">
        <v>0</v>
      </c>
      <c r="L2645" t="n">
        <v>0</v>
      </c>
      <c r="M2645" t="n">
        <v>0</v>
      </c>
      <c r="N2645" t="n">
        <v>0</v>
      </c>
      <c r="O2645" t="n">
        <v>0</v>
      </c>
      <c r="P2645" t="n">
        <v>0</v>
      </c>
      <c r="Q2645" t="n">
        <v>0</v>
      </c>
      <c r="R2645" s="2" t="inlineStr"/>
    </row>
    <row r="2646" ht="15" customHeight="1">
      <c r="A2646" t="inlineStr">
        <is>
          <t>A 35358-2021</t>
        </is>
      </c>
      <c r="B2646" s="1" t="n">
        <v>44384.93591435185</v>
      </c>
      <c r="C2646" s="1" t="n">
        <v>46075</v>
      </c>
      <c r="D2646" t="inlineStr">
        <is>
          <t>VÄSTERNORRLANDS LÄN</t>
        </is>
      </c>
      <c r="E2646" t="inlineStr">
        <is>
          <t>SOLLEFTEÅ</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52602-2024</t>
        </is>
      </c>
      <c r="B2647" s="1" t="n">
        <v>45609</v>
      </c>
      <c r="C2647" s="1" t="n">
        <v>46075</v>
      </c>
      <c r="D2647" t="inlineStr">
        <is>
          <t>VÄSTERNORRLANDS LÄN</t>
        </is>
      </c>
      <c r="E2647" t="inlineStr">
        <is>
          <t>SOLLEFTEÅ</t>
        </is>
      </c>
      <c r="G2647" t="n">
        <v>10.8</v>
      </c>
      <c r="H2647" t="n">
        <v>0</v>
      </c>
      <c r="I2647" t="n">
        <v>0</v>
      </c>
      <c r="J2647" t="n">
        <v>0</v>
      </c>
      <c r="K2647" t="n">
        <v>0</v>
      </c>
      <c r="L2647" t="n">
        <v>0</v>
      </c>
      <c r="M2647" t="n">
        <v>0</v>
      </c>
      <c r="N2647" t="n">
        <v>0</v>
      </c>
      <c r="O2647" t="n">
        <v>0</v>
      </c>
      <c r="P2647" t="n">
        <v>0</v>
      </c>
      <c r="Q2647" t="n">
        <v>0</v>
      </c>
      <c r="R2647" s="2" t="inlineStr"/>
    </row>
    <row r="2648" ht="15" customHeight="1">
      <c r="A2648" t="inlineStr">
        <is>
          <t>A 1268-2024</t>
        </is>
      </c>
      <c r="B2648" s="1" t="n">
        <v>45302</v>
      </c>
      <c r="C2648" s="1" t="n">
        <v>46075</v>
      </c>
      <c r="D2648" t="inlineStr">
        <is>
          <t>VÄSTERNORRLANDS LÄN</t>
        </is>
      </c>
      <c r="E2648" t="inlineStr">
        <is>
          <t>SOLLEFTEÅ</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34983-2023</t>
        </is>
      </c>
      <c r="B2649" s="1" t="n">
        <v>45141</v>
      </c>
      <c r="C2649" s="1" t="n">
        <v>46075</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37648-2021</t>
        </is>
      </c>
      <c r="B2650" s="1" t="n">
        <v>44400</v>
      </c>
      <c r="C2650" s="1" t="n">
        <v>46075</v>
      </c>
      <c r="D2650" t="inlineStr">
        <is>
          <t>VÄSTERNORRLANDS LÄN</t>
        </is>
      </c>
      <c r="E2650" t="inlineStr">
        <is>
          <t>SOLLEFTEÅ</t>
        </is>
      </c>
      <c r="G2650" t="n">
        <v>33.6</v>
      </c>
      <c r="H2650" t="n">
        <v>0</v>
      </c>
      <c r="I2650" t="n">
        <v>0</v>
      </c>
      <c r="J2650" t="n">
        <v>0</v>
      </c>
      <c r="K2650" t="n">
        <v>0</v>
      </c>
      <c r="L2650" t="n">
        <v>0</v>
      </c>
      <c r="M2650" t="n">
        <v>0</v>
      </c>
      <c r="N2650" t="n">
        <v>0</v>
      </c>
      <c r="O2650" t="n">
        <v>0</v>
      </c>
      <c r="P2650" t="n">
        <v>0</v>
      </c>
      <c r="Q2650" t="n">
        <v>0</v>
      </c>
      <c r="R2650" s="2" t="inlineStr"/>
    </row>
    <row r="2651" ht="15" customHeight="1">
      <c r="A2651" t="inlineStr">
        <is>
          <t>A 23997-2025</t>
        </is>
      </c>
      <c r="B2651" s="1" t="n">
        <v>45796.42061342593</v>
      </c>
      <c r="C2651" s="1" t="n">
        <v>46075</v>
      </c>
      <c r="D2651" t="inlineStr">
        <is>
          <t>VÄSTERNORRLANDS LÄN</t>
        </is>
      </c>
      <c r="E2651" t="inlineStr">
        <is>
          <t>SOLLEFTEÅ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24393-2025</t>
        </is>
      </c>
      <c r="B2652" s="1" t="n">
        <v>45797.63653935185</v>
      </c>
      <c r="C2652" s="1" t="n">
        <v>46075</v>
      </c>
      <c r="D2652" t="inlineStr">
        <is>
          <t>VÄSTERNORRLANDS LÄN</t>
        </is>
      </c>
      <c r="E2652" t="inlineStr">
        <is>
          <t>SOLLEFTEÅ</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28290-2024</t>
        </is>
      </c>
      <c r="B2653" s="1" t="n">
        <v>45477.46743055555</v>
      </c>
      <c r="C2653" s="1" t="n">
        <v>46075</v>
      </c>
      <c r="D2653" t="inlineStr">
        <is>
          <t>VÄSTERNORRLANDS LÄN</t>
        </is>
      </c>
      <c r="E2653" t="inlineStr">
        <is>
          <t>SOLLEFTEÅ</t>
        </is>
      </c>
      <c r="F2653" t="inlineStr">
        <is>
          <t>Holmen skog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33110-2024</t>
        </is>
      </c>
      <c r="B2654" s="1" t="n">
        <v>45517</v>
      </c>
      <c r="C2654" s="1" t="n">
        <v>46075</v>
      </c>
      <c r="D2654" t="inlineStr">
        <is>
          <t>VÄSTERNORRLANDS LÄN</t>
        </is>
      </c>
      <c r="E2654" t="inlineStr">
        <is>
          <t>SOLLEFTEÅ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41787-2024</t>
        </is>
      </c>
      <c r="B2655" s="1" t="n">
        <v>45561.34986111111</v>
      </c>
      <c r="C2655" s="1" t="n">
        <v>46075</v>
      </c>
      <c r="D2655" t="inlineStr">
        <is>
          <t>VÄSTERNORRLANDS LÄN</t>
        </is>
      </c>
      <c r="E2655" t="inlineStr">
        <is>
          <t>SOLLEFTEÅ</t>
        </is>
      </c>
      <c r="F2655" t="inlineStr">
        <is>
          <t>SCA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23889-2025</t>
        </is>
      </c>
      <c r="B2656" s="1" t="n">
        <v>45793.79209490741</v>
      </c>
      <c r="C2656" s="1" t="n">
        <v>46075</v>
      </c>
      <c r="D2656" t="inlineStr">
        <is>
          <t>VÄSTERNORRLANDS LÄN</t>
        </is>
      </c>
      <c r="E2656" t="inlineStr">
        <is>
          <t>SOLLEFTEÅ</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24693-2025</t>
        </is>
      </c>
      <c r="B2657" s="1" t="n">
        <v>45798.6775462963</v>
      </c>
      <c r="C2657" s="1" t="n">
        <v>46075</v>
      </c>
      <c r="D2657" t="inlineStr">
        <is>
          <t>VÄSTERNORRLANDS LÄN</t>
        </is>
      </c>
      <c r="E2657" t="inlineStr">
        <is>
          <t>SOLLEFTEÅ</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24531-2025</t>
        </is>
      </c>
      <c r="B2658" s="1" t="n">
        <v>45798.42810185185</v>
      </c>
      <c r="C2658" s="1" t="n">
        <v>46075</v>
      </c>
      <c r="D2658" t="inlineStr">
        <is>
          <t>VÄSTERNORRLANDS LÄN</t>
        </is>
      </c>
      <c r="E2658" t="inlineStr">
        <is>
          <t>SOLLEFTEÅ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24532-2025</t>
        </is>
      </c>
      <c r="B2659" s="1" t="n">
        <v>45798.42820601852</v>
      </c>
      <c r="C2659" s="1" t="n">
        <v>46075</v>
      </c>
      <c r="D2659" t="inlineStr">
        <is>
          <t>VÄSTERNORRLANDS LÄN</t>
        </is>
      </c>
      <c r="E2659" t="inlineStr">
        <is>
          <t>SOLLEFTEÅ</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24759-2025</t>
        </is>
      </c>
      <c r="B2660" s="1" t="n">
        <v>45799.38284722222</v>
      </c>
      <c r="C2660" s="1" t="n">
        <v>46075</v>
      </c>
      <c r="D2660" t="inlineStr">
        <is>
          <t>VÄSTERNORRLANDS LÄN</t>
        </is>
      </c>
      <c r="E2660" t="inlineStr">
        <is>
          <t>SOLLEFTEÅ</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24760-2025</t>
        </is>
      </c>
      <c r="B2661" s="1" t="n">
        <v>45799</v>
      </c>
      <c r="C2661" s="1" t="n">
        <v>46075</v>
      </c>
      <c r="D2661" t="inlineStr">
        <is>
          <t>VÄSTERNORRLANDS LÄN</t>
        </is>
      </c>
      <c r="E2661" t="inlineStr">
        <is>
          <t>SOLLEFTEÅ</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24730-2025</t>
        </is>
      </c>
      <c r="B2662" s="1" t="n">
        <v>45799.34150462963</v>
      </c>
      <c r="C2662" s="1" t="n">
        <v>46075</v>
      </c>
      <c r="D2662" t="inlineStr">
        <is>
          <t>VÄSTERNORRLANDS LÄN</t>
        </is>
      </c>
      <c r="E2662" t="inlineStr">
        <is>
          <t>SOLLEFTEÅ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44045-2022</t>
        </is>
      </c>
      <c r="B2663" s="1" t="n">
        <v>44838</v>
      </c>
      <c r="C2663" s="1" t="n">
        <v>46075</v>
      </c>
      <c r="D2663" t="inlineStr">
        <is>
          <t>VÄSTERNORRLANDS LÄN</t>
        </is>
      </c>
      <c r="E2663" t="inlineStr">
        <is>
          <t>SOLLEFTEÅ</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24787-2025</t>
        </is>
      </c>
      <c r="B2664" s="1" t="n">
        <v>45799.42791666667</v>
      </c>
      <c r="C2664" s="1" t="n">
        <v>46075</v>
      </c>
      <c r="D2664" t="inlineStr">
        <is>
          <t>VÄSTERNORRLANDS LÄN</t>
        </is>
      </c>
      <c r="E2664" t="inlineStr">
        <is>
          <t>SOLLEFTEÅ</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25313-2025</t>
        </is>
      </c>
      <c r="B2665" s="1" t="n">
        <v>45799</v>
      </c>
      <c r="C2665" s="1" t="n">
        <v>46075</v>
      </c>
      <c r="D2665" t="inlineStr">
        <is>
          <t>VÄSTERNORRLANDS LÄN</t>
        </is>
      </c>
      <c r="E2665" t="inlineStr">
        <is>
          <t>SOLLEFTEÅ</t>
        </is>
      </c>
      <c r="F2665" t="inlineStr">
        <is>
          <t>Kommuner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24488-2025</t>
        </is>
      </c>
      <c r="B2666" s="1" t="n">
        <v>45798.38576388889</v>
      </c>
      <c r="C2666" s="1" t="n">
        <v>46075</v>
      </c>
      <c r="D2666" t="inlineStr">
        <is>
          <t>VÄSTERNORRLANDS LÄN</t>
        </is>
      </c>
      <c r="E2666" t="inlineStr">
        <is>
          <t>SOLLEFTEÅ</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24552-2025</t>
        </is>
      </c>
      <c r="B2667" s="1" t="n">
        <v>45798.44865740741</v>
      </c>
      <c r="C2667" s="1" t="n">
        <v>46075</v>
      </c>
      <c r="D2667" t="inlineStr">
        <is>
          <t>VÄSTERNORRLANDS LÄN</t>
        </is>
      </c>
      <c r="E2667" t="inlineStr">
        <is>
          <t>SOLLEFTEÅ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24530-2025</t>
        </is>
      </c>
      <c r="B2668" s="1" t="n">
        <v>45798.42799768518</v>
      </c>
      <c r="C2668" s="1" t="n">
        <v>46075</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59371-2022</t>
        </is>
      </c>
      <c r="B2669" s="1" t="n">
        <v>44904</v>
      </c>
      <c r="C2669" s="1" t="n">
        <v>46075</v>
      </c>
      <c r="D2669" t="inlineStr">
        <is>
          <t>VÄSTERNORRLANDS LÄN</t>
        </is>
      </c>
      <c r="E2669" t="inlineStr">
        <is>
          <t>SOLLEFTEÅ</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25238-2025</t>
        </is>
      </c>
      <c r="B2670" s="1" t="n">
        <v>45800.49016203704</v>
      </c>
      <c r="C2670" s="1" t="n">
        <v>46075</v>
      </c>
      <c r="D2670" t="inlineStr">
        <is>
          <t>VÄSTERNORRLANDS LÄN</t>
        </is>
      </c>
      <c r="E2670" t="inlineStr">
        <is>
          <t>SOLLEFTEÅ</t>
        </is>
      </c>
      <c r="F2670" t="inlineStr">
        <is>
          <t>SCA</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25517-2025</t>
        </is>
      </c>
      <c r="B2671" s="1" t="n">
        <v>45803.37570601852</v>
      </c>
      <c r="C2671" s="1" t="n">
        <v>46075</v>
      </c>
      <c r="D2671" t="inlineStr">
        <is>
          <t>VÄSTERNORRLANDS LÄN</t>
        </is>
      </c>
      <c r="E2671" t="inlineStr">
        <is>
          <t>SOLLEFTEÅ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25145-2025</t>
        </is>
      </c>
      <c r="B2672" s="1" t="n">
        <v>45800</v>
      </c>
      <c r="C2672" s="1" t="n">
        <v>46075</v>
      </c>
      <c r="D2672" t="inlineStr">
        <is>
          <t>VÄSTERNORRLANDS LÄN</t>
        </is>
      </c>
      <c r="E2672" t="inlineStr">
        <is>
          <t>SOLLEFTEÅ</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25297-2025</t>
        </is>
      </c>
      <c r="B2673" s="1" t="n">
        <v>45800.5684837963</v>
      </c>
      <c r="C2673" s="1" t="n">
        <v>46075</v>
      </c>
      <c r="D2673" t="inlineStr">
        <is>
          <t>VÄSTERNORRLANDS LÄN</t>
        </is>
      </c>
      <c r="E2673" t="inlineStr">
        <is>
          <t>SOLLEFTEÅ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25132-2025</t>
        </is>
      </c>
      <c r="B2674" s="1" t="n">
        <v>45800</v>
      </c>
      <c r="C2674" s="1" t="n">
        <v>46075</v>
      </c>
      <c r="D2674" t="inlineStr">
        <is>
          <t>VÄSTERNORRLANDS LÄN</t>
        </is>
      </c>
      <c r="E2674" t="inlineStr">
        <is>
          <t>SOLLEFTEÅ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25833-2025</t>
        </is>
      </c>
      <c r="B2675" s="1" t="n">
        <v>45804.44827546296</v>
      </c>
      <c r="C2675" s="1" t="n">
        <v>46075</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25856-2025</t>
        </is>
      </c>
      <c r="B2676" s="1" t="n">
        <v>45804.46944444445</v>
      </c>
      <c r="C2676" s="1" t="n">
        <v>46075</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73367-2021</t>
        </is>
      </c>
      <c r="B2677" s="1" t="n">
        <v>44550</v>
      </c>
      <c r="C2677" s="1" t="n">
        <v>46075</v>
      </c>
      <c r="D2677" t="inlineStr">
        <is>
          <t>VÄSTERNORRLANDS LÄN</t>
        </is>
      </c>
      <c r="E2677" t="inlineStr">
        <is>
          <t>SOLLEFTEÅ</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25963-2025</t>
        </is>
      </c>
      <c r="B2678" s="1" t="n">
        <v>45804.61568287037</v>
      </c>
      <c r="C2678" s="1" t="n">
        <v>46075</v>
      </c>
      <c r="D2678" t="inlineStr">
        <is>
          <t>VÄSTERNORRLANDS LÄN</t>
        </is>
      </c>
      <c r="E2678" t="inlineStr">
        <is>
          <t>SOLLEFTEÅ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25939-2025</t>
        </is>
      </c>
      <c r="B2679" s="1" t="n">
        <v>45804.5943287037</v>
      </c>
      <c r="C2679" s="1" t="n">
        <v>46075</v>
      </c>
      <c r="D2679" t="inlineStr">
        <is>
          <t>VÄSTERNORRLANDS LÄN</t>
        </is>
      </c>
      <c r="E2679" t="inlineStr">
        <is>
          <t>SOLLEFTEÅ</t>
        </is>
      </c>
      <c r="F2679" t="inlineStr">
        <is>
          <t>SCA</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26088-2025</t>
        </is>
      </c>
      <c r="B2680" s="1" t="n">
        <v>45805.34497685185</v>
      </c>
      <c r="C2680" s="1" t="n">
        <v>46075</v>
      </c>
      <c r="D2680" t="inlineStr">
        <is>
          <t>VÄSTERNORRLANDS LÄN</t>
        </is>
      </c>
      <c r="E2680" t="inlineStr">
        <is>
          <t>SOLLEFTEÅ</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25854-2025</t>
        </is>
      </c>
      <c r="B2681" s="1" t="n">
        <v>45804.46920138889</v>
      </c>
      <c r="C2681" s="1" t="n">
        <v>46075</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25855-2025</t>
        </is>
      </c>
      <c r="B2682" s="1" t="n">
        <v>45804.46934027778</v>
      </c>
      <c r="C2682" s="1" t="n">
        <v>46075</v>
      </c>
      <c r="D2682" t="inlineStr">
        <is>
          <t>VÄSTERNORRLANDS LÄN</t>
        </is>
      </c>
      <c r="E2682" t="inlineStr">
        <is>
          <t>SOLLEFTEÅ</t>
        </is>
      </c>
      <c r="F2682" t="inlineStr">
        <is>
          <t>SCA</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25857-2025</t>
        </is>
      </c>
      <c r="B2683" s="1" t="n">
        <v>45804.46956018519</v>
      </c>
      <c r="C2683" s="1" t="n">
        <v>46075</v>
      </c>
      <c r="D2683" t="inlineStr">
        <is>
          <t>VÄSTERNORRLANDS LÄN</t>
        </is>
      </c>
      <c r="E2683" t="inlineStr">
        <is>
          <t>SOLLEFTEÅ</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26477-2025</t>
        </is>
      </c>
      <c r="B2684" s="1" t="n">
        <v>45807.47011574074</v>
      </c>
      <c r="C2684" s="1" t="n">
        <v>46075</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26409-2025</t>
        </is>
      </c>
      <c r="B2685" s="1" t="n">
        <v>45807.344375</v>
      </c>
      <c r="C2685" s="1" t="n">
        <v>46075</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26426-2025</t>
        </is>
      </c>
      <c r="B2686" s="1" t="n">
        <v>45807.38574074074</v>
      </c>
      <c r="C2686" s="1" t="n">
        <v>46075</v>
      </c>
      <c r="D2686" t="inlineStr">
        <is>
          <t>VÄSTERNORRLANDS LÄN</t>
        </is>
      </c>
      <c r="E2686" t="inlineStr">
        <is>
          <t>SOLLEFTEÅ</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26570-2025</t>
        </is>
      </c>
      <c r="B2687" s="1" t="n">
        <v>45807.67743055556</v>
      </c>
      <c r="C2687" s="1" t="n">
        <v>46075</v>
      </c>
      <c r="D2687" t="inlineStr">
        <is>
          <t>VÄSTERNORRLANDS LÄN</t>
        </is>
      </c>
      <c r="E2687" t="inlineStr">
        <is>
          <t>SOLLEFTEÅ</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26478-2025</t>
        </is>
      </c>
      <c r="B2688" s="1" t="n">
        <v>45807.47013888889</v>
      </c>
      <c r="C2688" s="1" t="n">
        <v>46075</v>
      </c>
      <c r="D2688" t="inlineStr">
        <is>
          <t>VÄSTERNORRLANDS LÄN</t>
        </is>
      </c>
      <c r="E2688" t="inlineStr">
        <is>
          <t>SOLLEFTEÅ</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13492-2022</t>
        </is>
      </c>
      <c r="B2689" s="1" t="n">
        <v>44646.92120370371</v>
      </c>
      <c r="C2689" s="1" t="n">
        <v>46075</v>
      </c>
      <c r="D2689" t="inlineStr">
        <is>
          <t>VÄSTERNORRLANDS LÄN</t>
        </is>
      </c>
      <c r="E2689" t="inlineStr">
        <is>
          <t>SOLLEFTEÅ</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26916-2025</t>
        </is>
      </c>
      <c r="B2690" s="1" t="n">
        <v>45811.37184027778</v>
      </c>
      <c r="C2690" s="1" t="n">
        <v>46075</v>
      </c>
      <c r="D2690" t="inlineStr">
        <is>
          <t>VÄSTERNORRLANDS LÄN</t>
        </is>
      </c>
      <c r="E2690" t="inlineStr">
        <is>
          <t>SOLLEFTEÅ</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26642-2025</t>
        </is>
      </c>
      <c r="B2691" s="1" t="n">
        <v>45810.36521990741</v>
      </c>
      <c r="C2691" s="1" t="n">
        <v>46075</v>
      </c>
      <c r="D2691" t="inlineStr">
        <is>
          <t>VÄSTERNORRLANDS LÄN</t>
        </is>
      </c>
      <c r="E2691" t="inlineStr">
        <is>
          <t>SOLLEFTEÅ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26641-2025</t>
        </is>
      </c>
      <c r="B2692" s="1" t="n">
        <v>45810.36509259259</v>
      </c>
      <c r="C2692" s="1" t="n">
        <v>46075</v>
      </c>
      <c r="D2692" t="inlineStr">
        <is>
          <t>VÄSTERNORRLANDS LÄN</t>
        </is>
      </c>
      <c r="E2692" t="inlineStr">
        <is>
          <t>SOLLEFTEÅ</t>
        </is>
      </c>
      <c r="F2692" t="inlineStr">
        <is>
          <t>SCA</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26921-2025</t>
        </is>
      </c>
      <c r="B2693" s="1" t="n">
        <v>45811.38575231482</v>
      </c>
      <c r="C2693" s="1" t="n">
        <v>46075</v>
      </c>
      <c r="D2693" t="inlineStr">
        <is>
          <t>VÄSTERNORRLANDS LÄN</t>
        </is>
      </c>
      <c r="E2693" t="inlineStr">
        <is>
          <t>SOLLEFTEÅ</t>
        </is>
      </c>
      <c r="F2693" t="inlineStr">
        <is>
          <t>SCA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26953-2025</t>
        </is>
      </c>
      <c r="B2694" s="1" t="n">
        <v>45811.44856481482</v>
      </c>
      <c r="C2694" s="1" t="n">
        <v>46075</v>
      </c>
      <c r="D2694" t="inlineStr">
        <is>
          <t>VÄSTERNORRLANDS LÄN</t>
        </is>
      </c>
      <c r="E2694" t="inlineStr">
        <is>
          <t>SOLLEFTEÅ</t>
        </is>
      </c>
      <c r="F2694" t="inlineStr">
        <is>
          <t>SCA</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26733-2025</t>
        </is>
      </c>
      <c r="B2695" s="1" t="n">
        <v>45810.51078703703</v>
      </c>
      <c r="C2695" s="1" t="n">
        <v>46075</v>
      </c>
      <c r="D2695" t="inlineStr">
        <is>
          <t>VÄSTERNORRLANDS LÄN</t>
        </is>
      </c>
      <c r="E2695" t="inlineStr">
        <is>
          <t>SOLLEFTEÅ</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7258-2024</t>
        </is>
      </c>
      <c r="B2696" s="1" t="n">
        <v>45344.74564814815</v>
      </c>
      <c r="C2696" s="1" t="n">
        <v>46075</v>
      </c>
      <c r="D2696" t="inlineStr">
        <is>
          <t>VÄSTERNORRLANDS LÄN</t>
        </is>
      </c>
      <c r="E2696" t="inlineStr">
        <is>
          <t>SOLLEFTEÅ</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22473-2024</t>
        </is>
      </c>
      <c r="B2697" s="1" t="n">
        <v>45446</v>
      </c>
      <c r="C2697" s="1" t="n">
        <v>46075</v>
      </c>
      <c r="D2697" t="inlineStr">
        <is>
          <t>VÄSTERNORRLANDS LÄN</t>
        </is>
      </c>
      <c r="E2697" t="inlineStr">
        <is>
          <t>SOLLEFTEÅ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26935-2025</t>
        </is>
      </c>
      <c r="B2698" s="1" t="n">
        <v>45811.40413194444</v>
      </c>
      <c r="C2698" s="1" t="n">
        <v>46075</v>
      </c>
      <c r="D2698" t="inlineStr">
        <is>
          <t>VÄSTERNORRLANDS LÄN</t>
        </is>
      </c>
      <c r="E2698" t="inlineStr">
        <is>
          <t>SOLLEFTEÅ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26952-2025</t>
        </is>
      </c>
      <c r="B2699" s="1" t="n">
        <v>45811.4484375</v>
      </c>
      <c r="C2699" s="1" t="n">
        <v>46075</v>
      </c>
      <c r="D2699" t="inlineStr">
        <is>
          <t>VÄSTERNORRLANDS LÄN</t>
        </is>
      </c>
      <c r="E2699" t="inlineStr">
        <is>
          <t>SOLLEFTEÅ</t>
        </is>
      </c>
      <c r="F2699" t="inlineStr">
        <is>
          <t>SCA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31662-2024</t>
        </is>
      </c>
      <c r="B2700" s="1" t="n">
        <v>45506.92857638889</v>
      </c>
      <c r="C2700" s="1" t="n">
        <v>46075</v>
      </c>
      <c r="D2700" t="inlineStr">
        <is>
          <t>VÄSTERNORRLANDS LÄN</t>
        </is>
      </c>
      <c r="E2700" t="inlineStr">
        <is>
          <t>SOLLEFTEÅ</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31453-2022</t>
        </is>
      </c>
      <c r="B2701" s="1" t="n">
        <v>44774.94159722222</v>
      </c>
      <c r="C2701" s="1" t="n">
        <v>46075</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26896-2025</t>
        </is>
      </c>
      <c r="B2702" s="1" t="n">
        <v>45811.33834490741</v>
      </c>
      <c r="C2702" s="1" t="n">
        <v>46075</v>
      </c>
      <c r="D2702" t="inlineStr">
        <is>
          <t>VÄSTERNORRLANDS LÄN</t>
        </is>
      </c>
      <c r="E2702" t="inlineStr">
        <is>
          <t>SOLLEFTEÅ</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27288-2025</t>
        </is>
      </c>
      <c r="B2703" s="1" t="n">
        <v>45812.55234953704</v>
      </c>
      <c r="C2703" s="1" t="n">
        <v>46075</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7157-2025</t>
        </is>
      </c>
      <c r="B2704" s="1" t="n">
        <v>45702.38637731481</v>
      </c>
      <c r="C2704" s="1" t="n">
        <v>46075</v>
      </c>
      <c r="D2704" t="inlineStr">
        <is>
          <t>VÄSTERNORRLANDS LÄN</t>
        </is>
      </c>
      <c r="E2704" t="inlineStr">
        <is>
          <t>SOLLEFTEÅ</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27142-2025</t>
        </is>
      </c>
      <c r="B2705" s="1" t="n">
        <v>45812.28087962963</v>
      </c>
      <c r="C2705" s="1" t="n">
        <v>46075</v>
      </c>
      <c r="D2705" t="inlineStr">
        <is>
          <t>VÄSTERNORRLANDS LÄN</t>
        </is>
      </c>
      <c r="E2705" t="inlineStr">
        <is>
          <t>SOLLEFTEÅ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27427-2025</t>
        </is>
      </c>
      <c r="B2706" s="1" t="n">
        <v>45813.28706018518</v>
      </c>
      <c r="C2706" s="1" t="n">
        <v>46075</v>
      </c>
      <c r="D2706" t="inlineStr">
        <is>
          <t>VÄSTERNORRLANDS LÄN</t>
        </is>
      </c>
      <c r="E2706" t="inlineStr">
        <is>
          <t>SOLLEFTEÅ</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27167-2025</t>
        </is>
      </c>
      <c r="B2707" s="1" t="n">
        <v>45812.34465277778</v>
      </c>
      <c r="C2707" s="1" t="n">
        <v>46075</v>
      </c>
      <c r="D2707" t="inlineStr">
        <is>
          <t>VÄSTERNORRLANDS LÄN</t>
        </is>
      </c>
      <c r="E2707" t="inlineStr">
        <is>
          <t>SOLLEFTEÅ</t>
        </is>
      </c>
      <c r="F2707" t="inlineStr">
        <is>
          <t>SCA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27519-2025</t>
        </is>
      </c>
      <c r="B2708" s="1" t="n">
        <v>45813.44186342593</v>
      </c>
      <c r="C2708" s="1" t="n">
        <v>46075</v>
      </c>
      <c r="D2708" t="inlineStr">
        <is>
          <t>VÄSTERNORRLANDS LÄN</t>
        </is>
      </c>
      <c r="E2708" t="inlineStr">
        <is>
          <t>SOLLEFTEÅ</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27407-2025</t>
        </is>
      </c>
      <c r="B2709" s="1" t="n">
        <v>45812.74519675926</v>
      </c>
      <c r="C2709" s="1" t="n">
        <v>46075</v>
      </c>
      <c r="D2709" t="inlineStr">
        <is>
          <t>VÄSTERNORRLANDS LÄN</t>
        </is>
      </c>
      <c r="E2709" t="inlineStr">
        <is>
          <t>SOLLEFTEÅ</t>
        </is>
      </c>
      <c r="G2709" t="n">
        <v>23.2</v>
      </c>
      <c r="H2709" t="n">
        <v>0</v>
      </c>
      <c r="I2709" t="n">
        <v>0</v>
      </c>
      <c r="J2709" t="n">
        <v>0</v>
      </c>
      <c r="K2709" t="n">
        <v>0</v>
      </c>
      <c r="L2709" t="n">
        <v>0</v>
      </c>
      <c r="M2709" t="n">
        <v>0</v>
      </c>
      <c r="N2709" t="n">
        <v>0</v>
      </c>
      <c r="O2709" t="n">
        <v>0</v>
      </c>
      <c r="P2709" t="n">
        <v>0</v>
      </c>
      <c r="Q2709" t="n">
        <v>0</v>
      </c>
      <c r="R2709" s="2" t="inlineStr"/>
    </row>
    <row r="2710" ht="15" customHeight="1">
      <c r="A2710" t="inlineStr">
        <is>
          <t>A 27592-2025</t>
        </is>
      </c>
      <c r="B2710" s="1" t="n">
        <v>45813.5191550926</v>
      </c>
      <c r="C2710" s="1" t="n">
        <v>46075</v>
      </c>
      <c r="D2710" t="inlineStr">
        <is>
          <t>VÄSTERNORRLANDS LÄN</t>
        </is>
      </c>
      <c r="E2710" t="inlineStr">
        <is>
          <t>SOLLEFTEÅ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27660-2025</t>
        </is>
      </c>
      <c r="B2711" s="1" t="n">
        <v>45813.61490740741</v>
      </c>
      <c r="C2711" s="1" t="n">
        <v>46075</v>
      </c>
      <c r="D2711" t="inlineStr">
        <is>
          <t>VÄSTERNORRLANDS LÄN</t>
        </is>
      </c>
      <c r="E2711" t="inlineStr">
        <is>
          <t>SOLLEFTEÅ</t>
        </is>
      </c>
      <c r="F2711" t="inlineStr">
        <is>
          <t>SCA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42987-2024</t>
        </is>
      </c>
      <c r="B2712" s="1" t="n">
        <v>45567</v>
      </c>
      <c r="C2712" s="1" t="n">
        <v>46075</v>
      </c>
      <c r="D2712" t="inlineStr">
        <is>
          <t>VÄSTERNORRLANDS LÄN</t>
        </is>
      </c>
      <c r="E2712" t="inlineStr">
        <is>
          <t>SOLLEFTEÅ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56416-2023</t>
        </is>
      </c>
      <c r="B2713" s="1" t="n">
        <v>45237</v>
      </c>
      <c r="C2713" s="1" t="n">
        <v>46075</v>
      </c>
      <c r="D2713" t="inlineStr">
        <is>
          <t>VÄSTERNORRLANDS LÄN</t>
        </is>
      </c>
      <c r="E2713" t="inlineStr">
        <is>
          <t>SOLLEFTEÅ</t>
        </is>
      </c>
      <c r="G2713" t="n">
        <v>11.2</v>
      </c>
      <c r="H2713" t="n">
        <v>0</v>
      </c>
      <c r="I2713" t="n">
        <v>0</v>
      </c>
      <c r="J2713" t="n">
        <v>0</v>
      </c>
      <c r="K2713" t="n">
        <v>0</v>
      </c>
      <c r="L2713" t="n">
        <v>0</v>
      </c>
      <c r="M2713" t="n">
        <v>0</v>
      </c>
      <c r="N2713" t="n">
        <v>0</v>
      </c>
      <c r="O2713" t="n">
        <v>0</v>
      </c>
      <c r="P2713" t="n">
        <v>0</v>
      </c>
      <c r="Q2713" t="n">
        <v>0</v>
      </c>
      <c r="R2713" s="2" t="inlineStr"/>
    </row>
    <row r="2714" ht="15" customHeight="1">
      <c r="A2714" t="inlineStr">
        <is>
          <t>A 15429-2025</t>
        </is>
      </c>
      <c r="B2714" s="1" t="n">
        <v>45747.47</v>
      </c>
      <c r="C2714" s="1" t="n">
        <v>46075</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12617-2025</t>
        </is>
      </c>
      <c r="B2715" s="1" t="n">
        <v>45733.34895833334</v>
      </c>
      <c r="C2715" s="1" t="n">
        <v>46075</v>
      </c>
      <c r="D2715" t="inlineStr">
        <is>
          <t>VÄSTERNORRLANDS LÄN</t>
        </is>
      </c>
      <c r="E2715" t="inlineStr">
        <is>
          <t>SOLLEFTEÅ</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23025-2024</t>
        </is>
      </c>
      <c r="B2716" s="1" t="n">
        <v>45450.36578703704</v>
      </c>
      <c r="C2716" s="1" t="n">
        <v>46075</v>
      </c>
      <c r="D2716" t="inlineStr">
        <is>
          <t>VÄSTERNORRLANDS LÄN</t>
        </is>
      </c>
      <c r="E2716" t="inlineStr">
        <is>
          <t>SOLLEFTEÅ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2677-2025</t>
        </is>
      </c>
      <c r="B2717" s="1" t="n">
        <v>45677</v>
      </c>
      <c r="C2717" s="1" t="n">
        <v>46075</v>
      </c>
      <c r="D2717" t="inlineStr">
        <is>
          <t>VÄSTERNORRLANDS LÄN</t>
        </is>
      </c>
      <c r="E2717" t="inlineStr">
        <is>
          <t>SOLLEFTEÅ</t>
        </is>
      </c>
      <c r="F2717" t="inlineStr">
        <is>
          <t>SCA</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36004-2024</t>
        </is>
      </c>
      <c r="B2718" s="1" t="n">
        <v>45533.54848379629</v>
      </c>
      <c r="C2718" s="1" t="n">
        <v>46075</v>
      </c>
      <c r="D2718" t="inlineStr">
        <is>
          <t>VÄSTERNORRLANDS LÄN</t>
        </is>
      </c>
      <c r="E2718" t="inlineStr">
        <is>
          <t>SOLLEFTEÅ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27748-2025</t>
        </is>
      </c>
      <c r="B2719" s="1" t="n">
        <v>45815.67740740741</v>
      </c>
      <c r="C2719" s="1" t="n">
        <v>46075</v>
      </c>
      <c r="D2719" t="inlineStr">
        <is>
          <t>VÄSTERNORRLANDS LÄN</t>
        </is>
      </c>
      <c r="E2719" t="inlineStr">
        <is>
          <t>SOLLEFTEÅ</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27956-2025</t>
        </is>
      </c>
      <c r="B2720" s="1" t="n">
        <v>45817.5344675926</v>
      </c>
      <c r="C2720" s="1" t="n">
        <v>46075</v>
      </c>
      <c r="D2720" t="inlineStr">
        <is>
          <t>VÄSTERNORRLANDS LÄN</t>
        </is>
      </c>
      <c r="E2720" t="inlineStr">
        <is>
          <t>SOLLEFTEÅ</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c r="A2721" t="inlineStr">
        <is>
          <t>A 27822-2025</t>
        </is>
      </c>
      <c r="B2721" s="1" t="n">
        <v>45817.34410879629</v>
      </c>
      <c r="C2721" s="1" t="n">
        <v>46075</v>
      </c>
      <c r="D2721" t="inlineStr">
        <is>
          <t>VÄSTERNORRLANDS LÄN</t>
        </is>
      </c>
      <c r="E2721" t="inlineStr">
        <is>
          <t>SOLLEFTEÅ</t>
        </is>
      </c>
      <c r="F2721" t="inlineStr">
        <is>
          <t>SCA</t>
        </is>
      </c>
      <c r="G2721" t="n">
        <v>2.5</v>
      </c>
      <c r="H2721" t="n">
        <v>0</v>
      </c>
      <c r="I2721" t="n">
        <v>0</v>
      </c>
      <c r="J2721" t="n">
        <v>0</v>
      </c>
      <c r="K2721" t="n">
        <v>0</v>
      </c>
      <c r="L2721" t="n">
        <v>0</v>
      </c>
      <c r="M2721" t="n">
        <v>0</v>
      </c>
      <c r="N2721" t="n">
        <v>0</v>
      </c>
      <c r="O2721" t="n">
        <v>0</v>
      </c>
      <c r="P2721" t="n">
        <v>0</v>
      </c>
      <c r="Q2721" t="n">
        <v>0</v>
      </c>
      <c r="R2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2026-02-22T11:00:36Z</dcterms:created>
  <dcterms:modified xmlns:dcterms="http://purl.org/dc/terms/" xmlns:xsi="http://www.w3.org/2001/XMLSchema-instance" xsi:type="dcterms:W3CDTF">2026-02-22T11:00:39Z</dcterms:modified>
</cp:coreProperties>
</file>