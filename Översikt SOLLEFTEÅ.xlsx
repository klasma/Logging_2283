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45740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45740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45740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45740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45740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45740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45740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45740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45740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45740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45740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45740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45740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45740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45740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45740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45740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45740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45740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45740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45740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45740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45740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45740</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45740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45740</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45740</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45740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45740</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45740</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45740</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45740</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45740</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45740</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45740</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45740</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45740</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45740</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45740</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45740</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45740</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45740</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45740</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45740</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45740</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45740</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45740</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45740</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45740</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45740</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45740</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45740</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45740</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45740</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45740</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45740</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45740</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45740</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45740</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45740</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45740</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45740</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45740</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45740</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45740</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45740</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45740</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45740</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45740</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45740</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45740</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45740</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45740</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45740</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45740</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45740</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45740</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45740</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45740</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45740</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45740</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45740</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45740</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45740</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45740</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45740</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45740</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45740</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45740</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45740</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45740</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45740</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45740</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45740</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45740</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45740</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45740</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45740</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45740</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45740</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45740</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45740</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45740</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45740</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45740</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45740</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45740</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45740</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24459-2024</t>
        </is>
      </c>
      <c r="B111" s="1" t="n">
        <v>45458</v>
      </c>
      <c r="C111" s="1" t="n">
        <v>45740</v>
      </c>
      <c r="D111" t="inlineStr">
        <is>
          <t>VÄSTERNORRLANDS LÄN</t>
        </is>
      </c>
      <c r="E111" t="inlineStr">
        <is>
          <t>SOLLEFTEÅ</t>
        </is>
      </c>
      <c r="F111" t="inlineStr">
        <is>
          <t>SCA</t>
        </is>
      </c>
      <c r="G111" t="n">
        <v>6.1</v>
      </c>
      <c r="H111" t="n">
        <v>0</v>
      </c>
      <c r="I111" t="n">
        <v>2</v>
      </c>
      <c r="J111" t="n">
        <v>6</v>
      </c>
      <c r="K111" t="n">
        <v>0</v>
      </c>
      <c r="L111" t="n">
        <v>0</v>
      </c>
      <c r="M111" t="n">
        <v>0</v>
      </c>
      <c r="N111" t="n">
        <v>0</v>
      </c>
      <c r="O111" t="n">
        <v>6</v>
      </c>
      <c r="P111" t="n">
        <v>0</v>
      </c>
      <c r="Q111" t="n">
        <v>8</v>
      </c>
      <c r="R111" s="2" t="inlineStr">
        <is>
          <t>Garnlav
Granticka
Lunglav
Rosenticka
Rödbrun blekspik
Ullticka
Luddlav
Vedticka</t>
        </is>
      </c>
      <c r="S111">
        <f>HYPERLINK("https://klasma.github.io/Logging_2283/artfynd/A 24459-2024 artfynd.xlsx", "A 24459-2024")</f>
        <v/>
      </c>
      <c r="T111">
        <f>HYPERLINK("https://klasma.github.io/Logging_2283/kartor/A 24459-2024 karta.png", "A 24459-2024")</f>
        <v/>
      </c>
      <c r="V111">
        <f>HYPERLINK("https://klasma.github.io/Logging_2283/klagomål/A 24459-2024 FSC-klagomål.docx", "A 24459-2024")</f>
        <v/>
      </c>
      <c r="W111">
        <f>HYPERLINK("https://klasma.github.io/Logging_2283/klagomålsmail/A 24459-2024 FSC-klagomål mail.docx", "A 24459-2024")</f>
        <v/>
      </c>
      <c r="X111">
        <f>HYPERLINK("https://klasma.github.io/Logging_2283/tillsyn/A 24459-2024 tillsynsbegäran.docx", "A 24459-2024")</f>
        <v/>
      </c>
      <c r="Y111">
        <f>HYPERLINK("https://klasma.github.io/Logging_2283/tillsynsmail/A 24459-2024 tillsynsbegäran mail.docx", "A 24459-2024")</f>
        <v/>
      </c>
    </row>
    <row r="112" ht="15" customHeight="1">
      <c r="A112" t="inlineStr">
        <is>
          <t>A 26946-2024</t>
        </is>
      </c>
      <c r="B112" s="1" t="n">
        <v>45471</v>
      </c>
      <c r="C112" s="1" t="n">
        <v>45740</v>
      </c>
      <c r="D112" t="inlineStr">
        <is>
          <t>VÄSTERNORRLANDS LÄN</t>
        </is>
      </c>
      <c r="E112" t="inlineStr">
        <is>
          <t>SOLLEFTEÅ</t>
        </is>
      </c>
      <c r="F112" t="inlineStr">
        <is>
          <t>SCA</t>
        </is>
      </c>
      <c r="G112" t="n">
        <v>11</v>
      </c>
      <c r="H112" t="n">
        <v>5</v>
      </c>
      <c r="I112" t="n">
        <v>0</v>
      </c>
      <c r="J112" t="n">
        <v>6</v>
      </c>
      <c r="K112" t="n">
        <v>1</v>
      </c>
      <c r="L112" t="n">
        <v>0</v>
      </c>
      <c r="M112" t="n">
        <v>0</v>
      </c>
      <c r="N112" t="n">
        <v>0</v>
      </c>
      <c r="O112" t="n">
        <v>7</v>
      </c>
      <c r="P112" t="n">
        <v>1</v>
      </c>
      <c r="Q112" t="n">
        <v>8</v>
      </c>
      <c r="R112" s="2" t="inlineStr">
        <is>
          <t>Knärot
Järpe
Kolflarnlav
Lunglav
Skrovellav
Talltita
Tretåig hackspett
Orre</t>
        </is>
      </c>
      <c r="S112">
        <f>HYPERLINK("https://klasma.github.io/Logging_2283/artfynd/A 26946-2024 artfynd.xlsx", "A 26946-2024")</f>
        <v/>
      </c>
      <c r="T112">
        <f>HYPERLINK("https://klasma.github.io/Logging_2283/kartor/A 26946-2024 karta.png", "A 26946-2024")</f>
        <v/>
      </c>
      <c r="U112">
        <f>HYPERLINK("https://klasma.github.io/Logging_2283/knärot/A 26946-2024 karta knärot.png", "A 26946-2024")</f>
        <v/>
      </c>
      <c r="V112">
        <f>HYPERLINK("https://klasma.github.io/Logging_2283/klagomål/A 26946-2024 FSC-klagomål.docx", "A 26946-2024")</f>
        <v/>
      </c>
      <c r="W112">
        <f>HYPERLINK("https://klasma.github.io/Logging_2283/klagomålsmail/A 26946-2024 FSC-klagomål mail.docx", "A 26946-2024")</f>
        <v/>
      </c>
      <c r="X112">
        <f>HYPERLINK("https://klasma.github.io/Logging_2283/tillsyn/A 26946-2024 tillsynsbegäran.docx", "A 26946-2024")</f>
        <v/>
      </c>
      <c r="Y112">
        <f>HYPERLINK("https://klasma.github.io/Logging_2283/tillsynsmail/A 26946-2024 tillsynsbegäran mail.docx", "A 26946-2024")</f>
        <v/>
      </c>
      <c r="Z112">
        <f>HYPERLINK("https://klasma.github.io/Logging_2283/fåglar/A 26946-2024 prioriterade fågelarter.docx", "A 26946-2024")</f>
        <v/>
      </c>
    </row>
    <row r="113" ht="15" customHeight="1">
      <c r="A113" t="inlineStr">
        <is>
          <t>A 38294-2024</t>
        </is>
      </c>
      <c r="B113" s="1" t="n">
        <v>45545</v>
      </c>
      <c r="C113" s="1" t="n">
        <v>45740</v>
      </c>
      <c r="D113" t="inlineStr">
        <is>
          <t>VÄSTERNORRLANDS LÄN</t>
        </is>
      </c>
      <c r="E113" t="inlineStr">
        <is>
          <t>SOLLEFTEÅ</t>
        </is>
      </c>
      <c r="F113" t="inlineStr">
        <is>
          <t>Kommuner</t>
        </is>
      </c>
      <c r="G113" t="n">
        <v>18.8</v>
      </c>
      <c r="H113" t="n">
        <v>5</v>
      </c>
      <c r="I113" t="n">
        <v>0</v>
      </c>
      <c r="J113" t="n">
        <v>6</v>
      </c>
      <c r="K113" t="n">
        <v>1</v>
      </c>
      <c r="L113" t="n">
        <v>0</v>
      </c>
      <c r="M113" t="n">
        <v>0</v>
      </c>
      <c r="N113" t="n">
        <v>0</v>
      </c>
      <c r="O113" t="n">
        <v>7</v>
      </c>
      <c r="P113" t="n">
        <v>1</v>
      </c>
      <c r="Q113" t="n">
        <v>8</v>
      </c>
      <c r="R113" s="2" t="inlineStr">
        <is>
          <t>Knärot
Garnlav
Granticka
Spillkråka
Talltita
Tretåig hackspett
Ullticka
Revlummer</t>
        </is>
      </c>
      <c r="S113">
        <f>HYPERLINK("https://klasma.github.io/Logging_2283/artfynd/A 38294-2024 artfynd.xlsx", "A 38294-2024")</f>
        <v/>
      </c>
      <c r="T113">
        <f>HYPERLINK("https://klasma.github.io/Logging_2283/kartor/A 38294-2024 karta.png", "A 38294-2024")</f>
        <v/>
      </c>
      <c r="U113">
        <f>HYPERLINK("https://klasma.github.io/Logging_2283/knärot/A 38294-2024 karta knärot.png", "A 38294-2024")</f>
        <v/>
      </c>
      <c r="V113">
        <f>HYPERLINK("https://klasma.github.io/Logging_2283/klagomål/A 38294-2024 FSC-klagomål.docx", "A 38294-2024")</f>
        <v/>
      </c>
      <c r="W113">
        <f>HYPERLINK("https://klasma.github.io/Logging_2283/klagomålsmail/A 38294-2024 FSC-klagomål mail.docx", "A 38294-2024")</f>
        <v/>
      </c>
      <c r="X113">
        <f>HYPERLINK("https://klasma.github.io/Logging_2283/tillsyn/A 38294-2024 tillsynsbegäran.docx", "A 38294-2024")</f>
        <v/>
      </c>
      <c r="Y113">
        <f>HYPERLINK("https://klasma.github.io/Logging_2283/tillsynsmail/A 38294-2024 tillsynsbegäran mail.docx", "A 38294-2024")</f>
        <v/>
      </c>
      <c r="Z113">
        <f>HYPERLINK("https://klasma.github.io/Logging_2283/fåglar/A 38294-2024 prioriterade fågelarter.docx", "A 38294-2024")</f>
        <v/>
      </c>
    </row>
    <row r="114" ht="15" customHeight="1">
      <c r="A114" t="inlineStr">
        <is>
          <t>A 40075-2024</t>
        </is>
      </c>
      <c r="B114" s="1" t="n">
        <v>45554</v>
      </c>
      <c r="C114" s="1" t="n">
        <v>45740</v>
      </c>
      <c r="D114" t="inlineStr">
        <is>
          <t>VÄSTERNORRLANDS LÄN</t>
        </is>
      </c>
      <c r="E114" t="inlineStr">
        <is>
          <t>SOLLEFTEÅ</t>
        </is>
      </c>
      <c r="F114" t="inlineStr">
        <is>
          <t>SCA</t>
        </is>
      </c>
      <c r="G114" t="n">
        <v>12.1</v>
      </c>
      <c r="H114" t="n">
        <v>3</v>
      </c>
      <c r="I114" t="n">
        <v>0</v>
      </c>
      <c r="J114" t="n">
        <v>7</v>
      </c>
      <c r="K114" t="n">
        <v>1</v>
      </c>
      <c r="L114" t="n">
        <v>0</v>
      </c>
      <c r="M114" t="n">
        <v>0</v>
      </c>
      <c r="N114" t="n">
        <v>0</v>
      </c>
      <c r="O114" t="n">
        <v>8</v>
      </c>
      <c r="P114" t="n">
        <v>1</v>
      </c>
      <c r="Q114" t="n">
        <v>8</v>
      </c>
      <c r="R114" s="2" t="inlineStr">
        <is>
          <t>Knärot
Gammelgransskål
Granticka
Järpe
Koralltaggsvamp
Lunglav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57317-2024</t>
        </is>
      </c>
      <c r="B115" s="1" t="n">
        <v>45629</v>
      </c>
      <c r="C115" s="1" t="n">
        <v>45740</v>
      </c>
      <c r="D115" t="inlineStr">
        <is>
          <t>VÄSTERNORRLANDS LÄN</t>
        </is>
      </c>
      <c r="E115" t="inlineStr">
        <is>
          <t>SOLLEFTEÅ</t>
        </is>
      </c>
      <c r="F115" t="inlineStr">
        <is>
          <t>SCA</t>
        </is>
      </c>
      <c r="G115" t="n">
        <v>4</v>
      </c>
      <c r="H115" t="n">
        <v>3</v>
      </c>
      <c r="I115" t="n">
        <v>0</v>
      </c>
      <c r="J115" t="n">
        <v>7</v>
      </c>
      <c r="K115" t="n">
        <v>1</v>
      </c>
      <c r="L115" t="n">
        <v>0</v>
      </c>
      <c r="M115" t="n">
        <v>0</v>
      </c>
      <c r="N115" t="n">
        <v>0</v>
      </c>
      <c r="O115" t="n">
        <v>8</v>
      </c>
      <c r="P115" t="n">
        <v>1</v>
      </c>
      <c r="Q115" t="n">
        <v>8</v>
      </c>
      <c r="R115" s="2" t="inlineStr">
        <is>
          <t>Knärot
Gammelgransskål
Garnlav
Granticka
Lunglav
Spillkråka
Tretåig hackspett
Ullticka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4930-2025</t>
        </is>
      </c>
      <c r="B116" s="1" t="n">
        <v>45688</v>
      </c>
      <c r="C116" s="1" t="n">
        <v>45740</v>
      </c>
      <c r="D116" t="inlineStr">
        <is>
          <t>VÄSTERNORRLANDS LÄN</t>
        </is>
      </c>
      <c r="E116" t="inlineStr">
        <is>
          <t>SOLLEFTEÅ</t>
        </is>
      </c>
      <c r="F116" t="inlineStr">
        <is>
          <t>Övriga statliga verk och myndigheter</t>
        </is>
      </c>
      <c r="G116" t="n">
        <v>15.3</v>
      </c>
      <c r="H116" t="n">
        <v>4</v>
      </c>
      <c r="I116" t="n">
        <v>1</v>
      </c>
      <c r="J116" t="n">
        <v>5</v>
      </c>
      <c r="K116" t="n">
        <v>2</v>
      </c>
      <c r="L116" t="n">
        <v>0</v>
      </c>
      <c r="M116" t="n">
        <v>0</v>
      </c>
      <c r="N116" t="n">
        <v>0</v>
      </c>
      <c r="O116" t="n">
        <v>7</v>
      </c>
      <c r="P116" t="n">
        <v>2</v>
      </c>
      <c r="Q116" t="n">
        <v>8</v>
      </c>
      <c r="R116" s="2" t="inlineStr">
        <is>
          <t>Doftticka
Rynkskinn
Björktrast
Rosenticka
Spillkråka
Tretåig hackspett
Ullticka
Underviol</t>
        </is>
      </c>
      <c r="S116">
        <f>HYPERLINK("https://klasma.github.io/Logging_2283/artfynd/A 4930-2025 artfynd.xlsx", "A 4930-2025")</f>
        <v/>
      </c>
      <c r="T116">
        <f>HYPERLINK("https://klasma.github.io/Logging_2283/kartor/A 4930-2025 karta.png", "A 4930-2025")</f>
        <v/>
      </c>
      <c r="V116">
        <f>HYPERLINK("https://klasma.github.io/Logging_2283/klagomål/A 4930-2025 FSC-klagomål.docx", "A 4930-2025")</f>
        <v/>
      </c>
      <c r="W116">
        <f>HYPERLINK("https://klasma.github.io/Logging_2283/klagomålsmail/A 4930-2025 FSC-klagomål mail.docx", "A 4930-2025")</f>
        <v/>
      </c>
      <c r="X116">
        <f>HYPERLINK("https://klasma.github.io/Logging_2283/tillsyn/A 4930-2025 tillsynsbegäran.docx", "A 4930-2025")</f>
        <v/>
      </c>
      <c r="Y116">
        <f>HYPERLINK("https://klasma.github.io/Logging_2283/tillsynsmail/A 4930-2025 tillsynsbegäran mail.docx", "A 4930-2025")</f>
        <v/>
      </c>
      <c r="Z116">
        <f>HYPERLINK("https://klasma.github.io/Logging_2283/fåglar/A 4930-2025 prioriterade fågelarter.docx", "A 4930-2025")</f>
        <v/>
      </c>
    </row>
    <row r="117" ht="15" customHeight="1">
      <c r="A117" t="inlineStr">
        <is>
          <t>A 11132-2025</t>
        </is>
      </c>
      <c r="B117" s="1" t="n">
        <v>45723</v>
      </c>
      <c r="C117" s="1" t="n">
        <v>45740</v>
      </c>
      <c r="D117" t="inlineStr">
        <is>
          <t>VÄSTERNORRLANDS LÄN</t>
        </is>
      </c>
      <c r="E117" t="inlineStr">
        <is>
          <t>SOLLEFTEÅ</t>
        </is>
      </c>
      <c r="G117" t="n">
        <v>18.2</v>
      </c>
      <c r="H117" t="n">
        <v>2</v>
      </c>
      <c r="I117" t="n">
        <v>0</v>
      </c>
      <c r="J117" t="n">
        <v>6</v>
      </c>
      <c r="K117" t="n">
        <v>1</v>
      </c>
      <c r="L117" t="n">
        <v>0</v>
      </c>
      <c r="M117" t="n">
        <v>0</v>
      </c>
      <c r="N117" t="n">
        <v>0</v>
      </c>
      <c r="O117" t="n">
        <v>7</v>
      </c>
      <c r="P117" t="n">
        <v>1</v>
      </c>
      <c r="Q117" t="n">
        <v>8</v>
      </c>
      <c r="R117" s="2" t="inlineStr">
        <is>
          <t>Knärot
Gropig brunbagge
Mörk kolflarnlav
Olisthaerus substriatus
Rosenticka
Ullticka
Vedskivlav
Vanlig padda</t>
        </is>
      </c>
      <c r="S117">
        <f>HYPERLINK("https://klasma.github.io/Logging_2283/artfynd/A 11132-2025 artfynd.xlsx", "A 11132-2025")</f>
        <v/>
      </c>
      <c r="T117">
        <f>HYPERLINK("https://klasma.github.io/Logging_2283/kartor/A 11132-2025 karta.png", "A 11132-2025")</f>
        <v/>
      </c>
      <c r="U117">
        <f>HYPERLINK("https://klasma.github.io/Logging_2283/knärot/A 11132-2025 karta knärot.png", "A 11132-2025")</f>
        <v/>
      </c>
      <c r="V117">
        <f>HYPERLINK("https://klasma.github.io/Logging_2283/klagomål/A 11132-2025 FSC-klagomål.docx", "A 11132-2025")</f>
        <v/>
      </c>
      <c r="W117">
        <f>HYPERLINK("https://klasma.github.io/Logging_2283/klagomålsmail/A 11132-2025 FSC-klagomål mail.docx", "A 11132-2025")</f>
        <v/>
      </c>
      <c r="X117">
        <f>HYPERLINK("https://klasma.github.io/Logging_2283/tillsyn/A 11132-2025 tillsynsbegäran.docx", "A 11132-2025")</f>
        <v/>
      </c>
      <c r="Y117">
        <f>HYPERLINK("https://klasma.github.io/Logging_2283/tillsynsmail/A 11132-2025 tillsynsbegäran mail.docx", "A 11132-2025")</f>
        <v/>
      </c>
    </row>
    <row r="118" ht="15" customHeight="1">
      <c r="A118" t="inlineStr">
        <is>
          <t>A 11392-2020</t>
        </is>
      </c>
      <c r="B118" s="1" t="n">
        <v>43892</v>
      </c>
      <c r="C118" s="1" t="n">
        <v>45740</v>
      </c>
      <c r="D118" t="inlineStr">
        <is>
          <t>VÄSTERNORRLANDS LÄN</t>
        </is>
      </c>
      <c r="E118" t="inlineStr">
        <is>
          <t>SOLLEFTEÅ</t>
        </is>
      </c>
      <c r="G118" t="n">
        <v>3.5</v>
      </c>
      <c r="H118" t="n">
        <v>3</v>
      </c>
      <c r="I118" t="n">
        <v>1</v>
      </c>
      <c r="J118" t="n">
        <v>4</v>
      </c>
      <c r="K118" t="n">
        <v>1</v>
      </c>
      <c r="L118" t="n">
        <v>0</v>
      </c>
      <c r="M118" t="n">
        <v>0</v>
      </c>
      <c r="N118" t="n">
        <v>0</v>
      </c>
      <c r="O118" t="n">
        <v>5</v>
      </c>
      <c r="P118" t="n">
        <v>1</v>
      </c>
      <c r="Q118" t="n">
        <v>7</v>
      </c>
      <c r="R118" s="2" t="inlineStr">
        <is>
          <t>Rynkskinn
Rosenticka
Spillkråka
Tretåig hackspett
Ullticka
Mörk husmossa
Revlummer</t>
        </is>
      </c>
      <c r="S118">
        <f>HYPERLINK("https://klasma.github.io/Logging_2283/artfynd/A 11392-2020 artfynd.xlsx", "A 11392-2020")</f>
        <v/>
      </c>
      <c r="T118">
        <f>HYPERLINK("https://klasma.github.io/Logging_2283/kartor/A 11392-2020 karta.png", "A 11392-2020")</f>
        <v/>
      </c>
      <c r="V118">
        <f>HYPERLINK("https://klasma.github.io/Logging_2283/klagomål/A 11392-2020 FSC-klagomål.docx", "A 11392-2020")</f>
        <v/>
      </c>
      <c r="W118">
        <f>HYPERLINK("https://klasma.github.io/Logging_2283/klagomålsmail/A 11392-2020 FSC-klagomål mail.docx", "A 11392-2020")</f>
        <v/>
      </c>
      <c r="X118">
        <f>HYPERLINK("https://klasma.github.io/Logging_2283/tillsyn/A 11392-2020 tillsynsbegäran.docx", "A 11392-2020")</f>
        <v/>
      </c>
      <c r="Y118">
        <f>HYPERLINK("https://klasma.github.io/Logging_2283/tillsynsmail/A 11392-2020 tillsynsbegäran mail.docx", "A 11392-2020")</f>
        <v/>
      </c>
      <c r="Z118">
        <f>HYPERLINK("https://klasma.github.io/Logging_2283/fåglar/A 11392-2020 prioriterade fågelarter.docx", "A 11392-2020")</f>
        <v/>
      </c>
    </row>
    <row r="119" ht="15" customHeight="1">
      <c r="A119" t="inlineStr">
        <is>
          <t>A 33208-2020</t>
        </is>
      </c>
      <c r="B119" s="1" t="n">
        <v>44021</v>
      </c>
      <c r="C119" s="1" t="n">
        <v>45740</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33208-2020 artfynd.xlsx", "A 33208-2020")</f>
        <v/>
      </c>
      <c r="T119">
        <f>HYPERLINK("https://klasma.github.io/Logging_2283/kartor/A 33208-2020 karta.png", "A 33208-2020")</f>
        <v/>
      </c>
      <c r="V119">
        <f>HYPERLINK("https://klasma.github.io/Logging_2283/klagomål/A 33208-2020 FSC-klagomål.docx", "A 33208-2020")</f>
        <v/>
      </c>
      <c r="W119">
        <f>HYPERLINK("https://klasma.github.io/Logging_2283/klagomålsmail/A 33208-2020 FSC-klagomål mail.docx", "A 33208-2020")</f>
        <v/>
      </c>
      <c r="X119">
        <f>HYPERLINK("https://klasma.github.io/Logging_2283/tillsyn/A 33208-2020 tillsynsbegäran.docx", "A 33208-2020")</f>
        <v/>
      </c>
      <c r="Y119">
        <f>HYPERLINK("https://klasma.github.io/Logging_2283/tillsynsmail/A 33208-2020 tillsynsbegäran mail.docx", "A 33208-2020")</f>
        <v/>
      </c>
      <c r="Z119">
        <f>HYPERLINK("https://klasma.github.io/Logging_2283/fåglar/A 33208-2020 prioriterade fågelarter.docx", "A 33208-2020")</f>
        <v/>
      </c>
    </row>
    <row r="120" ht="15" customHeight="1">
      <c r="A120" t="inlineStr">
        <is>
          <t>A 66843-2020</t>
        </is>
      </c>
      <c r="B120" s="1" t="n">
        <v>44179</v>
      </c>
      <c r="C120" s="1" t="n">
        <v>45740</v>
      </c>
      <c r="D120" t="inlineStr">
        <is>
          <t>VÄSTERNORRLANDS LÄN</t>
        </is>
      </c>
      <c r="E120" t="inlineStr">
        <is>
          <t>SOLLEFTEÅ</t>
        </is>
      </c>
      <c r="F120" t="inlineStr">
        <is>
          <t>SCA</t>
        </is>
      </c>
      <c r="G120" t="n">
        <v>5</v>
      </c>
      <c r="H120" t="n">
        <v>0</v>
      </c>
      <c r="I120" t="n">
        <v>0</v>
      </c>
      <c r="J120" t="n">
        <v>4</v>
      </c>
      <c r="K120" t="n">
        <v>3</v>
      </c>
      <c r="L120" t="n">
        <v>0</v>
      </c>
      <c r="M120" t="n">
        <v>0</v>
      </c>
      <c r="N120" t="n">
        <v>0</v>
      </c>
      <c r="O120" t="n">
        <v>7</v>
      </c>
      <c r="P120" t="n">
        <v>3</v>
      </c>
      <c r="Q120" t="n">
        <v>7</v>
      </c>
      <c r="R120" s="2" t="inlineStr">
        <is>
          <t>Blackticka
Liten hornflikmossa
Rynkskinn
Granticka
Gränsticka
Rosenticka
Ullticka</t>
        </is>
      </c>
      <c r="S120">
        <f>HYPERLINK("https://klasma.github.io/Logging_2283/artfynd/A 66843-2020 artfynd.xlsx", "A 66843-2020")</f>
        <v/>
      </c>
      <c r="T120">
        <f>HYPERLINK("https://klasma.github.io/Logging_2283/kartor/A 66843-2020 karta.png", "A 66843-2020")</f>
        <v/>
      </c>
      <c r="V120">
        <f>HYPERLINK("https://klasma.github.io/Logging_2283/klagomål/A 66843-2020 FSC-klagomål.docx", "A 66843-2020")</f>
        <v/>
      </c>
      <c r="W120">
        <f>HYPERLINK("https://klasma.github.io/Logging_2283/klagomålsmail/A 66843-2020 FSC-klagomål mail.docx", "A 66843-2020")</f>
        <v/>
      </c>
      <c r="X120">
        <f>HYPERLINK("https://klasma.github.io/Logging_2283/tillsyn/A 66843-2020 tillsynsbegäran.docx", "A 66843-2020")</f>
        <v/>
      </c>
      <c r="Y120">
        <f>HYPERLINK("https://klasma.github.io/Logging_2283/tillsynsmail/A 66843-2020 tillsynsbegäran mail.docx", "A 66843-2020")</f>
        <v/>
      </c>
    </row>
    <row r="121" ht="15" customHeight="1">
      <c r="A121" t="inlineStr">
        <is>
          <t>A 18014-2022</t>
        </is>
      </c>
      <c r="B121" s="1" t="n">
        <v>44684</v>
      </c>
      <c r="C121" s="1" t="n">
        <v>45740</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43779-2022</t>
        </is>
      </c>
      <c r="B122" s="1" t="n">
        <v>44837</v>
      </c>
      <c r="C122" s="1" t="n">
        <v>45740</v>
      </c>
      <c r="D122" t="inlineStr">
        <is>
          <t>VÄSTERNORRLANDS LÄN</t>
        </is>
      </c>
      <c r="E122" t="inlineStr">
        <is>
          <t>SOLLEFTEÅ</t>
        </is>
      </c>
      <c r="F122" t="inlineStr">
        <is>
          <t>SCA</t>
        </is>
      </c>
      <c r="G122" t="n">
        <v>10.8</v>
      </c>
      <c r="H122" t="n">
        <v>2</v>
      </c>
      <c r="I122" t="n">
        <v>1</v>
      </c>
      <c r="J122" t="n">
        <v>4</v>
      </c>
      <c r="K122" t="n">
        <v>2</v>
      </c>
      <c r="L122" t="n">
        <v>0</v>
      </c>
      <c r="M122" t="n">
        <v>0</v>
      </c>
      <c r="N122" t="n">
        <v>0</v>
      </c>
      <c r="O122" t="n">
        <v>6</v>
      </c>
      <c r="P122" t="n">
        <v>2</v>
      </c>
      <c r="Q122" t="n">
        <v>7</v>
      </c>
      <c r="R122" s="2" t="inlineStr">
        <is>
          <t>Knärot
Rynkskinn
Garnlav
Lunglav
Talltita
Ullticka
Vedticka</t>
        </is>
      </c>
      <c r="S122">
        <f>HYPERLINK("https://klasma.github.io/Logging_2283/artfynd/A 43779-2022 artfynd.xlsx", "A 43779-2022")</f>
        <v/>
      </c>
      <c r="T122">
        <f>HYPERLINK("https://klasma.github.io/Logging_2283/kartor/A 43779-2022 karta.png", "A 43779-2022")</f>
        <v/>
      </c>
      <c r="U122">
        <f>HYPERLINK("https://klasma.github.io/Logging_2283/knärot/A 43779-2022 karta knärot.png", "A 43779-2022")</f>
        <v/>
      </c>
      <c r="V122">
        <f>HYPERLINK("https://klasma.github.io/Logging_2283/klagomål/A 43779-2022 FSC-klagomål.docx", "A 43779-2022")</f>
        <v/>
      </c>
      <c r="W122">
        <f>HYPERLINK("https://klasma.github.io/Logging_2283/klagomålsmail/A 43779-2022 FSC-klagomål mail.docx", "A 43779-2022")</f>
        <v/>
      </c>
      <c r="X122">
        <f>HYPERLINK("https://klasma.github.io/Logging_2283/tillsyn/A 43779-2022 tillsynsbegäran.docx", "A 43779-2022")</f>
        <v/>
      </c>
      <c r="Y122">
        <f>HYPERLINK("https://klasma.github.io/Logging_2283/tillsynsmail/A 43779-2022 tillsynsbegäran mail.docx", "A 43779-2022")</f>
        <v/>
      </c>
      <c r="Z122">
        <f>HYPERLINK("https://klasma.github.io/Logging_2283/fåglar/A 43779-2022 prioriterade fågelarter.docx", "A 43779-2022")</f>
        <v/>
      </c>
    </row>
    <row r="123" ht="15" customHeight="1">
      <c r="A123" t="inlineStr">
        <is>
          <t>A 47647-2022</t>
        </is>
      </c>
      <c r="B123" s="1" t="n">
        <v>44852</v>
      </c>
      <c r="C123" s="1" t="n">
        <v>45740</v>
      </c>
      <c r="D123" t="inlineStr">
        <is>
          <t>VÄSTERNORRLANDS LÄN</t>
        </is>
      </c>
      <c r="E123" t="inlineStr">
        <is>
          <t>SOLLEFTEÅ</t>
        </is>
      </c>
      <c r="G123" t="n">
        <v>5.3</v>
      </c>
      <c r="H123" t="n">
        <v>2</v>
      </c>
      <c r="I123" t="n">
        <v>0</v>
      </c>
      <c r="J123" t="n">
        <v>5</v>
      </c>
      <c r="K123" t="n">
        <v>1</v>
      </c>
      <c r="L123" t="n">
        <v>1</v>
      </c>
      <c r="M123" t="n">
        <v>0</v>
      </c>
      <c r="N123" t="n">
        <v>0</v>
      </c>
      <c r="O123" t="n">
        <v>7</v>
      </c>
      <c r="P123" t="n">
        <v>2</v>
      </c>
      <c r="Q123" t="n">
        <v>7</v>
      </c>
      <c r="R123" s="2" t="inlineStr">
        <is>
          <t>Större barkplattbagge
Rynkskinn
Garnlav
Rosenticka
Stjärntagging
Talltita
Ullticka</t>
        </is>
      </c>
      <c r="S123">
        <f>HYPERLINK("https://klasma.github.io/Logging_2283/artfynd/A 47647-2022 artfynd.xlsx", "A 47647-2022")</f>
        <v/>
      </c>
      <c r="T123">
        <f>HYPERLINK("https://klasma.github.io/Logging_2283/kartor/A 47647-2022 karta.png", "A 47647-2022")</f>
        <v/>
      </c>
      <c r="V123">
        <f>HYPERLINK("https://klasma.github.io/Logging_2283/klagomål/A 47647-2022 FSC-klagomål.docx", "A 47647-2022")</f>
        <v/>
      </c>
      <c r="W123">
        <f>HYPERLINK("https://klasma.github.io/Logging_2283/klagomålsmail/A 47647-2022 FSC-klagomål mail.docx", "A 47647-2022")</f>
        <v/>
      </c>
      <c r="X123">
        <f>HYPERLINK("https://klasma.github.io/Logging_2283/tillsyn/A 47647-2022 tillsynsbegäran.docx", "A 47647-2022")</f>
        <v/>
      </c>
      <c r="Y123">
        <f>HYPERLINK("https://klasma.github.io/Logging_2283/tillsynsmail/A 47647-2022 tillsynsbegäran mail.docx", "A 47647-2022")</f>
        <v/>
      </c>
      <c r="Z123">
        <f>HYPERLINK("https://klasma.github.io/Logging_2283/fåglar/A 47647-2022 prioriterade fågelarter.docx", "A 47647-2022")</f>
        <v/>
      </c>
    </row>
    <row r="124" ht="15" customHeight="1">
      <c r="A124" t="inlineStr">
        <is>
          <t>A 53121-2022</t>
        </is>
      </c>
      <c r="B124" s="1" t="n">
        <v>44873</v>
      </c>
      <c r="C124" s="1" t="n">
        <v>45740</v>
      </c>
      <c r="D124" t="inlineStr">
        <is>
          <t>VÄSTERNORRLANDS LÄN</t>
        </is>
      </c>
      <c r="E124" t="inlineStr">
        <is>
          <t>SOLLEFTEÅ</t>
        </is>
      </c>
      <c r="G124" t="n">
        <v>3.6</v>
      </c>
      <c r="H124" t="n">
        <v>1</v>
      </c>
      <c r="I124" t="n">
        <v>1</v>
      </c>
      <c r="J124" t="n">
        <v>5</v>
      </c>
      <c r="K124" t="n">
        <v>1</v>
      </c>
      <c r="L124" t="n">
        <v>0</v>
      </c>
      <c r="M124" t="n">
        <v>0</v>
      </c>
      <c r="N124" t="n">
        <v>0</v>
      </c>
      <c r="O124" t="n">
        <v>6</v>
      </c>
      <c r="P124" t="n">
        <v>1</v>
      </c>
      <c r="Q124" t="n">
        <v>7</v>
      </c>
      <c r="R124" s="2" t="inlineStr">
        <is>
          <t>Rynkskinn
Garnlav
Lunglav
Rosenticka
Tretåig hackspett
Ullticka
Stuplav</t>
        </is>
      </c>
      <c r="S124">
        <f>HYPERLINK("https://klasma.github.io/Logging_2283/artfynd/A 53121-2022 artfynd.xlsx", "A 53121-2022")</f>
        <v/>
      </c>
      <c r="T124">
        <f>HYPERLINK("https://klasma.github.io/Logging_2283/kartor/A 53121-2022 karta.png", "A 53121-2022")</f>
        <v/>
      </c>
      <c r="V124">
        <f>HYPERLINK("https://klasma.github.io/Logging_2283/klagomål/A 53121-2022 FSC-klagomål.docx", "A 53121-2022")</f>
        <v/>
      </c>
      <c r="W124">
        <f>HYPERLINK("https://klasma.github.io/Logging_2283/klagomålsmail/A 53121-2022 FSC-klagomål mail.docx", "A 53121-2022")</f>
        <v/>
      </c>
      <c r="X124">
        <f>HYPERLINK("https://klasma.github.io/Logging_2283/tillsyn/A 53121-2022 tillsynsbegäran.docx", "A 53121-2022")</f>
        <v/>
      </c>
      <c r="Y124">
        <f>HYPERLINK("https://klasma.github.io/Logging_2283/tillsynsmail/A 53121-2022 tillsynsbegäran mail.docx", "A 53121-2022")</f>
        <v/>
      </c>
      <c r="Z124">
        <f>HYPERLINK("https://klasma.github.io/Logging_2283/fåglar/A 53121-2022 prioriterade fågelarter.docx", "A 53121-2022")</f>
        <v/>
      </c>
    </row>
    <row r="125" ht="15" customHeight="1">
      <c r="A125" t="inlineStr">
        <is>
          <t>A 59045-2022</t>
        </is>
      </c>
      <c r="B125" s="1" t="n">
        <v>44903</v>
      </c>
      <c r="C125" s="1" t="n">
        <v>45740</v>
      </c>
      <c r="D125" t="inlineStr">
        <is>
          <t>VÄSTERNORRLANDS LÄN</t>
        </is>
      </c>
      <c r="E125" t="inlineStr">
        <is>
          <t>SOLLEFTEÅ</t>
        </is>
      </c>
      <c r="F125" t="inlineStr">
        <is>
          <t>SCA</t>
        </is>
      </c>
      <c r="G125" t="n">
        <v>23.4</v>
      </c>
      <c r="H125" t="n">
        <v>1</v>
      </c>
      <c r="I125" t="n">
        <v>1</v>
      </c>
      <c r="J125" t="n">
        <v>6</v>
      </c>
      <c r="K125" t="n">
        <v>0</v>
      </c>
      <c r="L125" t="n">
        <v>0</v>
      </c>
      <c r="M125" t="n">
        <v>0</v>
      </c>
      <c r="N125" t="n">
        <v>0</v>
      </c>
      <c r="O125" t="n">
        <v>6</v>
      </c>
      <c r="P125" t="n">
        <v>0</v>
      </c>
      <c r="Q125" t="n">
        <v>7</v>
      </c>
      <c r="R125" s="2" t="inlineStr">
        <is>
          <t>Gammelgransskål
Garnlav
Granticka
Lunglav
Tretåig hackspett
Ullticka
Strutbräken</t>
        </is>
      </c>
      <c r="S125">
        <f>HYPERLINK("https://klasma.github.io/Logging_2283/artfynd/A 59045-2022 artfynd.xlsx", "A 59045-2022")</f>
        <v/>
      </c>
      <c r="T125">
        <f>HYPERLINK("https://klasma.github.io/Logging_2283/kartor/A 59045-2022 karta.png", "A 59045-2022")</f>
        <v/>
      </c>
      <c r="V125">
        <f>HYPERLINK("https://klasma.github.io/Logging_2283/klagomål/A 59045-2022 FSC-klagomål.docx", "A 59045-2022")</f>
        <v/>
      </c>
      <c r="W125">
        <f>HYPERLINK("https://klasma.github.io/Logging_2283/klagomålsmail/A 59045-2022 FSC-klagomål mail.docx", "A 59045-2022")</f>
        <v/>
      </c>
      <c r="X125">
        <f>HYPERLINK("https://klasma.github.io/Logging_2283/tillsyn/A 59045-2022 tillsynsbegäran.docx", "A 59045-2022")</f>
        <v/>
      </c>
      <c r="Y125">
        <f>HYPERLINK("https://klasma.github.io/Logging_2283/tillsynsmail/A 59045-2022 tillsynsbegäran mail.docx", "A 59045-2022")</f>
        <v/>
      </c>
      <c r="Z125">
        <f>HYPERLINK("https://klasma.github.io/Logging_2283/fåglar/A 59045-2022 prioriterade fågelarter.docx", "A 59045-2022")</f>
        <v/>
      </c>
    </row>
    <row r="126" ht="15" customHeight="1">
      <c r="A126" t="inlineStr">
        <is>
          <t>A 715-2023</t>
        </is>
      </c>
      <c r="B126" s="1" t="n">
        <v>44930</v>
      </c>
      <c r="C126" s="1" t="n">
        <v>45740</v>
      </c>
      <c r="D126" t="inlineStr">
        <is>
          <t>VÄSTERNORRLANDS LÄN</t>
        </is>
      </c>
      <c r="E126" t="inlineStr">
        <is>
          <t>SOLLEFTEÅ</t>
        </is>
      </c>
      <c r="G126" t="n">
        <v>7.7</v>
      </c>
      <c r="H126" t="n">
        <v>0</v>
      </c>
      <c r="I126" t="n">
        <v>1</v>
      </c>
      <c r="J126" t="n">
        <v>3</v>
      </c>
      <c r="K126" t="n">
        <v>3</v>
      </c>
      <c r="L126" t="n">
        <v>0</v>
      </c>
      <c r="M126" t="n">
        <v>0</v>
      </c>
      <c r="N126" t="n">
        <v>0</v>
      </c>
      <c r="O126" t="n">
        <v>6</v>
      </c>
      <c r="P126" t="n">
        <v>3</v>
      </c>
      <c r="Q126" t="n">
        <v>7</v>
      </c>
      <c r="R126" s="2" t="inlineStr">
        <is>
          <t>Gräddporing
Gräddticka
Rynkskinn
Granticka
Rosenticka
Ullticka
Skinnlav</t>
        </is>
      </c>
      <c r="S126">
        <f>HYPERLINK("https://klasma.github.io/Logging_2283/artfynd/A 715-2023 artfynd.xlsx", "A 715-2023")</f>
        <v/>
      </c>
      <c r="T126">
        <f>HYPERLINK("https://klasma.github.io/Logging_2283/kartor/A 715-2023 karta.png", "A 715-2023")</f>
        <v/>
      </c>
      <c r="V126">
        <f>HYPERLINK("https://klasma.github.io/Logging_2283/klagomål/A 715-2023 FSC-klagomål.docx", "A 715-2023")</f>
        <v/>
      </c>
      <c r="W126">
        <f>HYPERLINK("https://klasma.github.io/Logging_2283/klagomålsmail/A 715-2023 FSC-klagomål mail.docx", "A 715-2023")</f>
        <v/>
      </c>
      <c r="X126">
        <f>HYPERLINK("https://klasma.github.io/Logging_2283/tillsyn/A 715-2023 tillsynsbegäran.docx", "A 715-2023")</f>
        <v/>
      </c>
      <c r="Y126">
        <f>HYPERLINK("https://klasma.github.io/Logging_2283/tillsynsmail/A 715-2023 tillsynsbegäran mail.docx", "A 715-2023")</f>
        <v/>
      </c>
    </row>
    <row r="127" ht="15" customHeight="1">
      <c r="A127" t="inlineStr">
        <is>
          <t>A 36116-2023</t>
        </is>
      </c>
      <c r="B127" s="1" t="n">
        <v>45148</v>
      </c>
      <c r="C127" s="1" t="n">
        <v>45740</v>
      </c>
      <c r="D127" t="inlineStr">
        <is>
          <t>VÄSTERNORRLANDS LÄN</t>
        </is>
      </c>
      <c r="E127" t="inlineStr">
        <is>
          <t>SOLLEFTEÅ</t>
        </is>
      </c>
      <c r="G127" t="n">
        <v>8.4</v>
      </c>
      <c r="H127" t="n">
        <v>2</v>
      </c>
      <c r="I127" t="n">
        <v>1</v>
      </c>
      <c r="J127" t="n">
        <v>3</v>
      </c>
      <c r="K127" t="n">
        <v>2</v>
      </c>
      <c r="L127" t="n">
        <v>0</v>
      </c>
      <c r="M127" t="n">
        <v>0</v>
      </c>
      <c r="N127" t="n">
        <v>0</v>
      </c>
      <c r="O127" t="n">
        <v>5</v>
      </c>
      <c r="P127" t="n">
        <v>2</v>
      </c>
      <c r="Q127" t="n">
        <v>7</v>
      </c>
      <c r="R127" s="2" t="inlineStr">
        <is>
          <t>Knärot
Rynkskinn
Garnlav
Lunglav
Ullticka
Skinnlav
Revlummer</t>
        </is>
      </c>
      <c r="S127">
        <f>HYPERLINK("https://klasma.github.io/Logging_2283/artfynd/A 36116-2023 artfynd.xlsx", "A 36116-2023")</f>
        <v/>
      </c>
      <c r="T127">
        <f>HYPERLINK("https://klasma.github.io/Logging_2283/kartor/A 36116-2023 karta.png", "A 36116-2023")</f>
        <v/>
      </c>
      <c r="U127">
        <f>HYPERLINK("https://klasma.github.io/Logging_2283/knärot/A 36116-2023 karta knärot.png", "A 36116-2023")</f>
        <v/>
      </c>
      <c r="V127">
        <f>HYPERLINK("https://klasma.github.io/Logging_2283/klagomål/A 36116-2023 FSC-klagomål.docx", "A 36116-2023")</f>
        <v/>
      </c>
      <c r="W127">
        <f>HYPERLINK("https://klasma.github.io/Logging_2283/klagomålsmail/A 36116-2023 FSC-klagomål mail.docx", "A 36116-2023")</f>
        <v/>
      </c>
      <c r="X127">
        <f>HYPERLINK("https://klasma.github.io/Logging_2283/tillsyn/A 36116-2023 tillsynsbegäran.docx", "A 36116-2023")</f>
        <v/>
      </c>
      <c r="Y127">
        <f>HYPERLINK("https://klasma.github.io/Logging_2283/tillsynsmail/A 36116-2023 tillsynsbegäran mail.docx", "A 36116-2023")</f>
        <v/>
      </c>
    </row>
    <row r="128" ht="15" customHeight="1">
      <c r="A128" t="inlineStr">
        <is>
          <t>A 38376-2023</t>
        </is>
      </c>
      <c r="B128" s="1" t="n">
        <v>45161</v>
      </c>
      <c r="C128" s="1" t="n">
        <v>45740</v>
      </c>
      <c r="D128" t="inlineStr">
        <is>
          <t>VÄSTERNORRLANDS LÄN</t>
        </is>
      </c>
      <c r="E128" t="inlineStr">
        <is>
          <t>SOLLEFTEÅ</t>
        </is>
      </c>
      <c r="F128" t="inlineStr">
        <is>
          <t>SCA</t>
        </is>
      </c>
      <c r="G128" t="n">
        <v>7.3</v>
      </c>
      <c r="H128" t="n">
        <v>2</v>
      </c>
      <c r="I128" t="n">
        <v>3</v>
      </c>
      <c r="J128" t="n">
        <v>2</v>
      </c>
      <c r="K128" t="n">
        <v>1</v>
      </c>
      <c r="L128" t="n">
        <v>0</v>
      </c>
      <c r="M128" t="n">
        <v>0</v>
      </c>
      <c r="N128" t="n">
        <v>0</v>
      </c>
      <c r="O128" t="n">
        <v>3</v>
      </c>
      <c r="P128" t="n">
        <v>1</v>
      </c>
      <c r="Q128" t="n">
        <v>7</v>
      </c>
      <c r="R128" s="2" t="inlineStr">
        <is>
          <t>Doftticka
Garnlav
Lunglav
Barkkornlav
Bårdlav
Stuplav
Revlummer</t>
        </is>
      </c>
      <c r="S128">
        <f>HYPERLINK("https://klasma.github.io/Logging_2283/artfynd/A 38376-2023 artfynd.xlsx", "A 38376-2023")</f>
        <v/>
      </c>
      <c r="T128">
        <f>HYPERLINK("https://klasma.github.io/Logging_2283/kartor/A 38376-2023 karta.png", "A 38376-2023")</f>
        <v/>
      </c>
      <c r="V128">
        <f>HYPERLINK("https://klasma.github.io/Logging_2283/klagomål/A 38376-2023 FSC-klagomål.docx", "A 38376-2023")</f>
        <v/>
      </c>
      <c r="W128">
        <f>HYPERLINK("https://klasma.github.io/Logging_2283/klagomålsmail/A 38376-2023 FSC-klagomål mail.docx", "A 38376-2023")</f>
        <v/>
      </c>
      <c r="X128">
        <f>HYPERLINK("https://klasma.github.io/Logging_2283/tillsyn/A 38376-2023 tillsynsbegäran.docx", "A 38376-2023")</f>
        <v/>
      </c>
      <c r="Y128">
        <f>HYPERLINK("https://klasma.github.io/Logging_2283/tillsynsmail/A 38376-2023 tillsynsbegäran mail.docx", "A 38376-2023")</f>
        <v/>
      </c>
    </row>
    <row r="129" ht="15" customHeight="1">
      <c r="A129" t="inlineStr">
        <is>
          <t>A 54049-2023</t>
        </is>
      </c>
      <c r="B129" s="1" t="n">
        <v>45231</v>
      </c>
      <c r="C129" s="1" t="n">
        <v>45740</v>
      </c>
      <c r="D129" t="inlineStr">
        <is>
          <t>VÄSTERNORRLANDS LÄN</t>
        </is>
      </c>
      <c r="E129" t="inlineStr">
        <is>
          <t>SOLLEFTEÅ</t>
        </is>
      </c>
      <c r="F129" t="inlineStr">
        <is>
          <t>SCA</t>
        </is>
      </c>
      <c r="G129" t="n">
        <v>9.800000000000001</v>
      </c>
      <c r="H129" t="n">
        <v>0</v>
      </c>
      <c r="I129" t="n">
        <v>1</v>
      </c>
      <c r="J129" t="n">
        <v>6</v>
      </c>
      <c r="K129" t="n">
        <v>0</v>
      </c>
      <c r="L129" t="n">
        <v>0</v>
      </c>
      <c r="M129" t="n">
        <v>0</v>
      </c>
      <c r="N129" t="n">
        <v>0</v>
      </c>
      <c r="O129" t="n">
        <v>6</v>
      </c>
      <c r="P129" t="n">
        <v>0</v>
      </c>
      <c r="Q129" t="n">
        <v>7</v>
      </c>
      <c r="R129" s="2" t="inlineStr">
        <is>
          <t>Doftskinn
Gammelgransskål
Garnlav
Rosenticka
Ullticka
Violettgrå tagellav
Vedticka</t>
        </is>
      </c>
      <c r="S129">
        <f>HYPERLINK("https://klasma.github.io/Logging_2283/artfynd/A 54049-2023 artfynd.xlsx", "A 54049-2023")</f>
        <v/>
      </c>
      <c r="T129">
        <f>HYPERLINK("https://klasma.github.io/Logging_2283/kartor/A 54049-2023 karta.png", "A 54049-2023")</f>
        <v/>
      </c>
      <c r="V129">
        <f>HYPERLINK("https://klasma.github.io/Logging_2283/klagomål/A 54049-2023 FSC-klagomål.docx", "A 54049-2023")</f>
        <v/>
      </c>
      <c r="W129">
        <f>HYPERLINK("https://klasma.github.io/Logging_2283/klagomålsmail/A 54049-2023 FSC-klagomål mail.docx", "A 54049-2023")</f>
        <v/>
      </c>
      <c r="X129">
        <f>HYPERLINK("https://klasma.github.io/Logging_2283/tillsyn/A 54049-2023 tillsynsbegäran.docx", "A 54049-2023")</f>
        <v/>
      </c>
      <c r="Y129">
        <f>HYPERLINK("https://klasma.github.io/Logging_2283/tillsynsmail/A 54049-2023 tillsynsbegäran mail.docx", "A 54049-2023")</f>
        <v/>
      </c>
    </row>
    <row r="130" ht="15" customHeight="1">
      <c r="A130" t="inlineStr">
        <is>
          <t>A 62992-2023</t>
        </is>
      </c>
      <c r="B130" s="1" t="n">
        <v>45272</v>
      </c>
      <c r="C130" s="1" t="n">
        <v>45740</v>
      </c>
      <c r="D130" t="inlineStr">
        <is>
          <t>VÄSTERNORRLANDS LÄN</t>
        </is>
      </c>
      <c r="E130" t="inlineStr">
        <is>
          <t>SOLLEFTEÅ</t>
        </is>
      </c>
      <c r="F130" t="inlineStr">
        <is>
          <t>Övriga Aktiebolag</t>
        </is>
      </c>
      <c r="G130" t="n">
        <v>16.7</v>
      </c>
      <c r="H130" t="n">
        <v>2</v>
      </c>
      <c r="I130" t="n">
        <v>2</v>
      </c>
      <c r="J130" t="n">
        <v>5</v>
      </c>
      <c r="K130" t="n">
        <v>0</v>
      </c>
      <c r="L130" t="n">
        <v>0</v>
      </c>
      <c r="M130" t="n">
        <v>0</v>
      </c>
      <c r="N130" t="n">
        <v>0</v>
      </c>
      <c r="O130" t="n">
        <v>5</v>
      </c>
      <c r="P130" t="n">
        <v>0</v>
      </c>
      <c r="Q130" t="n">
        <v>7</v>
      </c>
      <c r="R130" s="2" t="inlineStr">
        <is>
          <t>Gammelgransskål
Garnlav
Harticka
Rosenticka
Tretåig hackspett
Mörk husmossa
Spindelblomster</t>
        </is>
      </c>
      <c r="S130">
        <f>HYPERLINK("https://klasma.github.io/Logging_2283/artfynd/A 62992-2023 artfynd.xlsx", "A 62992-2023")</f>
        <v/>
      </c>
      <c r="T130">
        <f>HYPERLINK("https://klasma.github.io/Logging_2283/kartor/A 62992-2023 karta.png", "A 62992-2023")</f>
        <v/>
      </c>
      <c r="V130">
        <f>HYPERLINK("https://klasma.github.io/Logging_2283/klagomål/A 62992-2023 FSC-klagomål.docx", "A 62992-2023")</f>
        <v/>
      </c>
      <c r="W130">
        <f>HYPERLINK("https://klasma.github.io/Logging_2283/klagomålsmail/A 62992-2023 FSC-klagomål mail.docx", "A 62992-2023")</f>
        <v/>
      </c>
      <c r="X130">
        <f>HYPERLINK("https://klasma.github.io/Logging_2283/tillsyn/A 62992-2023 tillsynsbegäran.docx", "A 62992-2023")</f>
        <v/>
      </c>
      <c r="Y130">
        <f>HYPERLINK("https://klasma.github.io/Logging_2283/tillsynsmail/A 62992-2023 tillsynsbegäran mail.docx", "A 62992-2023")</f>
        <v/>
      </c>
      <c r="Z130">
        <f>HYPERLINK("https://klasma.github.io/Logging_2283/fåglar/A 62992-2023 prioriterade fågelarter.docx", "A 62992-2023")</f>
        <v/>
      </c>
    </row>
    <row r="131" ht="15" customHeight="1">
      <c r="A131" t="inlineStr">
        <is>
          <t>A 14580-2024</t>
        </is>
      </c>
      <c r="B131" s="1" t="n">
        <v>45394</v>
      </c>
      <c r="C131" s="1" t="n">
        <v>45740</v>
      </c>
      <c r="D131" t="inlineStr">
        <is>
          <t>VÄSTERNORRLANDS LÄN</t>
        </is>
      </c>
      <c r="E131" t="inlineStr">
        <is>
          <t>SOLLEFTEÅ</t>
        </is>
      </c>
      <c r="F131" t="inlineStr">
        <is>
          <t>SCA</t>
        </is>
      </c>
      <c r="G131" t="n">
        <v>4.1</v>
      </c>
      <c r="H131" t="n">
        <v>2</v>
      </c>
      <c r="I131" t="n">
        <v>1</v>
      </c>
      <c r="J131" t="n">
        <v>6</v>
      </c>
      <c r="K131" t="n">
        <v>0</v>
      </c>
      <c r="L131" t="n">
        <v>0</v>
      </c>
      <c r="M131" t="n">
        <v>0</v>
      </c>
      <c r="N131" t="n">
        <v>0</v>
      </c>
      <c r="O131" t="n">
        <v>6</v>
      </c>
      <c r="P131" t="n">
        <v>0</v>
      </c>
      <c r="Q131" t="n">
        <v>7</v>
      </c>
      <c r="R131" s="2" t="inlineStr">
        <is>
          <t>Garnlav
Lunglav
Rosenticka
Talltita
Tretåig hackspett
Ullticka
Vedticka</t>
        </is>
      </c>
      <c r="S131">
        <f>HYPERLINK("https://klasma.github.io/Logging_2283/artfynd/A 14580-2024 artfynd.xlsx", "A 14580-2024")</f>
        <v/>
      </c>
      <c r="T131">
        <f>HYPERLINK("https://klasma.github.io/Logging_2283/kartor/A 14580-2024 karta.png", "A 14580-2024")</f>
        <v/>
      </c>
      <c r="V131">
        <f>HYPERLINK("https://klasma.github.io/Logging_2283/klagomål/A 14580-2024 FSC-klagomål.docx", "A 14580-2024")</f>
        <v/>
      </c>
      <c r="W131">
        <f>HYPERLINK("https://klasma.github.io/Logging_2283/klagomålsmail/A 14580-2024 FSC-klagomål mail.docx", "A 14580-2024")</f>
        <v/>
      </c>
      <c r="X131">
        <f>HYPERLINK("https://klasma.github.io/Logging_2283/tillsyn/A 14580-2024 tillsynsbegäran.docx", "A 14580-2024")</f>
        <v/>
      </c>
      <c r="Y131">
        <f>HYPERLINK("https://klasma.github.io/Logging_2283/tillsynsmail/A 14580-2024 tillsynsbegäran mail.docx", "A 14580-2024")</f>
        <v/>
      </c>
      <c r="Z131">
        <f>HYPERLINK("https://klasma.github.io/Logging_2283/fåglar/A 14580-2024 prioriterade fågelarter.docx", "A 14580-2024")</f>
        <v/>
      </c>
    </row>
    <row r="132" ht="15" customHeight="1">
      <c r="A132" t="inlineStr">
        <is>
          <t>A 26654-2024</t>
        </is>
      </c>
      <c r="B132" s="1" t="n">
        <v>45469</v>
      </c>
      <c r="C132" s="1" t="n">
        <v>45740</v>
      </c>
      <c r="D132" t="inlineStr">
        <is>
          <t>VÄSTERNORRLANDS LÄN</t>
        </is>
      </c>
      <c r="E132" t="inlineStr">
        <is>
          <t>SOLLEFTEÅ</t>
        </is>
      </c>
      <c r="F132" t="inlineStr">
        <is>
          <t>SCA</t>
        </is>
      </c>
      <c r="G132" t="n">
        <v>7</v>
      </c>
      <c r="H132" t="n">
        <v>1</v>
      </c>
      <c r="I132" t="n">
        <v>2</v>
      </c>
      <c r="J132" t="n">
        <v>3</v>
      </c>
      <c r="K132" t="n">
        <v>2</v>
      </c>
      <c r="L132" t="n">
        <v>0</v>
      </c>
      <c r="M132" t="n">
        <v>0</v>
      </c>
      <c r="N132" t="n">
        <v>0</v>
      </c>
      <c r="O132" t="n">
        <v>5</v>
      </c>
      <c r="P132" t="n">
        <v>2</v>
      </c>
      <c r="Q132" t="n">
        <v>7</v>
      </c>
      <c r="R132" s="2" t="inlineStr">
        <is>
          <t>Knärot
Ulltickeporing
Garnlav
Harticka
Ullticka
Bårdlav
Skinnlav</t>
        </is>
      </c>
      <c r="S132">
        <f>HYPERLINK("https://klasma.github.io/Logging_2283/artfynd/A 26654-2024 artfynd.xlsx", "A 26654-2024")</f>
        <v/>
      </c>
      <c r="T132">
        <f>HYPERLINK("https://klasma.github.io/Logging_2283/kartor/A 26654-2024 karta.png", "A 26654-2024")</f>
        <v/>
      </c>
      <c r="U132">
        <f>HYPERLINK("https://klasma.github.io/Logging_2283/knärot/A 26654-2024 karta knärot.png", "A 26654-2024")</f>
        <v/>
      </c>
      <c r="V132">
        <f>HYPERLINK("https://klasma.github.io/Logging_2283/klagomål/A 26654-2024 FSC-klagomål.docx", "A 26654-2024")</f>
        <v/>
      </c>
      <c r="W132">
        <f>HYPERLINK("https://klasma.github.io/Logging_2283/klagomålsmail/A 26654-2024 FSC-klagomål mail.docx", "A 26654-2024")</f>
        <v/>
      </c>
      <c r="X132">
        <f>HYPERLINK("https://klasma.github.io/Logging_2283/tillsyn/A 26654-2024 tillsynsbegäran.docx", "A 26654-2024")</f>
        <v/>
      </c>
      <c r="Y132">
        <f>HYPERLINK("https://klasma.github.io/Logging_2283/tillsynsmail/A 26654-2024 tillsynsbegäran mail.docx", "A 26654-2024")</f>
        <v/>
      </c>
    </row>
    <row r="133" ht="15" customHeight="1">
      <c r="A133" t="inlineStr">
        <is>
          <t>A 29101-2024</t>
        </is>
      </c>
      <c r="B133" s="1" t="n">
        <v>45482</v>
      </c>
      <c r="C133" s="1" t="n">
        <v>45740</v>
      </c>
      <c r="D133" t="inlineStr">
        <is>
          <t>VÄSTERNORRLANDS LÄN</t>
        </is>
      </c>
      <c r="E133" t="inlineStr">
        <is>
          <t>SOLLEFTEÅ</t>
        </is>
      </c>
      <c r="F133" t="inlineStr">
        <is>
          <t>SCA</t>
        </is>
      </c>
      <c r="G133" t="n">
        <v>2.2</v>
      </c>
      <c r="H133" t="n">
        <v>2</v>
      </c>
      <c r="I133" t="n">
        <v>1</v>
      </c>
      <c r="J133" t="n">
        <v>4</v>
      </c>
      <c r="K133" t="n">
        <v>2</v>
      </c>
      <c r="L133" t="n">
        <v>0</v>
      </c>
      <c r="M133" t="n">
        <v>0</v>
      </c>
      <c r="N133" t="n">
        <v>0</v>
      </c>
      <c r="O133" t="n">
        <v>6</v>
      </c>
      <c r="P133" t="n">
        <v>2</v>
      </c>
      <c r="Q133" t="n">
        <v>7</v>
      </c>
      <c r="R133" s="2" t="inlineStr">
        <is>
          <t>Knärot
Rynkskinn
Garnlav
Rosenticka
Talltita
Ullticka
Vedticka</t>
        </is>
      </c>
      <c r="S133">
        <f>HYPERLINK("https://klasma.github.io/Logging_2283/artfynd/A 29101-2024 artfynd.xlsx", "A 29101-2024")</f>
        <v/>
      </c>
      <c r="T133">
        <f>HYPERLINK("https://klasma.github.io/Logging_2283/kartor/A 29101-2024 karta.png", "A 29101-2024")</f>
        <v/>
      </c>
      <c r="U133">
        <f>HYPERLINK("https://klasma.github.io/Logging_2283/knärot/A 29101-2024 karta knärot.png", "A 29101-2024")</f>
        <v/>
      </c>
      <c r="V133">
        <f>HYPERLINK("https://klasma.github.io/Logging_2283/klagomål/A 29101-2024 FSC-klagomål.docx", "A 29101-2024")</f>
        <v/>
      </c>
      <c r="W133">
        <f>HYPERLINK("https://klasma.github.io/Logging_2283/klagomålsmail/A 29101-2024 FSC-klagomål mail.docx", "A 29101-2024")</f>
        <v/>
      </c>
      <c r="X133">
        <f>HYPERLINK("https://klasma.github.io/Logging_2283/tillsyn/A 29101-2024 tillsynsbegäran.docx", "A 29101-2024")</f>
        <v/>
      </c>
      <c r="Y133">
        <f>HYPERLINK("https://klasma.github.io/Logging_2283/tillsynsmail/A 29101-2024 tillsynsbegäran mail.docx", "A 29101-2024")</f>
        <v/>
      </c>
      <c r="Z133">
        <f>HYPERLINK("https://klasma.github.io/Logging_2283/fåglar/A 29101-2024 prioriterade fågelarter.docx", "A 29101-2024")</f>
        <v/>
      </c>
    </row>
    <row r="134" ht="15" customHeight="1">
      <c r="A134" t="inlineStr">
        <is>
          <t>A 36499-2024</t>
        </is>
      </c>
      <c r="B134" s="1" t="n">
        <v>45537</v>
      </c>
      <c r="C134" s="1" t="n">
        <v>45740</v>
      </c>
      <c r="D134" t="inlineStr">
        <is>
          <t>VÄSTERNORRLANDS LÄN</t>
        </is>
      </c>
      <c r="E134" t="inlineStr">
        <is>
          <t>SOLLEFTEÅ</t>
        </is>
      </c>
      <c r="F134" t="inlineStr">
        <is>
          <t>SCA</t>
        </is>
      </c>
      <c r="G134" t="n">
        <v>18.2</v>
      </c>
      <c r="H134" t="n">
        <v>5</v>
      </c>
      <c r="I134" t="n">
        <v>0</v>
      </c>
      <c r="J134" t="n">
        <v>4</v>
      </c>
      <c r="K134" t="n">
        <v>2</v>
      </c>
      <c r="L134" t="n">
        <v>0</v>
      </c>
      <c r="M134" t="n">
        <v>0</v>
      </c>
      <c r="N134" t="n">
        <v>0</v>
      </c>
      <c r="O134" t="n">
        <v>6</v>
      </c>
      <c r="P134" t="n">
        <v>2</v>
      </c>
      <c r="Q134" t="n">
        <v>7</v>
      </c>
      <c r="R134" s="2" t="inlineStr">
        <is>
          <t>Doftticka
Knärot
Garnlav
Lunglav
Talltita
Tretåig hackspett
Tjäder</t>
        </is>
      </c>
      <c r="S134">
        <f>HYPERLINK("https://klasma.github.io/Logging_2283/artfynd/A 36499-2024 artfynd.xlsx", "A 36499-2024")</f>
        <v/>
      </c>
      <c r="T134">
        <f>HYPERLINK("https://klasma.github.io/Logging_2283/kartor/A 36499-2024 karta.png", "A 36499-2024")</f>
        <v/>
      </c>
      <c r="U134">
        <f>HYPERLINK("https://klasma.github.io/Logging_2283/knärot/A 36499-2024 karta knärot.png", "A 36499-2024")</f>
        <v/>
      </c>
      <c r="V134">
        <f>HYPERLINK("https://klasma.github.io/Logging_2283/klagomål/A 36499-2024 FSC-klagomål.docx", "A 36499-2024")</f>
        <v/>
      </c>
      <c r="W134">
        <f>HYPERLINK("https://klasma.github.io/Logging_2283/klagomålsmail/A 36499-2024 FSC-klagomål mail.docx", "A 36499-2024")</f>
        <v/>
      </c>
      <c r="X134">
        <f>HYPERLINK("https://klasma.github.io/Logging_2283/tillsyn/A 36499-2024 tillsynsbegäran.docx", "A 36499-2024")</f>
        <v/>
      </c>
      <c r="Y134">
        <f>HYPERLINK("https://klasma.github.io/Logging_2283/tillsynsmail/A 36499-2024 tillsynsbegäran mail.docx", "A 36499-2024")</f>
        <v/>
      </c>
      <c r="Z134">
        <f>HYPERLINK("https://klasma.github.io/Logging_2283/fåglar/A 36499-2024 prioriterade fågelarter.docx", "A 36499-2024")</f>
        <v/>
      </c>
    </row>
    <row r="135" ht="15" customHeight="1">
      <c r="A135" t="inlineStr">
        <is>
          <t>A 41506-2024</t>
        </is>
      </c>
      <c r="B135" s="1" t="n">
        <v>45560</v>
      </c>
      <c r="C135" s="1" t="n">
        <v>45740</v>
      </c>
      <c r="D135" t="inlineStr">
        <is>
          <t>VÄSTERNORRLANDS LÄN</t>
        </is>
      </c>
      <c r="E135" t="inlineStr">
        <is>
          <t>SOLLEFTEÅ</t>
        </is>
      </c>
      <c r="F135" t="inlineStr">
        <is>
          <t>SCA</t>
        </is>
      </c>
      <c r="G135" t="n">
        <v>8.1</v>
      </c>
      <c r="H135" t="n">
        <v>3</v>
      </c>
      <c r="I135" t="n">
        <v>0</v>
      </c>
      <c r="J135" t="n">
        <v>5</v>
      </c>
      <c r="K135" t="n">
        <v>1</v>
      </c>
      <c r="L135" t="n">
        <v>0</v>
      </c>
      <c r="M135" t="n">
        <v>0</v>
      </c>
      <c r="N135" t="n">
        <v>0</v>
      </c>
      <c r="O135" t="n">
        <v>6</v>
      </c>
      <c r="P135" t="n">
        <v>1</v>
      </c>
      <c r="Q135" t="n">
        <v>7</v>
      </c>
      <c r="R135" s="2" t="inlineStr">
        <is>
          <t>Knärot
Garnlav
Kolflarnlav
Lunglav
Tretåig hackspett
Ullticka
Revlummer</t>
        </is>
      </c>
      <c r="S135">
        <f>HYPERLINK("https://klasma.github.io/Logging_2283/artfynd/A 41506-2024 artfynd.xlsx", "A 41506-2024")</f>
        <v/>
      </c>
      <c r="T135">
        <f>HYPERLINK("https://klasma.github.io/Logging_2283/kartor/A 41506-2024 karta.png", "A 41506-2024")</f>
        <v/>
      </c>
      <c r="U135">
        <f>HYPERLINK("https://klasma.github.io/Logging_2283/knärot/A 41506-2024 karta knärot.png", "A 41506-2024")</f>
        <v/>
      </c>
      <c r="V135">
        <f>HYPERLINK("https://klasma.github.io/Logging_2283/klagomål/A 41506-2024 FSC-klagomål.docx", "A 41506-2024")</f>
        <v/>
      </c>
      <c r="W135">
        <f>HYPERLINK("https://klasma.github.io/Logging_2283/klagomålsmail/A 41506-2024 FSC-klagomål mail.docx", "A 41506-2024")</f>
        <v/>
      </c>
      <c r="X135">
        <f>HYPERLINK("https://klasma.github.io/Logging_2283/tillsyn/A 41506-2024 tillsynsbegäran.docx", "A 41506-2024")</f>
        <v/>
      </c>
      <c r="Y135">
        <f>HYPERLINK("https://klasma.github.io/Logging_2283/tillsynsmail/A 41506-2024 tillsynsbegäran mail.docx", "A 41506-2024")</f>
        <v/>
      </c>
      <c r="Z135">
        <f>HYPERLINK("https://klasma.github.io/Logging_2283/fåglar/A 41506-2024 prioriterade fågelarter.docx", "A 41506-2024")</f>
        <v/>
      </c>
    </row>
    <row r="136" ht="15" customHeight="1">
      <c r="A136" t="inlineStr">
        <is>
          <t>A 41666-2024</t>
        </is>
      </c>
      <c r="B136" s="1" t="n">
        <v>45560</v>
      </c>
      <c r="C136" s="1" t="n">
        <v>45740</v>
      </c>
      <c r="D136" t="inlineStr">
        <is>
          <t>VÄSTERNORRLANDS LÄN</t>
        </is>
      </c>
      <c r="E136" t="inlineStr">
        <is>
          <t>SOLLEFTEÅ</t>
        </is>
      </c>
      <c r="G136" t="n">
        <v>1</v>
      </c>
      <c r="H136" t="n">
        <v>1</v>
      </c>
      <c r="I136" t="n">
        <v>1</v>
      </c>
      <c r="J136" t="n">
        <v>4</v>
      </c>
      <c r="K136" t="n">
        <v>1</v>
      </c>
      <c r="L136" t="n">
        <v>0</v>
      </c>
      <c r="M136" t="n">
        <v>0</v>
      </c>
      <c r="N136" t="n">
        <v>0</v>
      </c>
      <c r="O136" t="n">
        <v>5</v>
      </c>
      <c r="P136" t="n">
        <v>1</v>
      </c>
      <c r="Q136" t="n">
        <v>7</v>
      </c>
      <c r="R136" s="2" t="inlineStr">
        <is>
          <t>Rynkskinn
Granticka
Lunglav
Rosenticka
Vedtrappmossa
Stor aspticka
Revlummer</t>
        </is>
      </c>
      <c r="S136">
        <f>HYPERLINK("https://klasma.github.io/Logging_2283/artfynd/A 41666-2024 artfynd.xlsx", "A 41666-2024")</f>
        <v/>
      </c>
      <c r="T136">
        <f>HYPERLINK("https://klasma.github.io/Logging_2283/kartor/A 41666-2024 karta.png", "A 41666-2024")</f>
        <v/>
      </c>
      <c r="V136">
        <f>HYPERLINK("https://klasma.github.io/Logging_2283/klagomål/A 41666-2024 FSC-klagomål.docx", "A 41666-2024")</f>
        <v/>
      </c>
      <c r="W136">
        <f>HYPERLINK("https://klasma.github.io/Logging_2283/klagomålsmail/A 41666-2024 FSC-klagomål mail.docx", "A 41666-2024")</f>
        <v/>
      </c>
      <c r="X136">
        <f>HYPERLINK("https://klasma.github.io/Logging_2283/tillsyn/A 41666-2024 tillsynsbegäran.docx", "A 41666-2024")</f>
        <v/>
      </c>
      <c r="Y136">
        <f>HYPERLINK("https://klasma.github.io/Logging_2283/tillsynsmail/A 41666-2024 tillsynsbegäran mail.docx", "A 41666-2024")</f>
        <v/>
      </c>
    </row>
    <row r="137" ht="15" customHeight="1">
      <c r="A137" t="inlineStr">
        <is>
          <t>A 43289-2024</t>
        </is>
      </c>
      <c r="B137" s="1" t="n">
        <v>45568</v>
      </c>
      <c r="C137" s="1" t="n">
        <v>45740</v>
      </c>
      <c r="D137" t="inlineStr">
        <is>
          <t>VÄSTERNORRLANDS LÄN</t>
        </is>
      </c>
      <c r="E137" t="inlineStr">
        <is>
          <t>SOLLEFTEÅ</t>
        </is>
      </c>
      <c r="F137" t="inlineStr">
        <is>
          <t>Kommuner</t>
        </is>
      </c>
      <c r="G137" t="n">
        <v>3.4</v>
      </c>
      <c r="H137" t="n">
        <v>2</v>
      </c>
      <c r="I137" t="n">
        <v>1</v>
      </c>
      <c r="J137" t="n">
        <v>5</v>
      </c>
      <c r="K137" t="n">
        <v>1</v>
      </c>
      <c r="L137" t="n">
        <v>0</v>
      </c>
      <c r="M137" t="n">
        <v>0</v>
      </c>
      <c r="N137" t="n">
        <v>0</v>
      </c>
      <c r="O137" t="n">
        <v>6</v>
      </c>
      <c r="P137" t="n">
        <v>1</v>
      </c>
      <c r="Q137" t="n">
        <v>7</v>
      </c>
      <c r="R137" s="2" t="inlineStr">
        <is>
          <t>Knärot
Garnlav
Granticka
Kolflarnlav
Svart taggsvamp
Tretåig hackspett
Dropptaggsvamp</t>
        </is>
      </c>
      <c r="S137">
        <f>HYPERLINK("https://klasma.github.io/Logging_2283/artfynd/A 43289-2024 artfynd.xlsx", "A 43289-2024")</f>
        <v/>
      </c>
      <c r="T137">
        <f>HYPERLINK("https://klasma.github.io/Logging_2283/kartor/A 43289-2024 karta.png", "A 43289-2024")</f>
        <v/>
      </c>
      <c r="U137">
        <f>HYPERLINK("https://klasma.github.io/Logging_2283/knärot/A 43289-2024 karta knärot.png", "A 43289-2024")</f>
        <v/>
      </c>
      <c r="V137">
        <f>HYPERLINK("https://klasma.github.io/Logging_2283/klagomål/A 43289-2024 FSC-klagomål.docx", "A 43289-2024")</f>
        <v/>
      </c>
      <c r="W137">
        <f>HYPERLINK("https://klasma.github.io/Logging_2283/klagomålsmail/A 43289-2024 FSC-klagomål mail.docx", "A 43289-2024")</f>
        <v/>
      </c>
      <c r="X137">
        <f>HYPERLINK("https://klasma.github.io/Logging_2283/tillsyn/A 43289-2024 tillsynsbegäran.docx", "A 43289-2024")</f>
        <v/>
      </c>
      <c r="Y137">
        <f>HYPERLINK("https://klasma.github.io/Logging_2283/tillsynsmail/A 43289-2024 tillsynsbegäran mail.docx", "A 43289-2024")</f>
        <v/>
      </c>
      <c r="Z137">
        <f>HYPERLINK("https://klasma.github.io/Logging_2283/fåglar/A 43289-2024 prioriterade fågelarter.docx", "A 43289-2024")</f>
        <v/>
      </c>
    </row>
    <row r="138" ht="15" customHeight="1">
      <c r="A138" t="inlineStr">
        <is>
          <t>A 59982-2024</t>
        </is>
      </c>
      <c r="B138" s="1" t="n">
        <v>45642</v>
      </c>
      <c r="C138" s="1" t="n">
        <v>45740</v>
      </c>
      <c r="D138" t="inlineStr">
        <is>
          <t>VÄSTERNORRLANDS LÄN</t>
        </is>
      </c>
      <c r="E138" t="inlineStr">
        <is>
          <t>SOLLEFTEÅ</t>
        </is>
      </c>
      <c r="G138" t="n">
        <v>12.1</v>
      </c>
      <c r="H138" t="n">
        <v>3</v>
      </c>
      <c r="I138" t="n">
        <v>2</v>
      </c>
      <c r="J138" t="n">
        <v>3</v>
      </c>
      <c r="K138" t="n">
        <v>1</v>
      </c>
      <c r="L138" t="n">
        <v>0</v>
      </c>
      <c r="M138" t="n">
        <v>0</v>
      </c>
      <c r="N138" t="n">
        <v>0</v>
      </c>
      <c r="O138" t="n">
        <v>4</v>
      </c>
      <c r="P138" t="n">
        <v>1</v>
      </c>
      <c r="Q138" t="n">
        <v>7</v>
      </c>
      <c r="R138" s="2" t="inlineStr">
        <is>
          <t>Knärot
Garnlav
Rosenticka
Ullticka
Korallrot
Vedticka
Fläcknycklar</t>
        </is>
      </c>
      <c r="S138">
        <f>HYPERLINK("https://klasma.github.io/Logging_2283/artfynd/A 59982-2024 artfynd.xlsx", "A 59982-2024")</f>
        <v/>
      </c>
      <c r="T138">
        <f>HYPERLINK("https://klasma.github.io/Logging_2283/kartor/A 59982-2024 karta.png", "A 59982-2024")</f>
        <v/>
      </c>
      <c r="U138">
        <f>HYPERLINK("https://klasma.github.io/Logging_2283/knärot/A 59982-2024 karta knärot.png", "A 59982-2024")</f>
        <v/>
      </c>
      <c r="V138">
        <f>HYPERLINK("https://klasma.github.io/Logging_2283/klagomål/A 59982-2024 FSC-klagomål.docx", "A 59982-2024")</f>
        <v/>
      </c>
      <c r="W138">
        <f>HYPERLINK("https://klasma.github.io/Logging_2283/klagomålsmail/A 59982-2024 FSC-klagomål mail.docx", "A 59982-2024")</f>
        <v/>
      </c>
      <c r="X138">
        <f>HYPERLINK("https://klasma.github.io/Logging_2283/tillsyn/A 59982-2024 tillsynsbegäran.docx", "A 59982-2024")</f>
        <v/>
      </c>
      <c r="Y138">
        <f>HYPERLINK("https://klasma.github.io/Logging_2283/tillsynsmail/A 59982-2024 tillsynsbegäran mail.docx", "A 59982-2024")</f>
        <v/>
      </c>
    </row>
    <row r="139" ht="15" customHeight="1">
      <c r="A139" t="inlineStr">
        <is>
          <t>A 60956-2024</t>
        </is>
      </c>
      <c r="B139" s="1" t="n">
        <v>45645</v>
      </c>
      <c r="C139" s="1" t="n">
        <v>45740</v>
      </c>
      <c r="D139" t="inlineStr">
        <is>
          <t>VÄSTERNORRLANDS LÄN</t>
        </is>
      </c>
      <c r="E139" t="inlineStr">
        <is>
          <t>SOLLEFTEÅ</t>
        </is>
      </c>
      <c r="F139" t="inlineStr">
        <is>
          <t>SCA</t>
        </is>
      </c>
      <c r="G139" t="n">
        <v>14</v>
      </c>
      <c r="H139" t="n">
        <v>2</v>
      </c>
      <c r="I139" t="n">
        <v>2</v>
      </c>
      <c r="J139" t="n">
        <v>5</v>
      </c>
      <c r="K139" t="n">
        <v>0</v>
      </c>
      <c r="L139" t="n">
        <v>0</v>
      </c>
      <c r="M139" t="n">
        <v>0</v>
      </c>
      <c r="N139" t="n">
        <v>0</v>
      </c>
      <c r="O139" t="n">
        <v>5</v>
      </c>
      <c r="P139" t="n">
        <v>0</v>
      </c>
      <c r="Q139" t="n">
        <v>7</v>
      </c>
      <c r="R139" s="2" t="inlineStr">
        <is>
          <t>Garnlav
Lunglav
Talltita
Tretåig hackspett
Ullticka
Korallblylav
Skinnlav</t>
        </is>
      </c>
      <c r="S139">
        <f>HYPERLINK("https://klasma.github.io/Logging_2283/artfynd/A 60956-2024 artfynd.xlsx", "A 60956-2024")</f>
        <v/>
      </c>
      <c r="T139">
        <f>HYPERLINK("https://klasma.github.io/Logging_2283/kartor/A 60956-2024 karta.png", "A 60956-2024")</f>
        <v/>
      </c>
      <c r="V139">
        <f>HYPERLINK("https://klasma.github.io/Logging_2283/klagomål/A 60956-2024 FSC-klagomål.docx", "A 60956-2024")</f>
        <v/>
      </c>
      <c r="W139">
        <f>HYPERLINK("https://klasma.github.io/Logging_2283/klagomålsmail/A 60956-2024 FSC-klagomål mail.docx", "A 60956-2024")</f>
        <v/>
      </c>
      <c r="X139">
        <f>HYPERLINK("https://klasma.github.io/Logging_2283/tillsyn/A 60956-2024 tillsynsbegäran.docx", "A 60956-2024")</f>
        <v/>
      </c>
      <c r="Y139">
        <f>HYPERLINK("https://klasma.github.io/Logging_2283/tillsynsmail/A 60956-2024 tillsynsbegäran mail.docx", "A 60956-2024")</f>
        <v/>
      </c>
      <c r="Z139">
        <f>HYPERLINK("https://klasma.github.io/Logging_2283/fåglar/A 60956-2024 prioriterade fågelarter.docx", "A 60956-2024")</f>
        <v/>
      </c>
    </row>
    <row r="140" ht="15" customHeight="1">
      <c r="A140" t="inlineStr">
        <is>
          <t>A 12174-2025</t>
        </is>
      </c>
      <c r="B140" s="1" t="n">
        <v>45729</v>
      </c>
      <c r="C140" s="1" t="n">
        <v>45740</v>
      </c>
      <c r="D140" t="inlineStr">
        <is>
          <t>VÄSTERNORRLANDS LÄN</t>
        </is>
      </c>
      <c r="E140" t="inlineStr">
        <is>
          <t>SOLLEFTEÅ</t>
        </is>
      </c>
      <c r="F140" t="inlineStr">
        <is>
          <t>SCA</t>
        </is>
      </c>
      <c r="G140" t="n">
        <v>1.8</v>
      </c>
      <c r="H140" t="n">
        <v>4</v>
      </c>
      <c r="I140" t="n">
        <v>0</v>
      </c>
      <c r="J140" t="n">
        <v>5</v>
      </c>
      <c r="K140" t="n">
        <v>0</v>
      </c>
      <c r="L140" t="n">
        <v>0</v>
      </c>
      <c r="M140" t="n">
        <v>0</v>
      </c>
      <c r="N140" t="n">
        <v>0</v>
      </c>
      <c r="O140" t="n">
        <v>5</v>
      </c>
      <c r="P140" t="n">
        <v>0</v>
      </c>
      <c r="Q140" t="n">
        <v>7</v>
      </c>
      <c r="R140" s="2" t="inlineStr">
        <is>
          <t>Garnlav
Lunglav
Mörk kolflarnlav
Spillkråka
Tretåig hackspett
Tjäder
Revlummer</t>
        </is>
      </c>
      <c r="S140">
        <f>HYPERLINK("https://klasma.github.io/Logging_2283/artfynd/A 12174-2025 artfynd.xlsx", "A 12174-2025")</f>
        <v/>
      </c>
      <c r="T140">
        <f>HYPERLINK("https://klasma.github.io/Logging_2283/kartor/A 12174-2025 karta.png", "A 12174-2025")</f>
        <v/>
      </c>
      <c r="V140">
        <f>HYPERLINK("https://klasma.github.io/Logging_2283/klagomål/A 12174-2025 FSC-klagomål.docx", "A 12174-2025")</f>
        <v/>
      </c>
      <c r="W140">
        <f>HYPERLINK("https://klasma.github.io/Logging_2283/klagomålsmail/A 12174-2025 FSC-klagomål mail.docx", "A 12174-2025")</f>
        <v/>
      </c>
      <c r="X140">
        <f>HYPERLINK("https://klasma.github.io/Logging_2283/tillsyn/A 12174-2025 tillsynsbegäran.docx", "A 12174-2025")</f>
        <v/>
      </c>
      <c r="Y140">
        <f>HYPERLINK("https://klasma.github.io/Logging_2283/tillsynsmail/A 12174-2025 tillsynsbegäran mail.docx", "A 12174-2025")</f>
        <v/>
      </c>
      <c r="Z140">
        <f>HYPERLINK("https://klasma.github.io/Logging_2283/fåglar/A 12174-2025 prioriterade fågelarter.docx", "A 12174-2025")</f>
        <v/>
      </c>
    </row>
    <row r="141" ht="15" customHeight="1">
      <c r="A141" t="inlineStr">
        <is>
          <t>A 26633-2019</t>
        </is>
      </c>
      <c r="B141" s="1" t="n">
        <v>43612</v>
      </c>
      <c r="C141" s="1" t="n">
        <v>45740</v>
      </c>
      <c r="D141" t="inlineStr">
        <is>
          <t>VÄSTERNORRLANDS LÄN</t>
        </is>
      </c>
      <c r="E141" t="inlineStr">
        <is>
          <t>SOLLEFTEÅ</t>
        </is>
      </c>
      <c r="F141" t="inlineStr">
        <is>
          <t>SCA</t>
        </is>
      </c>
      <c r="G141" t="n">
        <v>20.5</v>
      </c>
      <c r="H141" t="n">
        <v>1</v>
      </c>
      <c r="I141" t="n">
        <v>1</v>
      </c>
      <c r="J141" t="n">
        <v>5</v>
      </c>
      <c r="K141" t="n">
        <v>0</v>
      </c>
      <c r="L141" t="n">
        <v>0</v>
      </c>
      <c r="M141" t="n">
        <v>0</v>
      </c>
      <c r="N141" t="n">
        <v>0</v>
      </c>
      <c r="O141" t="n">
        <v>5</v>
      </c>
      <c r="P141" t="n">
        <v>0</v>
      </c>
      <c r="Q141" t="n">
        <v>6</v>
      </c>
      <c r="R141" s="2" t="inlineStr">
        <is>
          <t>Grantaggsvamp
Knölgrynna
Slät tallkapuschongbagge
Tallriska
Tretåig hackspett
Dropptaggsvamp</t>
        </is>
      </c>
      <c r="S141">
        <f>HYPERLINK("https://klasma.github.io/Logging_2283/artfynd/A 26633-2019 artfynd.xlsx", "A 26633-2019")</f>
        <v/>
      </c>
      <c r="T141">
        <f>HYPERLINK("https://klasma.github.io/Logging_2283/kartor/A 26633-2019 karta.png", "A 26633-2019")</f>
        <v/>
      </c>
      <c r="V141">
        <f>HYPERLINK("https://klasma.github.io/Logging_2283/klagomål/A 26633-2019 FSC-klagomål.docx", "A 26633-2019")</f>
        <v/>
      </c>
      <c r="W141">
        <f>HYPERLINK("https://klasma.github.io/Logging_2283/klagomålsmail/A 26633-2019 FSC-klagomål mail.docx", "A 26633-2019")</f>
        <v/>
      </c>
      <c r="X141">
        <f>HYPERLINK("https://klasma.github.io/Logging_2283/tillsyn/A 26633-2019 tillsynsbegäran.docx", "A 26633-2019")</f>
        <v/>
      </c>
      <c r="Y141">
        <f>HYPERLINK("https://klasma.github.io/Logging_2283/tillsynsmail/A 26633-2019 tillsynsbegäran mail.docx", "A 26633-2019")</f>
        <v/>
      </c>
      <c r="Z141">
        <f>HYPERLINK("https://klasma.github.io/Logging_2283/fåglar/A 26633-2019 prioriterade fågelarter.docx", "A 26633-2019")</f>
        <v/>
      </c>
    </row>
    <row r="142" ht="15" customHeight="1">
      <c r="A142" t="inlineStr">
        <is>
          <t>A 59075-2019</t>
        </is>
      </c>
      <c r="B142" s="1" t="n">
        <v>43774</v>
      </c>
      <c r="C142" s="1" t="n">
        <v>45740</v>
      </c>
      <c r="D142" t="inlineStr">
        <is>
          <t>VÄSTERNORRLANDS LÄN</t>
        </is>
      </c>
      <c r="E142" t="inlineStr">
        <is>
          <t>SOLLEFTEÅ</t>
        </is>
      </c>
      <c r="G142" t="n">
        <v>1.6</v>
      </c>
      <c r="H142" t="n">
        <v>2</v>
      </c>
      <c r="I142" t="n">
        <v>2</v>
      </c>
      <c r="J142" t="n">
        <v>3</v>
      </c>
      <c r="K142" t="n">
        <v>0</v>
      </c>
      <c r="L142" t="n">
        <v>0</v>
      </c>
      <c r="M142" t="n">
        <v>0</v>
      </c>
      <c r="N142" t="n">
        <v>0</v>
      </c>
      <c r="O142" t="n">
        <v>3</v>
      </c>
      <c r="P142" t="n">
        <v>0</v>
      </c>
      <c r="Q142" t="n">
        <v>6</v>
      </c>
      <c r="R142" s="2" t="inlineStr">
        <is>
          <t>Lunglav
Mindre hackspett
Rosenticka
Skinnlav
Svart trolldruva
Revlummer</t>
        </is>
      </c>
      <c r="S142">
        <f>HYPERLINK("https://klasma.github.io/Logging_2283/artfynd/A 59075-2019 artfynd.xlsx", "A 59075-2019")</f>
        <v/>
      </c>
      <c r="T142">
        <f>HYPERLINK("https://klasma.github.io/Logging_2283/kartor/A 59075-2019 karta.png", "A 59075-2019")</f>
        <v/>
      </c>
      <c r="V142">
        <f>HYPERLINK("https://klasma.github.io/Logging_2283/klagomål/A 59075-2019 FSC-klagomål.docx", "A 59075-2019")</f>
        <v/>
      </c>
      <c r="W142">
        <f>HYPERLINK("https://klasma.github.io/Logging_2283/klagomålsmail/A 59075-2019 FSC-klagomål mail.docx", "A 59075-2019")</f>
        <v/>
      </c>
      <c r="X142">
        <f>HYPERLINK("https://klasma.github.io/Logging_2283/tillsyn/A 59075-2019 tillsynsbegäran.docx", "A 59075-2019")</f>
        <v/>
      </c>
      <c r="Y142">
        <f>HYPERLINK("https://klasma.github.io/Logging_2283/tillsynsmail/A 59075-2019 tillsynsbegäran mail.docx", "A 59075-2019")</f>
        <v/>
      </c>
      <c r="Z142">
        <f>HYPERLINK("https://klasma.github.io/Logging_2283/fåglar/A 59075-2019 prioriterade fågelarter.docx", "A 59075-2019")</f>
        <v/>
      </c>
    </row>
    <row r="143" ht="15" customHeight="1">
      <c r="A143" t="inlineStr">
        <is>
          <t>A 4528-2022</t>
        </is>
      </c>
      <c r="B143" s="1" t="n">
        <v>44589</v>
      </c>
      <c r="C143" s="1" t="n">
        <v>45740</v>
      </c>
      <c r="D143" t="inlineStr">
        <is>
          <t>VÄSTERNORRLANDS LÄN</t>
        </is>
      </c>
      <c r="E143" t="inlineStr">
        <is>
          <t>SOLLEFTEÅ</t>
        </is>
      </c>
      <c r="G143" t="n">
        <v>2.6</v>
      </c>
      <c r="H143" t="n">
        <v>2</v>
      </c>
      <c r="I143" t="n">
        <v>1</v>
      </c>
      <c r="J143" t="n">
        <v>4</v>
      </c>
      <c r="K143" t="n">
        <v>0</v>
      </c>
      <c r="L143" t="n">
        <v>0</v>
      </c>
      <c r="M143" t="n">
        <v>0</v>
      </c>
      <c r="N143" t="n">
        <v>0</v>
      </c>
      <c r="O143" t="n">
        <v>4</v>
      </c>
      <c r="P143" t="n">
        <v>0</v>
      </c>
      <c r="Q143" t="n">
        <v>6</v>
      </c>
      <c r="R143" s="2" t="inlineStr">
        <is>
          <t>Garnlav
Tallticka
Tretåig hackspett
Ullticka
Vedticka
Revlummer</t>
        </is>
      </c>
      <c r="S143">
        <f>HYPERLINK("https://klasma.github.io/Logging_2283/artfynd/A 4528-2022 artfynd.xlsx", "A 4528-2022")</f>
        <v/>
      </c>
      <c r="T143">
        <f>HYPERLINK("https://klasma.github.io/Logging_2283/kartor/A 4528-2022 karta.png", "A 4528-2022")</f>
        <v/>
      </c>
      <c r="V143">
        <f>HYPERLINK("https://klasma.github.io/Logging_2283/klagomål/A 4528-2022 FSC-klagomål.docx", "A 4528-2022")</f>
        <v/>
      </c>
      <c r="W143">
        <f>HYPERLINK("https://klasma.github.io/Logging_2283/klagomålsmail/A 4528-2022 FSC-klagomål mail.docx", "A 4528-2022")</f>
        <v/>
      </c>
      <c r="X143">
        <f>HYPERLINK("https://klasma.github.io/Logging_2283/tillsyn/A 4528-2022 tillsynsbegäran.docx", "A 4528-2022")</f>
        <v/>
      </c>
      <c r="Y143">
        <f>HYPERLINK("https://klasma.github.io/Logging_2283/tillsynsmail/A 4528-2022 tillsynsbegäran mail.docx", "A 4528-2022")</f>
        <v/>
      </c>
      <c r="Z143">
        <f>HYPERLINK("https://klasma.github.io/Logging_2283/fåglar/A 4528-2022 prioriterade fågelarter.docx", "A 4528-2022")</f>
        <v/>
      </c>
    </row>
    <row r="144" ht="15" customHeight="1">
      <c r="A144" t="inlineStr">
        <is>
          <t>A 16087-2022</t>
        </is>
      </c>
      <c r="B144" s="1" t="n">
        <v>44665</v>
      </c>
      <c r="C144" s="1" t="n">
        <v>45740</v>
      </c>
      <c r="D144" t="inlineStr">
        <is>
          <t>VÄSTERNORRLANDS LÄN</t>
        </is>
      </c>
      <c r="E144" t="inlineStr">
        <is>
          <t>SOLLEFTEÅ</t>
        </is>
      </c>
      <c r="F144" t="inlineStr">
        <is>
          <t>Holmen skog AB</t>
        </is>
      </c>
      <c r="G144" t="n">
        <v>7.5</v>
      </c>
      <c r="H144" t="n">
        <v>0</v>
      </c>
      <c r="I144" t="n">
        <v>1</v>
      </c>
      <c r="J144" t="n">
        <v>3</v>
      </c>
      <c r="K144" t="n">
        <v>2</v>
      </c>
      <c r="L144" t="n">
        <v>0</v>
      </c>
      <c r="M144" t="n">
        <v>0</v>
      </c>
      <c r="N144" t="n">
        <v>0</v>
      </c>
      <c r="O144" t="n">
        <v>5</v>
      </c>
      <c r="P144" t="n">
        <v>2</v>
      </c>
      <c r="Q144" t="n">
        <v>6</v>
      </c>
      <c r="R144" s="2" t="inlineStr">
        <is>
          <t>Bitter taggsvamp
Goliatmusseron
Blå taggsvamp
Orange taggsvamp
Skrovlig taggsvamp
Skarp dropptaggsvamp</t>
        </is>
      </c>
      <c r="S144">
        <f>HYPERLINK("https://klasma.github.io/Logging_2283/artfynd/A 16087-2022 artfynd.xlsx", "A 16087-2022")</f>
        <v/>
      </c>
      <c r="T144">
        <f>HYPERLINK("https://klasma.github.io/Logging_2283/kartor/A 16087-2022 karta.png", "A 16087-2022")</f>
        <v/>
      </c>
      <c r="V144">
        <f>HYPERLINK("https://klasma.github.io/Logging_2283/klagomål/A 16087-2022 FSC-klagomål.docx", "A 16087-2022")</f>
        <v/>
      </c>
      <c r="W144">
        <f>HYPERLINK("https://klasma.github.io/Logging_2283/klagomålsmail/A 16087-2022 FSC-klagomål mail.docx", "A 16087-2022")</f>
        <v/>
      </c>
      <c r="X144">
        <f>HYPERLINK("https://klasma.github.io/Logging_2283/tillsyn/A 16087-2022 tillsynsbegäran.docx", "A 16087-2022")</f>
        <v/>
      </c>
      <c r="Y144">
        <f>HYPERLINK("https://klasma.github.io/Logging_2283/tillsynsmail/A 16087-2022 tillsynsbegäran mail.docx", "A 16087-2022")</f>
        <v/>
      </c>
    </row>
    <row r="145" ht="15" customHeight="1">
      <c r="A145" t="inlineStr">
        <is>
          <t>A 24887-2022</t>
        </is>
      </c>
      <c r="B145" s="1" t="n">
        <v>44728</v>
      </c>
      <c r="C145" s="1" t="n">
        <v>45740</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26594-2022</t>
        </is>
      </c>
      <c r="B146" s="1" t="n">
        <v>44739</v>
      </c>
      <c r="C146" s="1" t="n">
        <v>45740</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61377-2022</t>
        </is>
      </c>
      <c r="B147" s="1" t="n">
        <v>44915</v>
      </c>
      <c r="C147" s="1" t="n">
        <v>45740</v>
      </c>
      <c r="D147" t="inlineStr">
        <is>
          <t>VÄSTERNORRLANDS LÄN</t>
        </is>
      </c>
      <c r="E147" t="inlineStr">
        <is>
          <t>SOLLEFTEÅ</t>
        </is>
      </c>
      <c r="G147" t="n">
        <v>10.5</v>
      </c>
      <c r="H147" t="n">
        <v>0</v>
      </c>
      <c r="I147" t="n">
        <v>1</v>
      </c>
      <c r="J147" t="n">
        <v>5</v>
      </c>
      <c r="K147" t="n">
        <v>0</v>
      </c>
      <c r="L147" t="n">
        <v>0</v>
      </c>
      <c r="M147" t="n">
        <v>0</v>
      </c>
      <c r="N147" t="n">
        <v>0</v>
      </c>
      <c r="O147" t="n">
        <v>5</v>
      </c>
      <c r="P147" t="n">
        <v>0</v>
      </c>
      <c r="Q147" t="n">
        <v>6</v>
      </c>
      <c r="R147" s="2" t="inlineStr">
        <is>
          <t>Gammelgransskål
Garnlav
Granticka
Lunglav
Stjärntagging
Spädstarr</t>
        </is>
      </c>
      <c r="S147">
        <f>HYPERLINK("https://klasma.github.io/Logging_2283/artfynd/A 61377-2022 artfynd.xlsx", "A 61377-2022")</f>
        <v/>
      </c>
      <c r="T147">
        <f>HYPERLINK("https://klasma.github.io/Logging_2283/kartor/A 61377-2022 karta.png", "A 61377-2022")</f>
        <v/>
      </c>
      <c r="V147">
        <f>HYPERLINK("https://klasma.github.io/Logging_2283/klagomål/A 61377-2022 FSC-klagomål.docx", "A 61377-2022")</f>
        <v/>
      </c>
      <c r="W147">
        <f>HYPERLINK("https://klasma.github.io/Logging_2283/klagomålsmail/A 61377-2022 FSC-klagomål mail.docx", "A 61377-2022")</f>
        <v/>
      </c>
      <c r="X147">
        <f>HYPERLINK("https://klasma.github.io/Logging_2283/tillsyn/A 61377-2022 tillsynsbegäran.docx", "A 61377-2022")</f>
        <v/>
      </c>
      <c r="Y147">
        <f>HYPERLINK("https://klasma.github.io/Logging_2283/tillsynsmail/A 61377-2022 tillsynsbegäran mail.docx", "A 61377-2022")</f>
        <v/>
      </c>
    </row>
    <row r="148" ht="15" customHeight="1">
      <c r="A148" t="inlineStr">
        <is>
          <t>A 14860-2023</t>
        </is>
      </c>
      <c r="B148" s="1" t="n">
        <v>45015</v>
      </c>
      <c r="C148" s="1" t="n">
        <v>45740</v>
      </c>
      <c r="D148" t="inlineStr">
        <is>
          <t>VÄSTERNORRLANDS LÄN</t>
        </is>
      </c>
      <c r="E148" t="inlineStr">
        <is>
          <t>SOLLEFTEÅ</t>
        </is>
      </c>
      <c r="F148" t="inlineStr">
        <is>
          <t>SCA</t>
        </is>
      </c>
      <c r="G148" t="n">
        <v>5.8</v>
      </c>
      <c r="H148" t="n">
        <v>1</v>
      </c>
      <c r="I148" t="n">
        <v>2</v>
      </c>
      <c r="J148" t="n">
        <v>3</v>
      </c>
      <c r="K148" t="n">
        <v>1</v>
      </c>
      <c r="L148" t="n">
        <v>0</v>
      </c>
      <c r="M148" t="n">
        <v>0</v>
      </c>
      <c r="N148" t="n">
        <v>0</v>
      </c>
      <c r="O148" t="n">
        <v>4</v>
      </c>
      <c r="P148" t="n">
        <v>1</v>
      </c>
      <c r="Q148" t="n">
        <v>6</v>
      </c>
      <c r="R148" s="2" t="inlineStr">
        <is>
          <t>Knärot
Granticka
Lunglav
Ullticka
Skinnlav
Stuplav</t>
        </is>
      </c>
      <c r="S148">
        <f>HYPERLINK("https://klasma.github.io/Logging_2283/artfynd/A 14860-2023 artfynd.xlsx", "A 14860-2023")</f>
        <v/>
      </c>
      <c r="T148">
        <f>HYPERLINK("https://klasma.github.io/Logging_2283/kartor/A 14860-2023 karta.png", "A 14860-2023")</f>
        <v/>
      </c>
      <c r="U148">
        <f>HYPERLINK("https://klasma.github.io/Logging_2283/knärot/A 14860-2023 karta knärot.png", "A 14860-2023")</f>
        <v/>
      </c>
      <c r="V148">
        <f>HYPERLINK("https://klasma.github.io/Logging_2283/klagomål/A 14860-2023 FSC-klagomål.docx", "A 14860-2023")</f>
        <v/>
      </c>
      <c r="W148">
        <f>HYPERLINK("https://klasma.github.io/Logging_2283/klagomålsmail/A 14860-2023 FSC-klagomål mail.docx", "A 14860-2023")</f>
        <v/>
      </c>
      <c r="X148">
        <f>HYPERLINK("https://klasma.github.io/Logging_2283/tillsyn/A 14860-2023 tillsynsbegäran.docx", "A 14860-2023")</f>
        <v/>
      </c>
      <c r="Y148">
        <f>HYPERLINK("https://klasma.github.io/Logging_2283/tillsynsmail/A 14860-2023 tillsynsbegäran mail.docx", "A 14860-2023")</f>
        <v/>
      </c>
    </row>
    <row r="149" ht="15" customHeight="1">
      <c r="A149" t="inlineStr">
        <is>
          <t>A 39198-2023</t>
        </is>
      </c>
      <c r="B149" s="1" t="n">
        <v>45166</v>
      </c>
      <c r="C149" s="1" t="n">
        <v>45740</v>
      </c>
      <c r="D149" t="inlineStr">
        <is>
          <t>VÄSTERNORRLANDS LÄN</t>
        </is>
      </c>
      <c r="E149" t="inlineStr">
        <is>
          <t>SOLLEFTEÅ</t>
        </is>
      </c>
      <c r="G149" t="n">
        <v>11</v>
      </c>
      <c r="H149" t="n">
        <v>0</v>
      </c>
      <c r="I149" t="n">
        <v>2</v>
      </c>
      <c r="J149" t="n">
        <v>4</v>
      </c>
      <c r="K149" t="n">
        <v>0</v>
      </c>
      <c r="L149" t="n">
        <v>0</v>
      </c>
      <c r="M149" t="n">
        <v>0</v>
      </c>
      <c r="N149" t="n">
        <v>0</v>
      </c>
      <c r="O149" t="n">
        <v>4</v>
      </c>
      <c r="P149" t="n">
        <v>0</v>
      </c>
      <c r="Q149" t="n">
        <v>6</v>
      </c>
      <c r="R149" s="2" t="inlineStr">
        <is>
          <t>Garnlav
Lunglav
Rosenticka
Ullticka
Stor aspticka
Vedticka</t>
        </is>
      </c>
      <c r="S149">
        <f>HYPERLINK("https://klasma.github.io/Logging_2283/artfynd/A 39198-2023 artfynd.xlsx", "A 39198-2023")</f>
        <v/>
      </c>
      <c r="T149">
        <f>HYPERLINK("https://klasma.github.io/Logging_2283/kartor/A 39198-2023 karta.png", "A 39198-2023")</f>
        <v/>
      </c>
      <c r="U149">
        <f>HYPERLINK("https://klasma.github.io/Logging_2283/knärot/A 39198-2023 karta knärot.png", "A 39198-2023")</f>
        <v/>
      </c>
      <c r="V149">
        <f>HYPERLINK("https://klasma.github.io/Logging_2283/klagomål/A 39198-2023 FSC-klagomål.docx", "A 39198-2023")</f>
        <v/>
      </c>
      <c r="W149">
        <f>HYPERLINK("https://klasma.github.io/Logging_2283/klagomålsmail/A 39198-2023 FSC-klagomål mail.docx", "A 39198-2023")</f>
        <v/>
      </c>
      <c r="X149">
        <f>HYPERLINK("https://klasma.github.io/Logging_2283/tillsyn/A 39198-2023 tillsynsbegäran.docx", "A 39198-2023")</f>
        <v/>
      </c>
      <c r="Y149">
        <f>HYPERLINK("https://klasma.github.io/Logging_2283/tillsynsmail/A 39198-2023 tillsynsbegäran mail.docx", "A 39198-2023")</f>
        <v/>
      </c>
    </row>
    <row r="150" ht="15" customHeight="1">
      <c r="A150" t="inlineStr">
        <is>
          <t>A 40420-2023</t>
        </is>
      </c>
      <c r="B150" s="1" t="n">
        <v>45169</v>
      </c>
      <c r="C150" s="1" t="n">
        <v>45740</v>
      </c>
      <c r="D150" t="inlineStr">
        <is>
          <t>VÄSTERNORRLANDS LÄN</t>
        </is>
      </c>
      <c r="E150" t="inlineStr">
        <is>
          <t>SOLLEFTEÅ</t>
        </is>
      </c>
      <c r="F150" t="inlineStr">
        <is>
          <t>SCA</t>
        </is>
      </c>
      <c r="G150" t="n">
        <v>10</v>
      </c>
      <c r="H150" t="n">
        <v>2</v>
      </c>
      <c r="I150" t="n">
        <v>0</v>
      </c>
      <c r="J150" t="n">
        <v>3</v>
      </c>
      <c r="K150" t="n">
        <v>2</v>
      </c>
      <c r="L150" t="n">
        <v>0</v>
      </c>
      <c r="M150" t="n">
        <v>0</v>
      </c>
      <c r="N150" t="n">
        <v>0</v>
      </c>
      <c r="O150" t="n">
        <v>5</v>
      </c>
      <c r="P150" t="n">
        <v>2</v>
      </c>
      <c r="Q150" t="n">
        <v>6</v>
      </c>
      <c r="R150" s="2" t="inlineStr">
        <is>
          <t>Knärot
Rynkskinn
Lunglav
Rosenticka
Ullticka
Tjäder</t>
        </is>
      </c>
      <c r="S150">
        <f>HYPERLINK("https://klasma.github.io/Logging_2283/artfynd/A 40420-2023 artfynd.xlsx", "A 40420-2023")</f>
        <v/>
      </c>
      <c r="T150">
        <f>HYPERLINK("https://klasma.github.io/Logging_2283/kartor/A 40420-2023 karta.png", "A 40420-2023")</f>
        <v/>
      </c>
      <c r="U150">
        <f>HYPERLINK("https://klasma.github.io/Logging_2283/knärot/A 40420-2023 karta knärot.png", "A 40420-2023")</f>
        <v/>
      </c>
      <c r="V150">
        <f>HYPERLINK("https://klasma.github.io/Logging_2283/klagomål/A 40420-2023 FSC-klagomål.docx", "A 40420-2023")</f>
        <v/>
      </c>
      <c r="W150">
        <f>HYPERLINK("https://klasma.github.io/Logging_2283/klagomålsmail/A 40420-2023 FSC-klagomål mail.docx", "A 40420-2023")</f>
        <v/>
      </c>
      <c r="X150">
        <f>HYPERLINK("https://klasma.github.io/Logging_2283/tillsyn/A 40420-2023 tillsynsbegäran.docx", "A 40420-2023")</f>
        <v/>
      </c>
      <c r="Y150">
        <f>HYPERLINK("https://klasma.github.io/Logging_2283/tillsynsmail/A 40420-2023 tillsynsbegäran mail.docx", "A 40420-2023")</f>
        <v/>
      </c>
      <c r="Z150">
        <f>HYPERLINK("https://klasma.github.io/Logging_2283/fåglar/A 40420-2023 prioriterade fågelarter.docx", "A 40420-2023")</f>
        <v/>
      </c>
    </row>
    <row r="151" ht="15" customHeight="1">
      <c r="A151" t="inlineStr">
        <is>
          <t>A 40417-2023</t>
        </is>
      </c>
      <c r="B151" s="1" t="n">
        <v>45169</v>
      </c>
      <c r="C151" s="1" t="n">
        <v>45740</v>
      </c>
      <c r="D151" t="inlineStr">
        <is>
          <t>VÄSTERNORRLANDS LÄN</t>
        </is>
      </c>
      <c r="E151" t="inlineStr">
        <is>
          <t>SOLLEFTEÅ</t>
        </is>
      </c>
      <c r="F151" t="inlineStr">
        <is>
          <t>SCA</t>
        </is>
      </c>
      <c r="G151" t="n">
        <v>10.6</v>
      </c>
      <c r="H151" t="n">
        <v>2</v>
      </c>
      <c r="I151" t="n">
        <v>0</v>
      </c>
      <c r="J151" t="n">
        <v>4</v>
      </c>
      <c r="K151" t="n">
        <v>1</v>
      </c>
      <c r="L151" t="n">
        <v>0</v>
      </c>
      <c r="M151" t="n">
        <v>0</v>
      </c>
      <c r="N151" t="n">
        <v>0</v>
      </c>
      <c r="O151" t="n">
        <v>5</v>
      </c>
      <c r="P151" t="n">
        <v>1</v>
      </c>
      <c r="Q151" t="n">
        <v>6</v>
      </c>
      <c r="R151" s="2" t="inlineStr">
        <is>
          <t>Knärot
Kolflarnlav
Lunglav
Motaggsvamp
Mörk kolflarnlav
Tjäder</t>
        </is>
      </c>
      <c r="S151">
        <f>HYPERLINK("https://klasma.github.io/Logging_2283/artfynd/A 40417-2023 artfynd.xlsx", "A 40417-2023")</f>
        <v/>
      </c>
      <c r="T151">
        <f>HYPERLINK("https://klasma.github.io/Logging_2283/kartor/A 40417-2023 karta.png", "A 40417-2023")</f>
        <v/>
      </c>
      <c r="U151">
        <f>HYPERLINK("https://klasma.github.io/Logging_2283/knärot/A 40417-2023 karta knärot.png", "A 40417-2023")</f>
        <v/>
      </c>
      <c r="V151">
        <f>HYPERLINK("https://klasma.github.io/Logging_2283/klagomål/A 40417-2023 FSC-klagomål.docx", "A 40417-2023")</f>
        <v/>
      </c>
      <c r="W151">
        <f>HYPERLINK("https://klasma.github.io/Logging_2283/klagomålsmail/A 40417-2023 FSC-klagomål mail.docx", "A 40417-2023")</f>
        <v/>
      </c>
      <c r="X151">
        <f>HYPERLINK("https://klasma.github.io/Logging_2283/tillsyn/A 40417-2023 tillsynsbegäran.docx", "A 40417-2023")</f>
        <v/>
      </c>
      <c r="Y151">
        <f>HYPERLINK("https://klasma.github.io/Logging_2283/tillsynsmail/A 40417-2023 tillsynsbegäran mail.docx", "A 40417-2023")</f>
        <v/>
      </c>
      <c r="Z151">
        <f>HYPERLINK("https://klasma.github.io/Logging_2283/fåglar/A 40417-2023 prioriterade fågelarter.docx", "A 40417-2023")</f>
        <v/>
      </c>
    </row>
    <row r="152" ht="15" customHeight="1">
      <c r="A152" t="inlineStr">
        <is>
          <t>A 2068-2024</t>
        </is>
      </c>
      <c r="B152" s="1" t="n">
        <v>45308</v>
      </c>
      <c r="C152" s="1" t="n">
        <v>45740</v>
      </c>
      <c r="D152" t="inlineStr">
        <is>
          <t>VÄSTERNORRLANDS LÄN</t>
        </is>
      </c>
      <c r="E152" t="inlineStr">
        <is>
          <t>SOLLEFTEÅ</t>
        </is>
      </c>
      <c r="F152" t="inlineStr">
        <is>
          <t>SCA</t>
        </is>
      </c>
      <c r="G152" t="n">
        <v>5.7</v>
      </c>
      <c r="H152" t="n">
        <v>1</v>
      </c>
      <c r="I152" t="n">
        <v>2</v>
      </c>
      <c r="J152" t="n">
        <v>4</v>
      </c>
      <c r="K152" t="n">
        <v>0</v>
      </c>
      <c r="L152" t="n">
        <v>0</v>
      </c>
      <c r="M152" t="n">
        <v>0</v>
      </c>
      <c r="N152" t="n">
        <v>0</v>
      </c>
      <c r="O152" t="n">
        <v>4</v>
      </c>
      <c r="P152" t="n">
        <v>0</v>
      </c>
      <c r="Q152" t="n">
        <v>6</v>
      </c>
      <c r="R152" s="2" t="inlineStr">
        <is>
          <t>Garnlav
Lunglav
Tretåig hackspett
Ullticka
Bollvitmossa
Bårdlav</t>
        </is>
      </c>
      <c r="S152">
        <f>HYPERLINK("https://klasma.github.io/Logging_2283/artfynd/A 2068-2024 artfynd.xlsx", "A 2068-2024")</f>
        <v/>
      </c>
      <c r="T152">
        <f>HYPERLINK("https://klasma.github.io/Logging_2283/kartor/A 2068-2024 karta.png", "A 2068-2024")</f>
        <v/>
      </c>
      <c r="V152">
        <f>HYPERLINK("https://klasma.github.io/Logging_2283/klagomål/A 2068-2024 FSC-klagomål.docx", "A 2068-2024")</f>
        <v/>
      </c>
      <c r="W152">
        <f>HYPERLINK("https://klasma.github.io/Logging_2283/klagomålsmail/A 2068-2024 FSC-klagomål mail.docx", "A 2068-2024")</f>
        <v/>
      </c>
      <c r="X152">
        <f>HYPERLINK("https://klasma.github.io/Logging_2283/tillsyn/A 2068-2024 tillsynsbegäran.docx", "A 2068-2024")</f>
        <v/>
      </c>
      <c r="Y152">
        <f>HYPERLINK("https://klasma.github.io/Logging_2283/tillsynsmail/A 2068-2024 tillsynsbegäran mail.docx", "A 2068-2024")</f>
        <v/>
      </c>
      <c r="Z152">
        <f>HYPERLINK("https://klasma.github.io/Logging_2283/fåglar/A 2068-2024 prioriterade fågelarter.docx", "A 2068-2024")</f>
        <v/>
      </c>
    </row>
    <row r="153" ht="15" customHeight="1">
      <c r="A153" t="inlineStr">
        <is>
          <t>A 7114-2024</t>
        </is>
      </c>
      <c r="B153" s="1" t="n">
        <v>45343</v>
      </c>
      <c r="C153" s="1" t="n">
        <v>45740</v>
      </c>
      <c r="D153" t="inlineStr">
        <is>
          <t>VÄSTERNORRLANDS LÄN</t>
        </is>
      </c>
      <c r="E153" t="inlineStr">
        <is>
          <t>SOLLEFTEÅ</t>
        </is>
      </c>
      <c r="F153" t="inlineStr">
        <is>
          <t>SCA</t>
        </is>
      </c>
      <c r="G153" t="n">
        <v>2.9</v>
      </c>
      <c r="H153" t="n">
        <v>3</v>
      </c>
      <c r="I153" t="n">
        <v>0</v>
      </c>
      <c r="J153" t="n">
        <v>6</v>
      </c>
      <c r="K153" t="n">
        <v>0</v>
      </c>
      <c r="L153" t="n">
        <v>0</v>
      </c>
      <c r="M153" t="n">
        <v>0</v>
      </c>
      <c r="N153" t="n">
        <v>0</v>
      </c>
      <c r="O153" t="n">
        <v>6</v>
      </c>
      <c r="P153" t="n">
        <v>0</v>
      </c>
      <c r="Q153" t="n">
        <v>6</v>
      </c>
      <c r="R153" s="2" t="inlineStr">
        <is>
          <t>Garnlav
Järpe
Rosenticka
Spillkråka
Tretåig hackspett
Ullticka</t>
        </is>
      </c>
      <c r="S153">
        <f>HYPERLINK("https://klasma.github.io/Logging_2283/artfynd/A 7114-2024 artfynd.xlsx", "A 7114-2024")</f>
        <v/>
      </c>
      <c r="T153">
        <f>HYPERLINK("https://klasma.github.io/Logging_2283/kartor/A 7114-2024 karta.png", "A 7114-2024")</f>
        <v/>
      </c>
      <c r="V153">
        <f>HYPERLINK("https://klasma.github.io/Logging_2283/klagomål/A 7114-2024 FSC-klagomål.docx", "A 7114-2024")</f>
        <v/>
      </c>
      <c r="W153">
        <f>HYPERLINK("https://klasma.github.io/Logging_2283/klagomålsmail/A 7114-2024 FSC-klagomål mail.docx", "A 7114-2024")</f>
        <v/>
      </c>
      <c r="X153">
        <f>HYPERLINK("https://klasma.github.io/Logging_2283/tillsyn/A 7114-2024 tillsynsbegäran.docx", "A 7114-2024")</f>
        <v/>
      </c>
      <c r="Y153">
        <f>HYPERLINK("https://klasma.github.io/Logging_2283/tillsynsmail/A 7114-2024 tillsynsbegäran mail.docx", "A 7114-2024")</f>
        <v/>
      </c>
      <c r="Z153">
        <f>HYPERLINK("https://klasma.github.io/Logging_2283/fåglar/A 7114-2024 prioriterade fågelarter.docx", "A 7114-2024")</f>
        <v/>
      </c>
    </row>
    <row r="154" ht="15" customHeight="1">
      <c r="A154" t="inlineStr">
        <is>
          <t>A 11552-2024</t>
        </is>
      </c>
      <c r="B154" s="1" t="n">
        <v>45372</v>
      </c>
      <c r="C154" s="1" t="n">
        <v>45740</v>
      </c>
      <c r="D154" t="inlineStr">
        <is>
          <t>VÄSTERNORRLANDS LÄN</t>
        </is>
      </c>
      <c r="E154" t="inlineStr">
        <is>
          <t>SOLLEFTEÅ</t>
        </is>
      </c>
      <c r="F154" t="inlineStr">
        <is>
          <t>SCA</t>
        </is>
      </c>
      <c r="G154" t="n">
        <v>2.5</v>
      </c>
      <c r="H154" t="n">
        <v>1</v>
      </c>
      <c r="I154" t="n">
        <v>0</v>
      </c>
      <c r="J154" t="n">
        <v>6</v>
      </c>
      <c r="K154" t="n">
        <v>0</v>
      </c>
      <c r="L154" t="n">
        <v>0</v>
      </c>
      <c r="M154" t="n">
        <v>0</v>
      </c>
      <c r="N154" t="n">
        <v>0</v>
      </c>
      <c r="O154" t="n">
        <v>6</v>
      </c>
      <c r="P154" t="n">
        <v>0</v>
      </c>
      <c r="Q154" t="n">
        <v>6</v>
      </c>
      <c r="R154" s="2" t="inlineStr">
        <is>
          <t>Garnlav
Lunglav
Rosenticka
Tallticka
Tretåig hackspett
Ullticka</t>
        </is>
      </c>
      <c r="S154">
        <f>HYPERLINK("https://klasma.github.io/Logging_2283/artfynd/A 11552-2024 artfynd.xlsx", "A 11552-2024")</f>
        <v/>
      </c>
      <c r="T154">
        <f>HYPERLINK("https://klasma.github.io/Logging_2283/kartor/A 11552-2024 karta.png", "A 11552-2024")</f>
        <v/>
      </c>
      <c r="V154">
        <f>HYPERLINK("https://klasma.github.io/Logging_2283/klagomål/A 11552-2024 FSC-klagomål.docx", "A 11552-2024")</f>
        <v/>
      </c>
      <c r="W154">
        <f>HYPERLINK("https://klasma.github.io/Logging_2283/klagomålsmail/A 11552-2024 FSC-klagomål mail.docx", "A 11552-2024")</f>
        <v/>
      </c>
      <c r="X154">
        <f>HYPERLINK("https://klasma.github.io/Logging_2283/tillsyn/A 11552-2024 tillsynsbegäran.docx", "A 11552-2024")</f>
        <v/>
      </c>
      <c r="Y154">
        <f>HYPERLINK("https://klasma.github.io/Logging_2283/tillsynsmail/A 11552-2024 tillsynsbegäran mail.docx", "A 11552-2024")</f>
        <v/>
      </c>
      <c r="Z154">
        <f>HYPERLINK("https://klasma.github.io/Logging_2283/fåglar/A 11552-2024 prioriterade fågelarter.docx", "A 11552-2024")</f>
        <v/>
      </c>
    </row>
    <row r="155" ht="15" customHeight="1">
      <c r="A155" t="inlineStr">
        <is>
          <t>A 29250-2024</t>
        </is>
      </c>
      <c r="B155" s="1" t="n">
        <v>45482</v>
      </c>
      <c r="C155" s="1" t="n">
        <v>45740</v>
      </c>
      <c r="D155" t="inlineStr">
        <is>
          <t>VÄSTERNORRLANDS LÄN</t>
        </is>
      </c>
      <c r="E155" t="inlineStr">
        <is>
          <t>SOLLEFTEÅ</t>
        </is>
      </c>
      <c r="F155" t="inlineStr">
        <is>
          <t>SCA</t>
        </is>
      </c>
      <c r="G155" t="n">
        <v>14.4</v>
      </c>
      <c r="H155" t="n">
        <v>4</v>
      </c>
      <c r="I155" t="n">
        <v>1</v>
      </c>
      <c r="J155" t="n">
        <v>4</v>
      </c>
      <c r="K155" t="n">
        <v>1</v>
      </c>
      <c r="L155" t="n">
        <v>0</v>
      </c>
      <c r="M155" t="n">
        <v>0</v>
      </c>
      <c r="N155" t="n">
        <v>0</v>
      </c>
      <c r="O155" t="n">
        <v>5</v>
      </c>
      <c r="P155" t="n">
        <v>1</v>
      </c>
      <c r="Q155" t="n">
        <v>6</v>
      </c>
      <c r="R155" s="2" t="inlineStr">
        <is>
          <t>Knärot
Granticka
Harticka
Järpe
Tretåig hackspett
Lappranunkel</t>
        </is>
      </c>
      <c r="S155">
        <f>HYPERLINK("https://klasma.github.io/Logging_2283/artfynd/A 29250-2024 artfynd.xlsx", "A 29250-2024")</f>
        <v/>
      </c>
      <c r="T155">
        <f>HYPERLINK("https://klasma.github.io/Logging_2283/kartor/A 29250-2024 karta.png", "A 29250-2024")</f>
        <v/>
      </c>
      <c r="U155">
        <f>HYPERLINK("https://klasma.github.io/Logging_2283/knärot/A 29250-2024 karta knärot.png", "A 29250-2024")</f>
        <v/>
      </c>
      <c r="V155">
        <f>HYPERLINK("https://klasma.github.io/Logging_2283/klagomål/A 29250-2024 FSC-klagomål.docx", "A 29250-2024")</f>
        <v/>
      </c>
      <c r="W155">
        <f>HYPERLINK("https://klasma.github.io/Logging_2283/klagomålsmail/A 29250-2024 FSC-klagomål mail.docx", "A 29250-2024")</f>
        <v/>
      </c>
      <c r="X155">
        <f>HYPERLINK("https://klasma.github.io/Logging_2283/tillsyn/A 29250-2024 tillsynsbegäran.docx", "A 29250-2024")</f>
        <v/>
      </c>
      <c r="Y155">
        <f>HYPERLINK("https://klasma.github.io/Logging_2283/tillsynsmail/A 29250-2024 tillsynsbegäran mail.docx", "A 29250-2024")</f>
        <v/>
      </c>
      <c r="Z155">
        <f>HYPERLINK("https://klasma.github.io/Logging_2283/fåglar/A 29250-2024 prioriterade fågelarter.docx", "A 29250-2024")</f>
        <v/>
      </c>
    </row>
    <row r="156" ht="15" customHeight="1">
      <c r="A156" t="inlineStr">
        <is>
          <t>A 31885-2024</t>
        </is>
      </c>
      <c r="B156" s="1" t="n">
        <v>45510</v>
      </c>
      <c r="C156" s="1" t="n">
        <v>45740</v>
      </c>
      <c r="D156" t="inlineStr">
        <is>
          <t>VÄSTERNORRLANDS LÄN</t>
        </is>
      </c>
      <c r="E156" t="inlineStr">
        <is>
          <t>SOLLEFTEÅ</t>
        </is>
      </c>
      <c r="F156" t="inlineStr">
        <is>
          <t>SCA</t>
        </is>
      </c>
      <c r="G156" t="n">
        <v>4.1</v>
      </c>
      <c r="H156" t="n">
        <v>3</v>
      </c>
      <c r="I156" t="n">
        <v>1</v>
      </c>
      <c r="J156" t="n">
        <v>4</v>
      </c>
      <c r="K156" t="n">
        <v>1</v>
      </c>
      <c r="L156" t="n">
        <v>0</v>
      </c>
      <c r="M156" t="n">
        <v>0</v>
      </c>
      <c r="N156" t="n">
        <v>0</v>
      </c>
      <c r="O156" t="n">
        <v>5</v>
      </c>
      <c r="P156" t="n">
        <v>1</v>
      </c>
      <c r="Q156" t="n">
        <v>6</v>
      </c>
      <c r="R156" s="2" t="inlineStr">
        <is>
          <t>Knärot
Garnlav
Lunglav
Spillkråka
Talltita
Luddlav</t>
        </is>
      </c>
      <c r="S156">
        <f>HYPERLINK("https://klasma.github.io/Logging_2283/artfynd/A 31885-2024 artfynd.xlsx", "A 31885-2024")</f>
        <v/>
      </c>
      <c r="T156">
        <f>HYPERLINK("https://klasma.github.io/Logging_2283/kartor/A 31885-2024 karta.png", "A 31885-2024")</f>
        <v/>
      </c>
      <c r="U156">
        <f>HYPERLINK("https://klasma.github.io/Logging_2283/knärot/A 31885-2024 karta knärot.png", "A 31885-2024")</f>
        <v/>
      </c>
      <c r="V156">
        <f>HYPERLINK("https://klasma.github.io/Logging_2283/klagomål/A 31885-2024 FSC-klagomål.docx", "A 31885-2024")</f>
        <v/>
      </c>
      <c r="W156">
        <f>HYPERLINK("https://klasma.github.io/Logging_2283/klagomålsmail/A 31885-2024 FSC-klagomål mail.docx", "A 31885-2024")</f>
        <v/>
      </c>
      <c r="X156">
        <f>HYPERLINK("https://klasma.github.io/Logging_2283/tillsyn/A 31885-2024 tillsynsbegäran.docx", "A 31885-2024")</f>
        <v/>
      </c>
      <c r="Y156">
        <f>HYPERLINK("https://klasma.github.io/Logging_2283/tillsynsmail/A 31885-2024 tillsynsbegäran mail.docx", "A 31885-2024")</f>
        <v/>
      </c>
      <c r="Z156">
        <f>HYPERLINK("https://klasma.github.io/Logging_2283/fåglar/A 31885-2024 prioriterade fågelarter.docx", "A 31885-2024")</f>
        <v/>
      </c>
    </row>
    <row r="157" ht="15" customHeight="1">
      <c r="A157" t="inlineStr">
        <is>
          <t>A 32448-2024</t>
        </is>
      </c>
      <c r="B157" s="1" t="n">
        <v>45512</v>
      </c>
      <c r="C157" s="1" t="n">
        <v>45740</v>
      </c>
      <c r="D157" t="inlineStr">
        <is>
          <t>VÄSTERNORRLANDS LÄN</t>
        </is>
      </c>
      <c r="E157" t="inlineStr">
        <is>
          <t>SOLLEFTEÅ</t>
        </is>
      </c>
      <c r="F157" t="inlineStr">
        <is>
          <t>SCA</t>
        </is>
      </c>
      <c r="G157" t="n">
        <v>6</v>
      </c>
      <c r="H157" t="n">
        <v>1</v>
      </c>
      <c r="I157" t="n">
        <v>1</v>
      </c>
      <c r="J157" t="n">
        <v>3</v>
      </c>
      <c r="K157" t="n">
        <v>1</v>
      </c>
      <c r="L157" t="n">
        <v>0</v>
      </c>
      <c r="M157" t="n">
        <v>0</v>
      </c>
      <c r="N157" t="n">
        <v>0</v>
      </c>
      <c r="O157" t="n">
        <v>4</v>
      </c>
      <c r="P157" t="n">
        <v>1</v>
      </c>
      <c r="Q157" t="n">
        <v>6</v>
      </c>
      <c r="R157" s="2" t="inlineStr">
        <is>
          <t>Rynkskinn
Garnlav
Rosenticka
Ullticka
Vedticka
Revlummer</t>
        </is>
      </c>
      <c r="S157">
        <f>HYPERLINK("https://klasma.github.io/Logging_2283/artfynd/A 32448-2024 artfynd.xlsx", "A 32448-2024")</f>
        <v/>
      </c>
      <c r="T157">
        <f>HYPERLINK("https://klasma.github.io/Logging_2283/kartor/A 32448-2024 karta.png", "A 32448-2024")</f>
        <v/>
      </c>
      <c r="V157">
        <f>HYPERLINK("https://klasma.github.io/Logging_2283/klagomål/A 32448-2024 FSC-klagomål.docx", "A 32448-2024")</f>
        <v/>
      </c>
      <c r="W157">
        <f>HYPERLINK("https://klasma.github.io/Logging_2283/klagomålsmail/A 32448-2024 FSC-klagomål mail.docx", "A 32448-2024")</f>
        <v/>
      </c>
      <c r="X157">
        <f>HYPERLINK("https://klasma.github.io/Logging_2283/tillsyn/A 32448-2024 tillsynsbegäran.docx", "A 32448-2024")</f>
        <v/>
      </c>
      <c r="Y157">
        <f>HYPERLINK("https://klasma.github.io/Logging_2283/tillsynsmail/A 32448-2024 tillsynsbegäran mail.docx", "A 32448-2024")</f>
        <v/>
      </c>
    </row>
    <row r="158" ht="15" customHeight="1">
      <c r="A158" t="inlineStr">
        <is>
          <t>A 35406-2024</t>
        </is>
      </c>
      <c r="B158" s="1" t="n">
        <v>45531</v>
      </c>
      <c r="C158" s="1" t="n">
        <v>45740</v>
      </c>
      <c r="D158" t="inlineStr">
        <is>
          <t>VÄSTERNORRLANDS LÄN</t>
        </is>
      </c>
      <c r="E158" t="inlineStr">
        <is>
          <t>SOLLEFTEÅ</t>
        </is>
      </c>
      <c r="F158" t="inlineStr">
        <is>
          <t>SCA</t>
        </is>
      </c>
      <c r="G158" t="n">
        <v>3.5</v>
      </c>
      <c r="H158" t="n">
        <v>0</v>
      </c>
      <c r="I158" t="n">
        <v>2</v>
      </c>
      <c r="J158" t="n">
        <v>4</v>
      </c>
      <c r="K158" t="n">
        <v>0</v>
      </c>
      <c r="L158" t="n">
        <v>0</v>
      </c>
      <c r="M158" t="n">
        <v>0</v>
      </c>
      <c r="N158" t="n">
        <v>0</v>
      </c>
      <c r="O158" t="n">
        <v>4</v>
      </c>
      <c r="P158" t="n">
        <v>0</v>
      </c>
      <c r="Q158" t="n">
        <v>6</v>
      </c>
      <c r="R158" s="2" t="inlineStr">
        <is>
          <t>Blå taggsvamp
Kolflarnlav
Orange taggsvamp
Skrovlig taggsvamp
Dropptaggsvamp
Skarp dropptaggsvamp</t>
        </is>
      </c>
      <c r="S158">
        <f>HYPERLINK("https://klasma.github.io/Logging_2283/artfynd/A 35406-2024 artfynd.xlsx", "A 35406-2024")</f>
        <v/>
      </c>
      <c r="T158">
        <f>HYPERLINK("https://klasma.github.io/Logging_2283/kartor/A 35406-2024 karta.png", "A 35406-2024")</f>
        <v/>
      </c>
      <c r="V158">
        <f>HYPERLINK("https://klasma.github.io/Logging_2283/klagomål/A 35406-2024 FSC-klagomål.docx", "A 35406-2024")</f>
        <v/>
      </c>
      <c r="W158">
        <f>HYPERLINK("https://klasma.github.io/Logging_2283/klagomålsmail/A 35406-2024 FSC-klagomål mail.docx", "A 35406-2024")</f>
        <v/>
      </c>
      <c r="X158">
        <f>HYPERLINK("https://klasma.github.io/Logging_2283/tillsyn/A 35406-2024 tillsynsbegäran.docx", "A 35406-2024")</f>
        <v/>
      </c>
      <c r="Y158">
        <f>HYPERLINK("https://klasma.github.io/Logging_2283/tillsynsmail/A 35406-2024 tillsynsbegäran mail.docx", "A 35406-2024")</f>
        <v/>
      </c>
    </row>
    <row r="159" ht="15" customHeight="1">
      <c r="A159" t="inlineStr">
        <is>
          <t>A 36470-2024</t>
        </is>
      </c>
      <c r="B159" s="1" t="n">
        <v>45537</v>
      </c>
      <c r="C159" s="1" t="n">
        <v>45740</v>
      </c>
      <c r="D159" t="inlineStr">
        <is>
          <t>VÄSTERNORRLANDS LÄN</t>
        </is>
      </c>
      <c r="E159" t="inlineStr">
        <is>
          <t>SOLLEFTEÅ</t>
        </is>
      </c>
      <c r="F159" t="inlineStr">
        <is>
          <t>SCA</t>
        </is>
      </c>
      <c r="G159" t="n">
        <v>10.3</v>
      </c>
      <c r="H159" t="n">
        <v>3</v>
      </c>
      <c r="I159" t="n">
        <v>0</v>
      </c>
      <c r="J159" t="n">
        <v>6</v>
      </c>
      <c r="K159" t="n">
        <v>0</v>
      </c>
      <c r="L159" t="n">
        <v>0</v>
      </c>
      <c r="M159" t="n">
        <v>0</v>
      </c>
      <c r="N159" t="n">
        <v>0</v>
      </c>
      <c r="O159" t="n">
        <v>6</v>
      </c>
      <c r="P159" t="n">
        <v>0</v>
      </c>
      <c r="Q159" t="n">
        <v>6</v>
      </c>
      <c r="R159" s="2" t="inlineStr">
        <is>
          <t>Gammelgransskål
Granticka
Harticka
Spillkråka
Talltita
Tretåig hackspett</t>
        </is>
      </c>
      <c r="S159">
        <f>HYPERLINK("https://klasma.github.io/Logging_2283/artfynd/A 36470-2024 artfynd.xlsx", "A 36470-2024")</f>
        <v/>
      </c>
      <c r="T159">
        <f>HYPERLINK("https://klasma.github.io/Logging_2283/kartor/A 36470-2024 karta.png", "A 36470-2024")</f>
        <v/>
      </c>
      <c r="V159">
        <f>HYPERLINK("https://klasma.github.io/Logging_2283/klagomål/A 36470-2024 FSC-klagomål.docx", "A 36470-2024")</f>
        <v/>
      </c>
      <c r="W159">
        <f>HYPERLINK("https://klasma.github.io/Logging_2283/klagomålsmail/A 36470-2024 FSC-klagomål mail.docx", "A 36470-2024")</f>
        <v/>
      </c>
      <c r="X159">
        <f>HYPERLINK("https://klasma.github.io/Logging_2283/tillsyn/A 36470-2024 tillsynsbegäran.docx", "A 36470-2024")</f>
        <v/>
      </c>
      <c r="Y159">
        <f>HYPERLINK("https://klasma.github.io/Logging_2283/tillsynsmail/A 36470-2024 tillsynsbegäran mail.docx", "A 36470-2024")</f>
        <v/>
      </c>
      <c r="Z159">
        <f>HYPERLINK("https://klasma.github.io/Logging_2283/fåglar/A 36470-2024 prioriterade fågelarter.docx", "A 36470-2024")</f>
        <v/>
      </c>
    </row>
    <row r="160" ht="15" customHeight="1">
      <c r="A160" t="inlineStr">
        <is>
          <t>A 40094-2024</t>
        </is>
      </c>
      <c r="B160" s="1" t="n">
        <v>45554</v>
      </c>
      <c r="C160" s="1" t="n">
        <v>45740</v>
      </c>
      <c r="D160" t="inlineStr">
        <is>
          <t>VÄSTERNORRLANDS LÄN</t>
        </is>
      </c>
      <c r="E160" t="inlineStr">
        <is>
          <t>SOLLEFTEÅ</t>
        </is>
      </c>
      <c r="F160" t="inlineStr">
        <is>
          <t>SCA</t>
        </is>
      </c>
      <c r="G160" t="n">
        <v>7.9</v>
      </c>
      <c r="H160" t="n">
        <v>2</v>
      </c>
      <c r="I160" t="n">
        <v>0</v>
      </c>
      <c r="J160" t="n">
        <v>6</v>
      </c>
      <c r="K160" t="n">
        <v>0</v>
      </c>
      <c r="L160" t="n">
        <v>0</v>
      </c>
      <c r="M160" t="n">
        <v>0</v>
      </c>
      <c r="N160" t="n">
        <v>0</v>
      </c>
      <c r="O160" t="n">
        <v>6</v>
      </c>
      <c r="P160" t="n">
        <v>0</v>
      </c>
      <c r="Q160" t="n">
        <v>6</v>
      </c>
      <c r="R160" s="2" t="inlineStr">
        <is>
          <t>Granticka
Lunglav
Skogshare
Skrovellav
Talltita
Tretåig hackspett</t>
        </is>
      </c>
      <c r="S160">
        <f>HYPERLINK("https://klasma.github.io/Logging_2283/artfynd/A 40094-2024 artfynd.xlsx", "A 40094-2024")</f>
        <v/>
      </c>
      <c r="T160">
        <f>HYPERLINK("https://klasma.github.io/Logging_2283/kartor/A 40094-2024 karta.png", "A 40094-2024")</f>
        <v/>
      </c>
      <c r="V160">
        <f>HYPERLINK("https://klasma.github.io/Logging_2283/klagomål/A 40094-2024 FSC-klagomål.docx", "A 40094-2024")</f>
        <v/>
      </c>
      <c r="W160">
        <f>HYPERLINK("https://klasma.github.io/Logging_2283/klagomålsmail/A 40094-2024 FSC-klagomål mail.docx", "A 40094-2024")</f>
        <v/>
      </c>
      <c r="X160">
        <f>HYPERLINK("https://klasma.github.io/Logging_2283/tillsyn/A 40094-2024 tillsynsbegäran.docx", "A 40094-2024")</f>
        <v/>
      </c>
      <c r="Y160">
        <f>HYPERLINK("https://klasma.github.io/Logging_2283/tillsynsmail/A 40094-2024 tillsynsbegäran mail.docx", "A 40094-2024")</f>
        <v/>
      </c>
      <c r="Z160">
        <f>HYPERLINK("https://klasma.github.io/Logging_2283/fåglar/A 40094-2024 prioriterade fågelarter.docx", "A 40094-2024")</f>
        <v/>
      </c>
    </row>
    <row r="161" ht="15" customHeight="1">
      <c r="A161" t="inlineStr">
        <is>
          <t>A 41788-2024</t>
        </is>
      </c>
      <c r="B161" s="1" t="n">
        <v>45561</v>
      </c>
      <c r="C161" s="1" t="n">
        <v>45740</v>
      </c>
      <c r="D161" t="inlineStr">
        <is>
          <t>VÄSTERNORRLANDS LÄN</t>
        </is>
      </c>
      <c r="E161" t="inlineStr">
        <is>
          <t>SOLLEFTEÅ</t>
        </is>
      </c>
      <c r="F161" t="inlineStr">
        <is>
          <t>SCA</t>
        </is>
      </c>
      <c r="G161" t="n">
        <v>4.1</v>
      </c>
      <c r="H161" t="n">
        <v>3</v>
      </c>
      <c r="I161" t="n">
        <v>1</v>
      </c>
      <c r="J161" t="n">
        <v>4</v>
      </c>
      <c r="K161" t="n">
        <v>1</v>
      </c>
      <c r="L161" t="n">
        <v>0</v>
      </c>
      <c r="M161" t="n">
        <v>0</v>
      </c>
      <c r="N161" t="n">
        <v>0</v>
      </c>
      <c r="O161" t="n">
        <v>5</v>
      </c>
      <c r="P161" t="n">
        <v>1</v>
      </c>
      <c r="Q161" t="n">
        <v>6</v>
      </c>
      <c r="R161" s="2" t="inlineStr">
        <is>
          <t>Knärot
Garnlav
Lunglav
Spillkråka
Talltita
Luddlav</t>
        </is>
      </c>
      <c r="S161">
        <f>HYPERLINK("https://klasma.github.io/Logging_2283/artfynd/A 41788-2024 artfynd.xlsx", "A 41788-2024")</f>
        <v/>
      </c>
      <c r="T161">
        <f>HYPERLINK("https://klasma.github.io/Logging_2283/kartor/A 41788-2024 karta.png", "A 41788-2024")</f>
        <v/>
      </c>
      <c r="U161">
        <f>HYPERLINK("https://klasma.github.io/Logging_2283/knärot/A 41788-2024 karta knärot.png", "A 41788-2024")</f>
        <v/>
      </c>
      <c r="V161">
        <f>HYPERLINK("https://klasma.github.io/Logging_2283/klagomål/A 41788-2024 FSC-klagomål.docx", "A 41788-2024")</f>
        <v/>
      </c>
      <c r="W161">
        <f>HYPERLINK("https://klasma.github.io/Logging_2283/klagomålsmail/A 41788-2024 FSC-klagomål mail.docx", "A 41788-2024")</f>
        <v/>
      </c>
      <c r="X161">
        <f>HYPERLINK("https://klasma.github.io/Logging_2283/tillsyn/A 41788-2024 tillsynsbegäran.docx", "A 41788-2024")</f>
        <v/>
      </c>
      <c r="Y161">
        <f>HYPERLINK("https://klasma.github.io/Logging_2283/tillsynsmail/A 41788-2024 tillsynsbegäran mail.docx", "A 41788-2024")</f>
        <v/>
      </c>
      <c r="Z161">
        <f>HYPERLINK("https://klasma.github.io/Logging_2283/fåglar/A 41788-2024 prioriterade fågelarter.docx", "A 41788-2024")</f>
        <v/>
      </c>
    </row>
    <row r="162" ht="15" customHeight="1">
      <c r="A162" t="inlineStr">
        <is>
          <t>A 52357-2024</t>
        </is>
      </c>
      <c r="B162" s="1" t="n">
        <v>45609</v>
      </c>
      <c r="C162" s="1" t="n">
        <v>45740</v>
      </c>
      <c r="D162" t="inlineStr">
        <is>
          <t>VÄSTERNORRLANDS LÄN</t>
        </is>
      </c>
      <c r="E162" t="inlineStr">
        <is>
          <t>SOLLEFTEÅ</t>
        </is>
      </c>
      <c r="F162" t="inlineStr">
        <is>
          <t>SCA</t>
        </is>
      </c>
      <c r="G162" t="n">
        <v>9</v>
      </c>
      <c r="H162" t="n">
        <v>0</v>
      </c>
      <c r="I162" t="n">
        <v>3</v>
      </c>
      <c r="J162" t="n">
        <v>2</v>
      </c>
      <c r="K162" t="n">
        <v>1</v>
      </c>
      <c r="L162" t="n">
        <v>0</v>
      </c>
      <c r="M162" t="n">
        <v>0</v>
      </c>
      <c r="N162" t="n">
        <v>0</v>
      </c>
      <c r="O162" t="n">
        <v>3</v>
      </c>
      <c r="P162" t="n">
        <v>1</v>
      </c>
      <c r="Q162" t="n">
        <v>6</v>
      </c>
      <c r="R162" s="2" t="inlineStr">
        <is>
          <t>Rynkskinn
Garnlav
Lunglav
Bårdlav
Mörk husmossa
Stuplav</t>
        </is>
      </c>
      <c r="S162">
        <f>HYPERLINK("https://klasma.github.io/Logging_2283/artfynd/A 52357-2024 artfynd.xlsx", "A 52357-2024")</f>
        <v/>
      </c>
      <c r="T162">
        <f>HYPERLINK("https://klasma.github.io/Logging_2283/kartor/A 52357-2024 karta.png", "A 52357-2024")</f>
        <v/>
      </c>
      <c r="V162">
        <f>HYPERLINK("https://klasma.github.io/Logging_2283/klagomål/A 52357-2024 FSC-klagomål.docx", "A 52357-2024")</f>
        <v/>
      </c>
      <c r="W162">
        <f>HYPERLINK("https://klasma.github.io/Logging_2283/klagomålsmail/A 52357-2024 FSC-klagomål mail.docx", "A 52357-2024")</f>
        <v/>
      </c>
      <c r="X162">
        <f>HYPERLINK("https://klasma.github.io/Logging_2283/tillsyn/A 52357-2024 tillsynsbegäran.docx", "A 52357-2024")</f>
        <v/>
      </c>
      <c r="Y162">
        <f>HYPERLINK("https://klasma.github.io/Logging_2283/tillsynsmail/A 52357-2024 tillsynsbegäran mail.docx", "A 52357-2024")</f>
        <v/>
      </c>
    </row>
    <row r="163" ht="15" customHeight="1">
      <c r="A163" t="inlineStr">
        <is>
          <t>A 53829-2024</t>
        </is>
      </c>
      <c r="B163" s="1" t="n">
        <v>45615</v>
      </c>
      <c r="C163" s="1" t="n">
        <v>45740</v>
      </c>
      <c r="D163" t="inlineStr">
        <is>
          <t>VÄSTERNORRLANDS LÄN</t>
        </is>
      </c>
      <c r="E163" t="inlineStr">
        <is>
          <t>SOLLEFTEÅ</t>
        </is>
      </c>
      <c r="F163" t="inlineStr">
        <is>
          <t>SCA</t>
        </is>
      </c>
      <c r="G163" t="n">
        <v>12</v>
      </c>
      <c r="H163" t="n">
        <v>0</v>
      </c>
      <c r="I163" t="n">
        <v>1</v>
      </c>
      <c r="J163" t="n">
        <v>5</v>
      </c>
      <c r="K163" t="n">
        <v>0</v>
      </c>
      <c r="L163" t="n">
        <v>0</v>
      </c>
      <c r="M163" t="n">
        <v>0</v>
      </c>
      <c r="N163" t="n">
        <v>0</v>
      </c>
      <c r="O163" t="n">
        <v>5</v>
      </c>
      <c r="P163" t="n">
        <v>0</v>
      </c>
      <c r="Q163" t="n">
        <v>6</v>
      </c>
      <c r="R163" s="2" t="inlineStr">
        <is>
          <t>Blå taggsvamp
Granticka
Lunglav
Orange taggsvamp
Tallticka
Dropptaggsvamp</t>
        </is>
      </c>
      <c r="S163">
        <f>HYPERLINK("https://klasma.github.io/Logging_2283/artfynd/A 53829-2024 artfynd.xlsx", "A 53829-2024")</f>
        <v/>
      </c>
      <c r="T163">
        <f>HYPERLINK("https://klasma.github.io/Logging_2283/kartor/A 53829-2024 karta.png", "A 53829-2024")</f>
        <v/>
      </c>
      <c r="V163">
        <f>HYPERLINK("https://klasma.github.io/Logging_2283/klagomål/A 53829-2024 FSC-klagomål.docx", "A 53829-2024")</f>
        <v/>
      </c>
      <c r="W163">
        <f>HYPERLINK("https://klasma.github.io/Logging_2283/klagomålsmail/A 53829-2024 FSC-klagomål mail.docx", "A 53829-2024")</f>
        <v/>
      </c>
      <c r="X163">
        <f>HYPERLINK("https://klasma.github.io/Logging_2283/tillsyn/A 53829-2024 tillsynsbegäran.docx", "A 53829-2024")</f>
        <v/>
      </c>
      <c r="Y163">
        <f>HYPERLINK("https://klasma.github.io/Logging_2283/tillsynsmail/A 53829-2024 tillsynsbegäran mail.docx", "A 53829-2024")</f>
        <v/>
      </c>
    </row>
    <row r="164" ht="15" customHeight="1">
      <c r="A164" t="inlineStr">
        <is>
          <t>A 57791-2024</t>
        </is>
      </c>
      <c r="B164" s="1" t="n">
        <v>45631</v>
      </c>
      <c r="C164" s="1" t="n">
        <v>45740</v>
      </c>
      <c r="D164" t="inlineStr">
        <is>
          <t>VÄSTERNORRLANDS LÄN</t>
        </is>
      </c>
      <c r="E164" t="inlineStr">
        <is>
          <t>SOLLEFTEÅ</t>
        </is>
      </c>
      <c r="G164" t="n">
        <v>4.9</v>
      </c>
      <c r="H164" t="n">
        <v>2</v>
      </c>
      <c r="I164" t="n">
        <v>2</v>
      </c>
      <c r="J164" t="n">
        <v>2</v>
      </c>
      <c r="K164" t="n">
        <v>1</v>
      </c>
      <c r="L164" t="n">
        <v>0</v>
      </c>
      <c r="M164" t="n">
        <v>0</v>
      </c>
      <c r="N164" t="n">
        <v>0</v>
      </c>
      <c r="O164" t="n">
        <v>3</v>
      </c>
      <c r="P164" t="n">
        <v>1</v>
      </c>
      <c r="Q164" t="n">
        <v>6</v>
      </c>
      <c r="R164" s="2" t="inlineStr">
        <is>
          <t>Knärot
Rosenticka
Ullticka
Gytterlav
Vedticka
Fläcknycklar</t>
        </is>
      </c>
      <c r="S164">
        <f>HYPERLINK("https://klasma.github.io/Logging_2283/artfynd/A 57791-2024 artfynd.xlsx", "A 57791-2024")</f>
        <v/>
      </c>
      <c r="T164">
        <f>HYPERLINK("https://klasma.github.io/Logging_2283/kartor/A 57791-2024 karta.png", "A 57791-2024")</f>
        <v/>
      </c>
      <c r="U164">
        <f>HYPERLINK("https://klasma.github.io/Logging_2283/knärot/A 57791-2024 karta knärot.png", "A 57791-2024")</f>
        <v/>
      </c>
      <c r="V164">
        <f>HYPERLINK("https://klasma.github.io/Logging_2283/klagomål/A 57791-2024 FSC-klagomål.docx", "A 57791-2024")</f>
        <v/>
      </c>
      <c r="W164">
        <f>HYPERLINK("https://klasma.github.io/Logging_2283/klagomålsmail/A 57791-2024 FSC-klagomål mail.docx", "A 57791-2024")</f>
        <v/>
      </c>
      <c r="X164">
        <f>HYPERLINK("https://klasma.github.io/Logging_2283/tillsyn/A 57791-2024 tillsynsbegäran.docx", "A 57791-2024")</f>
        <v/>
      </c>
      <c r="Y164">
        <f>HYPERLINK("https://klasma.github.io/Logging_2283/tillsynsmail/A 57791-2024 tillsynsbegäran mail.docx", "A 57791-2024")</f>
        <v/>
      </c>
    </row>
    <row r="165" ht="15" customHeight="1">
      <c r="A165" t="inlineStr">
        <is>
          <t>A 61323-2024</t>
        </is>
      </c>
      <c r="B165" s="1" t="n">
        <v>45646</v>
      </c>
      <c r="C165" s="1" t="n">
        <v>45740</v>
      </c>
      <c r="D165" t="inlineStr">
        <is>
          <t>VÄSTERNORRLANDS LÄN</t>
        </is>
      </c>
      <c r="E165" t="inlineStr">
        <is>
          <t>SOLLEFTEÅ</t>
        </is>
      </c>
      <c r="F165" t="inlineStr">
        <is>
          <t>SCA</t>
        </is>
      </c>
      <c r="G165" t="n">
        <v>5.2</v>
      </c>
      <c r="H165" t="n">
        <v>0</v>
      </c>
      <c r="I165" t="n">
        <v>0</v>
      </c>
      <c r="J165" t="n">
        <v>5</v>
      </c>
      <c r="K165" t="n">
        <v>1</v>
      </c>
      <c r="L165" t="n">
        <v>0</v>
      </c>
      <c r="M165" t="n">
        <v>0</v>
      </c>
      <c r="N165" t="n">
        <v>0</v>
      </c>
      <c r="O165" t="n">
        <v>6</v>
      </c>
      <c r="P165" t="n">
        <v>1</v>
      </c>
      <c r="Q165" t="n">
        <v>6</v>
      </c>
      <c r="R165" s="2" t="inlineStr">
        <is>
          <t>Ulltickeporing
Garnlav
Harticka
Rosenticka
Ullticka
Vitgrynig nållav</t>
        </is>
      </c>
      <c r="S165">
        <f>HYPERLINK("https://klasma.github.io/Logging_2283/artfynd/A 61323-2024 artfynd.xlsx", "A 61323-2024")</f>
        <v/>
      </c>
      <c r="T165">
        <f>HYPERLINK("https://klasma.github.io/Logging_2283/kartor/A 61323-2024 karta.png", "A 61323-2024")</f>
        <v/>
      </c>
      <c r="V165">
        <f>HYPERLINK("https://klasma.github.io/Logging_2283/klagomål/A 61323-2024 FSC-klagomål.docx", "A 61323-2024")</f>
        <v/>
      </c>
      <c r="W165">
        <f>HYPERLINK("https://klasma.github.io/Logging_2283/klagomålsmail/A 61323-2024 FSC-klagomål mail.docx", "A 61323-2024")</f>
        <v/>
      </c>
      <c r="X165">
        <f>HYPERLINK("https://klasma.github.io/Logging_2283/tillsyn/A 61323-2024 tillsynsbegäran.docx", "A 61323-2024")</f>
        <v/>
      </c>
      <c r="Y165">
        <f>HYPERLINK("https://klasma.github.io/Logging_2283/tillsynsmail/A 61323-2024 tillsynsbegäran mail.docx", "A 61323-2024")</f>
        <v/>
      </c>
    </row>
    <row r="166" ht="15" customHeight="1">
      <c r="A166" t="inlineStr">
        <is>
          <t>A 61541-2024</t>
        </is>
      </c>
      <c r="B166" s="1" t="n">
        <v>45646</v>
      </c>
      <c r="C166" s="1" t="n">
        <v>45740</v>
      </c>
      <c r="D166" t="inlineStr">
        <is>
          <t>VÄSTERNORRLANDS LÄN</t>
        </is>
      </c>
      <c r="E166" t="inlineStr">
        <is>
          <t>SOLLEFTEÅ</t>
        </is>
      </c>
      <c r="F166" t="inlineStr">
        <is>
          <t>SCA</t>
        </is>
      </c>
      <c r="G166" t="n">
        <v>6.8</v>
      </c>
      <c r="H166" t="n">
        <v>1</v>
      </c>
      <c r="I166" t="n">
        <v>0</v>
      </c>
      <c r="J166" t="n">
        <v>6</v>
      </c>
      <c r="K166" t="n">
        <v>0</v>
      </c>
      <c r="L166" t="n">
        <v>0</v>
      </c>
      <c r="M166" t="n">
        <v>0</v>
      </c>
      <c r="N166" t="n">
        <v>0</v>
      </c>
      <c r="O166" t="n">
        <v>6</v>
      </c>
      <c r="P166" t="n">
        <v>0</v>
      </c>
      <c r="Q166" t="n">
        <v>6</v>
      </c>
      <c r="R166" s="2" t="inlineStr">
        <is>
          <t>Gammelgransskål
Garnlav
Skogshare
Tretåig hackspett
Ullticka
Vitgrynig nållav</t>
        </is>
      </c>
      <c r="S166">
        <f>HYPERLINK("https://klasma.github.io/Logging_2283/artfynd/A 61541-2024 artfynd.xlsx", "A 61541-2024")</f>
        <v/>
      </c>
      <c r="T166">
        <f>HYPERLINK("https://klasma.github.io/Logging_2283/kartor/A 61541-2024 karta.png", "A 61541-2024")</f>
        <v/>
      </c>
      <c r="V166">
        <f>HYPERLINK("https://klasma.github.io/Logging_2283/klagomål/A 61541-2024 FSC-klagomål.docx", "A 61541-2024")</f>
        <v/>
      </c>
      <c r="W166">
        <f>HYPERLINK("https://klasma.github.io/Logging_2283/klagomålsmail/A 61541-2024 FSC-klagomål mail.docx", "A 61541-2024")</f>
        <v/>
      </c>
      <c r="X166">
        <f>HYPERLINK("https://klasma.github.io/Logging_2283/tillsyn/A 61541-2024 tillsynsbegäran.docx", "A 61541-2024")</f>
        <v/>
      </c>
      <c r="Y166">
        <f>HYPERLINK("https://klasma.github.io/Logging_2283/tillsynsmail/A 61541-2024 tillsynsbegäran mail.docx", "A 61541-2024")</f>
        <v/>
      </c>
      <c r="Z166">
        <f>HYPERLINK("https://klasma.github.io/Logging_2283/fåglar/A 61541-2024 prioriterade fågelarter.docx", "A 61541-2024")</f>
        <v/>
      </c>
    </row>
    <row r="167" ht="15" customHeight="1">
      <c r="A167" t="inlineStr">
        <is>
          <t>A 3056-2025</t>
        </is>
      </c>
      <c r="B167" s="1" t="n">
        <v>45678</v>
      </c>
      <c r="C167" s="1" t="n">
        <v>45740</v>
      </c>
      <c r="D167" t="inlineStr">
        <is>
          <t>VÄSTERNORRLANDS LÄN</t>
        </is>
      </c>
      <c r="E167" t="inlineStr">
        <is>
          <t>SOLLEFTEÅ</t>
        </is>
      </c>
      <c r="F167" t="inlineStr">
        <is>
          <t>SCA</t>
        </is>
      </c>
      <c r="G167" t="n">
        <v>9.800000000000001</v>
      </c>
      <c r="H167" t="n">
        <v>3</v>
      </c>
      <c r="I167" t="n">
        <v>0</v>
      </c>
      <c r="J167" t="n">
        <v>5</v>
      </c>
      <c r="K167" t="n">
        <v>0</v>
      </c>
      <c r="L167" t="n">
        <v>0</v>
      </c>
      <c r="M167" t="n">
        <v>0</v>
      </c>
      <c r="N167" t="n">
        <v>0</v>
      </c>
      <c r="O167" t="n">
        <v>5</v>
      </c>
      <c r="P167" t="n">
        <v>0</v>
      </c>
      <c r="Q167" t="n">
        <v>6</v>
      </c>
      <c r="R167" s="2" t="inlineStr">
        <is>
          <t>Garnlav
Granticka
Lunglav
Talltita
Tretåig hackspett
Tjäder</t>
        </is>
      </c>
      <c r="S167">
        <f>HYPERLINK("https://klasma.github.io/Logging_2283/artfynd/A 3056-2025 artfynd.xlsx", "A 3056-2025")</f>
        <v/>
      </c>
      <c r="T167">
        <f>HYPERLINK("https://klasma.github.io/Logging_2283/kartor/A 3056-2025 karta.png", "A 3056-2025")</f>
        <v/>
      </c>
      <c r="V167">
        <f>HYPERLINK("https://klasma.github.io/Logging_2283/klagomål/A 3056-2025 FSC-klagomål.docx", "A 3056-2025")</f>
        <v/>
      </c>
      <c r="W167">
        <f>HYPERLINK("https://klasma.github.io/Logging_2283/klagomålsmail/A 3056-2025 FSC-klagomål mail.docx", "A 3056-2025")</f>
        <v/>
      </c>
      <c r="X167">
        <f>HYPERLINK("https://klasma.github.io/Logging_2283/tillsyn/A 3056-2025 tillsynsbegäran.docx", "A 3056-2025")</f>
        <v/>
      </c>
      <c r="Y167">
        <f>HYPERLINK("https://klasma.github.io/Logging_2283/tillsynsmail/A 3056-2025 tillsynsbegäran mail.docx", "A 3056-2025")</f>
        <v/>
      </c>
      <c r="Z167">
        <f>HYPERLINK("https://klasma.github.io/Logging_2283/fåglar/A 3056-2025 prioriterade fågelarter.docx", "A 3056-2025")</f>
        <v/>
      </c>
    </row>
    <row r="168" ht="15" customHeight="1">
      <c r="A168" t="inlineStr">
        <is>
          <t>A 4827-2025</t>
        </is>
      </c>
      <c r="B168" s="1" t="n">
        <v>45688</v>
      </c>
      <c r="C168" s="1" t="n">
        <v>45740</v>
      </c>
      <c r="D168" t="inlineStr">
        <is>
          <t>VÄSTERNORRLANDS LÄN</t>
        </is>
      </c>
      <c r="E168" t="inlineStr">
        <is>
          <t>SOLLEFTEÅ</t>
        </is>
      </c>
      <c r="G168" t="n">
        <v>33</v>
      </c>
      <c r="H168" t="n">
        <v>2</v>
      </c>
      <c r="I168" t="n">
        <v>0</v>
      </c>
      <c r="J168" t="n">
        <v>6</v>
      </c>
      <c r="K168" t="n">
        <v>0</v>
      </c>
      <c r="L168" t="n">
        <v>0</v>
      </c>
      <c r="M168" t="n">
        <v>0</v>
      </c>
      <c r="N168" t="n">
        <v>0</v>
      </c>
      <c r="O168" t="n">
        <v>6</v>
      </c>
      <c r="P168" t="n">
        <v>0</v>
      </c>
      <c r="Q168" t="n">
        <v>6</v>
      </c>
      <c r="R168" s="2" t="inlineStr">
        <is>
          <t>Garnlav
Granticka
Lunglav
Talltita
Tretåig hackspett
Ullticka</t>
        </is>
      </c>
      <c r="S168">
        <f>HYPERLINK("https://klasma.github.io/Logging_2283/artfynd/A 4827-2025 artfynd.xlsx", "A 4827-2025")</f>
        <v/>
      </c>
      <c r="T168">
        <f>HYPERLINK("https://klasma.github.io/Logging_2283/kartor/A 4827-2025 karta.png", "A 4827-2025")</f>
        <v/>
      </c>
      <c r="V168">
        <f>HYPERLINK("https://klasma.github.io/Logging_2283/klagomål/A 4827-2025 FSC-klagomål.docx", "A 4827-2025")</f>
        <v/>
      </c>
      <c r="W168">
        <f>HYPERLINK("https://klasma.github.io/Logging_2283/klagomålsmail/A 4827-2025 FSC-klagomål mail.docx", "A 4827-2025")</f>
        <v/>
      </c>
      <c r="X168">
        <f>HYPERLINK("https://klasma.github.io/Logging_2283/tillsyn/A 4827-2025 tillsynsbegäran.docx", "A 4827-2025")</f>
        <v/>
      </c>
      <c r="Y168">
        <f>HYPERLINK("https://klasma.github.io/Logging_2283/tillsynsmail/A 4827-2025 tillsynsbegäran mail.docx", "A 4827-2025")</f>
        <v/>
      </c>
      <c r="Z168">
        <f>HYPERLINK("https://klasma.github.io/Logging_2283/fåglar/A 4827-2025 prioriterade fågelarter.docx", "A 4827-2025")</f>
        <v/>
      </c>
    </row>
    <row r="169" ht="15" customHeight="1">
      <c r="A169" t="inlineStr">
        <is>
          <t>A 7334-2025</t>
        </is>
      </c>
      <c r="B169" s="1" t="n">
        <v>45703</v>
      </c>
      <c r="C169" s="1" t="n">
        <v>45740</v>
      </c>
      <c r="D169" t="inlineStr">
        <is>
          <t>VÄSTERNORRLANDS LÄN</t>
        </is>
      </c>
      <c r="E169" t="inlineStr">
        <is>
          <t>SOLLEFTEÅ</t>
        </is>
      </c>
      <c r="G169" t="n">
        <v>2.2</v>
      </c>
      <c r="H169" t="n">
        <v>4</v>
      </c>
      <c r="I169" t="n">
        <v>2</v>
      </c>
      <c r="J169" t="n">
        <v>3</v>
      </c>
      <c r="K169" t="n">
        <v>0</v>
      </c>
      <c r="L169" t="n">
        <v>0</v>
      </c>
      <c r="M169" t="n">
        <v>0</v>
      </c>
      <c r="N169" t="n">
        <v>0</v>
      </c>
      <c r="O169" t="n">
        <v>3</v>
      </c>
      <c r="P169" t="n">
        <v>0</v>
      </c>
      <c r="Q169" t="n">
        <v>6</v>
      </c>
      <c r="R169" s="2" t="inlineStr">
        <is>
          <t>Björktrast
Gulsparv
Rödvingetrast
Skinnlav
Stor aspticka
Revlummer</t>
        </is>
      </c>
      <c r="S169">
        <f>HYPERLINK("https://klasma.github.io/Logging_2283/artfynd/A 7334-2025 artfynd.xlsx", "A 7334-2025")</f>
        <v/>
      </c>
      <c r="T169">
        <f>HYPERLINK("https://klasma.github.io/Logging_2283/kartor/A 7334-2025 karta.png", "A 7334-2025")</f>
        <v/>
      </c>
      <c r="V169">
        <f>HYPERLINK("https://klasma.github.io/Logging_2283/klagomål/A 7334-2025 FSC-klagomål.docx", "A 7334-2025")</f>
        <v/>
      </c>
      <c r="W169">
        <f>HYPERLINK("https://klasma.github.io/Logging_2283/klagomålsmail/A 7334-2025 FSC-klagomål mail.docx", "A 7334-2025")</f>
        <v/>
      </c>
      <c r="X169">
        <f>HYPERLINK("https://klasma.github.io/Logging_2283/tillsyn/A 7334-2025 tillsynsbegäran.docx", "A 7334-2025")</f>
        <v/>
      </c>
      <c r="Y169">
        <f>HYPERLINK("https://klasma.github.io/Logging_2283/tillsynsmail/A 7334-2025 tillsynsbegäran mail.docx", "A 7334-2025")</f>
        <v/>
      </c>
      <c r="Z169">
        <f>HYPERLINK("https://klasma.github.io/Logging_2283/fåglar/A 7334-2025 prioriterade fågelarter.docx", "A 7334-2025")</f>
        <v/>
      </c>
    </row>
    <row r="170" ht="15" customHeight="1">
      <c r="A170" t="inlineStr">
        <is>
          <t>A 41785-2019</t>
        </is>
      </c>
      <c r="B170" s="1" t="n">
        <v>43699</v>
      </c>
      <c r="C170" s="1" t="n">
        <v>45740</v>
      </c>
      <c r="D170" t="inlineStr">
        <is>
          <t>VÄSTERNORRLANDS LÄN</t>
        </is>
      </c>
      <c r="E170" t="inlineStr">
        <is>
          <t>SOLLEFTEÅ</t>
        </is>
      </c>
      <c r="F170" t="inlineStr">
        <is>
          <t>SCA</t>
        </is>
      </c>
      <c r="G170" t="n">
        <v>3.1</v>
      </c>
      <c r="H170" t="n">
        <v>0</v>
      </c>
      <c r="I170" t="n">
        <v>1</v>
      </c>
      <c r="J170" t="n">
        <v>3</v>
      </c>
      <c r="K170" t="n">
        <v>1</v>
      </c>
      <c r="L170" t="n">
        <v>0</v>
      </c>
      <c r="M170" t="n">
        <v>0</v>
      </c>
      <c r="N170" t="n">
        <v>0</v>
      </c>
      <c r="O170" t="n">
        <v>4</v>
      </c>
      <c r="P170" t="n">
        <v>1</v>
      </c>
      <c r="Q170" t="n">
        <v>5</v>
      </c>
      <c r="R170" s="2" t="inlineStr">
        <is>
          <t>Rynkskinn
Rosenticka
Ullticka
Violmussling
Stor aspticka</t>
        </is>
      </c>
      <c r="S170">
        <f>HYPERLINK("https://klasma.github.io/Logging_2283/artfynd/A 41785-2019 artfynd.xlsx", "A 41785-2019")</f>
        <v/>
      </c>
      <c r="T170">
        <f>HYPERLINK("https://klasma.github.io/Logging_2283/kartor/A 41785-2019 karta.png", "A 41785-2019")</f>
        <v/>
      </c>
      <c r="V170">
        <f>HYPERLINK("https://klasma.github.io/Logging_2283/klagomål/A 41785-2019 FSC-klagomål.docx", "A 41785-2019")</f>
        <v/>
      </c>
      <c r="W170">
        <f>HYPERLINK("https://klasma.github.io/Logging_2283/klagomålsmail/A 41785-2019 FSC-klagomål mail.docx", "A 41785-2019")</f>
        <v/>
      </c>
      <c r="X170">
        <f>HYPERLINK("https://klasma.github.io/Logging_2283/tillsyn/A 41785-2019 tillsynsbegäran.docx", "A 41785-2019")</f>
        <v/>
      </c>
      <c r="Y170">
        <f>HYPERLINK("https://klasma.github.io/Logging_2283/tillsynsmail/A 41785-2019 tillsynsbegäran mail.docx", "A 41785-2019")</f>
        <v/>
      </c>
    </row>
    <row r="171" ht="15" customHeight="1">
      <c r="A171" t="inlineStr">
        <is>
          <t>A 33209-2020</t>
        </is>
      </c>
      <c r="B171" s="1" t="n">
        <v>44021</v>
      </c>
      <c r="C171" s="1" t="n">
        <v>45740</v>
      </c>
      <c r="D171" t="inlineStr">
        <is>
          <t>VÄSTERNORRLANDS LÄN</t>
        </is>
      </c>
      <c r="E171" t="inlineStr">
        <is>
          <t>SOLLEFTEÅ</t>
        </is>
      </c>
      <c r="F171" t="inlineStr">
        <is>
          <t>SCA</t>
        </is>
      </c>
      <c r="G171" t="n">
        <v>2</v>
      </c>
      <c r="H171" t="n">
        <v>2</v>
      </c>
      <c r="I171" t="n">
        <v>0</v>
      </c>
      <c r="J171" t="n">
        <v>5</v>
      </c>
      <c r="K171" t="n">
        <v>0</v>
      </c>
      <c r="L171" t="n">
        <v>0</v>
      </c>
      <c r="M171" t="n">
        <v>0</v>
      </c>
      <c r="N171" t="n">
        <v>0</v>
      </c>
      <c r="O171" t="n">
        <v>5</v>
      </c>
      <c r="P171" t="n">
        <v>0</v>
      </c>
      <c r="Q171" t="n">
        <v>5</v>
      </c>
      <c r="R171" s="2" t="inlineStr">
        <is>
          <t>Garnlav
Granticka
Harticka
Talltita
Tretåig hackspett</t>
        </is>
      </c>
      <c r="S171">
        <f>HYPERLINK("https://klasma.github.io/Logging_2283/artfynd/A 33209-2020 artfynd.xlsx", "A 33209-2020")</f>
        <v/>
      </c>
      <c r="T171">
        <f>HYPERLINK("https://klasma.github.io/Logging_2283/kartor/A 33209-2020 karta.png", "A 33209-2020")</f>
        <v/>
      </c>
      <c r="V171">
        <f>HYPERLINK("https://klasma.github.io/Logging_2283/klagomål/A 33209-2020 FSC-klagomål.docx", "A 33209-2020")</f>
        <v/>
      </c>
      <c r="W171">
        <f>HYPERLINK("https://klasma.github.io/Logging_2283/klagomålsmail/A 33209-2020 FSC-klagomål mail.docx", "A 33209-2020")</f>
        <v/>
      </c>
      <c r="X171">
        <f>HYPERLINK("https://klasma.github.io/Logging_2283/tillsyn/A 33209-2020 tillsynsbegäran.docx", "A 33209-2020")</f>
        <v/>
      </c>
      <c r="Y171">
        <f>HYPERLINK("https://klasma.github.io/Logging_2283/tillsynsmail/A 33209-2020 tillsynsbegäran mail.docx", "A 33209-2020")</f>
        <v/>
      </c>
      <c r="Z171">
        <f>HYPERLINK("https://klasma.github.io/Logging_2283/fåglar/A 33209-2020 prioriterade fågelarter.docx", "A 33209-2020")</f>
        <v/>
      </c>
    </row>
    <row r="172" ht="15" customHeight="1">
      <c r="A172" t="inlineStr">
        <is>
          <t>A 33612-2020</t>
        </is>
      </c>
      <c r="B172" s="1" t="n">
        <v>44025</v>
      </c>
      <c r="C172" s="1" t="n">
        <v>45740</v>
      </c>
      <c r="D172" t="inlineStr">
        <is>
          <t>VÄSTERNORRLANDS LÄN</t>
        </is>
      </c>
      <c r="E172" t="inlineStr">
        <is>
          <t>SOLLEFTEÅ</t>
        </is>
      </c>
      <c r="F172" t="inlineStr">
        <is>
          <t>SCA</t>
        </is>
      </c>
      <c r="G172" t="n">
        <v>2.3</v>
      </c>
      <c r="H172" t="n">
        <v>2</v>
      </c>
      <c r="I172" t="n">
        <v>1</v>
      </c>
      <c r="J172" t="n">
        <v>3</v>
      </c>
      <c r="K172" t="n">
        <v>0</v>
      </c>
      <c r="L172" t="n">
        <v>0</v>
      </c>
      <c r="M172" t="n">
        <v>0</v>
      </c>
      <c r="N172" t="n">
        <v>0</v>
      </c>
      <c r="O172" t="n">
        <v>3</v>
      </c>
      <c r="P172" t="n">
        <v>0</v>
      </c>
      <c r="Q172" t="n">
        <v>5</v>
      </c>
      <c r="R172" s="2" t="inlineStr">
        <is>
          <t>Dvärgbägarlav
Garnlav
Tretåig hackspett
Dropptaggsvamp
Tjäder</t>
        </is>
      </c>
      <c r="S172">
        <f>HYPERLINK("https://klasma.github.io/Logging_2283/artfynd/A 33612-2020 artfynd.xlsx", "A 33612-2020")</f>
        <v/>
      </c>
      <c r="T172">
        <f>HYPERLINK("https://klasma.github.io/Logging_2283/kartor/A 33612-2020 karta.png", "A 33612-2020")</f>
        <v/>
      </c>
      <c r="V172">
        <f>HYPERLINK("https://klasma.github.io/Logging_2283/klagomål/A 33612-2020 FSC-klagomål.docx", "A 33612-2020")</f>
        <v/>
      </c>
      <c r="W172">
        <f>HYPERLINK("https://klasma.github.io/Logging_2283/klagomålsmail/A 33612-2020 FSC-klagomål mail.docx", "A 33612-2020")</f>
        <v/>
      </c>
      <c r="X172">
        <f>HYPERLINK("https://klasma.github.io/Logging_2283/tillsyn/A 33612-2020 tillsynsbegäran.docx", "A 33612-2020")</f>
        <v/>
      </c>
      <c r="Y172">
        <f>HYPERLINK("https://klasma.github.io/Logging_2283/tillsynsmail/A 33612-2020 tillsynsbegäran mail.docx", "A 33612-2020")</f>
        <v/>
      </c>
      <c r="Z172">
        <f>HYPERLINK("https://klasma.github.io/Logging_2283/fåglar/A 33612-2020 prioriterade fågelarter.docx", "A 33612-2020")</f>
        <v/>
      </c>
    </row>
    <row r="173" ht="15" customHeight="1">
      <c r="A173" t="inlineStr">
        <is>
          <t>A 57076-2020</t>
        </is>
      </c>
      <c r="B173" s="1" t="n">
        <v>44138</v>
      </c>
      <c r="C173" s="1" t="n">
        <v>45740</v>
      </c>
      <c r="D173" t="inlineStr">
        <is>
          <t>VÄSTERNORRLANDS LÄN</t>
        </is>
      </c>
      <c r="E173" t="inlineStr">
        <is>
          <t>SOLLEFTEÅ</t>
        </is>
      </c>
      <c r="G173" t="n">
        <v>3.8</v>
      </c>
      <c r="H173" t="n">
        <v>3</v>
      </c>
      <c r="I173" t="n">
        <v>1</v>
      </c>
      <c r="J173" t="n">
        <v>3</v>
      </c>
      <c r="K173" t="n">
        <v>0</v>
      </c>
      <c r="L173" t="n">
        <v>0</v>
      </c>
      <c r="M173" t="n">
        <v>0</v>
      </c>
      <c r="N173" t="n">
        <v>0</v>
      </c>
      <c r="O173" t="n">
        <v>3</v>
      </c>
      <c r="P173" t="n">
        <v>0</v>
      </c>
      <c r="Q173" t="n">
        <v>5</v>
      </c>
      <c r="R173" s="2" t="inlineStr">
        <is>
          <t>Kråka
Nipsippa
Rosenticka
Strutbräken
Revlummer</t>
        </is>
      </c>
      <c r="S173">
        <f>HYPERLINK("https://klasma.github.io/Logging_2283/artfynd/A 57076-2020 artfynd.xlsx", "A 57076-2020")</f>
        <v/>
      </c>
      <c r="T173">
        <f>HYPERLINK("https://klasma.github.io/Logging_2283/kartor/A 57076-2020 karta.png", "A 57076-2020")</f>
        <v/>
      </c>
      <c r="V173">
        <f>HYPERLINK("https://klasma.github.io/Logging_2283/klagomål/A 57076-2020 FSC-klagomål.docx", "A 57076-2020")</f>
        <v/>
      </c>
      <c r="W173">
        <f>HYPERLINK("https://klasma.github.io/Logging_2283/klagomålsmail/A 57076-2020 FSC-klagomål mail.docx", "A 57076-2020")</f>
        <v/>
      </c>
      <c r="X173">
        <f>HYPERLINK("https://klasma.github.io/Logging_2283/tillsyn/A 57076-2020 tillsynsbegäran.docx", "A 57076-2020")</f>
        <v/>
      </c>
      <c r="Y173">
        <f>HYPERLINK("https://klasma.github.io/Logging_2283/tillsynsmail/A 57076-2020 tillsynsbegäran mail.docx", "A 57076-2020")</f>
        <v/>
      </c>
      <c r="Z173">
        <f>HYPERLINK("https://klasma.github.io/Logging_2283/fåglar/A 57076-2020 prioriterade fågelarter.docx", "A 57076-2020")</f>
        <v/>
      </c>
    </row>
    <row r="174" ht="15" customHeight="1">
      <c r="A174" t="inlineStr">
        <is>
          <t>A 59318-2021</t>
        </is>
      </c>
      <c r="B174" s="1" t="n">
        <v>44491</v>
      </c>
      <c r="C174" s="1" t="n">
        <v>45740</v>
      </c>
      <c r="D174" t="inlineStr">
        <is>
          <t>VÄSTERNORRLANDS LÄN</t>
        </is>
      </c>
      <c r="E174" t="inlineStr">
        <is>
          <t>SOLLEFTEÅ</t>
        </is>
      </c>
      <c r="G174" t="n">
        <v>1.2</v>
      </c>
      <c r="H174" t="n">
        <v>2</v>
      </c>
      <c r="I174" t="n">
        <v>1</v>
      </c>
      <c r="J174" t="n">
        <v>4</v>
      </c>
      <c r="K174" t="n">
        <v>0</v>
      </c>
      <c r="L174" t="n">
        <v>0</v>
      </c>
      <c r="M174" t="n">
        <v>0</v>
      </c>
      <c r="N174" t="n">
        <v>0</v>
      </c>
      <c r="O174" t="n">
        <v>4</v>
      </c>
      <c r="P174" t="n">
        <v>0</v>
      </c>
      <c r="Q174" t="n">
        <v>5</v>
      </c>
      <c r="R174" s="2" t="inlineStr">
        <is>
          <t>Gammelgransskål
Garnlav
Spillkråka
Talltita
Skinnlav</t>
        </is>
      </c>
      <c r="S174">
        <f>HYPERLINK("https://klasma.github.io/Logging_2283/artfynd/A 59318-2021 artfynd.xlsx", "A 59318-2021")</f>
        <v/>
      </c>
      <c r="T174">
        <f>HYPERLINK("https://klasma.github.io/Logging_2283/kartor/A 59318-2021 karta.png", "A 59318-2021")</f>
        <v/>
      </c>
      <c r="V174">
        <f>HYPERLINK("https://klasma.github.io/Logging_2283/klagomål/A 59318-2021 FSC-klagomål.docx", "A 59318-2021")</f>
        <v/>
      </c>
      <c r="W174">
        <f>HYPERLINK("https://klasma.github.io/Logging_2283/klagomålsmail/A 59318-2021 FSC-klagomål mail.docx", "A 59318-2021")</f>
        <v/>
      </c>
      <c r="X174">
        <f>HYPERLINK("https://klasma.github.io/Logging_2283/tillsyn/A 59318-2021 tillsynsbegäran.docx", "A 59318-2021")</f>
        <v/>
      </c>
      <c r="Y174">
        <f>HYPERLINK("https://klasma.github.io/Logging_2283/tillsynsmail/A 59318-2021 tillsynsbegäran mail.docx", "A 59318-2021")</f>
        <v/>
      </c>
      <c r="Z174">
        <f>HYPERLINK("https://klasma.github.io/Logging_2283/fåglar/A 59318-2021 prioriterade fågelarter.docx", "A 59318-2021")</f>
        <v/>
      </c>
    </row>
    <row r="175" ht="15" customHeight="1">
      <c r="A175" t="inlineStr">
        <is>
          <t>A 68354-2021</t>
        </is>
      </c>
      <c r="B175" s="1" t="n">
        <v>44528</v>
      </c>
      <c r="C175" s="1" t="n">
        <v>45740</v>
      </c>
      <c r="D175" t="inlineStr">
        <is>
          <t>VÄSTERNORRLANDS LÄN</t>
        </is>
      </c>
      <c r="E175" t="inlineStr">
        <is>
          <t>SOLLEFTEÅ</t>
        </is>
      </c>
      <c r="G175" t="n">
        <v>3.3</v>
      </c>
      <c r="H175" t="n">
        <v>2</v>
      </c>
      <c r="I175" t="n">
        <v>1</v>
      </c>
      <c r="J175" t="n">
        <v>4</v>
      </c>
      <c r="K175" t="n">
        <v>0</v>
      </c>
      <c r="L175" t="n">
        <v>0</v>
      </c>
      <c r="M175" t="n">
        <v>0</v>
      </c>
      <c r="N175" t="n">
        <v>0</v>
      </c>
      <c r="O175" t="n">
        <v>4</v>
      </c>
      <c r="P175" t="n">
        <v>0</v>
      </c>
      <c r="Q175" t="n">
        <v>5</v>
      </c>
      <c r="R175" s="2" t="inlineStr">
        <is>
          <t>Rosenticka
Spillkråka
Talltita
Ullticka
Vanlig flatbagge</t>
        </is>
      </c>
      <c r="S175">
        <f>HYPERLINK("https://klasma.github.io/Logging_2283/artfynd/A 68354-2021 artfynd.xlsx", "A 68354-2021")</f>
        <v/>
      </c>
      <c r="T175">
        <f>HYPERLINK("https://klasma.github.io/Logging_2283/kartor/A 68354-2021 karta.png", "A 68354-2021")</f>
        <v/>
      </c>
      <c r="V175">
        <f>HYPERLINK("https://klasma.github.io/Logging_2283/klagomål/A 68354-2021 FSC-klagomål.docx", "A 68354-2021")</f>
        <v/>
      </c>
      <c r="W175">
        <f>HYPERLINK("https://klasma.github.io/Logging_2283/klagomålsmail/A 68354-2021 FSC-klagomål mail.docx", "A 68354-2021")</f>
        <v/>
      </c>
      <c r="X175">
        <f>HYPERLINK("https://klasma.github.io/Logging_2283/tillsyn/A 68354-2021 tillsynsbegäran.docx", "A 68354-2021")</f>
        <v/>
      </c>
      <c r="Y175">
        <f>HYPERLINK("https://klasma.github.io/Logging_2283/tillsynsmail/A 68354-2021 tillsynsbegäran mail.docx", "A 68354-2021")</f>
        <v/>
      </c>
      <c r="Z175">
        <f>HYPERLINK("https://klasma.github.io/Logging_2283/fåglar/A 68354-2021 prioriterade fågelarter.docx", "A 68354-2021")</f>
        <v/>
      </c>
    </row>
    <row r="176" ht="15" customHeight="1">
      <c r="A176" t="inlineStr">
        <is>
          <t>A 10400-2022</t>
        </is>
      </c>
      <c r="B176" s="1" t="n">
        <v>44623</v>
      </c>
      <c r="C176" s="1" t="n">
        <v>45740</v>
      </c>
      <c r="D176" t="inlineStr">
        <is>
          <t>VÄSTERNORRLANDS LÄN</t>
        </is>
      </c>
      <c r="E176" t="inlineStr">
        <is>
          <t>SOLLEFTEÅ</t>
        </is>
      </c>
      <c r="G176" t="n">
        <v>25.8</v>
      </c>
      <c r="H176" t="n">
        <v>2</v>
      </c>
      <c r="I176" t="n">
        <v>1</v>
      </c>
      <c r="J176" t="n">
        <v>4</v>
      </c>
      <c r="K176" t="n">
        <v>0</v>
      </c>
      <c r="L176" t="n">
        <v>0</v>
      </c>
      <c r="M176" t="n">
        <v>0</v>
      </c>
      <c r="N176" t="n">
        <v>0</v>
      </c>
      <c r="O176" t="n">
        <v>4</v>
      </c>
      <c r="P176" t="n">
        <v>0</v>
      </c>
      <c r="Q176" t="n">
        <v>5</v>
      </c>
      <c r="R176" s="2" t="inlineStr">
        <is>
          <t>Lunglav
Spillkråka
Tretåig hackspett
Ullticka
Korallblylav</t>
        </is>
      </c>
      <c r="S176">
        <f>HYPERLINK("https://klasma.github.io/Logging_2283/artfynd/A 10400-2022 artfynd.xlsx", "A 10400-2022")</f>
        <v/>
      </c>
      <c r="T176">
        <f>HYPERLINK("https://klasma.github.io/Logging_2283/kartor/A 10400-2022 karta.png", "A 10400-2022")</f>
        <v/>
      </c>
      <c r="V176">
        <f>HYPERLINK("https://klasma.github.io/Logging_2283/klagomål/A 10400-2022 FSC-klagomål.docx", "A 10400-2022")</f>
        <v/>
      </c>
      <c r="W176">
        <f>HYPERLINK("https://klasma.github.io/Logging_2283/klagomålsmail/A 10400-2022 FSC-klagomål mail.docx", "A 10400-2022")</f>
        <v/>
      </c>
      <c r="X176">
        <f>HYPERLINK("https://klasma.github.io/Logging_2283/tillsyn/A 10400-2022 tillsynsbegäran.docx", "A 10400-2022")</f>
        <v/>
      </c>
      <c r="Y176">
        <f>HYPERLINK("https://klasma.github.io/Logging_2283/tillsynsmail/A 10400-2022 tillsynsbegäran mail.docx", "A 10400-2022")</f>
        <v/>
      </c>
      <c r="Z176">
        <f>HYPERLINK("https://klasma.github.io/Logging_2283/fåglar/A 10400-2022 prioriterade fågelarter.docx", "A 10400-2022")</f>
        <v/>
      </c>
    </row>
    <row r="177" ht="15" customHeight="1">
      <c r="A177" t="inlineStr">
        <is>
          <t>A 11490-2022</t>
        </is>
      </c>
      <c r="B177" s="1" t="n">
        <v>44630</v>
      </c>
      <c r="C177" s="1" t="n">
        <v>45740</v>
      </c>
      <c r="D177" t="inlineStr">
        <is>
          <t>VÄSTERNORRLANDS LÄN</t>
        </is>
      </c>
      <c r="E177" t="inlineStr">
        <is>
          <t>SOLLEFTEÅ</t>
        </is>
      </c>
      <c r="F177" t="inlineStr">
        <is>
          <t>SCA</t>
        </is>
      </c>
      <c r="G177" t="n">
        <v>2</v>
      </c>
      <c r="H177" t="n">
        <v>2</v>
      </c>
      <c r="I177" t="n">
        <v>0</v>
      </c>
      <c r="J177" t="n">
        <v>5</v>
      </c>
      <c r="K177" t="n">
        <v>0</v>
      </c>
      <c r="L177" t="n">
        <v>0</v>
      </c>
      <c r="M177" t="n">
        <v>0</v>
      </c>
      <c r="N177" t="n">
        <v>0</v>
      </c>
      <c r="O177" t="n">
        <v>5</v>
      </c>
      <c r="P177" t="n">
        <v>0</v>
      </c>
      <c r="Q177" t="n">
        <v>5</v>
      </c>
      <c r="R177" s="2" t="inlineStr">
        <is>
          <t>Garnlav
Lunglav
Spillkråka
Tretåig hackspett
Ullticka</t>
        </is>
      </c>
      <c r="S177">
        <f>HYPERLINK("https://klasma.github.io/Logging_2283/artfynd/A 11490-2022 artfynd.xlsx", "A 11490-2022")</f>
        <v/>
      </c>
      <c r="T177">
        <f>HYPERLINK("https://klasma.github.io/Logging_2283/kartor/A 11490-2022 karta.png", "A 11490-2022")</f>
        <v/>
      </c>
      <c r="V177">
        <f>HYPERLINK("https://klasma.github.io/Logging_2283/klagomål/A 11490-2022 FSC-klagomål.docx", "A 11490-2022")</f>
        <v/>
      </c>
      <c r="W177">
        <f>HYPERLINK("https://klasma.github.io/Logging_2283/klagomålsmail/A 11490-2022 FSC-klagomål mail.docx", "A 11490-2022")</f>
        <v/>
      </c>
      <c r="X177">
        <f>HYPERLINK("https://klasma.github.io/Logging_2283/tillsyn/A 11490-2022 tillsynsbegäran.docx", "A 11490-2022")</f>
        <v/>
      </c>
      <c r="Y177">
        <f>HYPERLINK("https://klasma.github.io/Logging_2283/tillsynsmail/A 11490-2022 tillsynsbegäran mail.docx", "A 11490-2022")</f>
        <v/>
      </c>
      <c r="Z177">
        <f>HYPERLINK("https://klasma.github.io/Logging_2283/fåglar/A 11490-2022 prioriterade fågelarter.docx", "A 11490-2022")</f>
        <v/>
      </c>
    </row>
    <row r="178" ht="15" customHeight="1">
      <c r="A178" t="inlineStr">
        <is>
          <t>A 20949-2022</t>
        </is>
      </c>
      <c r="B178" s="1" t="n">
        <v>44702</v>
      </c>
      <c r="C178" s="1" t="n">
        <v>45740</v>
      </c>
      <c r="D178" t="inlineStr">
        <is>
          <t>VÄSTERNORRLANDS LÄN</t>
        </is>
      </c>
      <c r="E178" t="inlineStr">
        <is>
          <t>SOLLEFTEÅ</t>
        </is>
      </c>
      <c r="F178" t="inlineStr">
        <is>
          <t>SCA</t>
        </is>
      </c>
      <c r="G178" t="n">
        <v>2.2</v>
      </c>
      <c r="H178" t="n">
        <v>1</v>
      </c>
      <c r="I178" t="n">
        <v>0</v>
      </c>
      <c r="J178" t="n">
        <v>5</v>
      </c>
      <c r="K178" t="n">
        <v>0</v>
      </c>
      <c r="L178" t="n">
        <v>0</v>
      </c>
      <c r="M178" t="n">
        <v>0</v>
      </c>
      <c r="N178" t="n">
        <v>0</v>
      </c>
      <c r="O178" t="n">
        <v>5</v>
      </c>
      <c r="P178" t="n">
        <v>0</v>
      </c>
      <c r="Q178" t="n">
        <v>5</v>
      </c>
      <c r="R178" s="2" t="inlineStr">
        <is>
          <t>Garnlav
Kolflarnlav
Lunglav
Tretåig hackspett
Vedskivlav</t>
        </is>
      </c>
      <c r="S178">
        <f>HYPERLINK("https://klasma.github.io/Logging_2283/artfynd/A 20949-2022 artfynd.xlsx", "A 20949-2022")</f>
        <v/>
      </c>
      <c r="T178">
        <f>HYPERLINK("https://klasma.github.io/Logging_2283/kartor/A 20949-2022 karta.png", "A 20949-2022")</f>
        <v/>
      </c>
      <c r="V178">
        <f>HYPERLINK("https://klasma.github.io/Logging_2283/klagomål/A 20949-2022 FSC-klagomål.docx", "A 20949-2022")</f>
        <v/>
      </c>
      <c r="W178">
        <f>HYPERLINK("https://klasma.github.io/Logging_2283/klagomålsmail/A 20949-2022 FSC-klagomål mail.docx", "A 20949-2022")</f>
        <v/>
      </c>
      <c r="X178">
        <f>HYPERLINK("https://klasma.github.io/Logging_2283/tillsyn/A 20949-2022 tillsynsbegäran.docx", "A 20949-2022")</f>
        <v/>
      </c>
      <c r="Y178">
        <f>HYPERLINK("https://klasma.github.io/Logging_2283/tillsynsmail/A 20949-2022 tillsynsbegäran mail.docx", "A 20949-2022")</f>
        <v/>
      </c>
      <c r="Z178">
        <f>HYPERLINK("https://klasma.github.io/Logging_2283/fåglar/A 20949-2022 prioriterade fågelarter.docx", "A 20949-2022")</f>
        <v/>
      </c>
    </row>
    <row r="179" ht="15" customHeight="1">
      <c r="A179" t="inlineStr">
        <is>
          <t>A 30235-2022</t>
        </is>
      </c>
      <c r="B179" s="1" t="n">
        <v>44757</v>
      </c>
      <c r="C179" s="1" t="n">
        <v>45740</v>
      </c>
      <c r="D179" t="inlineStr">
        <is>
          <t>VÄSTERNORRLANDS LÄN</t>
        </is>
      </c>
      <c r="E179" t="inlineStr">
        <is>
          <t>SOLLEFTEÅ</t>
        </is>
      </c>
      <c r="F179" t="inlineStr">
        <is>
          <t>SCA</t>
        </is>
      </c>
      <c r="G179" t="n">
        <v>4.7</v>
      </c>
      <c r="H179" t="n">
        <v>3</v>
      </c>
      <c r="I179" t="n">
        <v>0</v>
      </c>
      <c r="J179" t="n">
        <v>3</v>
      </c>
      <c r="K179" t="n">
        <v>2</v>
      </c>
      <c r="L179" t="n">
        <v>0</v>
      </c>
      <c r="M179" t="n">
        <v>0</v>
      </c>
      <c r="N179" t="n">
        <v>0</v>
      </c>
      <c r="O179" t="n">
        <v>5</v>
      </c>
      <c r="P179" t="n">
        <v>2</v>
      </c>
      <c r="Q179" t="n">
        <v>5</v>
      </c>
      <c r="R179" s="2" t="inlineStr">
        <is>
          <t>Doftticka
Knärot
Lunglav
Skrovellav
Tretåig hackspett</t>
        </is>
      </c>
      <c r="S179">
        <f>HYPERLINK("https://klasma.github.io/Logging_2283/artfynd/A 30235-2022 artfynd.xlsx", "A 30235-2022")</f>
        <v/>
      </c>
      <c r="T179">
        <f>HYPERLINK("https://klasma.github.io/Logging_2283/kartor/A 30235-2022 karta.png", "A 30235-2022")</f>
        <v/>
      </c>
      <c r="U179">
        <f>HYPERLINK("https://klasma.github.io/Logging_2283/knärot/A 30235-2022 karta knärot.png", "A 30235-2022")</f>
        <v/>
      </c>
      <c r="V179">
        <f>HYPERLINK("https://klasma.github.io/Logging_2283/klagomål/A 30235-2022 FSC-klagomål.docx", "A 30235-2022")</f>
        <v/>
      </c>
      <c r="W179">
        <f>HYPERLINK("https://klasma.github.io/Logging_2283/klagomålsmail/A 30235-2022 FSC-klagomål mail.docx", "A 30235-2022")</f>
        <v/>
      </c>
      <c r="X179">
        <f>HYPERLINK("https://klasma.github.io/Logging_2283/tillsyn/A 30235-2022 tillsynsbegäran.docx", "A 30235-2022")</f>
        <v/>
      </c>
      <c r="Y179">
        <f>HYPERLINK("https://klasma.github.io/Logging_2283/tillsynsmail/A 30235-2022 tillsynsbegäran mail.docx", "A 30235-2022")</f>
        <v/>
      </c>
      <c r="Z179">
        <f>HYPERLINK("https://klasma.github.io/Logging_2283/fåglar/A 30235-2022 prioriterade fågelarter.docx", "A 30235-2022")</f>
        <v/>
      </c>
    </row>
    <row r="180" ht="15" customHeight="1">
      <c r="A180" t="inlineStr">
        <is>
          <t>A 41169-2022</t>
        </is>
      </c>
      <c r="B180" s="1" t="n">
        <v>44825</v>
      </c>
      <c r="C180" s="1" t="n">
        <v>45740</v>
      </c>
      <c r="D180" t="inlineStr">
        <is>
          <t>VÄSTERNORRLANDS LÄN</t>
        </is>
      </c>
      <c r="E180" t="inlineStr">
        <is>
          <t>SOLLEFTEÅ</t>
        </is>
      </c>
      <c r="F180" t="inlineStr">
        <is>
          <t>SCA</t>
        </is>
      </c>
      <c r="G180" t="n">
        <v>1.8</v>
      </c>
      <c r="H180" t="n">
        <v>2</v>
      </c>
      <c r="I180" t="n">
        <v>1</v>
      </c>
      <c r="J180" t="n">
        <v>4</v>
      </c>
      <c r="K180" t="n">
        <v>0</v>
      </c>
      <c r="L180" t="n">
        <v>0</v>
      </c>
      <c r="M180" t="n">
        <v>0</v>
      </c>
      <c r="N180" t="n">
        <v>0</v>
      </c>
      <c r="O180" t="n">
        <v>4</v>
      </c>
      <c r="P180" t="n">
        <v>0</v>
      </c>
      <c r="Q180" t="n">
        <v>5</v>
      </c>
      <c r="R180" s="2" t="inlineStr">
        <is>
          <t>Spillkråka
Tretåig hackspett
Ullticka
Vedskivlav
Vedticka</t>
        </is>
      </c>
      <c r="S180">
        <f>HYPERLINK("https://klasma.github.io/Logging_2283/artfynd/A 41169-2022 artfynd.xlsx", "A 41169-2022")</f>
        <v/>
      </c>
      <c r="T180">
        <f>HYPERLINK("https://klasma.github.io/Logging_2283/kartor/A 41169-2022 karta.png", "A 41169-2022")</f>
        <v/>
      </c>
      <c r="V180">
        <f>HYPERLINK("https://klasma.github.io/Logging_2283/klagomål/A 41169-2022 FSC-klagomål.docx", "A 41169-2022")</f>
        <v/>
      </c>
      <c r="W180">
        <f>HYPERLINK("https://klasma.github.io/Logging_2283/klagomålsmail/A 41169-2022 FSC-klagomål mail.docx", "A 41169-2022")</f>
        <v/>
      </c>
      <c r="X180">
        <f>HYPERLINK("https://klasma.github.io/Logging_2283/tillsyn/A 41169-2022 tillsynsbegäran.docx", "A 41169-2022")</f>
        <v/>
      </c>
      <c r="Y180">
        <f>HYPERLINK("https://klasma.github.io/Logging_2283/tillsynsmail/A 41169-2022 tillsynsbegäran mail.docx", "A 41169-2022")</f>
        <v/>
      </c>
      <c r="Z180">
        <f>HYPERLINK("https://klasma.github.io/Logging_2283/fåglar/A 41169-2022 prioriterade fågelarter.docx", "A 41169-2022")</f>
        <v/>
      </c>
    </row>
    <row r="181" ht="15" customHeight="1">
      <c r="A181" t="inlineStr">
        <is>
          <t>A 46629-2022</t>
        </is>
      </c>
      <c r="B181" s="1" t="n">
        <v>44848</v>
      </c>
      <c r="C181" s="1" t="n">
        <v>45740</v>
      </c>
      <c r="D181" t="inlineStr">
        <is>
          <t>VÄSTERNORRLANDS LÄN</t>
        </is>
      </c>
      <c r="E181" t="inlineStr">
        <is>
          <t>SOLLEFTEÅ</t>
        </is>
      </c>
      <c r="F181" t="inlineStr">
        <is>
          <t>SCA</t>
        </is>
      </c>
      <c r="G181" t="n">
        <v>4.5</v>
      </c>
      <c r="H181" t="n">
        <v>2</v>
      </c>
      <c r="I181" t="n">
        <v>0</v>
      </c>
      <c r="J181" t="n">
        <v>4</v>
      </c>
      <c r="K181" t="n">
        <v>1</v>
      </c>
      <c r="L181" t="n">
        <v>0</v>
      </c>
      <c r="M181" t="n">
        <v>0</v>
      </c>
      <c r="N181" t="n">
        <v>0</v>
      </c>
      <c r="O181" t="n">
        <v>5</v>
      </c>
      <c r="P181" t="n">
        <v>1</v>
      </c>
      <c r="Q181" t="n">
        <v>5</v>
      </c>
      <c r="R181" s="2" t="inlineStr">
        <is>
          <t>Knärot
Garnlav
Lunglav
Skogshare
Tretåig hackspett</t>
        </is>
      </c>
      <c r="S181">
        <f>HYPERLINK("https://klasma.github.io/Logging_2283/artfynd/A 46629-2022 artfynd.xlsx", "A 46629-2022")</f>
        <v/>
      </c>
      <c r="T181">
        <f>HYPERLINK("https://klasma.github.io/Logging_2283/kartor/A 46629-2022 karta.png", "A 46629-2022")</f>
        <v/>
      </c>
      <c r="U181">
        <f>HYPERLINK("https://klasma.github.io/Logging_2283/knärot/A 46629-2022 karta knärot.png", "A 46629-2022")</f>
        <v/>
      </c>
      <c r="V181">
        <f>HYPERLINK("https://klasma.github.io/Logging_2283/klagomål/A 46629-2022 FSC-klagomål.docx", "A 46629-2022")</f>
        <v/>
      </c>
      <c r="W181">
        <f>HYPERLINK("https://klasma.github.io/Logging_2283/klagomålsmail/A 46629-2022 FSC-klagomål mail.docx", "A 46629-2022")</f>
        <v/>
      </c>
      <c r="X181">
        <f>HYPERLINK("https://klasma.github.io/Logging_2283/tillsyn/A 46629-2022 tillsynsbegäran.docx", "A 46629-2022")</f>
        <v/>
      </c>
      <c r="Y181">
        <f>HYPERLINK("https://klasma.github.io/Logging_2283/tillsynsmail/A 46629-2022 tillsynsbegäran mail.docx", "A 46629-2022")</f>
        <v/>
      </c>
      <c r="Z181">
        <f>HYPERLINK("https://klasma.github.io/Logging_2283/fåglar/A 46629-2022 prioriterade fågelarter.docx", "A 46629-2022")</f>
        <v/>
      </c>
    </row>
    <row r="182" ht="15" customHeight="1">
      <c r="A182" t="inlineStr">
        <is>
          <t>A 81-2023</t>
        </is>
      </c>
      <c r="B182" s="1" t="n">
        <v>44920</v>
      </c>
      <c r="C182" s="1" t="n">
        <v>45740</v>
      </c>
      <c r="D182" t="inlineStr">
        <is>
          <t>VÄSTERNORRLANDS LÄN</t>
        </is>
      </c>
      <c r="E182" t="inlineStr">
        <is>
          <t>SOLLEFTEÅ</t>
        </is>
      </c>
      <c r="G182" t="n">
        <v>20</v>
      </c>
      <c r="H182" t="n">
        <v>2</v>
      </c>
      <c r="I182" t="n">
        <v>1</v>
      </c>
      <c r="J182" t="n">
        <v>3</v>
      </c>
      <c r="K182" t="n">
        <v>1</v>
      </c>
      <c r="L182" t="n">
        <v>0</v>
      </c>
      <c r="M182" t="n">
        <v>0</v>
      </c>
      <c r="N182" t="n">
        <v>0</v>
      </c>
      <c r="O182" t="n">
        <v>4</v>
      </c>
      <c r="P182" t="n">
        <v>1</v>
      </c>
      <c r="Q182" t="n">
        <v>5</v>
      </c>
      <c r="R182" s="2" t="inlineStr">
        <is>
          <t>Knärot
Garnlav
Lunglav
Talltita
Luddlav</t>
        </is>
      </c>
      <c r="S182">
        <f>HYPERLINK("https://klasma.github.io/Logging_2283/artfynd/A 81-2023 artfynd.xlsx", "A 81-2023")</f>
        <v/>
      </c>
      <c r="T182">
        <f>HYPERLINK("https://klasma.github.io/Logging_2283/kartor/A 81-2023 karta.png", "A 81-2023")</f>
        <v/>
      </c>
      <c r="U182">
        <f>HYPERLINK("https://klasma.github.io/Logging_2283/knärot/A 81-2023 karta knärot.png", "A 81-2023")</f>
        <v/>
      </c>
      <c r="V182">
        <f>HYPERLINK("https://klasma.github.io/Logging_2283/klagomål/A 81-2023 FSC-klagomål.docx", "A 81-2023")</f>
        <v/>
      </c>
      <c r="W182">
        <f>HYPERLINK("https://klasma.github.io/Logging_2283/klagomålsmail/A 81-2023 FSC-klagomål mail.docx", "A 81-2023")</f>
        <v/>
      </c>
      <c r="X182">
        <f>HYPERLINK("https://klasma.github.io/Logging_2283/tillsyn/A 81-2023 tillsynsbegäran.docx", "A 81-2023")</f>
        <v/>
      </c>
      <c r="Y182">
        <f>HYPERLINK("https://klasma.github.io/Logging_2283/tillsynsmail/A 81-2023 tillsynsbegäran mail.docx", "A 81-2023")</f>
        <v/>
      </c>
      <c r="Z182">
        <f>HYPERLINK("https://klasma.github.io/Logging_2283/fåglar/A 81-2023 prioriterade fågelarter.docx", "A 81-2023")</f>
        <v/>
      </c>
    </row>
    <row r="183" ht="15" customHeight="1">
      <c r="A183" t="inlineStr">
        <is>
          <t>A 14079-2023</t>
        </is>
      </c>
      <c r="B183" s="1" t="n">
        <v>45009</v>
      </c>
      <c r="C183" s="1" t="n">
        <v>45740</v>
      </c>
      <c r="D183" t="inlineStr">
        <is>
          <t>VÄSTERNORRLANDS LÄN</t>
        </is>
      </c>
      <c r="E183" t="inlineStr">
        <is>
          <t>SOLLEFTEÅ</t>
        </is>
      </c>
      <c r="F183" t="inlineStr">
        <is>
          <t>SCA</t>
        </is>
      </c>
      <c r="G183" t="n">
        <v>9</v>
      </c>
      <c r="H183" t="n">
        <v>0</v>
      </c>
      <c r="I183" t="n">
        <v>0</v>
      </c>
      <c r="J183" t="n">
        <v>5</v>
      </c>
      <c r="K183" t="n">
        <v>0</v>
      </c>
      <c r="L183" t="n">
        <v>0</v>
      </c>
      <c r="M183" t="n">
        <v>0</v>
      </c>
      <c r="N183" t="n">
        <v>0</v>
      </c>
      <c r="O183" t="n">
        <v>5</v>
      </c>
      <c r="P183" t="n">
        <v>0</v>
      </c>
      <c r="Q183" t="n">
        <v>5</v>
      </c>
      <c r="R183" s="2" t="inlineStr">
        <is>
          <t>Gammelgransskål
Garnlav
Ullticka
Vedskivlav
Vedtrappmossa</t>
        </is>
      </c>
      <c r="S183">
        <f>HYPERLINK("https://klasma.github.io/Logging_2283/artfynd/A 14079-2023 artfynd.xlsx", "A 14079-2023")</f>
        <v/>
      </c>
      <c r="T183">
        <f>HYPERLINK("https://klasma.github.io/Logging_2283/kartor/A 14079-2023 karta.png", "A 14079-2023")</f>
        <v/>
      </c>
      <c r="V183">
        <f>HYPERLINK("https://klasma.github.io/Logging_2283/klagomål/A 14079-2023 FSC-klagomål.docx", "A 14079-2023")</f>
        <v/>
      </c>
      <c r="W183">
        <f>HYPERLINK("https://klasma.github.io/Logging_2283/klagomålsmail/A 14079-2023 FSC-klagomål mail.docx", "A 14079-2023")</f>
        <v/>
      </c>
      <c r="X183">
        <f>HYPERLINK("https://klasma.github.io/Logging_2283/tillsyn/A 14079-2023 tillsynsbegäran.docx", "A 14079-2023")</f>
        <v/>
      </c>
      <c r="Y183">
        <f>HYPERLINK("https://klasma.github.io/Logging_2283/tillsynsmail/A 14079-2023 tillsynsbegäran mail.docx", "A 14079-2023")</f>
        <v/>
      </c>
    </row>
    <row r="184" ht="15" customHeight="1">
      <c r="A184" t="inlineStr">
        <is>
          <t>A 18163-2023</t>
        </is>
      </c>
      <c r="B184" s="1" t="n">
        <v>45040</v>
      </c>
      <c r="C184" s="1" t="n">
        <v>45740</v>
      </c>
      <c r="D184" t="inlineStr">
        <is>
          <t>VÄSTERNORRLANDS LÄN</t>
        </is>
      </c>
      <c r="E184" t="inlineStr">
        <is>
          <t>SOLLEFTEÅ</t>
        </is>
      </c>
      <c r="F184" t="inlineStr">
        <is>
          <t>SCA</t>
        </is>
      </c>
      <c r="G184" t="n">
        <v>5.2</v>
      </c>
      <c r="H184" t="n">
        <v>1</v>
      </c>
      <c r="I184" t="n">
        <v>0</v>
      </c>
      <c r="J184" t="n">
        <v>5</v>
      </c>
      <c r="K184" t="n">
        <v>0</v>
      </c>
      <c r="L184" t="n">
        <v>0</v>
      </c>
      <c r="M184" t="n">
        <v>0</v>
      </c>
      <c r="N184" t="n">
        <v>0</v>
      </c>
      <c r="O184" t="n">
        <v>5</v>
      </c>
      <c r="P184" t="n">
        <v>0</v>
      </c>
      <c r="Q184" t="n">
        <v>5</v>
      </c>
      <c r="R184" s="2" t="inlineStr">
        <is>
          <t>Garnlav
Granticka
Kolflarnlav
Spillkråka
Ullticka</t>
        </is>
      </c>
      <c r="S184">
        <f>HYPERLINK("https://klasma.github.io/Logging_2283/artfynd/A 18163-2023 artfynd.xlsx", "A 18163-2023")</f>
        <v/>
      </c>
      <c r="T184">
        <f>HYPERLINK("https://klasma.github.io/Logging_2283/kartor/A 18163-2023 karta.png", "A 18163-2023")</f>
        <v/>
      </c>
      <c r="V184">
        <f>HYPERLINK("https://klasma.github.io/Logging_2283/klagomål/A 18163-2023 FSC-klagomål.docx", "A 18163-2023")</f>
        <v/>
      </c>
      <c r="W184">
        <f>HYPERLINK("https://klasma.github.io/Logging_2283/klagomålsmail/A 18163-2023 FSC-klagomål mail.docx", "A 18163-2023")</f>
        <v/>
      </c>
      <c r="X184">
        <f>HYPERLINK("https://klasma.github.io/Logging_2283/tillsyn/A 18163-2023 tillsynsbegäran.docx", "A 18163-2023")</f>
        <v/>
      </c>
      <c r="Y184">
        <f>HYPERLINK("https://klasma.github.io/Logging_2283/tillsynsmail/A 18163-2023 tillsynsbegäran mail.docx", "A 18163-2023")</f>
        <v/>
      </c>
      <c r="Z184">
        <f>HYPERLINK("https://klasma.github.io/Logging_2283/fåglar/A 18163-2023 prioriterade fågelarter.docx", "A 18163-2023")</f>
        <v/>
      </c>
    </row>
    <row r="185" ht="15" customHeight="1">
      <c r="A185" t="inlineStr">
        <is>
          <t>A 27675-2023</t>
        </is>
      </c>
      <c r="B185" s="1" t="n">
        <v>45097</v>
      </c>
      <c r="C185" s="1" t="n">
        <v>45740</v>
      </c>
      <c r="D185" t="inlineStr">
        <is>
          <t>VÄSTERNORRLANDS LÄN</t>
        </is>
      </c>
      <c r="E185" t="inlineStr">
        <is>
          <t>SOLLEFTEÅ</t>
        </is>
      </c>
      <c r="G185" t="n">
        <v>4.7</v>
      </c>
      <c r="H185" t="n">
        <v>1</v>
      </c>
      <c r="I185" t="n">
        <v>1</v>
      </c>
      <c r="J185" t="n">
        <v>3</v>
      </c>
      <c r="K185" t="n">
        <v>1</v>
      </c>
      <c r="L185" t="n">
        <v>0</v>
      </c>
      <c r="M185" t="n">
        <v>0</v>
      </c>
      <c r="N185" t="n">
        <v>0</v>
      </c>
      <c r="O185" t="n">
        <v>4</v>
      </c>
      <c r="P185" t="n">
        <v>1</v>
      </c>
      <c r="Q185" t="n">
        <v>5</v>
      </c>
      <c r="R185" s="2" t="inlineStr">
        <is>
          <t>Knärot
Garnlav
Lunglav
Ullticka
Stuplav</t>
        </is>
      </c>
      <c r="S185">
        <f>HYPERLINK("https://klasma.github.io/Logging_2283/artfynd/A 27675-2023 artfynd.xlsx", "A 27675-2023")</f>
        <v/>
      </c>
      <c r="T185">
        <f>HYPERLINK("https://klasma.github.io/Logging_2283/kartor/A 27675-2023 karta.png", "A 27675-2023")</f>
        <v/>
      </c>
      <c r="U185">
        <f>HYPERLINK("https://klasma.github.io/Logging_2283/knärot/A 27675-2023 karta knärot.png", "A 27675-2023")</f>
        <v/>
      </c>
      <c r="V185">
        <f>HYPERLINK("https://klasma.github.io/Logging_2283/klagomål/A 27675-2023 FSC-klagomål.docx", "A 27675-2023")</f>
        <v/>
      </c>
      <c r="W185">
        <f>HYPERLINK("https://klasma.github.io/Logging_2283/klagomålsmail/A 27675-2023 FSC-klagomål mail.docx", "A 27675-2023")</f>
        <v/>
      </c>
      <c r="X185">
        <f>HYPERLINK("https://klasma.github.io/Logging_2283/tillsyn/A 27675-2023 tillsynsbegäran.docx", "A 27675-2023")</f>
        <v/>
      </c>
      <c r="Y185">
        <f>HYPERLINK("https://klasma.github.io/Logging_2283/tillsynsmail/A 27675-2023 tillsynsbegäran mail.docx", "A 27675-2023")</f>
        <v/>
      </c>
    </row>
    <row r="186" ht="15" customHeight="1">
      <c r="A186" t="inlineStr">
        <is>
          <t>A 32217-2023</t>
        </is>
      </c>
      <c r="B186" s="1" t="n">
        <v>45119</v>
      </c>
      <c r="C186" s="1" t="n">
        <v>45740</v>
      </c>
      <c r="D186" t="inlineStr">
        <is>
          <t>VÄSTERNORRLANDS LÄN</t>
        </is>
      </c>
      <c r="E186" t="inlineStr">
        <is>
          <t>SOLLEFTEÅ</t>
        </is>
      </c>
      <c r="F186" t="inlineStr">
        <is>
          <t>SCA</t>
        </is>
      </c>
      <c r="G186" t="n">
        <v>1.8</v>
      </c>
      <c r="H186" t="n">
        <v>1</v>
      </c>
      <c r="I186" t="n">
        <v>0</v>
      </c>
      <c r="J186" t="n">
        <v>5</v>
      </c>
      <c r="K186" t="n">
        <v>0</v>
      </c>
      <c r="L186" t="n">
        <v>0</v>
      </c>
      <c r="M186" t="n">
        <v>0</v>
      </c>
      <c r="N186" t="n">
        <v>0</v>
      </c>
      <c r="O186" t="n">
        <v>5</v>
      </c>
      <c r="P186" t="n">
        <v>0</v>
      </c>
      <c r="Q186" t="n">
        <v>5</v>
      </c>
      <c r="R186" s="2" t="inlineStr">
        <is>
          <t>Garnlav
Lunglav
Rosenticka
Skogshare
Tretåig hackspett</t>
        </is>
      </c>
      <c r="S186">
        <f>HYPERLINK("https://klasma.github.io/Logging_2283/artfynd/A 32217-2023 artfynd.xlsx", "A 32217-2023")</f>
        <v/>
      </c>
      <c r="T186">
        <f>HYPERLINK("https://klasma.github.io/Logging_2283/kartor/A 32217-2023 karta.png", "A 32217-2023")</f>
        <v/>
      </c>
      <c r="V186">
        <f>HYPERLINK("https://klasma.github.io/Logging_2283/klagomål/A 32217-2023 FSC-klagomål.docx", "A 32217-2023")</f>
        <v/>
      </c>
      <c r="W186">
        <f>HYPERLINK("https://klasma.github.io/Logging_2283/klagomålsmail/A 32217-2023 FSC-klagomål mail.docx", "A 32217-2023")</f>
        <v/>
      </c>
      <c r="X186">
        <f>HYPERLINK("https://klasma.github.io/Logging_2283/tillsyn/A 32217-2023 tillsynsbegäran.docx", "A 32217-2023")</f>
        <v/>
      </c>
      <c r="Y186">
        <f>HYPERLINK("https://klasma.github.io/Logging_2283/tillsynsmail/A 32217-2023 tillsynsbegäran mail.docx", "A 32217-2023")</f>
        <v/>
      </c>
      <c r="Z186">
        <f>HYPERLINK("https://klasma.github.io/Logging_2283/fåglar/A 32217-2023 prioriterade fågelarter.docx", "A 32217-2023")</f>
        <v/>
      </c>
    </row>
    <row r="187" ht="15" customHeight="1">
      <c r="A187" t="inlineStr">
        <is>
          <t>A 32216-2023</t>
        </is>
      </c>
      <c r="B187" s="1" t="n">
        <v>45120</v>
      </c>
      <c r="C187" s="1" t="n">
        <v>45740</v>
      </c>
      <c r="D187" t="inlineStr">
        <is>
          <t>VÄSTERNORRLANDS LÄN</t>
        </is>
      </c>
      <c r="E187" t="inlineStr">
        <is>
          <t>SOLLEFTEÅ</t>
        </is>
      </c>
      <c r="F187" t="inlineStr">
        <is>
          <t>SCA</t>
        </is>
      </c>
      <c r="G187" t="n">
        <v>2.2</v>
      </c>
      <c r="H187" t="n">
        <v>1</v>
      </c>
      <c r="I187" t="n">
        <v>0</v>
      </c>
      <c r="J187" t="n">
        <v>4</v>
      </c>
      <c r="K187" t="n">
        <v>1</v>
      </c>
      <c r="L187" t="n">
        <v>0</v>
      </c>
      <c r="M187" t="n">
        <v>0</v>
      </c>
      <c r="N187" t="n">
        <v>0</v>
      </c>
      <c r="O187" t="n">
        <v>5</v>
      </c>
      <c r="P187" t="n">
        <v>1</v>
      </c>
      <c r="Q187" t="n">
        <v>5</v>
      </c>
      <c r="R187" s="2" t="inlineStr">
        <is>
          <t>Rynkskinn
Lunglav
Rosenticka
Tretåig hackspett
Ullticka</t>
        </is>
      </c>
      <c r="S187">
        <f>HYPERLINK("https://klasma.github.io/Logging_2283/artfynd/A 32216-2023 artfynd.xlsx", "A 32216-2023")</f>
        <v/>
      </c>
      <c r="T187">
        <f>HYPERLINK("https://klasma.github.io/Logging_2283/kartor/A 32216-2023 karta.png", "A 32216-2023")</f>
        <v/>
      </c>
      <c r="V187">
        <f>HYPERLINK("https://klasma.github.io/Logging_2283/klagomål/A 32216-2023 FSC-klagomål.docx", "A 32216-2023")</f>
        <v/>
      </c>
      <c r="W187">
        <f>HYPERLINK("https://klasma.github.io/Logging_2283/klagomålsmail/A 32216-2023 FSC-klagomål mail.docx", "A 32216-2023")</f>
        <v/>
      </c>
      <c r="X187">
        <f>HYPERLINK("https://klasma.github.io/Logging_2283/tillsyn/A 32216-2023 tillsynsbegäran.docx", "A 32216-2023")</f>
        <v/>
      </c>
      <c r="Y187">
        <f>HYPERLINK("https://klasma.github.io/Logging_2283/tillsynsmail/A 32216-2023 tillsynsbegäran mail.docx", "A 32216-2023")</f>
        <v/>
      </c>
      <c r="Z187">
        <f>HYPERLINK("https://klasma.github.io/Logging_2283/fåglar/A 32216-2023 prioriterade fågelarter.docx", "A 32216-2023")</f>
        <v/>
      </c>
    </row>
    <row r="188" ht="15" customHeight="1">
      <c r="A188" t="inlineStr">
        <is>
          <t>A 59662-2023</t>
        </is>
      </c>
      <c r="B188" s="1" t="n">
        <v>45255</v>
      </c>
      <c r="C188" s="1" t="n">
        <v>45740</v>
      </c>
      <c r="D188" t="inlineStr">
        <is>
          <t>VÄSTERNORRLANDS LÄN</t>
        </is>
      </c>
      <c r="E188" t="inlineStr">
        <is>
          <t>SOLLEFTEÅ</t>
        </is>
      </c>
      <c r="F188" t="inlineStr">
        <is>
          <t>SCA</t>
        </is>
      </c>
      <c r="G188" t="n">
        <v>4.8</v>
      </c>
      <c r="H188" t="n">
        <v>1</v>
      </c>
      <c r="I188" t="n">
        <v>0</v>
      </c>
      <c r="J188" t="n">
        <v>4</v>
      </c>
      <c r="K188" t="n">
        <v>1</v>
      </c>
      <c r="L188" t="n">
        <v>0</v>
      </c>
      <c r="M188" t="n">
        <v>0</v>
      </c>
      <c r="N188" t="n">
        <v>0</v>
      </c>
      <c r="O188" t="n">
        <v>5</v>
      </c>
      <c r="P188" t="n">
        <v>1</v>
      </c>
      <c r="Q188" t="n">
        <v>5</v>
      </c>
      <c r="R188" s="2" t="inlineStr">
        <is>
          <t>Knärot
Dvärgbägarlav
Kolflarnlav
Koralltaggsvamp
Tallticka</t>
        </is>
      </c>
      <c r="S188">
        <f>HYPERLINK("https://klasma.github.io/Logging_2283/artfynd/A 59662-2023 artfynd.xlsx", "A 59662-2023")</f>
        <v/>
      </c>
      <c r="T188">
        <f>HYPERLINK("https://klasma.github.io/Logging_2283/kartor/A 59662-2023 karta.png", "A 59662-2023")</f>
        <v/>
      </c>
      <c r="U188">
        <f>HYPERLINK("https://klasma.github.io/Logging_2283/knärot/A 59662-2023 karta knärot.png", "A 59662-2023")</f>
        <v/>
      </c>
      <c r="V188">
        <f>HYPERLINK("https://klasma.github.io/Logging_2283/klagomål/A 59662-2023 FSC-klagomål.docx", "A 59662-2023")</f>
        <v/>
      </c>
      <c r="W188">
        <f>HYPERLINK("https://klasma.github.io/Logging_2283/klagomålsmail/A 59662-2023 FSC-klagomål mail.docx", "A 59662-2023")</f>
        <v/>
      </c>
      <c r="X188">
        <f>HYPERLINK("https://klasma.github.io/Logging_2283/tillsyn/A 59662-2023 tillsynsbegäran.docx", "A 59662-2023")</f>
        <v/>
      </c>
      <c r="Y188">
        <f>HYPERLINK("https://klasma.github.io/Logging_2283/tillsynsmail/A 59662-2023 tillsynsbegäran mail.docx", "A 59662-2023")</f>
        <v/>
      </c>
    </row>
    <row r="189" ht="15" customHeight="1">
      <c r="A189" t="inlineStr">
        <is>
          <t>A 2067-2024</t>
        </is>
      </c>
      <c r="B189" s="1" t="n">
        <v>45308</v>
      </c>
      <c r="C189" s="1" t="n">
        <v>45740</v>
      </c>
      <c r="D189" t="inlineStr">
        <is>
          <t>VÄSTERNORRLANDS LÄN</t>
        </is>
      </c>
      <c r="E189" t="inlineStr">
        <is>
          <t>SOLLEFTEÅ</t>
        </is>
      </c>
      <c r="F189" t="inlineStr">
        <is>
          <t>SCA</t>
        </is>
      </c>
      <c r="G189" t="n">
        <v>3.1</v>
      </c>
      <c r="H189" t="n">
        <v>1</v>
      </c>
      <c r="I189" t="n">
        <v>2</v>
      </c>
      <c r="J189" t="n">
        <v>3</v>
      </c>
      <c r="K189" t="n">
        <v>0</v>
      </c>
      <c r="L189" t="n">
        <v>0</v>
      </c>
      <c r="M189" t="n">
        <v>0</v>
      </c>
      <c r="N189" t="n">
        <v>0</v>
      </c>
      <c r="O189" t="n">
        <v>3</v>
      </c>
      <c r="P189" t="n">
        <v>0</v>
      </c>
      <c r="Q189" t="n">
        <v>5</v>
      </c>
      <c r="R189" s="2" t="inlineStr">
        <is>
          <t>Garnlav
Lunglav
Tretåig hackspett
Dropptaggsvamp
Stuplav</t>
        </is>
      </c>
      <c r="S189">
        <f>HYPERLINK("https://klasma.github.io/Logging_2283/artfynd/A 2067-2024 artfynd.xlsx", "A 2067-2024")</f>
        <v/>
      </c>
      <c r="T189">
        <f>HYPERLINK("https://klasma.github.io/Logging_2283/kartor/A 2067-2024 karta.png", "A 2067-2024")</f>
        <v/>
      </c>
      <c r="V189">
        <f>HYPERLINK("https://klasma.github.io/Logging_2283/klagomål/A 2067-2024 FSC-klagomål.docx", "A 2067-2024")</f>
        <v/>
      </c>
      <c r="W189">
        <f>HYPERLINK("https://klasma.github.io/Logging_2283/klagomålsmail/A 2067-2024 FSC-klagomål mail.docx", "A 2067-2024")</f>
        <v/>
      </c>
      <c r="X189">
        <f>HYPERLINK("https://klasma.github.io/Logging_2283/tillsyn/A 2067-2024 tillsynsbegäran.docx", "A 2067-2024")</f>
        <v/>
      </c>
      <c r="Y189">
        <f>HYPERLINK("https://klasma.github.io/Logging_2283/tillsynsmail/A 2067-2024 tillsynsbegäran mail.docx", "A 2067-2024")</f>
        <v/>
      </c>
      <c r="Z189">
        <f>HYPERLINK("https://klasma.github.io/Logging_2283/fåglar/A 2067-2024 prioriterade fågelarter.docx", "A 2067-2024")</f>
        <v/>
      </c>
    </row>
    <row r="190" ht="15" customHeight="1">
      <c r="A190" t="inlineStr">
        <is>
          <t>A 11540-2024</t>
        </is>
      </c>
      <c r="B190" s="1" t="n">
        <v>45372</v>
      </c>
      <c r="C190" s="1" t="n">
        <v>45740</v>
      </c>
      <c r="D190" t="inlineStr">
        <is>
          <t>VÄSTERNORRLANDS LÄN</t>
        </is>
      </c>
      <c r="E190" t="inlineStr">
        <is>
          <t>SOLLEFTEÅ</t>
        </is>
      </c>
      <c r="F190" t="inlineStr">
        <is>
          <t>SCA</t>
        </is>
      </c>
      <c r="G190" t="n">
        <v>2.2</v>
      </c>
      <c r="H190" t="n">
        <v>5</v>
      </c>
      <c r="I190" t="n">
        <v>0</v>
      </c>
      <c r="J190" t="n">
        <v>2</v>
      </c>
      <c r="K190" t="n">
        <v>0</v>
      </c>
      <c r="L190" t="n">
        <v>0</v>
      </c>
      <c r="M190" t="n">
        <v>0</v>
      </c>
      <c r="N190" t="n">
        <v>0</v>
      </c>
      <c r="O190" t="n">
        <v>2</v>
      </c>
      <c r="P190" t="n">
        <v>0</v>
      </c>
      <c r="Q190" t="n">
        <v>5</v>
      </c>
      <c r="R190" s="2" t="inlineStr">
        <is>
          <t>Björktrast
Tretåig hackspett
Grönsiska
Kungsfågel
Tjäder</t>
        </is>
      </c>
      <c r="S190">
        <f>HYPERLINK("https://klasma.github.io/Logging_2283/artfynd/A 11540-2024 artfynd.xlsx", "A 11540-2024")</f>
        <v/>
      </c>
      <c r="T190">
        <f>HYPERLINK("https://klasma.github.io/Logging_2283/kartor/A 11540-2024 karta.png", "A 11540-2024")</f>
        <v/>
      </c>
      <c r="V190">
        <f>HYPERLINK("https://klasma.github.io/Logging_2283/klagomål/A 11540-2024 FSC-klagomål.docx", "A 11540-2024")</f>
        <v/>
      </c>
      <c r="W190">
        <f>HYPERLINK("https://klasma.github.io/Logging_2283/klagomålsmail/A 11540-2024 FSC-klagomål mail.docx", "A 11540-2024")</f>
        <v/>
      </c>
      <c r="X190">
        <f>HYPERLINK("https://klasma.github.io/Logging_2283/tillsyn/A 11540-2024 tillsynsbegäran.docx", "A 11540-2024")</f>
        <v/>
      </c>
      <c r="Y190">
        <f>HYPERLINK("https://klasma.github.io/Logging_2283/tillsynsmail/A 11540-2024 tillsynsbegäran mail.docx", "A 11540-2024")</f>
        <v/>
      </c>
      <c r="Z190">
        <f>HYPERLINK("https://klasma.github.io/Logging_2283/fåglar/A 11540-2024 prioriterade fågelarter.docx", "A 11540-2024")</f>
        <v/>
      </c>
    </row>
    <row r="191" ht="15" customHeight="1">
      <c r="A191" t="inlineStr">
        <is>
          <t>A 19081-2024</t>
        </is>
      </c>
      <c r="B191" s="1" t="n">
        <v>45428</v>
      </c>
      <c r="C191" s="1" t="n">
        <v>45740</v>
      </c>
      <c r="D191" t="inlineStr">
        <is>
          <t>VÄSTERNORRLANDS LÄN</t>
        </is>
      </c>
      <c r="E191" t="inlineStr">
        <is>
          <t>SOLLEFTEÅ</t>
        </is>
      </c>
      <c r="F191" t="inlineStr">
        <is>
          <t>SCA</t>
        </is>
      </c>
      <c r="G191" t="n">
        <v>21.5</v>
      </c>
      <c r="H191" t="n">
        <v>2</v>
      </c>
      <c r="I191" t="n">
        <v>0</v>
      </c>
      <c r="J191" t="n">
        <v>4</v>
      </c>
      <c r="K191" t="n">
        <v>0</v>
      </c>
      <c r="L191" t="n">
        <v>0</v>
      </c>
      <c r="M191" t="n">
        <v>0</v>
      </c>
      <c r="N191" t="n">
        <v>0</v>
      </c>
      <c r="O191" t="n">
        <v>4</v>
      </c>
      <c r="P191" t="n">
        <v>0</v>
      </c>
      <c r="Q191" t="n">
        <v>5</v>
      </c>
      <c r="R191" s="2" t="inlineStr">
        <is>
          <t>Garnlav
Granticka
Järpe
Ullticka
Fläcknycklar</t>
        </is>
      </c>
      <c r="S191">
        <f>HYPERLINK("https://klasma.github.io/Logging_2283/artfynd/A 19081-2024 artfynd.xlsx", "A 19081-2024")</f>
        <v/>
      </c>
      <c r="T191">
        <f>HYPERLINK("https://klasma.github.io/Logging_2283/kartor/A 19081-2024 karta.png", "A 19081-2024")</f>
        <v/>
      </c>
      <c r="V191">
        <f>HYPERLINK("https://klasma.github.io/Logging_2283/klagomål/A 19081-2024 FSC-klagomål.docx", "A 19081-2024")</f>
        <v/>
      </c>
      <c r="W191">
        <f>HYPERLINK("https://klasma.github.io/Logging_2283/klagomålsmail/A 19081-2024 FSC-klagomål mail.docx", "A 19081-2024")</f>
        <v/>
      </c>
      <c r="X191">
        <f>HYPERLINK("https://klasma.github.io/Logging_2283/tillsyn/A 19081-2024 tillsynsbegäran.docx", "A 19081-2024")</f>
        <v/>
      </c>
      <c r="Y191">
        <f>HYPERLINK("https://klasma.github.io/Logging_2283/tillsynsmail/A 19081-2024 tillsynsbegäran mail.docx", "A 19081-2024")</f>
        <v/>
      </c>
      <c r="Z191">
        <f>HYPERLINK("https://klasma.github.io/Logging_2283/fåglar/A 19081-2024 prioriterade fågelarter.docx", "A 19081-2024")</f>
        <v/>
      </c>
    </row>
    <row r="192" ht="15" customHeight="1">
      <c r="A192" t="inlineStr">
        <is>
          <t>A 22125-2024</t>
        </is>
      </c>
      <c r="B192" s="1" t="n">
        <v>45443</v>
      </c>
      <c r="C192" s="1" t="n">
        <v>45740</v>
      </c>
      <c r="D192" t="inlineStr">
        <is>
          <t>VÄSTERNORRLANDS LÄN</t>
        </is>
      </c>
      <c r="E192" t="inlineStr">
        <is>
          <t>SOLLEFTEÅ</t>
        </is>
      </c>
      <c r="F192" t="inlineStr">
        <is>
          <t>SCA</t>
        </is>
      </c>
      <c r="G192" t="n">
        <v>1.8</v>
      </c>
      <c r="H192" t="n">
        <v>2</v>
      </c>
      <c r="I192" t="n">
        <v>0</v>
      </c>
      <c r="J192" t="n">
        <v>4</v>
      </c>
      <c r="K192" t="n">
        <v>1</v>
      </c>
      <c r="L192" t="n">
        <v>0</v>
      </c>
      <c r="M192" t="n">
        <v>0</v>
      </c>
      <c r="N192" t="n">
        <v>0</v>
      </c>
      <c r="O192" t="n">
        <v>5</v>
      </c>
      <c r="P192" t="n">
        <v>1</v>
      </c>
      <c r="Q192" t="n">
        <v>5</v>
      </c>
      <c r="R192" s="2" t="inlineStr">
        <is>
          <t>Knärot
Garnlav
Kolflarnlav
Lunglav
Tretåig hackspett</t>
        </is>
      </c>
      <c r="S192">
        <f>HYPERLINK("https://klasma.github.io/Logging_2283/artfynd/A 22125-2024 artfynd.xlsx", "A 22125-2024")</f>
        <v/>
      </c>
      <c r="T192">
        <f>HYPERLINK("https://klasma.github.io/Logging_2283/kartor/A 22125-2024 karta.png", "A 22125-2024")</f>
        <v/>
      </c>
      <c r="U192">
        <f>HYPERLINK("https://klasma.github.io/Logging_2283/knärot/A 22125-2024 karta knärot.png", "A 22125-2024")</f>
        <v/>
      </c>
      <c r="V192">
        <f>HYPERLINK("https://klasma.github.io/Logging_2283/klagomål/A 22125-2024 FSC-klagomål.docx", "A 22125-2024")</f>
        <v/>
      </c>
      <c r="W192">
        <f>HYPERLINK("https://klasma.github.io/Logging_2283/klagomålsmail/A 22125-2024 FSC-klagomål mail.docx", "A 22125-2024")</f>
        <v/>
      </c>
      <c r="X192">
        <f>HYPERLINK("https://klasma.github.io/Logging_2283/tillsyn/A 22125-2024 tillsynsbegäran.docx", "A 22125-2024")</f>
        <v/>
      </c>
      <c r="Y192">
        <f>HYPERLINK("https://klasma.github.io/Logging_2283/tillsynsmail/A 22125-2024 tillsynsbegäran mail.docx", "A 22125-2024")</f>
        <v/>
      </c>
      <c r="Z192">
        <f>HYPERLINK("https://klasma.github.io/Logging_2283/fåglar/A 22125-2024 prioriterade fågelarter.docx", "A 22125-2024")</f>
        <v/>
      </c>
    </row>
    <row r="193" ht="15" customHeight="1">
      <c r="A193" t="inlineStr">
        <is>
          <t>A 26468-2024</t>
        </is>
      </c>
      <c r="B193" s="1" t="n">
        <v>45469</v>
      </c>
      <c r="C193" s="1" t="n">
        <v>45740</v>
      </c>
      <c r="D193" t="inlineStr">
        <is>
          <t>VÄSTERNORRLANDS LÄN</t>
        </is>
      </c>
      <c r="E193" t="inlineStr">
        <is>
          <t>SOLLEFTEÅ</t>
        </is>
      </c>
      <c r="F193" t="inlineStr">
        <is>
          <t>Holmen skog AB</t>
        </is>
      </c>
      <c r="G193" t="n">
        <v>2</v>
      </c>
      <c r="H193" t="n">
        <v>1</v>
      </c>
      <c r="I193" t="n">
        <v>0</v>
      </c>
      <c r="J193" t="n">
        <v>5</v>
      </c>
      <c r="K193" t="n">
        <v>0</v>
      </c>
      <c r="L193" t="n">
        <v>0</v>
      </c>
      <c r="M193" t="n">
        <v>0</v>
      </c>
      <c r="N193" t="n">
        <v>0</v>
      </c>
      <c r="O193" t="n">
        <v>5</v>
      </c>
      <c r="P193" t="n">
        <v>0</v>
      </c>
      <c r="Q193" t="n">
        <v>5</v>
      </c>
      <c r="R193" s="2" t="inlineStr">
        <is>
          <t>Garnlav
Lunglav
Rosenticka
Talltita
Ullticka</t>
        </is>
      </c>
      <c r="S193">
        <f>HYPERLINK("https://klasma.github.io/Logging_2283/artfynd/A 26468-2024 artfynd.xlsx", "A 26468-2024")</f>
        <v/>
      </c>
      <c r="T193">
        <f>HYPERLINK("https://klasma.github.io/Logging_2283/kartor/A 26468-2024 karta.png", "A 26468-2024")</f>
        <v/>
      </c>
      <c r="V193">
        <f>HYPERLINK("https://klasma.github.io/Logging_2283/klagomål/A 26468-2024 FSC-klagomål.docx", "A 26468-2024")</f>
        <v/>
      </c>
      <c r="W193">
        <f>HYPERLINK("https://klasma.github.io/Logging_2283/klagomålsmail/A 26468-2024 FSC-klagomål mail.docx", "A 26468-2024")</f>
        <v/>
      </c>
      <c r="X193">
        <f>HYPERLINK("https://klasma.github.io/Logging_2283/tillsyn/A 26468-2024 tillsynsbegäran.docx", "A 26468-2024")</f>
        <v/>
      </c>
      <c r="Y193">
        <f>HYPERLINK("https://klasma.github.io/Logging_2283/tillsynsmail/A 26468-2024 tillsynsbegäran mail.docx", "A 26468-2024")</f>
        <v/>
      </c>
      <c r="Z193">
        <f>HYPERLINK("https://klasma.github.io/Logging_2283/fåglar/A 26468-2024 prioriterade fågelarter.docx", "A 26468-2024")</f>
        <v/>
      </c>
    </row>
    <row r="194" ht="15" customHeight="1">
      <c r="A194" t="inlineStr">
        <is>
          <t>A 27910-2024</t>
        </is>
      </c>
      <c r="B194" s="1" t="n">
        <v>45475</v>
      </c>
      <c r="C194" s="1" t="n">
        <v>45740</v>
      </c>
      <c r="D194" t="inlineStr">
        <is>
          <t>VÄSTERNORRLANDS LÄN</t>
        </is>
      </c>
      <c r="E194" t="inlineStr">
        <is>
          <t>SOLLEFTEÅ</t>
        </is>
      </c>
      <c r="F194" t="inlineStr">
        <is>
          <t>SCA</t>
        </is>
      </c>
      <c r="G194" t="n">
        <v>3.2</v>
      </c>
      <c r="H194" t="n">
        <v>0</v>
      </c>
      <c r="I194" t="n">
        <v>1</v>
      </c>
      <c r="J194" t="n">
        <v>3</v>
      </c>
      <c r="K194" t="n">
        <v>1</v>
      </c>
      <c r="L194" t="n">
        <v>0</v>
      </c>
      <c r="M194" t="n">
        <v>0</v>
      </c>
      <c r="N194" t="n">
        <v>0</v>
      </c>
      <c r="O194" t="n">
        <v>4</v>
      </c>
      <c r="P194" t="n">
        <v>1</v>
      </c>
      <c r="Q194" t="n">
        <v>5</v>
      </c>
      <c r="R194" s="2" t="inlineStr">
        <is>
          <t>Rynkskinn
Gammelgransskål
Rosenticka
Ullticka
Vedticka</t>
        </is>
      </c>
      <c r="S194">
        <f>HYPERLINK("https://klasma.github.io/Logging_2283/artfynd/A 27910-2024 artfynd.xlsx", "A 27910-2024")</f>
        <v/>
      </c>
      <c r="T194">
        <f>HYPERLINK("https://klasma.github.io/Logging_2283/kartor/A 27910-2024 karta.png", "A 27910-2024")</f>
        <v/>
      </c>
      <c r="V194">
        <f>HYPERLINK("https://klasma.github.io/Logging_2283/klagomål/A 27910-2024 FSC-klagomål.docx", "A 27910-2024")</f>
        <v/>
      </c>
      <c r="W194">
        <f>HYPERLINK("https://klasma.github.io/Logging_2283/klagomålsmail/A 27910-2024 FSC-klagomål mail.docx", "A 27910-2024")</f>
        <v/>
      </c>
      <c r="X194">
        <f>HYPERLINK("https://klasma.github.io/Logging_2283/tillsyn/A 27910-2024 tillsynsbegäran.docx", "A 27910-2024")</f>
        <v/>
      </c>
      <c r="Y194">
        <f>HYPERLINK("https://klasma.github.io/Logging_2283/tillsynsmail/A 27910-2024 tillsynsbegäran mail.docx", "A 27910-2024")</f>
        <v/>
      </c>
    </row>
    <row r="195" ht="15" customHeight="1">
      <c r="A195" t="inlineStr">
        <is>
          <t>A 33519-2024</t>
        </is>
      </c>
      <c r="B195" s="1" t="n">
        <v>45519</v>
      </c>
      <c r="C195" s="1" t="n">
        <v>45740</v>
      </c>
      <c r="D195" t="inlineStr">
        <is>
          <t>VÄSTERNORRLANDS LÄN</t>
        </is>
      </c>
      <c r="E195" t="inlineStr">
        <is>
          <t>SOLLEFTEÅ</t>
        </is>
      </c>
      <c r="G195" t="n">
        <v>3.6</v>
      </c>
      <c r="H195" t="n">
        <v>0</v>
      </c>
      <c r="I195" t="n">
        <v>1</v>
      </c>
      <c r="J195" t="n">
        <v>4</v>
      </c>
      <c r="K195" t="n">
        <v>0</v>
      </c>
      <c r="L195" t="n">
        <v>0</v>
      </c>
      <c r="M195" t="n">
        <v>0</v>
      </c>
      <c r="N195" t="n">
        <v>0</v>
      </c>
      <c r="O195" t="n">
        <v>4</v>
      </c>
      <c r="P195" t="n">
        <v>0</v>
      </c>
      <c r="Q195" t="n">
        <v>5</v>
      </c>
      <c r="R195" s="2" t="inlineStr">
        <is>
          <t>Garnlav
Kolflarnlav
Skrovlig taggsvamp
Vaddporing
Dropptaggsvamp</t>
        </is>
      </c>
      <c r="S195">
        <f>HYPERLINK("https://klasma.github.io/Logging_2283/artfynd/A 33519-2024 artfynd.xlsx", "A 33519-2024")</f>
        <v/>
      </c>
      <c r="T195">
        <f>HYPERLINK("https://klasma.github.io/Logging_2283/kartor/A 33519-2024 karta.png", "A 33519-2024")</f>
        <v/>
      </c>
      <c r="U195">
        <f>HYPERLINK("https://klasma.github.io/Logging_2283/knärot/A 33519-2024 karta knärot.png", "A 33519-2024")</f>
        <v/>
      </c>
      <c r="V195">
        <f>HYPERLINK("https://klasma.github.io/Logging_2283/klagomål/A 33519-2024 FSC-klagomål.docx", "A 33519-2024")</f>
        <v/>
      </c>
      <c r="W195">
        <f>HYPERLINK("https://klasma.github.io/Logging_2283/klagomålsmail/A 33519-2024 FSC-klagomål mail.docx", "A 33519-2024")</f>
        <v/>
      </c>
      <c r="X195">
        <f>HYPERLINK("https://klasma.github.io/Logging_2283/tillsyn/A 33519-2024 tillsynsbegäran.docx", "A 33519-2024")</f>
        <v/>
      </c>
      <c r="Y195">
        <f>HYPERLINK("https://klasma.github.io/Logging_2283/tillsynsmail/A 33519-2024 tillsynsbegäran mail.docx", "A 33519-2024")</f>
        <v/>
      </c>
    </row>
    <row r="196" ht="15" customHeight="1">
      <c r="A196" t="inlineStr">
        <is>
          <t>A 38113-2024</t>
        </is>
      </c>
      <c r="B196" s="1" t="n">
        <v>45545</v>
      </c>
      <c r="C196" s="1" t="n">
        <v>45740</v>
      </c>
      <c r="D196" t="inlineStr">
        <is>
          <t>VÄSTERNORRLANDS LÄN</t>
        </is>
      </c>
      <c r="E196" t="inlineStr">
        <is>
          <t>SOLLEFTEÅ</t>
        </is>
      </c>
      <c r="F196" t="inlineStr">
        <is>
          <t>SCA</t>
        </is>
      </c>
      <c r="G196" t="n">
        <v>4.1</v>
      </c>
      <c r="H196" t="n">
        <v>3</v>
      </c>
      <c r="I196" t="n">
        <v>0</v>
      </c>
      <c r="J196" t="n">
        <v>3</v>
      </c>
      <c r="K196" t="n">
        <v>1</v>
      </c>
      <c r="L196" t="n">
        <v>0</v>
      </c>
      <c r="M196" t="n">
        <v>0</v>
      </c>
      <c r="N196" t="n">
        <v>0</v>
      </c>
      <c r="O196" t="n">
        <v>4</v>
      </c>
      <c r="P196" t="n">
        <v>1</v>
      </c>
      <c r="Q196" t="n">
        <v>5</v>
      </c>
      <c r="R196" s="2" t="inlineStr">
        <is>
          <t>Knärot
Garnlav
Kolflarnlav
Talltita
Tjäder</t>
        </is>
      </c>
      <c r="S196">
        <f>HYPERLINK("https://klasma.github.io/Logging_2283/artfynd/A 38113-2024 artfynd.xlsx", "A 38113-2024")</f>
        <v/>
      </c>
      <c r="T196">
        <f>HYPERLINK("https://klasma.github.io/Logging_2283/kartor/A 38113-2024 karta.png", "A 38113-2024")</f>
        <v/>
      </c>
      <c r="U196">
        <f>HYPERLINK("https://klasma.github.io/Logging_2283/knärot/A 38113-2024 karta knärot.png", "A 38113-2024")</f>
        <v/>
      </c>
      <c r="V196">
        <f>HYPERLINK("https://klasma.github.io/Logging_2283/klagomål/A 38113-2024 FSC-klagomål.docx", "A 38113-2024")</f>
        <v/>
      </c>
      <c r="W196">
        <f>HYPERLINK("https://klasma.github.io/Logging_2283/klagomålsmail/A 38113-2024 FSC-klagomål mail.docx", "A 38113-2024")</f>
        <v/>
      </c>
      <c r="X196">
        <f>HYPERLINK("https://klasma.github.io/Logging_2283/tillsyn/A 38113-2024 tillsynsbegäran.docx", "A 38113-2024")</f>
        <v/>
      </c>
      <c r="Y196">
        <f>HYPERLINK("https://klasma.github.io/Logging_2283/tillsynsmail/A 38113-2024 tillsynsbegäran mail.docx", "A 38113-2024")</f>
        <v/>
      </c>
      <c r="Z196">
        <f>HYPERLINK("https://klasma.github.io/Logging_2283/fåglar/A 38113-2024 prioriterade fågelarter.docx", "A 38113-2024")</f>
        <v/>
      </c>
    </row>
    <row r="197" ht="15" customHeight="1">
      <c r="A197" t="inlineStr">
        <is>
          <t>A 40055-2024</t>
        </is>
      </c>
      <c r="B197" s="1" t="n">
        <v>45553</v>
      </c>
      <c r="C197" s="1" t="n">
        <v>45740</v>
      </c>
      <c r="D197" t="inlineStr">
        <is>
          <t>VÄSTERNORRLANDS LÄN</t>
        </is>
      </c>
      <c r="E197" t="inlineStr">
        <is>
          <t>SOLLEFTEÅ</t>
        </is>
      </c>
      <c r="G197" t="n">
        <v>10.4</v>
      </c>
      <c r="H197" t="n">
        <v>2</v>
      </c>
      <c r="I197" t="n">
        <v>1</v>
      </c>
      <c r="J197" t="n">
        <v>3</v>
      </c>
      <c r="K197" t="n">
        <v>1</v>
      </c>
      <c r="L197" t="n">
        <v>0</v>
      </c>
      <c r="M197" t="n">
        <v>0</v>
      </c>
      <c r="N197" t="n">
        <v>0</v>
      </c>
      <c r="O197" t="n">
        <v>4</v>
      </c>
      <c r="P197" t="n">
        <v>1</v>
      </c>
      <c r="Q197" t="n">
        <v>5</v>
      </c>
      <c r="R197" s="2" t="inlineStr">
        <is>
          <t>Knärot
Rosenticka
Talltita
Ullticka
Vedticka</t>
        </is>
      </c>
      <c r="S197">
        <f>HYPERLINK("https://klasma.github.io/Logging_2283/artfynd/A 40055-2024 artfynd.xlsx", "A 40055-2024")</f>
        <v/>
      </c>
      <c r="T197">
        <f>HYPERLINK("https://klasma.github.io/Logging_2283/kartor/A 40055-2024 karta.png", "A 40055-2024")</f>
        <v/>
      </c>
      <c r="U197">
        <f>HYPERLINK("https://klasma.github.io/Logging_2283/knärot/A 40055-2024 karta knärot.png", "A 40055-2024")</f>
        <v/>
      </c>
      <c r="V197">
        <f>HYPERLINK("https://klasma.github.io/Logging_2283/klagomål/A 40055-2024 FSC-klagomål.docx", "A 40055-2024")</f>
        <v/>
      </c>
      <c r="W197">
        <f>HYPERLINK("https://klasma.github.io/Logging_2283/klagomålsmail/A 40055-2024 FSC-klagomål mail.docx", "A 40055-2024")</f>
        <v/>
      </c>
      <c r="X197">
        <f>HYPERLINK("https://klasma.github.io/Logging_2283/tillsyn/A 40055-2024 tillsynsbegäran.docx", "A 40055-2024")</f>
        <v/>
      </c>
      <c r="Y197">
        <f>HYPERLINK("https://klasma.github.io/Logging_2283/tillsynsmail/A 40055-2024 tillsynsbegäran mail.docx", "A 40055-2024")</f>
        <v/>
      </c>
      <c r="Z197">
        <f>HYPERLINK("https://klasma.github.io/Logging_2283/fåglar/A 40055-2024 prioriterade fågelarter.docx", "A 40055-2024")</f>
        <v/>
      </c>
    </row>
    <row r="198" ht="15" customHeight="1">
      <c r="A198" t="inlineStr">
        <is>
          <t>A 44372-2024</t>
        </is>
      </c>
      <c r="B198" s="1" t="n">
        <v>45573</v>
      </c>
      <c r="C198" s="1" t="n">
        <v>45740</v>
      </c>
      <c r="D198" t="inlineStr">
        <is>
          <t>VÄSTERNORRLANDS LÄN</t>
        </is>
      </c>
      <c r="E198" t="inlineStr">
        <is>
          <t>SOLLEFTEÅ</t>
        </is>
      </c>
      <c r="F198" t="inlineStr">
        <is>
          <t>SCA</t>
        </is>
      </c>
      <c r="G198" t="n">
        <v>3.3</v>
      </c>
      <c r="H198" t="n">
        <v>1</v>
      </c>
      <c r="I198" t="n">
        <v>1</v>
      </c>
      <c r="J198" t="n">
        <v>4</v>
      </c>
      <c r="K198" t="n">
        <v>0</v>
      </c>
      <c r="L198" t="n">
        <v>0</v>
      </c>
      <c r="M198" t="n">
        <v>0</v>
      </c>
      <c r="N198" t="n">
        <v>0</v>
      </c>
      <c r="O198" t="n">
        <v>4</v>
      </c>
      <c r="P198" t="n">
        <v>0</v>
      </c>
      <c r="Q198" t="n">
        <v>5</v>
      </c>
      <c r="R198" s="2" t="inlineStr">
        <is>
          <t>Gammelgransskål
Garnlav
Rosenticka
Tretåig hackspett
Bollvitmossa</t>
        </is>
      </c>
      <c r="S198">
        <f>HYPERLINK("https://klasma.github.io/Logging_2283/artfynd/A 44372-2024 artfynd.xlsx", "A 44372-2024")</f>
        <v/>
      </c>
      <c r="T198">
        <f>HYPERLINK("https://klasma.github.io/Logging_2283/kartor/A 44372-2024 karta.png", "A 44372-2024")</f>
        <v/>
      </c>
      <c r="V198">
        <f>HYPERLINK("https://klasma.github.io/Logging_2283/klagomål/A 44372-2024 FSC-klagomål.docx", "A 44372-2024")</f>
        <v/>
      </c>
      <c r="W198">
        <f>HYPERLINK("https://klasma.github.io/Logging_2283/klagomålsmail/A 44372-2024 FSC-klagomål mail.docx", "A 44372-2024")</f>
        <v/>
      </c>
      <c r="X198">
        <f>HYPERLINK("https://klasma.github.io/Logging_2283/tillsyn/A 44372-2024 tillsynsbegäran.docx", "A 44372-2024")</f>
        <v/>
      </c>
      <c r="Y198">
        <f>HYPERLINK("https://klasma.github.io/Logging_2283/tillsynsmail/A 44372-2024 tillsynsbegäran mail.docx", "A 44372-2024")</f>
        <v/>
      </c>
      <c r="Z198">
        <f>HYPERLINK("https://klasma.github.io/Logging_2283/fåglar/A 44372-2024 prioriterade fågelarter.docx", "A 44372-2024")</f>
        <v/>
      </c>
    </row>
    <row r="199" ht="15" customHeight="1">
      <c r="A199" t="inlineStr">
        <is>
          <t>A 48562-2024</t>
        </is>
      </c>
      <c r="B199" s="1" t="n">
        <v>45593</v>
      </c>
      <c r="C199" s="1" t="n">
        <v>45740</v>
      </c>
      <c r="D199" t="inlineStr">
        <is>
          <t>VÄSTERNORRLANDS LÄN</t>
        </is>
      </c>
      <c r="E199" t="inlineStr">
        <is>
          <t>SOLLEFTEÅ</t>
        </is>
      </c>
      <c r="F199" t="inlineStr">
        <is>
          <t>SCA</t>
        </is>
      </c>
      <c r="G199" t="n">
        <v>5.3</v>
      </c>
      <c r="H199" t="n">
        <v>1</v>
      </c>
      <c r="I199" t="n">
        <v>1</v>
      </c>
      <c r="J199" t="n">
        <v>4</v>
      </c>
      <c r="K199" t="n">
        <v>0</v>
      </c>
      <c r="L199" t="n">
        <v>0</v>
      </c>
      <c r="M199" t="n">
        <v>0</v>
      </c>
      <c r="N199" t="n">
        <v>0</v>
      </c>
      <c r="O199" t="n">
        <v>4</v>
      </c>
      <c r="P199" t="n">
        <v>0</v>
      </c>
      <c r="Q199" t="n">
        <v>5</v>
      </c>
      <c r="R199" s="2" t="inlineStr">
        <is>
          <t>Gammelgransskål
Garnlav
Lunglav
Vitgrynig nållav
Lappranunkel</t>
        </is>
      </c>
      <c r="S199">
        <f>HYPERLINK("https://klasma.github.io/Logging_2283/artfynd/A 48562-2024 artfynd.xlsx", "A 48562-2024")</f>
        <v/>
      </c>
      <c r="T199">
        <f>HYPERLINK("https://klasma.github.io/Logging_2283/kartor/A 48562-2024 karta.png", "A 48562-2024")</f>
        <v/>
      </c>
      <c r="V199">
        <f>HYPERLINK("https://klasma.github.io/Logging_2283/klagomål/A 48562-2024 FSC-klagomål.docx", "A 48562-2024")</f>
        <v/>
      </c>
      <c r="W199">
        <f>HYPERLINK("https://klasma.github.io/Logging_2283/klagomålsmail/A 48562-2024 FSC-klagomål mail.docx", "A 48562-2024")</f>
        <v/>
      </c>
      <c r="X199">
        <f>HYPERLINK("https://klasma.github.io/Logging_2283/tillsyn/A 48562-2024 tillsynsbegäran.docx", "A 48562-2024")</f>
        <v/>
      </c>
      <c r="Y199">
        <f>HYPERLINK("https://klasma.github.io/Logging_2283/tillsynsmail/A 48562-2024 tillsynsbegäran mail.docx", "A 48562-2024")</f>
        <v/>
      </c>
    </row>
    <row r="200" ht="15" customHeight="1">
      <c r="A200" t="inlineStr">
        <is>
          <t>A 50418-2024</t>
        </is>
      </c>
      <c r="B200" s="1" t="n">
        <v>45601</v>
      </c>
      <c r="C200" s="1" t="n">
        <v>45740</v>
      </c>
      <c r="D200" t="inlineStr">
        <is>
          <t>VÄSTERNORRLANDS LÄN</t>
        </is>
      </c>
      <c r="E200" t="inlineStr">
        <is>
          <t>SOLLEFTEÅ</t>
        </is>
      </c>
      <c r="F200" t="inlineStr">
        <is>
          <t>SCA</t>
        </is>
      </c>
      <c r="G200" t="n">
        <v>3.4</v>
      </c>
      <c r="H200" t="n">
        <v>0</v>
      </c>
      <c r="I200" t="n">
        <v>0</v>
      </c>
      <c r="J200" t="n">
        <v>4</v>
      </c>
      <c r="K200" t="n">
        <v>1</v>
      </c>
      <c r="L200" t="n">
        <v>0</v>
      </c>
      <c r="M200" t="n">
        <v>0</v>
      </c>
      <c r="N200" t="n">
        <v>0</v>
      </c>
      <c r="O200" t="n">
        <v>5</v>
      </c>
      <c r="P200" t="n">
        <v>1</v>
      </c>
      <c r="Q200" t="n">
        <v>5</v>
      </c>
      <c r="R200" s="2" t="inlineStr">
        <is>
          <t>Rynkskinn
Garnlav
Granticka
Harticka
Lunglav</t>
        </is>
      </c>
      <c r="S200">
        <f>HYPERLINK("https://klasma.github.io/Logging_2283/artfynd/A 50418-2024 artfynd.xlsx", "A 50418-2024")</f>
        <v/>
      </c>
      <c r="T200">
        <f>HYPERLINK("https://klasma.github.io/Logging_2283/kartor/A 50418-2024 karta.png", "A 50418-2024")</f>
        <v/>
      </c>
      <c r="V200">
        <f>HYPERLINK("https://klasma.github.io/Logging_2283/klagomål/A 50418-2024 FSC-klagomål.docx", "A 50418-2024")</f>
        <v/>
      </c>
      <c r="W200">
        <f>HYPERLINK("https://klasma.github.io/Logging_2283/klagomålsmail/A 50418-2024 FSC-klagomål mail.docx", "A 50418-2024")</f>
        <v/>
      </c>
      <c r="X200">
        <f>HYPERLINK("https://klasma.github.io/Logging_2283/tillsyn/A 50418-2024 tillsynsbegäran.docx", "A 50418-2024")</f>
        <v/>
      </c>
      <c r="Y200">
        <f>HYPERLINK("https://klasma.github.io/Logging_2283/tillsynsmail/A 50418-2024 tillsynsbegäran mail.docx", "A 50418-2024")</f>
        <v/>
      </c>
    </row>
    <row r="201" ht="15" customHeight="1">
      <c r="A201" t="inlineStr">
        <is>
          <t>A 50771-2024</t>
        </is>
      </c>
      <c r="B201" s="1" t="n">
        <v>45602</v>
      </c>
      <c r="C201" s="1" t="n">
        <v>45740</v>
      </c>
      <c r="D201" t="inlineStr">
        <is>
          <t>VÄSTERNORRLANDS LÄN</t>
        </is>
      </c>
      <c r="E201" t="inlineStr">
        <is>
          <t>SOLLEFTEÅ</t>
        </is>
      </c>
      <c r="F201" t="inlineStr">
        <is>
          <t>SCA</t>
        </is>
      </c>
      <c r="G201" t="n">
        <v>5</v>
      </c>
      <c r="H201" t="n">
        <v>0</v>
      </c>
      <c r="I201" t="n">
        <v>3</v>
      </c>
      <c r="J201" t="n">
        <v>1</v>
      </c>
      <c r="K201" t="n">
        <v>1</v>
      </c>
      <c r="L201" t="n">
        <v>0</v>
      </c>
      <c r="M201" t="n">
        <v>0</v>
      </c>
      <c r="N201" t="n">
        <v>0</v>
      </c>
      <c r="O201" t="n">
        <v>2</v>
      </c>
      <c r="P201" t="n">
        <v>1</v>
      </c>
      <c r="Q201" t="n">
        <v>5</v>
      </c>
      <c r="R201" s="2" t="inlineStr">
        <is>
          <t>Aspgelélav
Lunglav
Skinnlav
Stor aspticka
Vedticka</t>
        </is>
      </c>
      <c r="S201">
        <f>HYPERLINK("https://klasma.github.io/Logging_2283/artfynd/A 50771-2024 artfynd.xlsx", "A 50771-2024")</f>
        <v/>
      </c>
      <c r="T201">
        <f>HYPERLINK("https://klasma.github.io/Logging_2283/kartor/A 50771-2024 karta.png", "A 50771-2024")</f>
        <v/>
      </c>
      <c r="V201">
        <f>HYPERLINK("https://klasma.github.io/Logging_2283/klagomål/A 50771-2024 FSC-klagomål.docx", "A 50771-2024")</f>
        <v/>
      </c>
      <c r="W201">
        <f>HYPERLINK("https://klasma.github.io/Logging_2283/klagomålsmail/A 50771-2024 FSC-klagomål mail.docx", "A 50771-2024")</f>
        <v/>
      </c>
      <c r="X201">
        <f>HYPERLINK("https://klasma.github.io/Logging_2283/tillsyn/A 50771-2024 tillsynsbegäran.docx", "A 50771-2024")</f>
        <v/>
      </c>
      <c r="Y201">
        <f>HYPERLINK("https://klasma.github.io/Logging_2283/tillsynsmail/A 50771-2024 tillsynsbegäran mail.docx", "A 50771-2024")</f>
        <v/>
      </c>
    </row>
    <row r="202" ht="15" customHeight="1">
      <c r="A202" t="inlineStr">
        <is>
          <t>A 51340-2024</t>
        </is>
      </c>
      <c r="B202" s="1" t="n">
        <v>45604</v>
      </c>
      <c r="C202" s="1" t="n">
        <v>45740</v>
      </c>
      <c r="D202" t="inlineStr">
        <is>
          <t>VÄSTERNORRLANDS LÄN</t>
        </is>
      </c>
      <c r="E202" t="inlineStr">
        <is>
          <t>SOLLEFTEÅ</t>
        </is>
      </c>
      <c r="F202" t="inlineStr">
        <is>
          <t>SCA</t>
        </is>
      </c>
      <c r="G202" t="n">
        <v>18.8</v>
      </c>
      <c r="H202" t="n">
        <v>2</v>
      </c>
      <c r="I202" t="n">
        <v>1</v>
      </c>
      <c r="J202" t="n">
        <v>3</v>
      </c>
      <c r="K202" t="n">
        <v>1</v>
      </c>
      <c r="L202" t="n">
        <v>0</v>
      </c>
      <c r="M202" t="n">
        <v>0</v>
      </c>
      <c r="N202" t="n">
        <v>0</v>
      </c>
      <c r="O202" t="n">
        <v>4</v>
      </c>
      <c r="P202" t="n">
        <v>1</v>
      </c>
      <c r="Q202" t="n">
        <v>5</v>
      </c>
      <c r="R202" s="2" t="inlineStr">
        <is>
          <t>Knärot
Kolflarnlav
Lunglav
Talltita
Dropptaggsvamp</t>
        </is>
      </c>
      <c r="S202">
        <f>HYPERLINK("https://klasma.github.io/Logging_2283/artfynd/A 51340-2024 artfynd.xlsx", "A 51340-2024")</f>
        <v/>
      </c>
      <c r="T202">
        <f>HYPERLINK("https://klasma.github.io/Logging_2283/kartor/A 51340-2024 karta.png", "A 51340-2024")</f>
        <v/>
      </c>
      <c r="U202">
        <f>HYPERLINK("https://klasma.github.io/Logging_2283/knärot/A 51340-2024 karta knärot.png", "A 51340-2024")</f>
        <v/>
      </c>
      <c r="V202">
        <f>HYPERLINK("https://klasma.github.io/Logging_2283/klagomål/A 51340-2024 FSC-klagomål.docx", "A 51340-2024")</f>
        <v/>
      </c>
      <c r="W202">
        <f>HYPERLINK("https://klasma.github.io/Logging_2283/klagomålsmail/A 51340-2024 FSC-klagomål mail.docx", "A 51340-2024")</f>
        <v/>
      </c>
      <c r="X202">
        <f>HYPERLINK("https://klasma.github.io/Logging_2283/tillsyn/A 51340-2024 tillsynsbegäran.docx", "A 51340-2024")</f>
        <v/>
      </c>
      <c r="Y202">
        <f>HYPERLINK("https://klasma.github.io/Logging_2283/tillsynsmail/A 51340-2024 tillsynsbegäran mail.docx", "A 51340-2024")</f>
        <v/>
      </c>
      <c r="Z202">
        <f>HYPERLINK("https://klasma.github.io/Logging_2283/fåglar/A 51340-2024 prioriterade fågelarter.docx", "A 51340-2024")</f>
        <v/>
      </c>
    </row>
    <row r="203" ht="15" customHeight="1">
      <c r="A203" t="inlineStr">
        <is>
          <t>A 3923-2025</t>
        </is>
      </c>
      <c r="B203" s="1" t="n">
        <v>45684</v>
      </c>
      <c r="C203" s="1" t="n">
        <v>45740</v>
      </c>
      <c r="D203" t="inlineStr">
        <is>
          <t>VÄSTERNORRLANDS LÄN</t>
        </is>
      </c>
      <c r="E203" t="inlineStr">
        <is>
          <t>SOLLEFTEÅ</t>
        </is>
      </c>
      <c r="F203" t="inlineStr">
        <is>
          <t>SCA</t>
        </is>
      </c>
      <c r="G203" t="n">
        <v>13.8</v>
      </c>
      <c r="H203" t="n">
        <v>2</v>
      </c>
      <c r="I203" t="n">
        <v>0</v>
      </c>
      <c r="J203" t="n">
        <v>5</v>
      </c>
      <c r="K203" t="n">
        <v>0</v>
      </c>
      <c r="L203" t="n">
        <v>0</v>
      </c>
      <c r="M203" t="n">
        <v>0</v>
      </c>
      <c r="N203" t="n">
        <v>0</v>
      </c>
      <c r="O203" t="n">
        <v>5</v>
      </c>
      <c r="P203" t="n">
        <v>0</v>
      </c>
      <c r="Q203" t="n">
        <v>5</v>
      </c>
      <c r="R203" s="2" t="inlineStr">
        <is>
          <t>Garnlav
Skogshare
Spillkråka
Tallticka
Tretåig hackspett</t>
        </is>
      </c>
      <c r="S203">
        <f>HYPERLINK("https://klasma.github.io/Logging_2283/artfynd/A 3923-2025 artfynd.xlsx", "A 3923-2025")</f>
        <v/>
      </c>
      <c r="T203">
        <f>HYPERLINK("https://klasma.github.io/Logging_2283/kartor/A 3923-2025 karta.png", "A 3923-2025")</f>
        <v/>
      </c>
      <c r="V203">
        <f>HYPERLINK("https://klasma.github.io/Logging_2283/klagomål/A 3923-2025 FSC-klagomål.docx", "A 3923-2025")</f>
        <v/>
      </c>
      <c r="W203">
        <f>HYPERLINK("https://klasma.github.io/Logging_2283/klagomålsmail/A 3923-2025 FSC-klagomål mail.docx", "A 3923-2025")</f>
        <v/>
      </c>
      <c r="X203">
        <f>HYPERLINK("https://klasma.github.io/Logging_2283/tillsyn/A 3923-2025 tillsynsbegäran.docx", "A 3923-2025")</f>
        <v/>
      </c>
      <c r="Y203">
        <f>HYPERLINK("https://klasma.github.io/Logging_2283/tillsynsmail/A 3923-2025 tillsynsbegäran mail.docx", "A 3923-2025")</f>
        <v/>
      </c>
      <c r="Z203">
        <f>HYPERLINK("https://klasma.github.io/Logging_2283/fåglar/A 3923-2025 prioriterade fågelarter.docx", "A 3923-2025")</f>
        <v/>
      </c>
    </row>
    <row r="204" ht="15" customHeight="1">
      <c r="A204" t="inlineStr">
        <is>
          <t>A 4005-2025</t>
        </is>
      </c>
      <c r="B204" s="1" t="n">
        <v>45684</v>
      </c>
      <c r="C204" s="1" t="n">
        <v>45740</v>
      </c>
      <c r="D204" t="inlineStr">
        <is>
          <t>VÄSTERNORRLANDS LÄN</t>
        </is>
      </c>
      <c r="E204" t="inlineStr">
        <is>
          <t>SOLLEFTEÅ</t>
        </is>
      </c>
      <c r="F204" t="inlineStr">
        <is>
          <t>SCA</t>
        </is>
      </c>
      <c r="G204" t="n">
        <v>7.5</v>
      </c>
      <c r="H204" t="n">
        <v>2</v>
      </c>
      <c r="I204" t="n">
        <v>0</v>
      </c>
      <c r="J204" t="n">
        <v>5</v>
      </c>
      <c r="K204" t="n">
        <v>0</v>
      </c>
      <c r="L204" t="n">
        <v>0</v>
      </c>
      <c r="M204" t="n">
        <v>0</v>
      </c>
      <c r="N204" t="n">
        <v>0</v>
      </c>
      <c r="O204" t="n">
        <v>5</v>
      </c>
      <c r="P204" t="n">
        <v>0</v>
      </c>
      <c r="Q204" t="n">
        <v>5</v>
      </c>
      <c r="R204" s="2" t="inlineStr">
        <is>
          <t>Gammelgransskål
Garnlav
Granticka
Spillkråka
Tretåig hackspett</t>
        </is>
      </c>
      <c r="S204">
        <f>HYPERLINK("https://klasma.github.io/Logging_2283/artfynd/A 4005-2025 artfynd.xlsx", "A 4005-2025")</f>
        <v/>
      </c>
      <c r="T204">
        <f>HYPERLINK("https://klasma.github.io/Logging_2283/kartor/A 4005-2025 karta.png", "A 4005-2025")</f>
        <v/>
      </c>
      <c r="V204">
        <f>HYPERLINK("https://klasma.github.io/Logging_2283/klagomål/A 4005-2025 FSC-klagomål.docx", "A 4005-2025")</f>
        <v/>
      </c>
      <c r="W204">
        <f>HYPERLINK("https://klasma.github.io/Logging_2283/klagomålsmail/A 4005-2025 FSC-klagomål mail.docx", "A 4005-2025")</f>
        <v/>
      </c>
      <c r="X204">
        <f>HYPERLINK("https://klasma.github.io/Logging_2283/tillsyn/A 4005-2025 tillsynsbegäran.docx", "A 4005-2025")</f>
        <v/>
      </c>
      <c r="Y204">
        <f>HYPERLINK("https://klasma.github.io/Logging_2283/tillsynsmail/A 4005-2025 tillsynsbegäran mail.docx", "A 4005-2025")</f>
        <v/>
      </c>
      <c r="Z204">
        <f>HYPERLINK("https://klasma.github.io/Logging_2283/fåglar/A 4005-2025 prioriterade fågelarter.docx", "A 4005-2025")</f>
        <v/>
      </c>
    </row>
    <row r="205" ht="15" customHeight="1">
      <c r="A205" t="inlineStr">
        <is>
          <t>A 11547-2025</t>
        </is>
      </c>
      <c r="B205" s="1" t="n">
        <v>45727</v>
      </c>
      <c r="C205" s="1" t="n">
        <v>45740</v>
      </c>
      <c r="D205" t="inlineStr">
        <is>
          <t>VÄSTERNORRLANDS LÄN</t>
        </is>
      </c>
      <c r="E205" t="inlineStr">
        <is>
          <t>SOLLEFTEÅ</t>
        </is>
      </c>
      <c r="F205" t="inlineStr">
        <is>
          <t>SCA</t>
        </is>
      </c>
      <c r="G205" t="n">
        <v>2.9</v>
      </c>
      <c r="H205" t="n">
        <v>2</v>
      </c>
      <c r="I205" t="n">
        <v>0</v>
      </c>
      <c r="J205" t="n">
        <v>5</v>
      </c>
      <c r="K205" t="n">
        <v>0</v>
      </c>
      <c r="L205" t="n">
        <v>0</v>
      </c>
      <c r="M205" t="n">
        <v>0</v>
      </c>
      <c r="N205" t="n">
        <v>0</v>
      </c>
      <c r="O205" t="n">
        <v>5</v>
      </c>
      <c r="P205" t="n">
        <v>0</v>
      </c>
      <c r="Q205" t="n">
        <v>5</v>
      </c>
      <c r="R205" s="2" t="inlineStr">
        <is>
          <t>Garnlav
Järpe
Lunglav
Tretåig hackspett
Ullticka</t>
        </is>
      </c>
      <c r="S205">
        <f>HYPERLINK("https://klasma.github.io/Logging_2283/artfynd/A 11547-2025 artfynd.xlsx", "A 11547-2025")</f>
        <v/>
      </c>
      <c r="T205">
        <f>HYPERLINK("https://klasma.github.io/Logging_2283/kartor/A 11547-2025 karta.png", "A 11547-2025")</f>
        <v/>
      </c>
      <c r="V205">
        <f>HYPERLINK("https://klasma.github.io/Logging_2283/klagomål/A 11547-2025 FSC-klagomål.docx", "A 11547-2025")</f>
        <v/>
      </c>
      <c r="W205">
        <f>HYPERLINK("https://klasma.github.io/Logging_2283/klagomålsmail/A 11547-2025 FSC-klagomål mail.docx", "A 11547-2025")</f>
        <v/>
      </c>
      <c r="X205">
        <f>HYPERLINK("https://klasma.github.io/Logging_2283/tillsyn/A 11547-2025 tillsynsbegäran.docx", "A 11547-2025")</f>
        <v/>
      </c>
      <c r="Y205">
        <f>HYPERLINK("https://klasma.github.io/Logging_2283/tillsynsmail/A 11547-2025 tillsynsbegäran mail.docx", "A 11547-2025")</f>
        <v/>
      </c>
      <c r="Z205">
        <f>HYPERLINK("https://klasma.github.io/Logging_2283/fåglar/A 11547-2025 prioriterade fågelarter.docx", "A 11547-2025")</f>
        <v/>
      </c>
    </row>
    <row r="206" ht="15" customHeight="1">
      <c r="A206" t="inlineStr">
        <is>
          <t>A 40512-2019</t>
        </is>
      </c>
      <c r="B206" s="1" t="n">
        <v>43696</v>
      </c>
      <c r="C206" s="1" t="n">
        <v>45740</v>
      </c>
      <c r="D206" t="inlineStr">
        <is>
          <t>VÄSTERNORRLANDS LÄN</t>
        </is>
      </c>
      <c r="E206" t="inlineStr">
        <is>
          <t>SOLLEFTEÅ</t>
        </is>
      </c>
      <c r="F206" t="inlineStr">
        <is>
          <t>SCA</t>
        </is>
      </c>
      <c r="G206" t="n">
        <v>5.8</v>
      </c>
      <c r="H206" t="n">
        <v>1</v>
      </c>
      <c r="I206" t="n">
        <v>0</v>
      </c>
      <c r="J206" t="n">
        <v>3</v>
      </c>
      <c r="K206" t="n">
        <v>0</v>
      </c>
      <c r="L206" t="n">
        <v>0</v>
      </c>
      <c r="M206" t="n">
        <v>0</v>
      </c>
      <c r="N206" t="n">
        <v>0</v>
      </c>
      <c r="O206" t="n">
        <v>3</v>
      </c>
      <c r="P206" t="n">
        <v>0</v>
      </c>
      <c r="Q206" t="n">
        <v>4</v>
      </c>
      <c r="R206" s="2" t="inlineStr">
        <is>
          <t>Garnlav
Granticka
Orange taggsvamp
Fläcknycklar</t>
        </is>
      </c>
      <c r="S206">
        <f>HYPERLINK("https://klasma.github.io/Logging_2283/artfynd/A 40512-2019 artfynd.xlsx", "A 40512-2019")</f>
        <v/>
      </c>
      <c r="T206">
        <f>HYPERLINK("https://klasma.github.io/Logging_2283/kartor/A 40512-2019 karta.png", "A 40512-2019")</f>
        <v/>
      </c>
      <c r="V206">
        <f>HYPERLINK("https://klasma.github.io/Logging_2283/klagomål/A 40512-2019 FSC-klagomål.docx", "A 40512-2019")</f>
        <v/>
      </c>
      <c r="W206">
        <f>HYPERLINK("https://klasma.github.io/Logging_2283/klagomålsmail/A 40512-2019 FSC-klagomål mail.docx", "A 40512-2019")</f>
        <v/>
      </c>
      <c r="X206">
        <f>HYPERLINK("https://klasma.github.io/Logging_2283/tillsyn/A 40512-2019 tillsynsbegäran.docx", "A 40512-2019")</f>
        <v/>
      </c>
      <c r="Y206">
        <f>HYPERLINK("https://klasma.github.io/Logging_2283/tillsynsmail/A 40512-2019 tillsynsbegäran mail.docx", "A 40512-2019")</f>
        <v/>
      </c>
    </row>
    <row r="207" ht="15" customHeight="1">
      <c r="A207" t="inlineStr">
        <is>
          <t>A 23860-2020</t>
        </is>
      </c>
      <c r="B207" s="1" t="n">
        <v>43971</v>
      </c>
      <c r="C207" s="1" t="n">
        <v>45740</v>
      </c>
      <c r="D207" t="inlineStr">
        <is>
          <t>VÄSTERNORRLANDS LÄN</t>
        </is>
      </c>
      <c r="E207" t="inlineStr">
        <is>
          <t>SOLLEFTEÅ</t>
        </is>
      </c>
      <c r="G207" t="n">
        <v>22.3</v>
      </c>
      <c r="H207" t="n">
        <v>0</v>
      </c>
      <c r="I207" t="n">
        <v>1</v>
      </c>
      <c r="J207" t="n">
        <v>2</v>
      </c>
      <c r="K207" t="n">
        <v>1</v>
      </c>
      <c r="L207" t="n">
        <v>0</v>
      </c>
      <c r="M207" t="n">
        <v>0</v>
      </c>
      <c r="N207" t="n">
        <v>0</v>
      </c>
      <c r="O207" t="n">
        <v>3</v>
      </c>
      <c r="P207" t="n">
        <v>1</v>
      </c>
      <c r="Q207" t="n">
        <v>4</v>
      </c>
      <c r="R207" s="2" t="inlineStr">
        <is>
          <t>Aspgelélav
Lunglav
Vedskivlav
Dropptaggsvamp</t>
        </is>
      </c>
      <c r="S207">
        <f>HYPERLINK("https://klasma.github.io/Logging_2283/artfynd/A 23860-2020 artfynd.xlsx", "A 23860-2020")</f>
        <v/>
      </c>
      <c r="T207">
        <f>HYPERLINK("https://klasma.github.io/Logging_2283/kartor/A 23860-2020 karta.png", "A 23860-2020")</f>
        <v/>
      </c>
      <c r="U207">
        <f>HYPERLINK("https://klasma.github.io/Logging_2283/knärot/A 23860-2020 karta knärot.png", "A 23860-2020")</f>
        <v/>
      </c>
      <c r="V207">
        <f>HYPERLINK("https://klasma.github.io/Logging_2283/klagomål/A 23860-2020 FSC-klagomål.docx", "A 23860-2020")</f>
        <v/>
      </c>
      <c r="W207">
        <f>HYPERLINK("https://klasma.github.io/Logging_2283/klagomålsmail/A 23860-2020 FSC-klagomål mail.docx", "A 23860-2020")</f>
        <v/>
      </c>
      <c r="X207">
        <f>HYPERLINK("https://klasma.github.io/Logging_2283/tillsyn/A 23860-2020 tillsynsbegäran.docx", "A 23860-2020")</f>
        <v/>
      </c>
      <c r="Y207">
        <f>HYPERLINK("https://klasma.github.io/Logging_2283/tillsynsmail/A 23860-2020 tillsynsbegäran mail.docx", "A 23860-2020")</f>
        <v/>
      </c>
    </row>
    <row r="208" ht="15" customHeight="1">
      <c r="A208" t="inlineStr">
        <is>
          <t>A 44344-2021</t>
        </is>
      </c>
      <c r="B208" s="1" t="n">
        <v>44435</v>
      </c>
      <c r="C208" s="1" t="n">
        <v>45740</v>
      </c>
      <c r="D208" t="inlineStr">
        <is>
          <t>VÄSTERNORRLANDS LÄN</t>
        </is>
      </c>
      <c r="E208" t="inlineStr">
        <is>
          <t>SOLLEFTEÅ</t>
        </is>
      </c>
      <c r="F208" t="inlineStr">
        <is>
          <t>Kommuner</t>
        </is>
      </c>
      <c r="G208" t="n">
        <v>10.8</v>
      </c>
      <c r="H208" t="n">
        <v>0</v>
      </c>
      <c r="I208" t="n">
        <v>1</v>
      </c>
      <c r="J208" t="n">
        <v>2</v>
      </c>
      <c r="K208" t="n">
        <v>1</v>
      </c>
      <c r="L208" t="n">
        <v>0</v>
      </c>
      <c r="M208" t="n">
        <v>0</v>
      </c>
      <c r="N208" t="n">
        <v>0</v>
      </c>
      <c r="O208" t="n">
        <v>3</v>
      </c>
      <c r="P208" t="n">
        <v>1</v>
      </c>
      <c r="Q208" t="n">
        <v>4</v>
      </c>
      <c r="R208" s="2" t="inlineStr">
        <is>
          <t>Rynkskinn
Rosenticka
Ullticka
Skinnlav</t>
        </is>
      </c>
      <c r="S208">
        <f>HYPERLINK("https://klasma.github.io/Logging_2283/artfynd/A 44344-2021 artfynd.xlsx", "A 44344-2021")</f>
        <v/>
      </c>
      <c r="T208">
        <f>HYPERLINK("https://klasma.github.io/Logging_2283/kartor/A 44344-2021 karta.png", "A 44344-2021")</f>
        <v/>
      </c>
      <c r="V208">
        <f>HYPERLINK("https://klasma.github.io/Logging_2283/klagomål/A 44344-2021 FSC-klagomål.docx", "A 44344-2021")</f>
        <v/>
      </c>
      <c r="W208">
        <f>HYPERLINK("https://klasma.github.io/Logging_2283/klagomålsmail/A 44344-2021 FSC-klagomål mail.docx", "A 44344-2021")</f>
        <v/>
      </c>
      <c r="X208">
        <f>HYPERLINK("https://klasma.github.io/Logging_2283/tillsyn/A 44344-2021 tillsynsbegäran.docx", "A 44344-2021")</f>
        <v/>
      </c>
      <c r="Y208">
        <f>HYPERLINK("https://klasma.github.io/Logging_2283/tillsynsmail/A 44344-2021 tillsynsbegäran mail.docx", "A 44344-2021")</f>
        <v/>
      </c>
    </row>
    <row r="209" ht="15" customHeight="1">
      <c r="A209" t="inlineStr">
        <is>
          <t>A 64943-2021</t>
        </is>
      </c>
      <c r="B209" s="1" t="n">
        <v>44512</v>
      </c>
      <c r="C209" s="1" t="n">
        <v>45740</v>
      </c>
      <c r="D209" t="inlineStr">
        <is>
          <t>VÄSTERNORRLANDS LÄN</t>
        </is>
      </c>
      <c r="E209" t="inlineStr">
        <is>
          <t>SOLLEFTEÅ</t>
        </is>
      </c>
      <c r="F209" t="inlineStr">
        <is>
          <t>SCA</t>
        </is>
      </c>
      <c r="G209" t="n">
        <v>8.1</v>
      </c>
      <c r="H209" t="n">
        <v>0</v>
      </c>
      <c r="I209" t="n">
        <v>1</v>
      </c>
      <c r="J209" t="n">
        <v>3</v>
      </c>
      <c r="K209" t="n">
        <v>0</v>
      </c>
      <c r="L209" t="n">
        <v>0</v>
      </c>
      <c r="M209" t="n">
        <v>0</v>
      </c>
      <c r="N209" t="n">
        <v>0</v>
      </c>
      <c r="O209" t="n">
        <v>3</v>
      </c>
      <c r="P209" t="n">
        <v>0</v>
      </c>
      <c r="Q209" t="n">
        <v>4</v>
      </c>
      <c r="R209" s="2" t="inlineStr">
        <is>
          <t>Garnlav
Lunglav
Ullticka
Vedticka</t>
        </is>
      </c>
      <c r="S209">
        <f>HYPERLINK("https://klasma.github.io/Logging_2283/artfynd/A 64943-2021 artfynd.xlsx", "A 64943-2021")</f>
        <v/>
      </c>
      <c r="T209">
        <f>HYPERLINK("https://klasma.github.io/Logging_2283/kartor/A 64943-2021 karta.png", "A 64943-2021")</f>
        <v/>
      </c>
      <c r="V209">
        <f>HYPERLINK("https://klasma.github.io/Logging_2283/klagomål/A 64943-2021 FSC-klagomål.docx", "A 64943-2021")</f>
        <v/>
      </c>
      <c r="W209">
        <f>HYPERLINK("https://klasma.github.io/Logging_2283/klagomålsmail/A 64943-2021 FSC-klagomål mail.docx", "A 64943-2021")</f>
        <v/>
      </c>
      <c r="X209">
        <f>HYPERLINK("https://klasma.github.io/Logging_2283/tillsyn/A 64943-2021 tillsynsbegäran.docx", "A 64943-2021")</f>
        <v/>
      </c>
      <c r="Y209">
        <f>HYPERLINK("https://klasma.github.io/Logging_2283/tillsynsmail/A 64943-2021 tillsynsbegäran mail.docx", "A 64943-2021")</f>
        <v/>
      </c>
    </row>
    <row r="210" ht="15" customHeight="1">
      <c r="A210" t="inlineStr">
        <is>
          <t>A 3795-2022</t>
        </is>
      </c>
      <c r="B210" s="1" t="n">
        <v>44586</v>
      </c>
      <c r="C210" s="1" t="n">
        <v>45740</v>
      </c>
      <c r="D210" t="inlineStr">
        <is>
          <t>VÄSTERNORRLANDS LÄN</t>
        </is>
      </c>
      <c r="E210" t="inlineStr">
        <is>
          <t>SOLLEFTEÅ</t>
        </is>
      </c>
      <c r="F210" t="inlineStr">
        <is>
          <t>SCA</t>
        </is>
      </c>
      <c r="G210" t="n">
        <v>1.3</v>
      </c>
      <c r="H210" t="n">
        <v>3</v>
      </c>
      <c r="I210" t="n">
        <v>0</v>
      </c>
      <c r="J210" t="n">
        <v>3</v>
      </c>
      <c r="K210" t="n">
        <v>1</v>
      </c>
      <c r="L210" t="n">
        <v>0</v>
      </c>
      <c r="M210" t="n">
        <v>0</v>
      </c>
      <c r="N210" t="n">
        <v>0</v>
      </c>
      <c r="O210" t="n">
        <v>4</v>
      </c>
      <c r="P210" t="n">
        <v>1</v>
      </c>
      <c r="Q210" t="n">
        <v>4</v>
      </c>
      <c r="R210" s="2" t="inlineStr">
        <is>
          <t>Knärot
Garnlav
Talltita
Tretåig hackspett</t>
        </is>
      </c>
      <c r="S210">
        <f>HYPERLINK("https://klasma.github.io/Logging_2283/artfynd/A 3795-2022 artfynd.xlsx", "A 3795-2022")</f>
        <v/>
      </c>
      <c r="T210">
        <f>HYPERLINK("https://klasma.github.io/Logging_2283/kartor/A 3795-2022 karta.png", "A 3795-2022")</f>
        <v/>
      </c>
      <c r="U210">
        <f>HYPERLINK("https://klasma.github.io/Logging_2283/knärot/A 3795-2022 karta knärot.png", "A 3795-2022")</f>
        <v/>
      </c>
      <c r="V210">
        <f>HYPERLINK("https://klasma.github.io/Logging_2283/klagomål/A 3795-2022 FSC-klagomål.docx", "A 3795-2022")</f>
        <v/>
      </c>
      <c r="W210">
        <f>HYPERLINK("https://klasma.github.io/Logging_2283/klagomålsmail/A 3795-2022 FSC-klagomål mail.docx", "A 3795-2022")</f>
        <v/>
      </c>
      <c r="X210">
        <f>HYPERLINK("https://klasma.github.io/Logging_2283/tillsyn/A 3795-2022 tillsynsbegäran.docx", "A 3795-2022")</f>
        <v/>
      </c>
      <c r="Y210">
        <f>HYPERLINK("https://klasma.github.io/Logging_2283/tillsynsmail/A 3795-2022 tillsynsbegäran mail.docx", "A 3795-2022")</f>
        <v/>
      </c>
      <c r="Z210">
        <f>HYPERLINK("https://klasma.github.io/Logging_2283/fåglar/A 3795-2022 prioriterade fågelarter.docx", "A 3795-2022")</f>
        <v/>
      </c>
    </row>
    <row r="211" ht="15" customHeight="1">
      <c r="A211" t="inlineStr">
        <is>
          <t>A 18009-2022</t>
        </is>
      </c>
      <c r="B211" s="1" t="n">
        <v>44683</v>
      </c>
      <c r="C211" s="1" t="n">
        <v>45740</v>
      </c>
      <c r="D211" t="inlineStr">
        <is>
          <t>VÄSTERNORRLANDS LÄN</t>
        </is>
      </c>
      <c r="E211" t="inlineStr">
        <is>
          <t>SOLLEFTEÅ</t>
        </is>
      </c>
      <c r="F211" t="inlineStr">
        <is>
          <t>SCA</t>
        </is>
      </c>
      <c r="G211" t="n">
        <v>3.6</v>
      </c>
      <c r="H211" t="n">
        <v>3</v>
      </c>
      <c r="I211" t="n">
        <v>0</v>
      </c>
      <c r="J211" t="n">
        <v>3</v>
      </c>
      <c r="K211" t="n">
        <v>1</v>
      </c>
      <c r="L211" t="n">
        <v>0</v>
      </c>
      <c r="M211" t="n">
        <v>0</v>
      </c>
      <c r="N211" t="n">
        <v>0</v>
      </c>
      <c r="O211" t="n">
        <v>4</v>
      </c>
      <c r="P211" t="n">
        <v>1</v>
      </c>
      <c r="Q211" t="n">
        <v>4</v>
      </c>
      <c r="R211" s="2" t="inlineStr">
        <is>
          <t>Knärot
Garnlav
Järpe
Tretåig hackspett</t>
        </is>
      </c>
      <c r="S211">
        <f>HYPERLINK("https://klasma.github.io/Logging_2283/artfynd/A 18009-2022 artfynd.xlsx", "A 18009-2022")</f>
        <v/>
      </c>
      <c r="T211">
        <f>HYPERLINK("https://klasma.github.io/Logging_2283/kartor/A 18009-2022 karta.png", "A 18009-2022")</f>
        <v/>
      </c>
      <c r="U211">
        <f>HYPERLINK("https://klasma.github.io/Logging_2283/knärot/A 18009-2022 karta knärot.png", "A 18009-2022")</f>
        <v/>
      </c>
      <c r="V211">
        <f>HYPERLINK("https://klasma.github.io/Logging_2283/klagomål/A 18009-2022 FSC-klagomål.docx", "A 18009-2022")</f>
        <v/>
      </c>
      <c r="W211">
        <f>HYPERLINK("https://klasma.github.io/Logging_2283/klagomålsmail/A 18009-2022 FSC-klagomål mail.docx", "A 18009-2022")</f>
        <v/>
      </c>
      <c r="X211">
        <f>HYPERLINK("https://klasma.github.io/Logging_2283/tillsyn/A 18009-2022 tillsynsbegäran.docx", "A 18009-2022")</f>
        <v/>
      </c>
      <c r="Y211">
        <f>HYPERLINK("https://klasma.github.io/Logging_2283/tillsynsmail/A 18009-2022 tillsynsbegäran mail.docx", "A 18009-2022")</f>
        <v/>
      </c>
      <c r="Z211">
        <f>HYPERLINK("https://klasma.github.io/Logging_2283/fåglar/A 18009-2022 prioriterade fågelarter.docx", "A 18009-2022")</f>
        <v/>
      </c>
    </row>
    <row r="212" ht="15" customHeight="1">
      <c r="A212" t="inlineStr">
        <is>
          <t>A 18005-2022</t>
        </is>
      </c>
      <c r="B212" s="1" t="n">
        <v>44684</v>
      </c>
      <c r="C212" s="1" t="n">
        <v>45740</v>
      </c>
      <c r="D212" t="inlineStr">
        <is>
          <t>VÄSTERNORRLANDS LÄN</t>
        </is>
      </c>
      <c r="E212" t="inlineStr">
        <is>
          <t>SOLLEFTEÅ</t>
        </is>
      </c>
      <c r="F212" t="inlineStr">
        <is>
          <t>SCA</t>
        </is>
      </c>
      <c r="G212" t="n">
        <v>6.3</v>
      </c>
      <c r="H212" t="n">
        <v>0</v>
      </c>
      <c r="I212" t="n">
        <v>0</v>
      </c>
      <c r="J212" t="n">
        <v>4</v>
      </c>
      <c r="K212" t="n">
        <v>0</v>
      </c>
      <c r="L212" t="n">
        <v>0</v>
      </c>
      <c r="M212" t="n">
        <v>0</v>
      </c>
      <c r="N212" t="n">
        <v>0</v>
      </c>
      <c r="O212" t="n">
        <v>4</v>
      </c>
      <c r="P212" t="n">
        <v>0</v>
      </c>
      <c r="Q212" t="n">
        <v>4</v>
      </c>
      <c r="R212" s="2" t="inlineStr">
        <is>
          <t>Garnlav
Gränsticka
Lunglav
Ullticka</t>
        </is>
      </c>
      <c r="S212">
        <f>HYPERLINK("https://klasma.github.io/Logging_2283/artfynd/A 18005-2022 artfynd.xlsx", "A 18005-2022")</f>
        <v/>
      </c>
      <c r="T212">
        <f>HYPERLINK("https://klasma.github.io/Logging_2283/kartor/A 18005-2022 karta.png", "A 18005-2022")</f>
        <v/>
      </c>
      <c r="V212">
        <f>HYPERLINK("https://klasma.github.io/Logging_2283/klagomål/A 18005-2022 FSC-klagomål.docx", "A 18005-2022")</f>
        <v/>
      </c>
      <c r="W212">
        <f>HYPERLINK("https://klasma.github.io/Logging_2283/klagomålsmail/A 18005-2022 FSC-klagomål mail.docx", "A 18005-2022")</f>
        <v/>
      </c>
      <c r="X212">
        <f>HYPERLINK("https://klasma.github.io/Logging_2283/tillsyn/A 18005-2022 tillsynsbegäran.docx", "A 18005-2022")</f>
        <v/>
      </c>
      <c r="Y212">
        <f>HYPERLINK("https://klasma.github.io/Logging_2283/tillsynsmail/A 18005-2022 tillsynsbegäran mail.docx", "A 18005-2022")</f>
        <v/>
      </c>
    </row>
    <row r="213" ht="15" customHeight="1">
      <c r="A213" t="inlineStr">
        <is>
          <t>A 18025-2022</t>
        </is>
      </c>
      <c r="B213" s="1" t="n">
        <v>44683</v>
      </c>
      <c r="C213" s="1" t="n">
        <v>45740</v>
      </c>
      <c r="D213" t="inlineStr">
        <is>
          <t>VÄSTERNORRLANDS LÄN</t>
        </is>
      </c>
      <c r="E213" t="inlineStr">
        <is>
          <t>SOLLEFTEÅ</t>
        </is>
      </c>
      <c r="F213" t="inlineStr">
        <is>
          <t>SCA</t>
        </is>
      </c>
      <c r="G213" t="n">
        <v>5.2</v>
      </c>
      <c r="H213" t="n">
        <v>1</v>
      </c>
      <c r="I213" t="n">
        <v>1</v>
      </c>
      <c r="J213" t="n">
        <v>2</v>
      </c>
      <c r="K213" t="n">
        <v>0</v>
      </c>
      <c r="L213" t="n">
        <v>0</v>
      </c>
      <c r="M213" t="n">
        <v>0</v>
      </c>
      <c r="N213" t="n">
        <v>0</v>
      </c>
      <c r="O213" t="n">
        <v>2</v>
      </c>
      <c r="P213" t="n">
        <v>0</v>
      </c>
      <c r="Q213" t="n">
        <v>4</v>
      </c>
      <c r="R213" s="2" t="inlineStr">
        <is>
          <t>Garnlav
Lunglav
Bronshjon
Fläcknycklar</t>
        </is>
      </c>
      <c r="S213">
        <f>HYPERLINK("https://klasma.github.io/Logging_2283/artfynd/A 18025-2022 artfynd.xlsx", "A 18025-2022")</f>
        <v/>
      </c>
      <c r="T213">
        <f>HYPERLINK("https://klasma.github.io/Logging_2283/kartor/A 18025-2022 karta.png", "A 18025-2022")</f>
        <v/>
      </c>
      <c r="V213">
        <f>HYPERLINK("https://klasma.github.io/Logging_2283/klagomål/A 18025-2022 FSC-klagomål.docx", "A 18025-2022")</f>
        <v/>
      </c>
      <c r="W213">
        <f>HYPERLINK("https://klasma.github.io/Logging_2283/klagomålsmail/A 18025-2022 FSC-klagomål mail.docx", "A 18025-2022")</f>
        <v/>
      </c>
      <c r="X213">
        <f>HYPERLINK("https://klasma.github.io/Logging_2283/tillsyn/A 18025-2022 tillsynsbegäran.docx", "A 18025-2022")</f>
        <v/>
      </c>
      <c r="Y213">
        <f>HYPERLINK("https://klasma.github.io/Logging_2283/tillsynsmail/A 18025-2022 tillsynsbegäran mail.docx", "A 18025-2022")</f>
        <v/>
      </c>
    </row>
    <row r="214" ht="15" customHeight="1">
      <c r="A214" t="inlineStr">
        <is>
          <t>A 27071-2022</t>
        </is>
      </c>
      <c r="B214" s="1" t="n">
        <v>44741</v>
      </c>
      <c r="C214" s="1" t="n">
        <v>45740</v>
      </c>
      <c r="D214" t="inlineStr">
        <is>
          <t>VÄSTERNORRLANDS LÄN</t>
        </is>
      </c>
      <c r="E214" t="inlineStr">
        <is>
          <t>SOLLEFTEÅ</t>
        </is>
      </c>
      <c r="G214" t="n">
        <v>19</v>
      </c>
      <c r="H214" t="n">
        <v>1</v>
      </c>
      <c r="I214" t="n">
        <v>0</v>
      </c>
      <c r="J214" t="n">
        <v>4</v>
      </c>
      <c r="K214" t="n">
        <v>0</v>
      </c>
      <c r="L214" t="n">
        <v>0</v>
      </c>
      <c r="M214" t="n">
        <v>0</v>
      </c>
      <c r="N214" t="n">
        <v>0</v>
      </c>
      <c r="O214" t="n">
        <v>4</v>
      </c>
      <c r="P214" t="n">
        <v>0</v>
      </c>
      <c r="Q214" t="n">
        <v>4</v>
      </c>
      <c r="R214" s="2" t="inlineStr">
        <is>
          <t>Granticka
Rosenticka
Tretåig hackspett
Ullticka</t>
        </is>
      </c>
      <c r="S214">
        <f>HYPERLINK("https://klasma.github.io/Logging_2283/artfynd/A 27071-2022 artfynd.xlsx", "A 27071-2022")</f>
        <v/>
      </c>
      <c r="T214">
        <f>HYPERLINK("https://klasma.github.io/Logging_2283/kartor/A 27071-2022 karta.png", "A 27071-2022")</f>
        <v/>
      </c>
      <c r="V214">
        <f>HYPERLINK("https://klasma.github.io/Logging_2283/klagomål/A 27071-2022 FSC-klagomål.docx", "A 27071-2022")</f>
        <v/>
      </c>
      <c r="W214">
        <f>HYPERLINK("https://klasma.github.io/Logging_2283/klagomålsmail/A 27071-2022 FSC-klagomål mail.docx", "A 27071-2022")</f>
        <v/>
      </c>
      <c r="X214">
        <f>HYPERLINK("https://klasma.github.io/Logging_2283/tillsyn/A 27071-2022 tillsynsbegäran.docx", "A 27071-2022")</f>
        <v/>
      </c>
      <c r="Y214">
        <f>HYPERLINK("https://klasma.github.io/Logging_2283/tillsynsmail/A 27071-2022 tillsynsbegäran mail.docx", "A 27071-2022")</f>
        <v/>
      </c>
      <c r="Z214">
        <f>HYPERLINK("https://klasma.github.io/Logging_2283/fåglar/A 27071-2022 prioriterade fågelarter.docx", "A 27071-2022")</f>
        <v/>
      </c>
    </row>
    <row r="215" ht="15" customHeight="1">
      <c r="A215" t="inlineStr">
        <is>
          <t>A 45084-2022</t>
        </is>
      </c>
      <c r="B215" s="1" t="n">
        <v>44841</v>
      </c>
      <c r="C215" s="1" t="n">
        <v>45740</v>
      </c>
      <c r="D215" t="inlineStr">
        <is>
          <t>VÄSTERNORRLANDS LÄN</t>
        </is>
      </c>
      <c r="E215" t="inlineStr">
        <is>
          <t>SOLLEFTEÅ</t>
        </is>
      </c>
      <c r="F215" t="inlineStr">
        <is>
          <t>SCA</t>
        </is>
      </c>
      <c r="G215" t="n">
        <v>5.5</v>
      </c>
      <c r="H215" t="n">
        <v>1</v>
      </c>
      <c r="I215" t="n">
        <v>0</v>
      </c>
      <c r="J215" t="n">
        <v>3</v>
      </c>
      <c r="K215" t="n">
        <v>1</v>
      </c>
      <c r="L215" t="n">
        <v>0</v>
      </c>
      <c r="M215" t="n">
        <v>0</v>
      </c>
      <c r="N215" t="n">
        <v>0</v>
      </c>
      <c r="O215" t="n">
        <v>4</v>
      </c>
      <c r="P215" t="n">
        <v>1</v>
      </c>
      <c r="Q215" t="n">
        <v>4</v>
      </c>
      <c r="R215" s="2" t="inlineStr">
        <is>
          <t>Knärot
Garnlav
Lunglav
Skogshare</t>
        </is>
      </c>
      <c r="S215">
        <f>HYPERLINK("https://klasma.github.io/Logging_2283/artfynd/A 45084-2022 artfynd.xlsx", "A 45084-2022")</f>
        <v/>
      </c>
      <c r="T215">
        <f>HYPERLINK("https://klasma.github.io/Logging_2283/kartor/A 45084-2022 karta.png", "A 45084-2022")</f>
        <v/>
      </c>
      <c r="U215">
        <f>HYPERLINK("https://klasma.github.io/Logging_2283/knärot/A 45084-2022 karta knärot.png", "A 45084-2022")</f>
        <v/>
      </c>
      <c r="V215">
        <f>HYPERLINK("https://klasma.github.io/Logging_2283/klagomål/A 45084-2022 FSC-klagomål.docx", "A 45084-2022")</f>
        <v/>
      </c>
      <c r="W215">
        <f>HYPERLINK("https://klasma.github.io/Logging_2283/klagomålsmail/A 45084-2022 FSC-klagomål mail.docx", "A 45084-2022")</f>
        <v/>
      </c>
      <c r="X215">
        <f>HYPERLINK("https://klasma.github.io/Logging_2283/tillsyn/A 45084-2022 tillsynsbegäran.docx", "A 45084-2022")</f>
        <v/>
      </c>
      <c r="Y215">
        <f>HYPERLINK("https://klasma.github.io/Logging_2283/tillsynsmail/A 45084-2022 tillsynsbegäran mail.docx", "A 45084-2022")</f>
        <v/>
      </c>
    </row>
    <row r="216" ht="15" customHeight="1">
      <c r="A216" t="inlineStr">
        <is>
          <t>A 48061-2022</t>
        </is>
      </c>
      <c r="B216" s="1" t="n">
        <v>44855</v>
      </c>
      <c r="C216" s="1" t="n">
        <v>45740</v>
      </c>
      <c r="D216" t="inlineStr">
        <is>
          <t>VÄSTERNORRLANDS LÄN</t>
        </is>
      </c>
      <c r="E216" t="inlineStr">
        <is>
          <t>SOLLEFTEÅ</t>
        </is>
      </c>
      <c r="F216" t="inlineStr">
        <is>
          <t>SCA</t>
        </is>
      </c>
      <c r="G216" t="n">
        <v>4.1</v>
      </c>
      <c r="H216" t="n">
        <v>0</v>
      </c>
      <c r="I216" t="n">
        <v>1</v>
      </c>
      <c r="J216" t="n">
        <v>2</v>
      </c>
      <c r="K216" t="n">
        <v>1</v>
      </c>
      <c r="L216" t="n">
        <v>0</v>
      </c>
      <c r="M216" t="n">
        <v>0</v>
      </c>
      <c r="N216" t="n">
        <v>0</v>
      </c>
      <c r="O216" t="n">
        <v>3</v>
      </c>
      <c r="P216" t="n">
        <v>1</v>
      </c>
      <c r="Q216" t="n">
        <v>4</v>
      </c>
      <c r="R216" s="2" t="inlineStr">
        <is>
          <t>Rynkskinn
Rosenticka
Ullticka
Trådticka</t>
        </is>
      </c>
      <c r="S216">
        <f>HYPERLINK("https://klasma.github.io/Logging_2283/artfynd/A 48061-2022 artfynd.xlsx", "A 48061-2022")</f>
        <v/>
      </c>
      <c r="T216">
        <f>HYPERLINK("https://klasma.github.io/Logging_2283/kartor/A 48061-2022 karta.png", "A 48061-2022")</f>
        <v/>
      </c>
      <c r="V216">
        <f>HYPERLINK("https://klasma.github.io/Logging_2283/klagomål/A 48061-2022 FSC-klagomål.docx", "A 48061-2022")</f>
        <v/>
      </c>
      <c r="W216">
        <f>HYPERLINK("https://klasma.github.io/Logging_2283/klagomålsmail/A 48061-2022 FSC-klagomål mail.docx", "A 48061-2022")</f>
        <v/>
      </c>
      <c r="X216">
        <f>HYPERLINK("https://klasma.github.io/Logging_2283/tillsyn/A 48061-2022 tillsynsbegäran.docx", "A 48061-2022")</f>
        <v/>
      </c>
      <c r="Y216">
        <f>HYPERLINK("https://klasma.github.io/Logging_2283/tillsynsmail/A 48061-2022 tillsynsbegäran mail.docx", "A 48061-2022")</f>
        <v/>
      </c>
    </row>
    <row r="217" ht="15" customHeight="1">
      <c r="A217" t="inlineStr">
        <is>
          <t>A 53130-2022</t>
        </is>
      </c>
      <c r="B217" s="1" t="n">
        <v>44873</v>
      </c>
      <c r="C217" s="1" t="n">
        <v>45740</v>
      </c>
      <c r="D217" t="inlineStr">
        <is>
          <t>VÄSTERNORRLANDS LÄN</t>
        </is>
      </c>
      <c r="E217" t="inlineStr">
        <is>
          <t>SOLLEFTEÅ</t>
        </is>
      </c>
      <c r="G217" t="n">
        <v>19.8</v>
      </c>
      <c r="H217" t="n">
        <v>2</v>
      </c>
      <c r="I217" t="n">
        <v>1</v>
      </c>
      <c r="J217" t="n">
        <v>2</v>
      </c>
      <c r="K217" t="n">
        <v>0</v>
      </c>
      <c r="L217" t="n">
        <v>0</v>
      </c>
      <c r="M217" t="n">
        <v>0</v>
      </c>
      <c r="N217" t="n">
        <v>0</v>
      </c>
      <c r="O217" t="n">
        <v>2</v>
      </c>
      <c r="P217" t="n">
        <v>0</v>
      </c>
      <c r="Q217" t="n">
        <v>4</v>
      </c>
      <c r="R217" s="2" t="inlineStr">
        <is>
          <t>Lunglav
Myrbräcka
Bårdlav
Fläcknycklar</t>
        </is>
      </c>
      <c r="S217">
        <f>HYPERLINK("https://klasma.github.io/Logging_2283/artfynd/A 53130-2022 artfynd.xlsx", "A 53130-2022")</f>
        <v/>
      </c>
      <c r="T217">
        <f>HYPERLINK("https://klasma.github.io/Logging_2283/kartor/A 53130-2022 karta.png", "A 53130-2022")</f>
        <v/>
      </c>
      <c r="V217">
        <f>HYPERLINK("https://klasma.github.io/Logging_2283/klagomål/A 53130-2022 FSC-klagomål.docx", "A 53130-2022")</f>
        <v/>
      </c>
      <c r="W217">
        <f>HYPERLINK("https://klasma.github.io/Logging_2283/klagomålsmail/A 53130-2022 FSC-klagomål mail.docx", "A 53130-2022")</f>
        <v/>
      </c>
      <c r="X217">
        <f>HYPERLINK("https://klasma.github.io/Logging_2283/tillsyn/A 53130-2022 tillsynsbegäran.docx", "A 53130-2022")</f>
        <v/>
      </c>
      <c r="Y217">
        <f>HYPERLINK("https://klasma.github.io/Logging_2283/tillsynsmail/A 53130-2022 tillsynsbegäran mail.docx", "A 53130-2022")</f>
        <v/>
      </c>
    </row>
    <row r="218" ht="15" customHeight="1">
      <c r="A218" t="inlineStr">
        <is>
          <t>A 57001-2022</t>
        </is>
      </c>
      <c r="B218" s="1" t="n">
        <v>44894</v>
      </c>
      <c r="C218" s="1" t="n">
        <v>45740</v>
      </c>
      <c r="D218" t="inlineStr">
        <is>
          <t>VÄSTERNORRLANDS LÄN</t>
        </is>
      </c>
      <c r="E218" t="inlineStr">
        <is>
          <t>SOLLEFTEÅ</t>
        </is>
      </c>
      <c r="F218" t="inlineStr">
        <is>
          <t>SCA</t>
        </is>
      </c>
      <c r="G218" t="n">
        <v>1.2</v>
      </c>
      <c r="H218" t="n">
        <v>2</v>
      </c>
      <c r="I218" t="n">
        <v>0</v>
      </c>
      <c r="J218" t="n">
        <v>3</v>
      </c>
      <c r="K218" t="n">
        <v>1</v>
      </c>
      <c r="L218" t="n">
        <v>0</v>
      </c>
      <c r="M218" t="n">
        <v>0</v>
      </c>
      <c r="N218" t="n">
        <v>0</v>
      </c>
      <c r="O218" t="n">
        <v>4</v>
      </c>
      <c r="P218" t="n">
        <v>1</v>
      </c>
      <c r="Q218" t="n">
        <v>4</v>
      </c>
      <c r="R218" s="2" t="inlineStr">
        <is>
          <t>Knärot
Garnlav
Järpe
Lunglav</t>
        </is>
      </c>
      <c r="S218">
        <f>HYPERLINK("https://klasma.github.io/Logging_2283/artfynd/A 57001-2022 artfynd.xlsx", "A 57001-2022")</f>
        <v/>
      </c>
      <c r="T218">
        <f>HYPERLINK("https://klasma.github.io/Logging_2283/kartor/A 57001-2022 karta.png", "A 57001-2022")</f>
        <v/>
      </c>
      <c r="U218">
        <f>HYPERLINK("https://klasma.github.io/Logging_2283/knärot/A 57001-2022 karta knärot.png", "A 57001-2022")</f>
        <v/>
      </c>
      <c r="V218">
        <f>HYPERLINK("https://klasma.github.io/Logging_2283/klagomål/A 57001-2022 FSC-klagomål.docx", "A 57001-2022")</f>
        <v/>
      </c>
      <c r="W218">
        <f>HYPERLINK("https://klasma.github.io/Logging_2283/klagomålsmail/A 57001-2022 FSC-klagomål mail.docx", "A 57001-2022")</f>
        <v/>
      </c>
      <c r="X218">
        <f>HYPERLINK("https://klasma.github.io/Logging_2283/tillsyn/A 57001-2022 tillsynsbegäran.docx", "A 57001-2022")</f>
        <v/>
      </c>
      <c r="Y218">
        <f>HYPERLINK("https://klasma.github.io/Logging_2283/tillsynsmail/A 57001-2022 tillsynsbegäran mail.docx", "A 57001-2022")</f>
        <v/>
      </c>
      <c r="Z218">
        <f>HYPERLINK("https://klasma.github.io/Logging_2283/fåglar/A 57001-2022 prioriterade fågelarter.docx", "A 57001-2022")</f>
        <v/>
      </c>
    </row>
    <row r="219" ht="15" customHeight="1">
      <c r="A219" t="inlineStr">
        <is>
          <t>A 62638-2022</t>
        </is>
      </c>
      <c r="B219" s="1" t="n">
        <v>44925</v>
      </c>
      <c r="C219" s="1" t="n">
        <v>45740</v>
      </c>
      <c r="D219" t="inlineStr">
        <is>
          <t>VÄSTERNORRLANDS LÄN</t>
        </is>
      </c>
      <c r="E219" t="inlineStr">
        <is>
          <t>SOLLEFTEÅ</t>
        </is>
      </c>
      <c r="F219" t="inlineStr">
        <is>
          <t>Holmen skog AB</t>
        </is>
      </c>
      <c r="G219" t="n">
        <v>4</v>
      </c>
      <c r="H219" t="n">
        <v>1</v>
      </c>
      <c r="I219" t="n">
        <v>1</v>
      </c>
      <c r="J219" t="n">
        <v>2</v>
      </c>
      <c r="K219" t="n">
        <v>1</v>
      </c>
      <c r="L219" t="n">
        <v>0</v>
      </c>
      <c r="M219" t="n">
        <v>0</v>
      </c>
      <c r="N219" t="n">
        <v>0</v>
      </c>
      <c r="O219" t="n">
        <v>3</v>
      </c>
      <c r="P219" t="n">
        <v>1</v>
      </c>
      <c r="Q219" t="n">
        <v>4</v>
      </c>
      <c r="R219" s="2" t="inlineStr">
        <is>
          <t>Knärot
Koralltaggsvamp
Lunglav
Skinnlav</t>
        </is>
      </c>
      <c r="S219">
        <f>HYPERLINK("https://klasma.github.io/Logging_2283/artfynd/A 62638-2022 artfynd.xlsx", "A 62638-2022")</f>
        <v/>
      </c>
      <c r="T219">
        <f>HYPERLINK("https://klasma.github.io/Logging_2283/kartor/A 62638-2022 karta.png", "A 62638-2022")</f>
        <v/>
      </c>
      <c r="U219">
        <f>HYPERLINK("https://klasma.github.io/Logging_2283/knärot/A 62638-2022 karta knärot.png", "A 62638-2022")</f>
        <v/>
      </c>
      <c r="V219">
        <f>HYPERLINK("https://klasma.github.io/Logging_2283/klagomål/A 62638-2022 FSC-klagomål.docx", "A 62638-2022")</f>
        <v/>
      </c>
      <c r="W219">
        <f>HYPERLINK("https://klasma.github.io/Logging_2283/klagomålsmail/A 62638-2022 FSC-klagomål mail.docx", "A 62638-2022")</f>
        <v/>
      </c>
      <c r="X219">
        <f>HYPERLINK("https://klasma.github.io/Logging_2283/tillsyn/A 62638-2022 tillsynsbegäran.docx", "A 62638-2022")</f>
        <v/>
      </c>
      <c r="Y219">
        <f>HYPERLINK("https://klasma.github.io/Logging_2283/tillsynsmail/A 62638-2022 tillsynsbegäran mail.docx", "A 62638-2022")</f>
        <v/>
      </c>
    </row>
    <row r="220" ht="15" customHeight="1">
      <c r="A220" t="inlineStr">
        <is>
          <t>A 62632-2022</t>
        </is>
      </c>
      <c r="B220" s="1" t="n">
        <v>44925</v>
      </c>
      <c r="C220" s="1" t="n">
        <v>45740</v>
      </c>
      <c r="D220" t="inlineStr">
        <is>
          <t>VÄSTERNORRLANDS LÄN</t>
        </is>
      </c>
      <c r="E220" t="inlineStr">
        <is>
          <t>SOLLEFTEÅ</t>
        </is>
      </c>
      <c r="F220" t="inlineStr">
        <is>
          <t>Holmen skog AB</t>
        </is>
      </c>
      <c r="G220" t="n">
        <v>4.4</v>
      </c>
      <c r="H220" t="n">
        <v>1</v>
      </c>
      <c r="I220" t="n">
        <v>1</v>
      </c>
      <c r="J220" t="n">
        <v>2</v>
      </c>
      <c r="K220" t="n">
        <v>1</v>
      </c>
      <c r="L220" t="n">
        <v>0</v>
      </c>
      <c r="M220" t="n">
        <v>0</v>
      </c>
      <c r="N220" t="n">
        <v>0</v>
      </c>
      <c r="O220" t="n">
        <v>3</v>
      </c>
      <c r="P220" t="n">
        <v>1</v>
      </c>
      <c r="Q220" t="n">
        <v>4</v>
      </c>
      <c r="R220" s="2" t="inlineStr">
        <is>
          <t>Bitter taggsvamp
Blå taggsvamp
Orange taggsvamp
Plattlummer</t>
        </is>
      </c>
      <c r="S220">
        <f>HYPERLINK("https://klasma.github.io/Logging_2283/artfynd/A 62632-2022 artfynd.xlsx", "A 62632-2022")</f>
        <v/>
      </c>
      <c r="T220">
        <f>HYPERLINK("https://klasma.github.io/Logging_2283/kartor/A 62632-2022 karta.png", "A 62632-2022")</f>
        <v/>
      </c>
      <c r="V220">
        <f>HYPERLINK("https://klasma.github.io/Logging_2283/klagomål/A 62632-2022 FSC-klagomål.docx", "A 62632-2022")</f>
        <v/>
      </c>
      <c r="W220">
        <f>HYPERLINK("https://klasma.github.io/Logging_2283/klagomålsmail/A 62632-2022 FSC-klagomål mail.docx", "A 62632-2022")</f>
        <v/>
      </c>
      <c r="X220">
        <f>HYPERLINK("https://klasma.github.io/Logging_2283/tillsyn/A 62632-2022 tillsynsbegäran.docx", "A 62632-2022")</f>
        <v/>
      </c>
      <c r="Y220">
        <f>HYPERLINK("https://klasma.github.io/Logging_2283/tillsynsmail/A 62632-2022 tillsynsbegäran mail.docx", "A 62632-2022")</f>
        <v/>
      </c>
    </row>
    <row r="221" ht="15" customHeight="1">
      <c r="A221" t="inlineStr">
        <is>
          <t>A 2409-2023</t>
        </is>
      </c>
      <c r="B221" s="1" t="n">
        <v>44942</v>
      </c>
      <c r="C221" s="1" t="n">
        <v>45740</v>
      </c>
      <c r="D221" t="inlineStr">
        <is>
          <t>VÄSTERNORRLANDS LÄN</t>
        </is>
      </c>
      <c r="E221" t="inlineStr">
        <is>
          <t>SOLLEFTEÅ</t>
        </is>
      </c>
      <c r="F221" t="inlineStr">
        <is>
          <t>SCA</t>
        </is>
      </c>
      <c r="G221" t="n">
        <v>2</v>
      </c>
      <c r="H221" t="n">
        <v>0</v>
      </c>
      <c r="I221" t="n">
        <v>1</v>
      </c>
      <c r="J221" t="n">
        <v>3</v>
      </c>
      <c r="K221" t="n">
        <v>0</v>
      </c>
      <c r="L221" t="n">
        <v>0</v>
      </c>
      <c r="M221" t="n">
        <v>0</v>
      </c>
      <c r="N221" t="n">
        <v>0</v>
      </c>
      <c r="O221" t="n">
        <v>3</v>
      </c>
      <c r="P221" t="n">
        <v>0</v>
      </c>
      <c r="Q221" t="n">
        <v>4</v>
      </c>
      <c r="R221" s="2" t="inlineStr">
        <is>
          <t>Rosenticka
Tallticka
Ullticka
Dropptaggsvamp</t>
        </is>
      </c>
      <c r="S221">
        <f>HYPERLINK("https://klasma.github.io/Logging_2283/artfynd/A 2409-2023 artfynd.xlsx", "A 2409-2023")</f>
        <v/>
      </c>
      <c r="T221">
        <f>HYPERLINK("https://klasma.github.io/Logging_2283/kartor/A 2409-2023 karta.png", "A 2409-2023")</f>
        <v/>
      </c>
      <c r="V221">
        <f>HYPERLINK("https://klasma.github.io/Logging_2283/klagomål/A 2409-2023 FSC-klagomål.docx", "A 2409-2023")</f>
        <v/>
      </c>
      <c r="W221">
        <f>HYPERLINK("https://klasma.github.io/Logging_2283/klagomålsmail/A 2409-2023 FSC-klagomål mail.docx", "A 2409-2023")</f>
        <v/>
      </c>
      <c r="X221">
        <f>HYPERLINK("https://klasma.github.io/Logging_2283/tillsyn/A 2409-2023 tillsynsbegäran.docx", "A 2409-2023")</f>
        <v/>
      </c>
      <c r="Y221">
        <f>HYPERLINK("https://klasma.github.io/Logging_2283/tillsynsmail/A 2409-2023 tillsynsbegäran mail.docx", "A 2409-2023")</f>
        <v/>
      </c>
    </row>
    <row r="222" ht="15" customHeight="1">
      <c r="A222" t="inlineStr">
        <is>
          <t>A 9365-2023</t>
        </is>
      </c>
      <c r="B222" s="1" t="n">
        <v>44980</v>
      </c>
      <c r="C222" s="1" t="n">
        <v>45740</v>
      </c>
      <c r="D222" t="inlineStr">
        <is>
          <t>VÄSTERNORRLANDS LÄN</t>
        </is>
      </c>
      <c r="E222" t="inlineStr">
        <is>
          <t>SOLLEFTEÅ</t>
        </is>
      </c>
      <c r="F222" t="inlineStr">
        <is>
          <t>SCA</t>
        </is>
      </c>
      <c r="G222" t="n">
        <v>6.5</v>
      </c>
      <c r="H222" t="n">
        <v>2</v>
      </c>
      <c r="I222" t="n">
        <v>0</v>
      </c>
      <c r="J222" t="n">
        <v>3</v>
      </c>
      <c r="K222" t="n">
        <v>0</v>
      </c>
      <c r="L222" t="n">
        <v>0</v>
      </c>
      <c r="M222" t="n">
        <v>0</v>
      </c>
      <c r="N222" t="n">
        <v>0</v>
      </c>
      <c r="O222" t="n">
        <v>3</v>
      </c>
      <c r="P222" t="n">
        <v>0</v>
      </c>
      <c r="Q222" t="n">
        <v>4</v>
      </c>
      <c r="R222" s="2" t="inlineStr">
        <is>
          <t>Garnlav
Kolflarnlav
Tretåig hackspett
Tjäder</t>
        </is>
      </c>
      <c r="S222">
        <f>HYPERLINK("https://klasma.github.io/Logging_2283/artfynd/A 9365-2023 artfynd.xlsx", "A 9365-2023")</f>
        <v/>
      </c>
      <c r="T222">
        <f>HYPERLINK("https://klasma.github.io/Logging_2283/kartor/A 9365-2023 karta.png", "A 9365-2023")</f>
        <v/>
      </c>
      <c r="V222">
        <f>HYPERLINK("https://klasma.github.io/Logging_2283/klagomål/A 9365-2023 FSC-klagomål.docx", "A 9365-2023")</f>
        <v/>
      </c>
      <c r="W222">
        <f>HYPERLINK("https://klasma.github.io/Logging_2283/klagomålsmail/A 9365-2023 FSC-klagomål mail.docx", "A 9365-2023")</f>
        <v/>
      </c>
      <c r="X222">
        <f>HYPERLINK("https://klasma.github.io/Logging_2283/tillsyn/A 9365-2023 tillsynsbegäran.docx", "A 9365-2023")</f>
        <v/>
      </c>
      <c r="Y222">
        <f>HYPERLINK("https://klasma.github.io/Logging_2283/tillsynsmail/A 9365-2023 tillsynsbegäran mail.docx", "A 9365-2023")</f>
        <v/>
      </c>
      <c r="Z222">
        <f>HYPERLINK("https://klasma.github.io/Logging_2283/fåglar/A 9365-2023 prioriterade fågelarter.docx", "A 9365-2023")</f>
        <v/>
      </c>
    </row>
    <row r="223" ht="15" customHeight="1">
      <c r="A223" t="inlineStr">
        <is>
          <t>A 10776-2023</t>
        </is>
      </c>
      <c r="B223" s="1" t="n">
        <v>44988</v>
      </c>
      <c r="C223" s="1" t="n">
        <v>45740</v>
      </c>
      <c r="D223" t="inlineStr">
        <is>
          <t>VÄSTERNORRLANDS LÄN</t>
        </is>
      </c>
      <c r="E223" t="inlineStr">
        <is>
          <t>SOLLEFTEÅ</t>
        </is>
      </c>
      <c r="F223" t="inlineStr">
        <is>
          <t>SCA</t>
        </is>
      </c>
      <c r="G223" t="n">
        <v>6.2</v>
      </c>
      <c r="H223" t="n">
        <v>0</v>
      </c>
      <c r="I223" t="n">
        <v>0</v>
      </c>
      <c r="J223" t="n">
        <v>4</v>
      </c>
      <c r="K223" t="n">
        <v>0</v>
      </c>
      <c r="L223" t="n">
        <v>0</v>
      </c>
      <c r="M223" t="n">
        <v>0</v>
      </c>
      <c r="N223" t="n">
        <v>0</v>
      </c>
      <c r="O223" t="n">
        <v>4</v>
      </c>
      <c r="P223" t="n">
        <v>0</v>
      </c>
      <c r="Q223" t="n">
        <v>4</v>
      </c>
      <c r="R223" s="2" t="inlineStr">
        <is>
          <t>Granticka
Rosenticka
Ullticka
Vedskivlav</t>
        </is>
      </c>
      <c r="S223">
        <f>HYPERLINK("https://klasma.github.io/Logging_2283/artfynd/A 10776-2023 artfynd.xlsx", "A 10776-2023")</f>
        <v/>
      </c>
      <c r="T223">
        <f>HYPERLINK("https://klasma.github.io/Logging_2283/kartor/A 10776-2023 karta.png", "A 10776-2023")</f>
        <v/>
      </c>
      <c r="V223">
        <f>HYPERLINK("https://klasma.github.io/Logging_2283/klagomål/A 10776-2023 FSC-klagomål.docx", "A 10776-2023")</f>
        <v/>
      </c>
      <c r="W223">
        <f>HYPERLINK("https://klasma.github.io/Logging_2283/klagomålsmail/A 10776-2023 FSC-klagomål mail.docx", "A 10776-2023")</f>
        <v/>
      </c>
      <c r="X223">
        <f>HYPERLINK("https://klasma.github.io/Logging_2283/tillsyn/A 10776-2023 tillsynsbegäran.docx", "A 10776-2023")</f>
        <v/>
      </c>
      <c r="Y223">
        <f>HYPERLINK("https://klasma.github.io/Logging_2283/tillsynsmail/A 10776-2023 tillsynsbegäran mail.docx", "A 10776-2023")</f>
        <v/>
      </c>
    </row>
    <row r="224" ht="15" customHeight="1">
      <c r="A224" t="inlineStr">
        <is>
          <t>A 12365-2023</t>
        </is>
      </c>
      <c r="B224" s="1" t="n">
        <v>44999</v>
      </c>
      <c r="C224" s="1" t="n">
        <v>45740</v>
      </c>
      <c r="D224" t="inlineStr">
        <is>
          <t>VÄSTERNORRLANDS LÄN</t>
        </is>
      </c>
      <c r="E224" t="inlineStr">
        <is>
          <t>SOLLEFTEÅ</t>
        </is>
      </c>
      <c r="F224" t="inlineStr">
        <is>
          <t>Kommuner</t>
        </is>
      </c>
      <c r="G224" t="n">
        <v>2.2</v>
      </c>
      <c r="H224" t="n">
        <v>0</v>
      </c>
      <c r="I224" t="n">
        <v>2</v>
      </c>
      <c r="J224" t="n">
        <v>2</v>
      </c>
      <c r="K224" t="n">
        <v>0</v>
      </c>
      <c r="L224" t="n">
        <v>0</v>
      </c>
      <c r="M224" t="n">
        <v>0</v>
      </c>
      <c r="N224" t="n">
        <v>0</v>
      </c>
      <c r="O224" t="n">
        <v>2</v>
      </c>
      <c r="P224" t="n">
        <v>0</v>
      </c>
      <c r="Q224" t="n">
        <v>4</v>
      </c>
      <c r="R224" s="2" t="inlineStr">
        <is>
          <t>Rosenticka
Ullticka
Mörk husmossa
Skinnlav</t>
        </is>
      </c>
      <c r="S224">
        <f>HYPERLINK("https://klasma.github.io/Logging_2283/artfynd/A 12365-2023 artfynd.xlsx", "A 12365-2023")</f>
        <v/>
      </c>
      <c r="T224">
        <f>HYPERLINK("https://klasma.github.io/Logging_2283/kartor/A 12365-2023 karta.png", "A 12365-2023")</f>
        <v/>
      </c>
      <c r="U224">
        <f>HYPERLINK("https://klasma.github.io/Logging_2283/knärot/A 12365-2023 karta knärot.png", "A 12365-2023")</f>
        <v/>
      </c>
      <c r="V224">
        <f>HYPERLINK("https://klasma.github.io/Logging_2283/klagomål/A 12365-2023 FSC-klagomål.docx", "A 12365-2023")</f>
        <v/>
      </c>
      <c r="W224">
        <f>HYPERLINK("https://klasma.github.io/Logging_2283/klagomålsmail/A 12365-2023 FSC-klagomål mail.docx", "A 12365-2023")</f>
        <v/>
      </c>
      <c r="X224">
        <f>HYPERLINK("https://klasma.github.io/Logging_2283/tillsyn/A 12365-2023 tillsynsbegäran.docx", "A 12365-2023")</f>
        <v/>
      </c>
      <c r="Y224">
        <f>HYPERLINK("https://klasma.github.io/Logging_2283/tillsynsmail/A 12365-2023 tillsynsbegäran mail.docx", "A 12365-2023")</f>
        <v/>
      </c>
    </row>
    <row r="225" ht="15" customHeight="1">
      <c r="A225" t="inlineStr">
        <is>
          <t>A 18066-2023</t>
        </is>
      </c>
      <c r="B225" s="1" t="n">
        <v>45040</v>
      </c>
      <c r="C225" s="1" t="n">
        <v>45740</v>
      </c>
      <c r="D225" t="inlineStr">
        <is>
          <t>VÄSTERNORRLANDS LÄN</t>
        </is>
      </c>
      <c r="E225" t="inlineStr">
        <is>
          <t>SOLLEFTEÅ</t>
        </is>
      </c>
      <c r="G225" t="n">
        <v>0.8</v>
      </c>
      <c r="H225" t="n">
        <v>1</v>
      </c>
      <c r="I225" t="n">
        <v>0</v>
      </c>
      <c r="J225" t="n">
        <v>3</v>
      </c>
      <c r="K225" t="n">
        <v>1</v>
      </c>
      <c r="L225" t="n">
        <v>0</v>
      </c>
      <c r="M225" t="n">
        <v>0</v>
      </c>
      <c r="N225" t="n">
        <v>0</v>
      </c>
      <c r="O225" t="n">
        <v>4</v>
      </c>
      <c r="P225" t="n">
        <v>1</v>
      </c>
      <c r="Q225" t="n">
        <v>4</v>
      </c>
      <c r="R225" s="2" t="inlineStr">
        <is>
          <t>Knärot
Garnlav
Rosenticka
Ullticka</t>
        </is>
      </c>
      <c r="S225">
        <f>HYPERLINK("https://klasma.github.io/Logging_2283/artfynd/A 18066-2023 artfynd.xlsx", "A 18066-2023")</f>
        <v/>
      </c>
      <c r="T225">
        <f>HYPERLINK("https://klasma.github.io/Logging_2283/kartor/A 18066-2023 karta.png", "A 18066-2023")</f>
        <v/>
      </c>
      <c r="U225">
        <f>HYPERLINK("https://klasma.github.io/Logging_2283/knärot/A 18066-2023 karta knärot.png", "A 18066-2023")</f>
        <v/>
      </c>
      <c r="V225">
        <f>HYPERLINK("https://klasma.github.io/Logging_2283/klagomål/A 18066-2023 FSC-klagomål.docx", "A 18066-2023")</f>
        <v/>
      </c>
      <c r="W225">
        <f>HYPERLINK("https://klasma.github.io/Logging_2283/klagomålsmail/A 18066-2023 FSC-klagomål mail.docx", "A 18066-2023")</f>
        <v/>
      </c>
      <c r="X225">
        <f>HYPERLINK("https://klasma.github.io/Logging_2283/tillsyn/A 18066-2023 tillsynsbegäran.docx", "A 18066-2023")</f>
        <v/>
      </c>
      <c r="Y225">
        <f>HYPERLINK("https://klasma.github.io/Logging_2283/tillsynsmail/A 18066-2023 tillsynsbegäran mail.docx", "A 18066-2023")</f>
        <v/>
      </c>
    </row>
    <row r="226" ht="15" customHeight="1">
      <c r="A226" t="inlineStr">
        <is>
          <t>A 32218-2023</t>
        </is>
      </c>
      <c r="B226" s="1" t="n">
        <v>45120</v>
      </c>
      <c r="C226" s="1" t="n">
        <v>45740</v>
      </c>
      <c r="D226" t="inlineStr">
        <is>
          <t>VÄSTERNORRLANDS LÄN</t>
        </is>
      </c>
      <c r="E226" t="inlineStr">
        <is>
          <t>SOLLEFTEÅ</t>
        </is>
      </c>
      <c r="F226" t="inlineStr">
        <is>
          <t>SCA</t>
        </is>
      </c>
      <c r="G226" t="n">
        <v>2.1</v>
      </c>
      <c r="H226" t="n">
        <v>1</v>
      </c>
      <c r="I226" t="n">
        <v>0</v>
      </c>
      <c r="J226" t="n">
        <v>4</v>
      </c>
      <c r="K226" t="n">
        <v>0</v>
      </c>
      <c r="L226" t="n">
        <v>0</v>
      </c>
      <c r="M226" t="n">
        <v>0</v>
      </c>
      <c r="N226" t="n">
        <v>0</v>
      </c>
      <c r="O226" t="n">
        <v>4</v>
      </c>
      <c r="P226" t="n">
        <v>0</v>
      </c>
      <c r="Q226" t="n">
        <v>4</v>
      </c>
      <c r="R226" s="2" t="inlineStr">
        <is>
          <t>Garnlav
Lunglav
Tretåig hackspett
Ullticka</t>
        </is>
      </c>
      <c r="S226">
        <f>HYPERLINK("https://klasma.github.io/Logging_2283/artfynd/A 32218-2023 artfynd.xlsx", "A 32218-2023")</f>
        <v/>
      </c>
      <c r="T226">
        <f>HYPERLINK("https://klasma.github.io/Logging_2283/kartor/A 32218-2023 karta.png", "A 32218-2023")</f>
        <v/>
      </c>
      <c r="V226">
        <f>HYPERLINK("https://klasma.github.io/Logging_2283/klagomål/A 32218-2023 FSC-klagomål.docx", "A 32218-2023")</f>
        <v/>
      </c>
      <c r="W226">
        <f>HYPERLINK("https://klasma.github.io/Logging_2283/klagomålsmail/A 32218-2023 FSC-klagomål mail.docx", "A 32218-2023")</f>
        <v/>
      </c>
      <c r="X226">
        <f>HYPERLINK("https://klasma.github.io/Logging_2283/tillsyn/A 32218-2023 tillsynsbegäran.docx", "A 32218-2023")</f>
        <v/>
      </c>
      <c r="Y226">
        <f>HYPERLINK("https://klasma.github.io/Logging_2283/tillsynsmail/A 32218-2023 tillsynsbegäran mail.docx", "A 32218-2023")</f>
        <v/>
      </c>
      <c r="Z226">
        <f>HYPERLINK("https://klasma.github.io/Logging_2283/fåglar/A 32218-2023 prioriterade fågelarter.docx", "A 32218-2023")</f>
        <v/>
      </c>
    </row>
    <row r="227" ht="15" customHeight="1">
      <c r="A227" t="inlineStr">
        <is>
          <t>A 35505-2023</t>
        </is>
      </c>
      <c r="B227" s="1" t="n">
        <v>45147</v>
      </c>
      <c r="C227" s="1" t="n">
        <v>45740</v>
      </c>
      <c r="D227" t="inlineStr">
        <is>
          <t>VÄSTERNORRLANDS LÄN</t>
        </is>
      </c>
      <c r="E227" t="inlineStr">
        <is>
          <t>SOLLEFTEÅ</t>
        </is>
      </c>
      <c r="F227" t="inlineStr">
        <is>
          <t>SCA</t>
        </is>
      </c>
      <c r="G227" t="n">
        <v>2.6</v>
      </c>
      <c r="H227" t="n">
        <v>0</v>
      </c>
      <c r="I227" t="n">
        <v>2</v>
      </c>
      <c r="J227" t="n">
        <v>2</v>
      </c>
      <c r="K227" t="n">
        <v>0</v>
      </c>
      <c r="L227" t="n">
        <v>0</v>
      </c>
      <c r="M227" t="n">
        <v>0</v>
      </c>
      <c r="N227" t="n">
        <v>0</v>
      </c>
      <c r="O227" t="n">
        <v>2</v>
      </c>
      <c r="P227" t="n">
        <v>0</v>
      </c>
      <c r="Q227" t="n">
        <v>4</v>
      </c>
      <c r="R227" s="2" t="inlineStr">
        <is>
          <t>Garnlav
Lunglav
Bårdlav
Norrlandslav</t>
        </is>
      </c>
      <c r="S227">
        <f>HYPERLINK("https://klasma.github.io/Logging_2283/artfynd/A 35505-2023 artfynd.xlsx", "A 35505-2023")</f>
        <v/>
      </c>
      <c r="T227">
        <f>HYPERLINK("https://klasma.github.io/Logging_2283/kartor/A 35505-2023 karta.png", "A 35505-2023")</f>
        <v/>
      </c>
      <c r="V227">
        <f>HYPERLINK("https://klasma.github.io/Logging_2283/klagomål/A 35505-2023 FSC-klagomål.docx", "A 35505-2023")</f>
        <v/>
      </c>
      <c r="W227">
        <f>HYPERLINK("https://klasma.github.io/Logging_2283/klagomålsmail/A 35505-2023 FSC-klagomål mail.docx", "A 35505-2023")</f>
        <v/>
      </c>
      <c r="X227">
        <f>HYPERLINK("https://klasma.github.io/Logging_2283/tillsyn/A 35505-2023 tillsynsbegäran.docx", "A 35505-2023")</f>
        <v/>
      </c>
      <c r="Y227">
        <f>HYPERLINK("https://klasma.github.io/Logging_2283/tillsynsmail/A 35505-2023 tillsynsbegäran mail.docx", "A 35505-2023")</f>
        <v/>
      </c>
    </row>
    <row r="228" ht="15" customHeight="1">
      <c r="A228" t="inlineStr">
        <is>
          <t>A 37270-2023</t>
        </is>
      </c>
      <c r="B228" s="1" t="n">
        <v>45155</v>
      </c>
      <c r="C228" s="1" t="n">
        <v>45740</v>
      </c>
      <c r="D228" t="inlineStr">
        <is>
          <t>VÄSTERNORRLANDS LÄN</t>
        </is>
      </c>
      <c r="E228" t="inlineStr">
        <is>
          <t>SOLLEFTEÅ</t>
        </is>
      </c>
      <c r="F228" t="inlineStr">
        <is>
          <t>SCA</t>
        </is>
      </c>
      <c r="G228" t="n">
        <v>2.3</v>
      </c>
      <c r="H228" t="n">
        <v>1</v>
      </c>
      <c r="I228" t="n">
        <v>1</v>
      </c>
      <c r="J228" t="n">
        <v>3</v>
      </c>
      <c r="K228" t="n">
        <v>0</v>
      </c>
      <c r="L228" t="n">
        <v>0</v>
      </c>
      <c r="M228" t="n">
        <v>0</v>
      </c>
      <c r="N228" t="n">
        <v>0</v>
      </c>
      <c r="O228" t="n">
        <v>3</v>
      </c>
      <c r="P228" t="n">
        <v>0</v>
      </c>
      <c r="Q228" t="n">
        <v>4</v>
      </c>
      <c r="R228" s="2" t="inlineStr">
        <is>
          <t>Orange taggsvamp
Tallticka
Tretåig hackspett
Dropptaggsvamp</t>
        </is>
      </c>
      <c r="S228">
        <f>HYPERLINK("https://klasma.github.io/Logging_2283/artfynd/A 37270-2023 artfynd.xlsx", "A 37270-2023")</f>
        <v/>
      </c>
      <c r="T228">
        <f>HYPERLINK("https://klasma.github.io/Logging_2283/kartor/A 37270-2023 karta.png", "A 37270-2023")</f>
        <v/>
      </c>
      <c r="V228">
        <f>HYPERLINK("https://klasma.github.io/Logging_2283/klagomål/A 37270-2023 FSC-klagomål.docx", "A 37270-2023")</f>
        <v/>
      </c>
      <c r="W228">
        <f>HYPERLINK("https://klasma.github.io/Logging_2283/klagomålsmail/A 37270-2023 FSC-klagomål mail.docx", "A 37270-2023")</f>
        <v/>
      </c>
      <c r="X228">
        <f>HYPERLINK("https://klasma.github.io/Logging_2283/tillsyn/A 37270-2023 tillsynsbegäran.docx", "A 37270-2023")</f>
        <v/>
      </c>
      <c r="Y228">
        <f>HYPERLINK("https://klasma.github.io/Logging_2283/tillsynsmail/A 37270-2023 tillsynsbegäran mail.docx", "A 37270-2023")</f>
        <v/>
      </c>
      <c r="Z228">
        <f>HYPERLINK("https://klasma.github.io/Logging_2283/fåglar/A 37270-2023 prioriterade fågelarter.docx", "A 37270-2023")</f>
        <v/>
      </c>
    </row>
    <row r="229" ht="15" customHeight="1">
      <c r="A229" t="inlineStr">
        <is>
          <t>A 43954-2023</t>
        </is>
      </c>
      <c r="B229" s="1" t="n">
        <v>45187</v>
      </c>
      <c r="C229" s="1" t="n">
        <v>45740</v>
      </c>
      <c r="D229" t="inlineStr">
        <is>
          <t>VÄSTERNORRLANDS LÄN</t>
        </is>
      </c>
      <c r="E229" t="inlineStr">
        <is>
          <t>SOLLEFTEÅ</t>
        </is>
      </c>
      <c r="F229" t="inlineStr">
        <is>
          <t>SCA</t>
        </is>
      </c>
      <c r="G229" t="n">
        <v>1.7</v>
      </c>
      <c r="H229" t="n">
        <v>3</v>
      </c>
      <c r="I229" t="n">
        <v>0</v>
      </c>
      <c r="J229" t="n">
        <v>2</v>
      </c>
      <c r="K229" t="n">
        <v>2</v>
      </c>
      <c r="L229" t="n">
        <v>0</v>
      </c>
      <c r="M229" t="n">
        <v>0</v>
      </c>
      <c r="N229" t="n">
        <v>0</v>
      </c>
      <c r="O229" t="n">
        <v>4</v>
      </c>
      <c r="P229" t="n">
        <v>2</v>
      </c>
      <c r="Q229" t="n">
        <v>4</v>
      </c>
      <c r="R229" s="2" t="inlineStr">
        <is>
          <t>Doftticka
Knärot
Lunglav
Tretåig hackspett</t>
        </is>
      </c>
      <c r="S229">
        <f>HYPERLINK("https://klasma.github.io/Logging_2283/artfynd/A 43954-2023 artfynd.xlsx", "A 43954-2023")</f>
        <v/>
      </c>
      <c r="T229">
        <f>HYPERLINK("https://klasma.github.io/Logging_2283/kartor/A 43954-2023 karta.png", "A 43954-2023")</f>
        <v/>
      </c>
      <c r="U229">
        <f>HYPERLINK("https://klasma.github.io/Logging_2283/knärot/A 43954-2023 karta knärot.png", "A 43954-2023")</f>
        <v/>
      </c>
      <c r="V229">
        <f>HYPERLINK("https://klasma.github.io/Logging_2283/klagomål/A 43954-2023 FSC-klagomål.docx", "A 43954-2023")</f>
        <v/>
      </c>
      <c r="W229">
        <f>HYPERLINK("https://klasma.github.io/Logging_2283/klagomålsmail/A 43954-2023 FSC-klagomål mail.docx", "A 43954-2023")</f>
        <v/>
      </c>
      <c r="X229">
        <f>HYPERLINK("https://klasma.github.io/Logging_2283/tillsyn/A 43954-2023 tillsynsbegäran.docx", "A 43954-2023")</f>
        <v/>
      </c>
      <c r="Y229">
        <f>HYPERLINK("https://klasma.github.io/Logging_2283/tillsynsmail/A 43954-2023 tillsynsbegäran mail.docx", "A 43954-2023")</f>
        <v/>
      </c>
      <c r="Z229">
        <f>HYPERLINK("https://klasma.github.io/Logging_2283/fåglar/A 43954-2023 prioriterade fågelarter.docx", "A 43954-2023")</f>
        <v/>
      </c>
    </row>
    <row r="230" ht="15" customHeight="1">
      <c r="A230" t="inlineStr">
        <is>
          <t>A 50839-2023</t>
        </is>
      </c>
      <c r="B230" s="1" t="n">
        <v>45217</v>
      </c>
      <c r="C230" s="1" t="n">
        <v>45740</v>
      </c>
      <c r="D230" t="inlineStr">
        <is>
          <t>VÄSTERNORRLANDS LÄN</t>
        </is>
      </c>
      <c r="E230" t="inlineStr">
        <is>
          <t>SOLLEFTEÅ</t>
        </is>
      </c>
      <c r="F230" t="inlineStr">
        <is>
          <t>SCA</t>
        </is>
      </c>
      <c r="G230" t="n">
        <v>2.8</v>
      </c>
      <c r="H230" t="n">
        <v>0</v>
      </c>
      <c r="I230" t="n">
        <v>1</v>
      </c>
      <c r="J230" t="n">
        <v>3</v>
      </c>
      <c r="K230" t="n">
        <v>0</v>
      </c>
      <c r="L230" t="n">
        <v>0</v>
      </c>
      <c r="M230" t="n">
        <v>0</v>
      </c>
      <c r="N230" t="n">
        <v>0</v>
      </c>
      <c r="O230" t="n">
        <v>3</v>
      </c>
      <c r="P230" t="n">
        <v>0</v>
      </c>
      <c r="Q230" t="n">
        <v>4</v>
      </c>
      <c r="R230" s="2" t="inlineStr">
        <is>
          <t>Garnlav
Granticka
Vitskaftad svartspik
Gulnål</t>
        </is>
      </c>
      <c r="S230">
        <f>HYPERLINK("https://klasma.github.io/Logging_2283/artfynd/A 50839-2023 artfynd.xlsx", "A 50839-2023")</f>
        <v/>
      </c>
      <c r="T230">
        <f>HYPERLINK("https://klasma.github.io/Logging_2283/kartor/A 50839-2023 karta.png", "A 50839-2023")</f>
        <v/>
      </c>
      <c r="V230">
        <f>HYPERLINK("https://klasma.github.io/Logging_2283/klagomål/A 50839-2023 FSC-klagomål.docx", "A 50839-2023")</f>
        <v/>
      </c>
      <c r="W230">
        <f>HYPERLINK("https://klasma.github.io/Logging_2283/klagomålsmail/A 50839-2023 FSC-klagomål mail.docx", "A 50839-2023")</f>
        <v/>
      </c>
      <c r="X230">
        <f>HYPERLINK("https://klasma.github.io/Logging_2283/tillsyn/A 50839-2023 tillsynsbegäran.docx", "A 50839-2023")</f>
        <v/>
      </c>
      <c r="Y230">
        <f>HYPERLINK("https://klasma.github.io/Logging_2283/tillsynsmail/A 50839-2023 tillsynsbegäran mail.docx", "A 50839-2023")</f>
        <v/>
      </c>
    </row>
    <row r="231" ht="15" customHeight="1">
      <c r="A231" t="inlineStr">
        <is>
          <t>A 52088-2023</t>
        </is>
      </c>
      <c r="B231" s="1" t="n">
        <v>45223</v>
      </c>
      <c r="C231" s="1" t="n">
        <v>45740</v>
      </c>
      <c r="D231" t="inlineStr">
        <is>
          <t>VÄSTERNORRLANDS LÄN</t>
        </is>
      </c>
      <c r="E231" t="inlineStr">
        <is>
          <t>SOLLEFTEÅ</t>
        </is>
      </c>
      <c r="G231" t="n">
        <v>6.4</v>
      </c>
      <c r="H231" t="n">
        <v>0</v>
      </c>
      <c r="I231" t="n">
        <v>1</v>
      </c>
      <c r="J231" t="n">
        <v>3</v>
      </c>
      <c r="K231" t="n">
        <v>0</v>
      </c>
      <c r="L231" t="n">
        <v>0</v>
      </c>
      <c r="M231" t="n">
        <v>0</v>
      </c>
      <c r="N231" t="n">
        <v>0</v>
      </c>
      <c r="O231" t="n">
        <v>3</v>
      </c>
      <c r="P231" t="n">
        <v>0</v>
      </c>
      <c r="Q231" t="n">
        <v>4</v>
      </c>
      <c r="R231" s="2" t="inlineStr">
        <is>
          <t>Granticka
Lunglav
Rosenticka
Vedticka</t>
        </is>
      </c>
      <c r="S231">
        <f>HYPERLINK("https://klasma.github.io/Logging_2283/artfynd/A 52088-2023 artfynd.xlsx", "A 52088-2023")</f>
        <v/>
      </c>
      <c r="T231">
        <f>HYPERLINK("https://klasma.github.io/Logging_2283/kartor/A 52088-2023 karta.png", "A 52088-2023")</f>
        <v/>
      </c>
      <c r="V231">
        <f>HYPERLINK("https://klasma.github.io/Logging_2283/klagomål/A 52088-2023 FSC-klagomål.docx", "A 52088-2023")</f>
        <v/>
      </c>
      <c r="W231">
        <f>HYPERLINK("https://klasma.github.io/Logging_2283/klagomålsmail/A 52088-2023 FSC-klagomål mail.docx", "A 52088-2023")</f>
        <v/>
      </c>
      <c r="X231">
        <f>HYPERLINK("https://klasma.github.io/Logging_2283/tillsyn/A 52088-2023 tillsynsbegäran.docx", "A 52088-2023")</f>
        <v/>
      </c>
      <c r="Y231">
        <f>HYPERLINK("https://klasma.github.io/Logging_2283/tillsynsmail/A 52088-2023 tillsynsbegäran mail.docx", "A 52088-2023")</f>
        <v/>
      </c>
    </row>
    <row r="232" ht="15" customHeight="1">
      <c r="A232" t="inlineStr">
        <is>
          <t>A 53566-2023</t>
        </is>
      </c>
      <c r="B232" s="1" t="n">
        <v>45223</v>
      </c>
      <c r="C232" s="1" t="n">
        <v>45740</v>
      </c>
      <c r="D232" t="inlineStr">
        <is>
          <t>VÄSTERNORRLANDS LÄN</t>
        </is>
      </c>
      <c r="E232" t="inlineStr">
        <is>
          <t>SOLLEFTEÅ</t>
        </is>
      </c>
      <c r="G232" t="n">
        <v>9</v>
      </c>
      <c r="H232" t="n">
        <v>2</v>
      </c>
      <c r="I232" t="n">
        <v>0</v>
      </c>
      <c r="J232" t="n">
        <v>2</v>
      </c>
      <c r="K232" t="n">
        <v>0</v>
      </c>
      <c r="L232" t="n">
        <v>0</v>
      </c>
      <c r="M232" t="n">
        <v>0</v>
      </c>
      <c r="N232" t="n">
        <v>0</v>
      </c>
      <c r="O232" t="n">
        <v>2</v>
      </c>
      <c r="P232" t="n">
        <v>0</v>
      </c>
      <c r="Q232" t="n">
        <v>4</v>
      </c>
      <c r="R232" s="2" t="inlineStr">
        <is>
          <t>Garnlav
Lunglav
Fläcknycklar
Revlummer</t>
        </is>
      </c>
      <c r="S232">
        <f>HYPERLINK("https://klasma.github.io/Logging_2283/artfynd/A 53566-2023 artfynd.xlsx", "A 53566-2023")</f>
        <v/>
      </c>
      <c r="T232">
        <f>HYPERLINK("https://klasma.github.io/Logging_2283/kartor/A 53566-2023 karta.png", "A 53566-2023")</f>
        <v/>
      </c>
      <c r="V232">
        <f>HYPERLINK("https://klasma.github.io/Logging_2283/klagomål/A 53566-2023 FSC-klagomål.docx", "A 53566-2023")</f>
        <v/>
      </c>
      <c r="W232">
        <f>HYPERLINK("https://klasma.github.io/Logging_2283/klagomålsmail/A 53566-2023 FSC-klagomål mail.docx", "A 53566-2023")</f>
        <v/>
      </c>
      <c r="X232">
        <f>HYPERLINK("https://klasma.github.io/Logging_2283/tillsyn/A 53566-2023 tillsynsbegäran.docx", "A 53566-2023")</f>
        <v/>
      </c>
      <c r="Y232">
        <f>HYPERLINK("https://klasma.github.io/Logging_2283/tillsynsmail/A 53566-2023 tillsynsbegäran mail.docx", "A 53566-2023")</f>
        <v/>
      </c>
    </row>
    <row r="233" ht="15" customHeight="1">
      <c r="A233" t="inlineStr">
        <is>
          <t>A 53049-2023</t>
        </is>
      </c>
      <c r="B233" s="1" t="n">
        <v>45226</v>
      </c>
      <c r="C233" s="1" t="n">
        <v>45740</v>
      </c>
      <c r="D233" t="inlineStr">
        <is>
          <t>VÄSTERNORRLANDS LÄN</t>
        </is>
      </c>
      <c r="E233" t="inlineStr">
        <is>
          <t>SOLLEFTEÅ</t>
        </is>
      </c>
      <c r="F233" t="inlineStr">
        <is>
          <t>SCA</t>
        </is>
      </c>
      <c r="G233" t="n">
        <v>3.7</v>
      </c>
      <c r="H233" t="n">
        <v>2</v>
      </c>
      <c r="I233" t="n">
        <v>0</v>
      </c>
      <c r="J233" t="n">
        <v>4</v>
      </c>
      <c r="K233" t="n">
        <v>0</v>
      </c>
      <c r="L233" t="n">
        <v>0</v>
      </c>
      <c r="M233" t="n">
        <v>0</v>
      </c>
      <c r="N233" t="n">
        <v>0</v>
      </c>
      <c r="O233" t="n">
        <v>4</v>
      </c>
      <c r="P233" t="n">
        <v>0</v>
      </c>
      <c r="Q233" t="n">
        <v>4</v>
      </c>
      <c r="R233" s="2" t="inlineStr">
        <is>
          <t>Järpe
Lunglav
Tretåig hackspett
Ullticka</t>
        </is>
      </c>
      <c r="S233">
        <f>HYPERLINK("https://klasma.github.io/Logging_2283/artfynd/A 53049-2023 artfynd.xlsx", "A 53049-2023")</f>
        <v/>
      </c>
      <c r="T233">
        <f>HYPERLINK("https://klasma.github.io/Logging_2283/kartor/A 53049-2023 karta.png", "A 53049-2023")</f>
        <v/>
      </c>
      <c r="V233">
        <f>HYPERLINK("https://klasma.github.io/Logging_2283/klagomål/A 53049-2023 FSC-klagomål.docx", "A 53049-2023")</f>
        <v/>
      </c>
      <c r="W233">
        <f>HYPERLINK("https://klasma.github.io/Logging_2283/klagomålsmail/A 53049-2023 FSC-klagomål mail.docx", "A 53049-2023")</f>
        <v/>
      </c>
      <c r="X233">
        <f>HYPERLINK("https://klasma.github.io/Logging_2283/tillsyn/A 53049-2023 tillsynsbegäran.docx", "A 53049-2023")</f>
        <v/>
      </c>
      <c r="Y233">
        <f>HYPERLINK("https://klasma.github.io/Logging_2283/tillsynsmail/A 53049-2023 tillsynsbegäran mail.docx", "A 53049-2023")</f>
        <v/>
      </c>
      <c r="Z233">
        <f>HYPERLINK("https://klasma.github.io/Logging_2283/fåglar/A 53049-2023 prioriterade fågelarter.docx", "A 53049-2023")</f>
        <v/>
      </c>
    </row>
    <row r="234" ht="15" customHeight="1">
      <c r="A234" t="inlineStr">
        <is>
          <t>A 56248-2023</t>
        </is>
      </c>
      <c r="B234" s="1" t="n">
        <v>45240</v>
      </c>
      <c r="C234" s="1" t="n">
        <v>45740</v>
      </c>
      <c r="D234" t="inlineStr">
        <is>
          <t>VÄSTERNORRLANDS LÄN</t>
        </is>
      </c>
      <c r="E234" t="inlineStr">
        <is>
          <t>SOLLEFTEÅ</t>
        </is>
      </c>
      <c r="F234" t="inlineStr">
        <is>
          <t>SCA</t>
        </is>
      </c>
      <c r="G234" t="n">
        <v>12.2</v>
      </c>
      <c r="H234" t="n">
        <v>3</v>
      </c>
      <c r="I234" t="n">
        <v>0</v>
      </c>
      <c r="J234" t="n">
        <v>3</v>
      </c>
      <c r="K234" t="n">
        <v>0</v>
      </c>
      <c r="L234" t="n">
        <v>0</v>
      </c>
      <c r="M234" t="n">
        <v>0</v>
      </c>
      <c r="N234" t="n">
        <v>0</v>
      </c>
      <c r="O234" t="n">
        <v>3</v>
      </c>
      <c r="P234" t="n">
        <v>0</v>
      </c>
      <c r="Q234" t="n">
        <v>4</v>
      </c>
      <c r="R234" s="2" t="inlineStr">
        <is>
          <t>Granticka
Mindre hackspett
Tretåig hackspett
Lavskrika</t>
        </is>
      </c>
      <c r="S234">
        <f>HYPERLINK("https://klasma.github.io/Logging_2283/artfynd/A 56248-2023 artfynd.xlsx", "A 56248-2023")</f>
        <v/>
      </c>
      <c r="T234">
        <f>HYPERLINK("https://klasma.github.io/Logging_2283/kartor/A 56248-2023 karta.png", "A 56248-2023")</f>
        <v/>
      </c>
      <c r="V234">
        <f>HYPERLINK("https://klasma.github.io/Logging_2283/klagomål/A 56248-2023 FSC-klagomål.docx", "A 56248-2023")</f>
        <v/>
      </c>
      <c r="W234">
        <f>HYPERLINK("https://klasma.github.io/Logging_2283/klagomålsmail/A 56248-2023 FSC-klagomål mail.docx", "A 56248-2023")</f>
        <v/>
      </c>
      <c r="X234">
        <f>HYPERLINK("https://klasma.github.io/Logging_2283/tillsyn/A 56248-2023 tillsynsbegäran.docx", "A 56248-2023")</f>
        <v/>
      </c>
      <c r="Y234">
        <f>HYPERLINK("https://klasma.github.io/Logging_2283/tillsynsmail/A 56248-2023 tillsynsbegäran mail.docx", "A 56248-2023")</f>
        <v/>
      </c>
      <c r="Z234">
        <f>HYPERLINK("https://klasma.github.io/Logging_2283/fåglar/A 56248-2023 prioriterade fågelarter.docx", "A 56248-2023")</f>
        <v/>
      </c>
    </row>
    <row r="235" ht="15" customHeight="1">
      <c r="A235" t="inlineStr">
        <is>
          <t>A 62364-2023</t>
        </is>
      </c>
      <c r="B235" s="1" t="n">
        <v>45267</v>
      </c>
      <c r="C235" s="1" t="n">
        <v>45740</v>
      </c>
      <c r="D235" t="inlineStr">
        <is>
          <t>VÄSTERNORRLANDS LÄN</t>
        </is>
      </c>
      <c r="E235" t="inlineStr">
        <is>
          <t>SOLLEFTEÅ</t>
        </is>
      </c>
      <c r="F235" t="inlineStr">
        <is>
          <t>SCA</t>
        </is>
      </c>
      <c r="G235" t="n">
        <v>22.1</v>
      </c>
      <c r="H235" t="n">
        <v>1</v>
      </c>
      <c r="I235" t="n">
        <v>0</v>
      </c>
      <c r="J235" t="n">
        <v>3</v>
      </c>
      <c r="K235" t="n">
        <v>0</v>
      </c>
      <c r="L235" t="n">
        <v>0</v>
      </c>
      <c r="M235" t="n">
        <v>0</v>
      </c>
      <c r="N235" t="n">
        <v>0</v>
      </c>
      <c r="O235" t="n">
        <v>3</v>
      </c>
      <c r="P235" t="n">
        <v>0</v>
      </c>
      <c r="Q235" t="n">
        <v>4</v>
      </c>
      <c r="R235" s="2" t="inlineStr">
        <is>
          <t>Granticka
Harticka
Skogshare
Tjäder</t>
        </is>
      </c>
      <c r="S235">
        <f>HYPERLINK("https://klasma.github.io/Logging_2283/artfynd/A 62364-2023 artfynd.xlsx", "A 62364-2023")</f>
        <v/>
      </c>
      <c r="T235">
        <f>HYPERLINK("https://klasma.github.io/Logging_2283/kartor/A 62364-2023 karta.png", "A 62364-2023")</f>
        <v/>
      </c>
      <c r="V235">
        <f>HYPERLINK("https://klasma.github.io/Logging_2283/klagomål/A 62364-2023 FSC-klagomål.docx", "A 62364-2023")</f>
        <v/>
      </c>
      <c r="W235">
        <f>HYPERLINK("https://klasma.github.io/Logging_2283/klagomålsmail/A 62364-2023 FSC-klagomål mail.docx", "A 62364-2023")</f>
        <v/>
      </c>
      <c r="X235">
        <f>HYPERLINK("https://klasma.github.io/Logging_2283/tillsyn/A 62364-2023 tillsynsbegäran.docx", "A 62364-2023")</f>
        <v/>
      </c>
      <c r="Y235">
        <f>HYPERLINK("https://klasma.github.io/Logging_2283/tillsynsmail/A 62364-2023 tillsynsbegäran mail.docx", "A 62364-2023")</f>
        <v/>
      </c>
      <c r="Z235">
        <f>HYPERLINK("https://klasma.github.io/Logging_2283/fåglar/A 62364-2023 prioriterade fågelarter.docx", "A 62364-2023")</f>
        <v/>
      </c>
    </row>
    <row r="236" ht="15" customHeight="1">
      <c r="A236" t="inlineStr">
        <is>
          <t>A 2833-2024</t>
        </is>
      </c>
      <c r="B236" s="1" t="n">
        <v>45314</v>
      </c>
      <c r="C236" s="1" t="n">
        <v>45740</v>
      </c>
      <c r="D236" t="inlineStr">
        <is>
          <t>VÄSTERNORRLANDS LÄN</t>
        </is>
      </c>
      <c r="E236" t="inlineStr">
        <is>
          <t>SOLLEFTEÅ</t>
        </is>
      </c>
      <c r="F236" t="inlineStr">
        <is>
          <t>SCA</t>
        </is>
      </c>
      <c r="G236" t="n">
        <v>12.9</v>
      </c>
      <c r="H236" t="n">
        <v>1</v>
      </c>
      <c r="I236" t="n">
        <v>0</v>
      </c>
      <c r="J236" t="n">
        <v>3</v>
      </c>
      <c r="K236" t="n">
        <v>0</v>
      </c>
      <c r="L236" t="n">
        <v>0</v>
      </c>
      <c r="M236" t="n">
        <v>0</v>
      </c>
      <c r="N236" t="n">
        <v>0</v>
      </c>
      <c r="O236" t="n">
        <v>3</v>
      </c>
      <c r="P236" t="n">
        <v>0</v>
      </c>
      <c r="Q236" t="n">
        <v>4</v>
      </c>
      <c r="R236" s="2" t="inlineStr">
        <is>
          <t>Garnlav
Kolflarnlav
Mörk kolflarnlav
Tjäder</t>
        </is>
      </c>
      <c r="S236">
        <f>HYPERLINK("https://klasma.github.io/Logging_2283/artfynd/A 2833-2024 artfynd.xlsx", "A 2833-2024")</f>
        <v/>
      </c>
      <c r="T236">
        <f>HYPERLINK("https://klasma.github.io/Logging_2283/kartor/A 2833-2024 karta.png", "A 2833-2024")</f>
        <v/>
      </c>
      <c r="V236">
        <f>HYPERLINK("https://klasma.github.io/Logging_2283/klagomål/A 2833-2024 FSC-klagomål.docx", "A 2833-2024")</f>
        <v/>
      </c>
      <c r="W236">
        <f>HYPERLINK("https://klasma.github.io/Logging_2283/klagomålsmail/A 2833-2024 FSC-klagomål mail.docx", "A 2833-2024")</f>
        <v/>
      </c>
      <c r="X236">
        <f>HYPERLINK("https://klasma.github.io/Logging_2283/tillsyn/A 2833-2024 tillsynsbegäran.docx", "A 2833-2024")</f>
        <v/>
      </c>
      <c r="Y236">
        <f>HYPERLINK("https://klasma.github.io/Logging_2283/tillsynsmail/A 2833-2024 tillsynsbegäran mail.docx", "A 2833-2024")</f>
        <v/>
      </c>
      <c r="Z236">
        <f>HYPERLINK("https://klasma.github.io/Logging_2283/fåglar/A 2833-2024 prioriterade fågelarter.docx", "A 2833-2024")</f>
        <v/>
      </c>
    </row>
    <row r="237" ht="15" customHeight="1">
      <c r="A237" t="inlineStr">
        <is>
          <t>A 9819-2024</t>
        </is>
      </c>
      <c r="B237" s="1" t="n">
        <v>45363</v>
      </c>
      <c r="C237" s="1" t="n">
        <v>45740</v>
      </c>
      <c r="D237" t="inlineStr">
        <is>
          <t>VÄSTERNORRLANDS LÄN</t>
        </is>
      </c>
      <c r="E237" t="inlineStr">
        <is>
          <t>SOLLEFTEÅ</t>
        </is>
      </c>
      <c r="F237" t="inlineStr">
        <is>
          <t>SCA</t>
        </is>
      </c>
      <c r="G237" t="n">
        <v>6.8</v>
      </c>
      <c r="H237" t="n">
        <v>1</v>
      </c>
      <c r="I237" t="n">
        <v>1</v>
      </c>
      <c r="J237" t="n">
        <v>2</v>
      </c>
      <c r="K237" t="n">
        <v>1</v>
      </c>
      <c r="L237" t="n">
        <v>0</v>
      </c>
      <c r="M237" t="n">
        <v>0</v>
      </c>
      <c r="N237" t="n">
        <v>0</v>
      </c>
      <c r="O237" t="n">
        <v>3</v>
      </c>
      <c r="P237" t="n">
        <v>1</v>
      </c>
      <c r="Q237" t="n">
        <v>4</v>
      </c>
      <c r="R237" s="2" t="inlineStr">
        <is>
          <t>Knärot
Motaggsvamp
Vitgrynig nållav
Dropptaggsvamp</t>
        </is>
      </c>
      <c r="S237">
        <f>HYPERLINK("https://klasma.github.io/Logging_2283/artfynd/A 9819-2024 artfynd.xlsx", "A 9819-2024")</f>
        <v/>
      </c>
      <c r="T237">
        <f>HYPERLINK("https://klasma.github.io/Logging_2283/kartor/A 9819-2024 karta.png", "A 9819-2024")</f>
        <v/>
      </c>
      <c r="U237">
        <f>HYPERLINK("https://klasma.github.io/Logging_2283/knärot/A 9819-2024 karta knärot.png", "A 9819-2024")</f>
        <v/>
      </c>
      <c r="V237">
        <f>HYPERLINK("https://klasma.github.io/Logging_2283/klagomål/A 9819-2024 FSC-klagomål.docx", "A 9819-2024")</f>
        <v/>
      </c>
      <c r="W237">
        <f>HYPERLINK("https://klasma.github.io/Logging_2283/klagomålsmail/A 9819-2024 FSC-klagomål mail.docx", "A 9819-2024")</f>
        <v/>
      </c>
      <c r="X237">
        <f>HYPERLINK("https://klasma.github.io/Logging_2283/tillsyn/A 9819-2024 tillsynsbegäran.docx", "A 9819-2024")</f>
        <v/>
      </c>
      <c r="Y237">
        <f>HYPERLINK("https://klasma.github.io/Logging_2283/tillsynsmail/A 9819-2024 tillsynsbegäran mail.docx", "A 9819-2024")</f>
        <v/>
      </c>
    </row>
    <row r="238" ht="15" customHeight="1">
      <c r="A238" t="inlineStr">
        <is>
          <t>A 13342-2024</t>
        </is>
      </c>
      <c r="B238" s="1" t="n">
        <v>45386</v>
      </c>
      <c r="C238" s="1" t="n">
        <v>45740</v>
      </c>
      <c r="D238" t="inlineStr">
        <is>
          <t>VÄSTERNORRLANDS LÄN</t>
        </is>
      </c>
      <c r="E238" t="inlineStr">
        <is>
          <t>SOLLEFTEÅ</t>
        </is>
      </c>
      <c r="F238" t="inlineStr">
        <is>
          <t>SCA</t>
        </is>
      </c>
      <c r="G238" t="n">
        <v>4.4</v>
      </c>
      <c r="H238" t="n">
        <v>0</v>
      </c>
      <c r="I238" t="n">
        <v>1</v>
      </c>
      <c r="J238" t="n">
        <v>3</v>
      </c>
      <c r="K238" t="n">
        <v>0</v>
      </c>
      <c r="L238" t="n">
        <v>0</v>
      </c>
      <c r="M238" t="n">
        <v>0</v>
      </c>
      <c r="N238" t="n">
        <v>0</v>
      </c>
      <c r="O238" t="n">
        <v>3</v>
      </c>
      <c r="P238" t="n">
        <v>0</v>
      </c>
      <c r="Q238" t="n">
        <v>4</v>
      </c>
      <c r="R238" s="2" t="inlineStr">
        <is>
          <t>Lunglav
Skrovellav
Ullticka
Stuplav</t>
        </is>
      </c>
      <c r="S238">
        <f>HYPERLINK("https://klasma.github.io/Logging_2283/artfynd/A 13342-2024 artfynd.xlsx", "A 13342-2024")</f>
        <v/>
      </c>
      <c r="T238">
        <f>HYPERLINK("https://klasma.github.io/Logging_2283/kartor/A 13342-2024 karta.png", "A 13342-2024")</f>
        <v/>
      </c>
      <c r="V238">
        <f>HYPERLINK("https://klasma.github.io/Logging_2283/klagomål/A 13342-2024 FSC-klagomål.docx", "A 13342-2024")</f>
        <v/>
      </c>
      <c r="W238">
        <f>HYPERLINK("https://klasma.github.io/Logging_2283/klagomålsmail/A 13342-2024 FSC-klagomål mail.docx", "A 13342-2024")</f>
        <v/>
      </c>
      <c r="X238">
        <f>HYPERLINK("https://klasma.github.io/Logging_2283/tillsyn/A 13342-2024 tillsynsbegäran.docx", "A 13342-2024")</f>
        <v/>
      </c>
      <c r="Y238">
        <f>HYPERLINK("https://klasma.github.io/Logging_2283/tillsynsmail/A 13342-2024 tillsynsbegäran mail.docx", "A 13342-2024")</f>
        <v/>
      </c>
    </row>
    <row r="239" ht="15" customHeight="1">
      <c r="A239" t="inlineStr">
        <is>
          <t>A 26467-2024</t>
        </is>
      </c>
      <c r="B239" s="1" t="n">
        <v>45469</v>
      </c>
      <c r="C239" s="1" t="n">
        <v>45740</v>
      </c>
      <c r="D239" t="inlineStr">
        <is>
          <t>VÄSTERNORRLANDS LÄN</t>
        </is>
      </c>
      <c r="E239" t="inlineStr">
        <is>
          <t>SOLLEFTEÅ</t>
        </is>
      </c>
      <c r="G239" t="n">
        <v>1.1</v>
      </c>
      <c r="H239" t="n">
        <v>2</v>
      </c>
      <c r="I239" t="n">
        <v>1</v>
      </c>
      <c r="J239" t="n">
        <v>1</v>
      </c>
      <c r="K239" t="n">
        <v>0</v>
      </c>
      <c r="L239" t="n">
        <v>0</v>
      </c>
      <c r="M239" t="n">
        <v>0</v>
      </c>
      <c r="N239" t="n">
        <v>0</v>
      </c>
      <c r="O239" t="n">
        <v>1</v>
      </c>
      <c r="P239" t="n">
        <v>0</v>
      </c>
      <c r="Q239" t="n">
        <v>4</v>
      </c>
      <c r="R239" s="2" t="inlineStr">
        <is>
          <t>Rosenticka
Springkorn
Skogsrör
Revlummer</t>
        </is>
      </c>
      <c r="S239">
        <f>HYPERLINK("https://klasma.github.io/Logging_2283/artfynd/A 26467-2024 artfynd.xlsx", "A 26467-2024")</f>
        <v/>
      </c>
      <c r="T239">
        <f>HYPERLINK("https://klasma.github.io/Logging_2283/kartor/A 26467-2024 karta.png", "A 26467-2024")</f>
        <v/>
      </c>
      <c r="V239">
        <f>HYPERLINK("https://klasma.github.io/Logging_2283/klagomål/A 26467-2024 FSC-klagomål.docx", "A 26467-2024")</f>
        <v/>
      </c>
      <c r="W239">
        <f>HYPERLINK("https://klasma.github.io/Logging_2283/klagomålsmail/A 26467-2024 FSC-klagomål mail.docx", "A 26467-2024")</f>
        <v/>
      </c>
      <c r="X239">
        <f>HYPERLINK("https://klasma.github.io/Logging_2283/tillsyn/A 26467-2024 tillsynsbegäran.docx", "A 26467-2024")</f>
        <v/>
      </c>
      <c r="Y239">
        <f>HYPERLINK("https://klasma.github.io/Logging_2283/tillsynsmail/A 26467-2024 tillsynsbegäran mail.docx", "A 26467-2024")</f>
        <v/>
      </c>
    </row>
    <row r="240" ht="15" customHeight="1">
      <c r="A240" t="inlineStr">
        <is>
          <t>A 29249-2024</t>
        </is>
      </c>
      <c r="B240" s="1" t="n">
        <v>45483</v>
      </c>
      <c r="C240" s="1" t="n">
        <v>45740</v>
      </c>
      <c r="D240" t="inlineStr">
        <is>
          <t>VÄSTERNORRLANDS LÄN</t>
        </is>
      </c>
      <c r="E240" t="inlineStr">
        <is>
          <t>SOLLEFTEÅ</t>
        </is>
      </c>
      <c r="F240" t="inlineStr">
        <is>
          <t>SCA</t>
        </is>
      </c>
      <c r="G240" t="n">
        <v>7.3</v>
      </c>
      <c r="H240" t="n">
        <v>3</v>
      </c>
      <c r="I240" t="n">
        <v>0</v>
      </c>
      <c r="J240" t="n">
        <v>3</v>
      </c>
      <c r="K240" t="n">
        <v>1</v>
      </c>
      <c r="L240" t="n">
        <v>0</v>
      </c>
      <c r="M240" t="n">
        <v>0</v>
      </c>
      <c r="N240" t="n">
        <v>0</v>
      </c>
      <c r="O240" t="n">
        <v>4</v>
      </c>
      <c r="P240" t="n">
        <v>1</v>
      </c>
      <c r="Q240" t="n">
        <v>4</v>
      </c>
      <c r="R240" s="2" t="inlineStr">
        <is>
          <t>Knärot
Harticka
Talltita
Tretåig hackspett</t>
        </is>
      </c>
      <c r="S240">
        <f>HYPERLINK("https://klasma.github.io/Logging_2283/artfynd/A 29249-2024 artfynd.xlsx", "A 29249-2024")</f>
        <v/>
      </c>
      <c r="T240">
        <f>HYPERLINK("https://klasma.github.io/Logging_2283/kartor/A 29249-2024 karta.png", "A 29249-2024")</f>
        <v/>
      </c>
      <c r="U240">
        <f>HYPERLINK("https://klasma.github.io/Logging_2283/knärot/A 29249-2024 karta knärot.png", "A 29249-2024")</f>
        <v/>
      </c>
      <c r="V240">
        <f>HYPERLINK("https://klasma.github.io/Logging_2283/klagomål/A 29249-2024 FSC-klagomål.docx", "A 29249-2024")</f>
        <v/>
      </c>
      <c r="W240">
        <f>HYPERLINK("https://klasma.github.io/Logging_2283/klagomålsmail/A 29249-2024 FSC-klagomål mail.docx", "A 29249-2024")</f>
        <v/>
      </c>
      <c r="X240">
        <f>HYPERLINK("https://klasma.github.io/Logging_2283/tillsyn/A 29249-2024 tillsynsbegäran.docx", "A 29249-2024")</f>
        <v/>
      </c>
      <c r="Y240">
        <f>HYPERLINK("https://klasma.github.io/Logging_2283/tillsynsmail/A 29249-2024 tillsynsbegäran mail.docx", "A 29249-2024")</f>
        <v/>
      </c>
      <c r="Z240">
        <f>HYPERLINK("https://klasma.github.io/Logging_2283/fåglar/A 29249-2024 prioriterade fågelarter.docx", "A 29249-2024")</f>
        <v/>
      </c>
    </row>
    <row r="241" ht="15" customHeight="1">
      <c r="A241" t="inlineStr">
        <is>
          <t>A 31560-2024</t>
        </is>
      </c>
      <c r="B241" s="1" t="n">
        <v>45505</v>
      </c>
      <c r="C241" s="1" t="n">
        <v>45740</v>
      </c>
      <c r="D241" t="inlineStr">
        <is>
          <t>VÄSTERNORRLANDS LÄN</t>
        </is>
      </c>
      <c r="E241" t="inlineStr">
        <is>
          <t>SOLLEFTEÅ</t>
        </is>
      </c>
      <c r="F241" t="inlineStr">
        <is>
          <t>SCA</t>
        </is>
      </c>
      <c r="G241" t="n">
        <v>6</v>
      </c>
      <c r="H241" t="n">
        <v>0</v>
      </c>
      <c r="I241" t="n">
        <v>0</v>
      </c>
      <c r="J241" t="n">
        <v>2</v>
      </c>
      <c r="K241" t="n">
        <v>2</v>
      </c>
      <c r="L241" t="n">
        <v>0</v>
      </c>
      <c r="M241" t="n">
        <v>0</v>
      </c>
      <c r="N241" t="n">
        <v>0</v>
      </c>
      <c r="O241" t="n">
        <v>4</v>
      </c>
      <c r="P241" t="n">
        <v>2</v>
      </c>
      <c r="Q241" t="n">
        <v>4</v>
      </c>
      <c r="R241" s="2" t="inlineStr">
        <is>
          <t>Lappticka
Rynkskinn
Rosenticka
Ullticka</t>
        </is>
      </c>
      <c r="S241">
        <f>HYPERLINK("https://klasma.github.io/Logging_2283/artfynd/A 31560-2024 artfynd.xlsx", "A 31560-2024")</f>
        <v/>
      </c>
      <c r="T241">
        <f>HYPERLINK("https://klasma.github.io/Logging_2283/kartor/A 31560-2024 karta.png", "A 31560-2024")</f>
        <v/>
      </c>
      <c r="V241">
        <f>HYPERLINK("https://klasma.github.io/Logging_2283/klagomål/A 31560-2024 FSC-klagomål.docx", "A 31560-2024")</f>
        <v/>
      </c>
      <c r="W241">
        <f>HYPERLINK("https://klasma.github.io/Logging_2283/klagomålsmail/A 31560-2024 FSC-klagomål mail.docx", "A 31560-2024")</f>
        <v/>
      </c>
      <c r="X241">
        <f>HYPERLINK("https://klasma.github.io/Logging_2283/tillsyn/A 31560-2024 tillsynsbegäran.docx", "A 31560-2024")</f>
        <v/>
      </c>
      <c r="Y241">
        <f>HYPERLINK("https://klasma.github.io/Logging_2283/tillsynsmail/A 31560-2024 tillsynsbegäran mail.docx", "A 31560-2024")</f>
        <v/>
      </c>
    </row>
    <row r="242" ht="15" customHeight="1">
      <c r="A242" t="inlineStr">
        <is>
          <t>A 46167-2024</t>
        </is>
      </c>
      <c r="B242" s="1" t="n">
        <v>45581</v>
      </c>
      <c r="C242" s="1" t="n">
        <v>45740</v>
      </c>
      <c r="D242" t="inlineStr">
        <is>
          <t>VÄSTERNORRLANDS LÄN</t>
        </is>
      </c>
      <c r="E242" t="inlineStr">
        <is>
          <t>SOLLEFTEÅ</t>
        </is>
      </c>
      <c r="G242" t="n">
        <v>8.300000000000001</v>
      </c>
      <c r="H242" t="n">
        <v>1</v>
      </c>
      <c r="I242" t="n">
        <v>0</v>
      </c>
      <c r="J242" t="n">
        <v>3</v>
      </c>
      <c r="K242" t="n">
        <v>1</v>
      </c>
      <c r="L242" t="n">
        <v>0</v>
      </c>
      <c r="M242" t="n">
        <v>0</v>
      </c>
      <c r="N242" t="n">
        <v>0</v>
      </c>
      <c r="O242" t="n">
        <v>4</v>
      </c>
      <c r="P242" t="n">
        <v>1</v>
      </c>
      <c r="Q242" t="n">
        <v>4</v>
      </c>
      <c r="R242" s="2" t="inlineStr">
        <is>
          <t>Knärot
Lunglav
Rosenticka
Ullticka</t>
        </is>
      </c>
      <c r="S242">
        <f>HYPERLINK("https://klasma.github.io/Logging_2283/artfynd/A 46167-2024 artfynd.xlsx", "A 46167-2024")</f>
        <v/>
      </c>
      <c r="T242">
        <f>HYPERLINK("https://klasma.github.io/Logging_2283/kartor/A 46167-2024 karta.png", "A 46167-2024")</f>
        <v/>
      </c>
      <c r="U242">
        <f>HYPERLINK("https://klasma.github.io/Logging_2283/knärot/A 46167-2024 karta knärot.png", "A 46167-2024")</f>
        <v/>
      </c>
      <c r="V242">
        <f>HYPERLINK("https://klasma.github.io/Logging_2283/klagomål/A 46167-2024 FSC-klagomål.docx", "A 46167-2024")</f>
        <v/>
      </c>
      <c r="W242">
        <f>HYPERLINK("https://klasma.github.io/Logging_2283/klagomålsmail/A 46167-2024 FSC-klagomål mail.docx", "A 46167-2024")</f>
        <v/>
      </c>
      <c r="X242">
        <f>HYPERLINK("https://klasma.github.io/Logging_2283/tillsyn/A 46167-2024 tillsynsbegäran.docx", "A 46167-2024")</f>
        <v/>
      </c>
      <c r="Y242">
        <f>HYPERLINK("https://klasma.github.io/Logging_2283/tillsynsmail/A 46167-2024 tillsynsbegäran mail.docx", "A 46167-2024")</f>
        <v/>
      </c>
    </row>
    <row r="243" ht="15" customHeight="1">
      <c r="A243" t="inlineStr">
        <is>
          <t>A 47527-2024</t>
        </is>
      </c>
      <c r="B243" s="1" t="n">
        <v>45587</v>
      </c>
      <c r="C243" s="1" t="n">
        <v>45740</v>
      </c>
      <c r="D243" t="inlineStr">
        <is>
          <t>VÄSTERNORRLANDS LÄN</t>
        </is>
      </c>
      <c r="E243" t="inlineStr">
        <is>
          <t>SOLLEFTEÅ</t>
        </is>
      </c>
      <c r="F243" t="inlineStr">
        <is>
          <t>SCA</t>
        </is>
      </c>
      <c r="G243" t="n">
        <v>3.6</v>
      </c>
      <c r="H243" t="n">
        <v>1</v>
      </c>
      <c r="I243" t="n">
        <v>1</v>
      </c>
      <c r="J243" t="n">
        <v>3</v>
      </c>
      <c r="K243" t="n">
        <v>0</v>
      </c>
      <c r="L243" t="n">
        <v>0</v>
      </c>
      <c r="M243" t="n">
        <v>0</v>
      </c>
      <c r="N243" t="n">
        <v>0</v>
      </c>
      <c r="O243" t="n">
        <v>3</v>
      </c>
      <c r="P243" t="n">
        <v>0</v>
      </c>
      <c r="Q243" t="n">
        <v>4</v>
      </c>
      <c r="R243" s="2" t="inlineStr">
        <is>
          <t>Garnlav
Lunglav
Ullticka
Lappranunkel</t>
        </is>
      </c>
      <c r="S243">
        <f>HYPERLINK("https://klasma.github.io/Logging_2283/artfynd/A 47527-2024 artfynd.xlsx", "A 47527-2024")</f>
        <v/>
      </c>
      <c r="T243">
        <f>HYPERLINK("https://klasma.github.io/Logging_2283/kartor/A 47527-2024 karta.png", "A 47527-2024")</f>
        <v/>
      </c>
      <c r="V243">
        <f>HYPERLINK("https://klasma.github.io/Logging_2283/klagomål/A 47527-2024 FSC-klagomål.docx", "A 47527-2024")</f>
        <v/>
      </c>
      <c r="W243">
        <f>HYPERLINK("https://klasma.github.io/Logging_2283/klagomålsmail/A 47527-2024 FSC-klagomål mail.docx", "A 47527-2024")</f>
        <v/>
      </c>
      <c r="X243">
        <f>HYPERLINK("https://klasma.github.io/Logging_2283/tillsyn/A 47527-2024 tillsynsbegäran.docx", "A 47527-2024")</f>
        <v/>
      </c>
      <c r="Y243">
        <f>HYPERLINK("https://klasma.github.io/Logging_2283/tillsynsmail/A 47527-2024 tillsynsbegäran mail.docx", "A 47527-2024")</f>
        <v/>
      </c>
    </row>
    <row r="244" ht="15" customHeight="1">
      <c r="A244" t="inlineStr">
        <is>
          <t>A 51192-2024</t>
        </is>
      </c>
      <c r="B244" s="1" t="n">
        <v>45603</v>
      </c>
      <c r="C244" s="1" t="n">
        <v>45740</v>
      </c>
      <c r="D244" t="inlineStr">
        <is>
          <t>VÄSTERNORRLANDS LÄN</t>
        </is>
      </c>
      <c r="E244" t="inlineStr">
        <is>
          <t>SOLLEFTEÅ</t>
        </is>
      </c>
      <c r="F244" t="inlineStr">
        <is>
          <t>SCA</t>
        </is>
      </c>
      <c r="G244" t="n">
        <v>3.9</v>
      </c>
      <c r="H244" t="n">
        <v>1</v>
      </c>
      <c r="I244" t="n">
        <v>0</v>
      </c>
      <c r="J244" t="n">
        <v>3</v>
      </c>
      <c r="K244" t="n">
        <v>1</v>
      </c>
      <c r="L244" t="n">
        <v>0</v>
      </c>
      <c r="M244" t="n">
        <v>0</v>
      </c>
      <c r="N244" t="n">
        <v>0</v>
      </c>
      <c r="O244" t="n">
        <v>4</v>
      </c>
      <c r="P244" t="n">
        <v>1</v>
      </c>
      <c r="Q244" t="n">
        <v>4</v>
      </c>
      <c r="R244" s="2" t="inlineStr">
        <is>
          <t>Rynkskinn
Garnlav
Lunglav
Talltita</t>
        </is>
      </c>
      <c r="S244">
        <f>HYPERLINK("https://klasma.github.io/Logging_2283/artfynd/A 51192-2024 artfynd.xlsx", "A 51192-2024")</f>
        <v/>
      </c>
      <c r="T244">
        <f>HYPERLINK("https://klasma.github.io/Logging_2283/kartor/A 51192-2024 karta.png", "A 51192-2024")</f>
        <v/>
      </c>
      <c r="V244">
        <f>HYPERLINK("https://klasma.github.io/Logging_2283/klagomål/A 51192-2024 FSC-klagomål.docx", "A 51192-2024")</f>
        <v/>
      </c>
      <c r="W244">
        <f>HYPERLINK("https://klasma.github.io/Logging_2283/klagomålsmail/A 51192-2024 FSC-klagomål mail.docx", "A 51192-2024")</f>
        <v/>
      </c>
      <c r="X244">
        <f>HYPERLINK("https://klasma.github.io/Logging_2283/tillsyn/A 51192-2024 tillsynsbegäran.docx", "A 51192-2024")</f>
        <v/>
      </c>
      <c r="Y244">
        <f>HYPERLINK("https://klasma.github.io/Logging_2283/tillsynsmail/A 51192-2024 tillsynsbegäran mail.docx", "A 51192-2024")</f>
        <v/>
      </c>
      <c r="Z244">
        <f>HYPERLINK("https://klasma.github.io/Logging_2283/fåglar/A 51192-2024 prioriterade fågelarter.docx", "A 51192-2024")</f>
        <v/>
      </c>
    </row>
    <row r="245" ht="15" customHeight="1">
      <c r="A245" t="inlineStr">
        <is>
          <t>A 51385-2024</t>
        </is>
      </c>
      <c r="B245" s="1" t="n">
        <v>45604</v>
      </c>
      <c r="C245" s="1" t="n">
        <v>45740</v>
      </c>
      <c r="D245" t="inlineStr">
        <is>
          <t>VÄSTERNORRLANDS LÄN</t>
        </is>
      </c>
      <c r="E245" t="inlineStr">
        <is>
          <t>SOLLEFTEÅ</t>
        </is>
      </c>
      <c r="G245" t="n">
        <v>5.8</v>
      </c>
      <c r="H245" t="n">
        <v>2</v>
      </c>
      <c r="I245" t="n">
        <v>0</v>
      </c>
      <c r="J245" t="n">
        <v>3</v>
      </c>
      <c r="K245" t="n">
        <v>0</v>
      </c>
      <c r="L245" t="n">
        <v>0</v>
      </c>
      <c r="M245" t="n">
        <v>0</v>
      </c>
      <c r="N245" t="n">
        <v>0</v>
      </c>
      <c r="O245" t="n">
        <v>3</v>
      </c>
      <c r="P245" t="n">
        <v>0</v>
      </c>
      <c r="Q245" t="n">
        <v>4</v>
      </c>
      <c r="R245" s="2" t="inlineStr">
        <is>
          <t>Rosenticka
Talltita
Ullticka
Fläcknycklar</t>
        </is>
      </c>
      <c r="S245">
        <f>HYPERLINK("https://klasma.github.io/Logging_2283/artfynd/A 51385-2024 artfynd.xlsx", "A 51385-2024")</f>
        <v/>
      </c>
      <c r="T245">
        <f>HYPERLINK("https://klasma.github.io/Logging_2283/kartor/A 51385-2024 karta.png", "A 51385-2024")</f>
        <v/>
      </c>
      <c r="U245">
        <f>HYPERLINK("https://klasma.github.io/Logging_2283/knärot/A 51385-2024 karta knärot.png", "A 51385-2024")</f>
        <v/>
      </c>
      <c r="V245">
        <f>HYPERLINK("https://klasma.github.io/Logging_2283/klagomål/A 51385-2024 FSC-klagomål.docx", "A 51385-2024")</f>
        <v/>
      </c>
      <c r="W245">
        <f>HYPERLINK("https://klasma.github.io/Logging_2283/klagomålsmail/A 51385-2024 FSC-klagomål mail.docx", "A 51385-2024")</f>
        <v/>
      </c>
      <c r="X245">
        <f>HYPERLINK("https://klasma.github.io/Logging_2283/tillsyn/A 51385-2024 tillsynsbegäran.docx", "A 51385-2024")</f>
        <v/>
      </c>
      <c r="Y245">
        <f>HYPERLINK("https://klasma.github.io/Logging_2283/tillsynsmail/A 51385-2024 tillsynsbegäran mail.docx", "A 51385-2024")</f>
        <v/>
      </c>
      <c r="Z245">
        <f>HYPERLINK("https://klasma.github.io/Logging_2283/fåglar/A 51385-2024 prioriterade fågelarter.docx", "A 51385-2024")</f>
        <v/>
      </c>
    </row>
    <row r="246" ht="15" customHeight="1">
      <c r="A246" t="inlineStr">
        <is>
          <t>A 53898-2024</t>
        </is>
      </c>
      <c r="B246" s="1" t="n">
        <v>45615</v>
      </c>
      <c r="C246" s="1" t="n">
        <v>45740</v>
      </c>
      <c r="D246" t="inlineStr">
        <is>
          <t>VÄSTERNORRLANDS LÄN</t>
        </is>
      </c>
      <c r="E246" t="inlineStr">
        <is>
          <t>SOLLEFTEÅ</t>
        </is>
      </c>
      <c r="F246" t="inlineStr">
        <is>
          <t>SCA</t>
        </is>
      </c>
      <c r="G246" t="n">
        <v>2</v>
      </c>
      <c r="H246" t="n">
        <v>0</v>
      </c>
      <c r="I246" t="n">
        <v>2</v>
      </c>
      <c r="J246" t="n">
        <v>2</v>
      </c>
      <c r="K246" t="n">
        <v>0</v>
      </c>
      <c r="L246" t="n">
        <v>0</v>
      </c>
      <c r="M246" t="n">
        <v>0</v>
      </c>
      <c r="N246" t="n">
        <v>0</v>
      </c>
      <c r="O246" t="n">
        <v>2</v>
      </c>
      <c r="P246" t="n">
        <v>0</v>
      </c>
      <c r="Q246" t="n">
        <v>4</v>
      </c>
      <c r="R246" s="2" t="inlineStr">
        <is>
          <t>Garnlav
Lunglav
Norrlandslav
Stuplav</t>
        </is>
      </c>
      <c r="S246">
        <f>HYPERLINK("https://klasma.github.io/Logging_2283/artfynd/A 53898-2024 artfynd.xlsx", "A 53898-2024")</f>
        <v/>
      </c>
      <c r="T246">
        <f>HYPERLINK("https://klasma.github.io/Logging_2283/kartor/A 53898-2024 karta.png", "A 53898-2024")</f>
        <v/>
      </c>
      <c r="V246">
        <f>HYPERLINK("https://klasma.github.io/Logging_2283/klagomål/A 53898-2024 FSC-klagomål.docx", "A 53898-2024")</f>
        <v/>
      </c>
      <c r="W246">
        <f>HYPERLINK("https://klasma.github.io/Logging_2283/klagomålsmail/A 53898-2024 FSC-klagomål mail.docx", "A 53898-2024")</f>
        <v/>
      </c>
      <c r="X246">
        <f>HYPERLINK("https://klasma.github.io/Logging_2283/tillsyn/A 53898-2024 tillsynsbegäran.docx", "A 53898-2024")</f>
        <v/>
      </c>
      <c r="Y246">
        <f>HYPERLINK("https://klasma.github.io/Logging_2283/tillsynsmail/A 53898-2024 tillsynsbegäran mail.docx", "A 53898-2024")</f>
        <v/>
      </c>
    </row>
    <row r="247" ht="15" customHeight="1">
      <c r="A247" t="inlineStr">
        <is>
          <t>A 54093-2024</t>
        </is>
      </c>
      <c r="B247" s="1" t="n">
        <v>45616</v>
      </c>
      <c r="C247" s="1" t="n">
        <v>45740</v>
      </c>
      <c r="D247" t="inlineStr">
        <is>
          <t>VÄSTERNORRLANDS LÄN</t>
        </is>
      </c>
      <c r="E247" t="inlineStr">
        <is>
          <t>SOLLEFTEÅ</t>
        </is>
      </c>
      <c r="F247" t="inlineStr">
        <is>
          <t>SCA</t>
        </is>
      </c>
      <c r="G247" t="n">
        <v>3.9</v>
      </c>
      <c r="H247" t="n">
        <v>0</v>
      </c>
      <c r="I247" t="n">
        <v>0</v>
      </c>
      <c r="J247" t="n">
        <v>4</v>
      </c>
      <c r="K247" t="n">
        <v>0</v>
      </c>
      <c r="L247" t="n">
        <v>0</v>
      </c>
      <c r="M247" t="n">
        <v>0</v>
      </c>
      <c r="N247" t="n">
        <v>0</v>
      </c>
      <c r="O247" t="n">
        <v>4</v>
      </c>
      <c r="P247" t="n">
        <v>0</v>
      </c>
      <c r="Q247" t="n">
        <v>4</v>
      </c>
      <c r="R247" s="2" t="inlineStr">
        <is>
          <t>Garnlav
Lunglav
Rosenticka
Ullticka</t>
        </is>
      </c>
      <c r="S247">
        <f>HYPERLINK("https://klasma.github.io/Logging_2283/artfynd/A 54093-2024 artfynd.xlsx", "A 54093-2024")</f>
        <v/>
      </c>
      <c r="T247">
        <f>HYPERLINK("https://klasma.github.io/Logging_2283/kartor/A 54093-2024 karta.png", "A 54093-2024")</f>
        <v/>
      </c>
      <c r="V247">
        <f>HYPERLINK("https://klasma.github.io/Logging_2283/klagomål/A 54093-2024 FSC-klagomål.docx", "A 54093-2024")</f>
        <v/>
      </c>
      <c r="W247">
        <f>HYPERLINK("https://klasma.github.io/Logging_2283/klagomålsmail/A 54093-2024 FSC-klagomål mail.docx", "A 54093-2024")</f>
        <v/>
      </c>
      <c r="X247">
        <f>HYPERLINK("https://klasma.github.io/Logging_2283/tillsyn/A 54093-2024 tillsynsbegäran.docx", "A 54093-2024")</f>
        <v/>
      </c>
      <c r="Y247">
        <f>HYPERLINK("https://klasma.github.io/Logging_2283/tillsynsmail/A 54093-2024 tillsynsbegäran mail.docx", "A 54093-2024")</f>
        <v/>
      </c>
    </row>
    <row r="248" ht="15" customHeight="1">
      <c r="A248" t="inlineStr">
        <is>
          <t>A 55847-2024</t>
        </is>
      </c>
      <c r="B248" s="1" t="n">
        <v>45623</v>
      </c>
      <c r="C248" s="1" t="n">
        <v>45740</v>
      </c>
      <c r="D248" t="inlineStr">
        <is>
          <t>VÄSTERNORRLANDS LÄN</t>
        </is>
      </c>
      <c r="E248" t="inlineStr">
        <is>
          <t>SOLLEFTEÅ</t>
        </is>
      </c>
      <c r="F248" t="inlineStr">
        <is>
          <t>SCA</t>
        </is>
      </c>
      <c r="G248" t="n">
        <v>4.6</v>
      </c>
      <c r="H248" t="n">
        <v>0</v>
      </c>
      <c r="I248" t="n">
        <v>1</v>
      </c>
      <c r="J248" t="n">
        <v>3</v>
      </c>
      <c r="K248" t="n">
        <v>0</v>
      </c>
      <c r="L248" t="n">
        <v>0</v>
      </c>
      <c r="M248" t="n">
        <v>0</v>
      </c>
      <c r="N248" t="n">
        <v>0</v>
      </c>
      <c r="O248" t="n">
        <v>3</v>
      </c>
      <c r="P248" t="n">
        <v>0</v>
      </c>
      <c r="Q248" t="n">
        <v>4</v>
      </c>
      <c r="R248" s="2" t="inlineStr">
        <is>
          <t>Blanksvart spiklav
Kolflarnlav
Vedskivlav
Dropptaggsvamp</t>
        </is>
      </c>
      <c r="S248">
        <f>HYPERLINK("https://klasma.github.io/Logging_2283/artfynd/A 55847-2024 artfynd.xlsx", "A 55847-2024")</f>
        <v/>
      </c>
      <c r="T248">
        <f>HYPERLINK("https://klasma.github.io/Logging_2283/kartor/A 55847-2024 karta.png", "A 55847-2024")</f>
        <v/>
      </c>
      <c r="V248">
        <f>HYPERLINK("https://klasma.github.io/Logging_2283/klagomål/A 55847-2024 FSC-klagomål.docx", "A 55847-2024")</f>
        <v/>
      </c>
      <c r="W248">
        <f>HYPERLINK("https://klasma.github.io/Logging_2283/klagomålsmail/A 55847-2024 FSC-klagomål mail.docx", "A 55847-2024")</f>
        <v/>
      </c>
      <c r="X248">
        <f>HYPERLINK("https://klasma.github.io/Logging_2283/tillsyn/A 55847-2024 tillsynsbegäran.docx", "A 55847-2024")</f>
        <v/>
      </c>
      <c r="Y248">
        <f>HYPERLINK("https://klasma.github.io/Logging_2283/tillsynsmail/A 55847-2024 tillsynsbegäran mail.docx", "A 55847-2024")</f>
        <v/>
      </c>
    </row>
    <row r="249" ht="15" customHeight="1">
      <c r="A249" t="inlineStr">
        <is>
          <t>A 57081-2024</t>
        </is>
      </c>
      <c r="B249" s="1" t="n">
        <v>45629</v>
      </c>
      <c r="C249" s="1" t="n">
        <v>45740</v>
      </c>
      <c r="D249" t="inlineStr">
        <is>
          <t>VÄSTERNORRLANDS LÄN</t>
        </is>
      </c>
      <c r="E249" t="inlineStr">
        <is>
          <t>SOLLEFTEÅ</t>
        </is>
      </c>
      <c r="F249" t="inlineStr">
        <is>
          <t>SCA</t>
        </is>
      </c>
      <c r="G249" t="n">
        <v>0.7</v>
      </c>
      <c r="H249" t="n">
        <v>1</v>
      </c>
      <c r="I249" t="n">
        <v>0</v>
      </c>
      <c r="J249" t="n">
        <v>4</v>
      </c>
      <c r="K249" t="n">
        <v>0</v>
      </c>
      <c r="L249" t="n">
        <v>0</v>
      </c>
      <c r="M249" t="n">
        <v>0</v>
      </c>
      <c r="N249" t="n">
        <v>0</v>
      </c>
      <c r="O249" t="n">
        <v>4</v>
      </c>
      <c r="P249" t="n">
        <v>0</v>
      </c>
      <c r="Q249" t="n">
        <v>4</v>
      </c>
      <c r="R249" s="2" t="inlineStr">
        <is>
          <t>Garnlav
Lunglav
Tretåig hackspett
Ullticka</t>
        </is>
      </c>
      <c r="S249">
        <f>HYPERLINK("https://klasma.github.io/Logging_2283/artfynd/A 57081-2024 artfynd.xlsx", "A 57081-2024")</f>
        <v/>
      </c>
      <c r="T249">
        <f>HYPERLINK("https://klasma.github.io/Logging_2283/kartor/A 57081-2024 karta.png", "A 57081-2024")</f>
        <v/>
      </c>
      <c r="V249">
        <f>HYPERLINK("https://klasma.github.io/Logging_2283/klagomål/A 57081-2024 FSC-klagomål.docx", "A 57081-2024")</f>
        <v/>
      </c>
      <c r="W249">
        <f>HYPERLINK("https://klasma.github.io/Logging_2283/klagomålsmail/A 57081-2024 FSC-klagomål mail.docx", "A 57081-2024")</f>
        <v/>
      </c>
      <c r="X249">
        <f>HYPERLINK("https://klasma.github.io/Logging_2283/tillsyn/A 57081-2024 tillsynsbegäran.docx", "A 57081-2024")</f>
        <v/>
      </c>
      <c r="Y249">
        <f>HYPERLINK("https://klasma.github.io/Logging_2283/tillsynsmail/A 57081-2024 tillsynsbegäran mail.docx", "A 57081-2024")</f>
        <v/>
      </c>
      <c r="Z249">
        <f>HYPERLINK("https://klasma.github.io/Logging_2283/fåglar/A 57081-2024 prioriterade fågelarter.docx", "A 57081-2024")</f>
        <v/>
      </c>
    </row>
    <row r="250" ht="15" customHeight="1">
      <c r="A250" t="inlineStr">
        <is>
          <t>A 59381-2024</t>
        </is>
      </c>
      <c r="B250" s="1" t="n">
        <v>45638</v>
      </c>
      <c r="C250" s="1" t="n">
        <v>45740</v>
      </c>
      <c r="D250" t="inlineStr">
        <is>
          <t>VÄSTERNORRLANDS LÄN</t>
        </is>
      </c>
      <c r="E250" t="inlineStr">
        <is>
          <t>SOLLEFTEÅ</t>
        </is>
      </c>
      <c r="G250" t="n">
        <v>5.4</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59381-2024 artfynd.xlsx", "A 59381-2024")</f>
        <v/>
      </c>
      <c r="T250">
        <f>HYPERLINK("https://klasma.github.io/Logging_2283/kartor/A 59381-2024 karta.png", "A 59381-2024")</f>
        <v/>
      </c>
      <c r="U250">
        <f>HYPERLINK("https://klasma.github.io/Logging_2283/knärot/A 59381-2024 karta knärot.png", "A 59381-2024")</f>
        <v/>
      </c>
      <c r="V250">
        <f>HYPERLINK("https://klasma.github.io/Logging_2283/klagomål/A 59381-2024 FSC-klagomål.docx", "A 59381-2024")</f>
        <v/>
      </c>
      <c r="W250">
        <f>HYPERLINK("https://klasma.github.io/Logging_2283/klagomålsmail/A 59381-2024 FSC-klagomål mail.docx", "A 59381-2024")</f>
        <v/>
      </c>
      <c r="X250">
        <f>HYPERLINK("https://klasma.github.io/Logging_2283/tillsyn/A 59381-2024 tillsynsbegäran.docx", "A 59381-2024")</f>
        <v/>
      </c>
      <c r="Y250">
        <f>HYPERLINK("https://klasma.github.io/Logging_2283/tillsynsmail/A 59381-2024 tillsynsbegäran mail.docx", "A 59381-2024")</f>
        <v/>
      </c>
      <c r="Z250">
        <f>HYPERLINK("https://klasma.github.io/Logging_2283/fåglar/A 59381-2024 prioriterade fågelarter.docx", "A 59381-2024")</f>
        <v/>
      </c>
    </row>
    <row r="251" ht="15" customHeight="1">
      <c r="A251" t="inlineStr">
        <is>
          <t>A 2349-2025</t>
        </is>
      </c>
      <c r="B251" s="1" t="n">
        <v>45673</v>
      </c>
      <c r="C251" s="1" t="n">
        <v>45740</v>
      </c>
      <c r="D251" t="inlineStr">
        <is>
          <t>VÄSTERNORRLANDS LÄN</t>
        </is>
      </c>
      <c r="E251" t="inlineStr">
        <is>
          <t>SOLLEFTEÅ</t>
        </is>
      </c>
      <c r="F251" t="inlineStr">
        <is>
          <t>SCA</t>
        </is>
      </c>
      <c r="G251" t="n">
        <v>3.5</v>
      </c>
      <c r="H251" t="n">
        <v>2</v>
      </c>
      <c r="I251" t="n">
        <v>0</v>
      </c>
      <c r="J251" t="n">
        <v>3</v>
      </c>
      <c r="K251" t="n">
        <v>0</v>
      </c>
      <c r="L251" t="n">
        <v>0</v>
      </c>
      <c r="M251" t="n">
        <v>0</v>
      </c>
      <c r="N251" t="n">
        <v>0</v>
      </c>
      <c r="O251" t="n">
        <v>3</v>
      </c>
      <c r="P251" t="n">
        <v>0</v>
      </c>
      <c r="Q251" t="n">
        <v>4</v>
      </c>
      <c r="R251" s="2" t="inlineStr">
        <is>
          <t>Garnlav
Spillkråka
Ullticka
Tjäder</t>
        </is>
      </c>
      <c r="S251">
        <f>HYPERLINK("https://klasma.github.io/Logging_2283/artfynd/A 2349-2025 artfynd.xlsx", "A 2349-2025")</f>
        <v/>
      </c>
      <c r="T251">
        <f>HYPERLINK("https://klasma.github.io/Logging_2283/kartor/A 2349-2025 karta.png", "A 2349-2025")</f>
        <v/>
      </c>
      <c r="V251">
        <f>HYPERLINK("https://klasma.github.io/Logging_2283/klagomål/A 2349-2025 FSC-klagomål.docx", "A 2349-2025")</f>
        <v/>
      </c>
      <c r="W251">
        <f>HYPERLINK("https://klasma.github.io/Logging_2283/klagomålsmail/A 2349-2025 FSC-klagomål mail.docx", "A 2349-2025")</f>
        <v/>
      </c>
      <c r="X251">
        <f>HYPERLINK("https://klasma.github.io/Logging_2283/tillsyn/A 2349-2025 tillsynsbegäran.docx", "A 2349-2025")</f>
        <v/>
      </c>
      <c r="Y251">
        <f>HYPERLINK("https://klasma.github.io/Logging_2283/tillsynsmail/A 2349-2025 tillsynsbegäran mail.docx", "A 2349-2025")</f>
        <v/>
      </c>
      <c r="Z251">
        <f>HYPERLINK("https://klasma.github.io/Logging_2283/fåglar/A 2349-2025 prioriterade fågelarter.docx", "A 2349-2025")</f>
        <v/>
      </c>
    </row>
    <row r="252" ht="15" customHeight="1">
      <c r="A252" t="inlineStr">
        <is>
          <t>A 5018-2025</t>
        </is>
      </c>
      <c r="B252" s="1" t="n">
        <v>45691</v>
      </c>
      <c r="C252" s="1" t="n">
        <v>45740</v>
      </c>
      <c r="D252" t="inlineStr">
        <is>
          <t>VÄSTERNORRLANDS LÄN</t>
        </is>
      </c>
      <c r="E252" t="inlineStr">
        <is>
          <t>SOLLEFTEÅ</t>
        </is>
      </c>
      <c r="G252" t="n">
        <v>11.5</v>
      </c>
      <c r="H252" t="n">
        <v>1</v>
      </c>
      <c r="I252" t="n">
        <v>0</v>
      </c>
      <c r="J252" t="n">
        <v>3</v>
      </c>
      <c r="K252" t="n">
        <v>0</v>
      </c>
      <c r="L252" t="n">
        <v>0</v>
      </c>
      <c r="M252" t="n">
        <v>0</v>
      </c>
      <c r="N252" t="n">
        <v>0</v>
      </c>
      <c r="O252" t="n">
        <v>3</v>
      </c>
      <c r="P252" t="n">
        <v>0</v>
      </c>
      <c r="Q252" t="n">
        <v>4</v>
      </c>
      <c r="R252" s="2" t="inlineStr">
        <is>
          <t>Garnlav
Granticka
Rosenticka
Tjäder</t>
        </is>
      </c>
      <c r="S252">
        <f>HYPERLINK("https://klasma.github.io/Logging_2283/artfynd/A 5018-2025 artfynd.xlsx", "A 5018-2025")</f>
        <v/>
      </c>
      <c r="T252">
        <f>HYPERLINK("https://klasma.github.io/Logging_2283/kartor/A 5018-2025 karta.png", "A 5018-2025")</f>
        <v/>
      </c>
      <c r="V252">
        <f>HYPERLINK("https://klasma.github.io/Logging_2283/klagomål/A 5018-2025 FSC-klagomål.docx", "A 5018-2025")</f>
        <v/>
      </c>
      <c r="W252">
        <f>HYPERLINK("https://klasma.github.io/Logging_2283/klagomålsmail/A 5018-2025 FSC-klagomål mail.docx", "A 5018-2025")</f>
        <v/>
      </c>
      <c r="X252">
        <f>HYPERLINK("https://klasma.github.io/Logging_2283/tillsyn/A 5018-2025 tillsynsbegäran.docx", "A 5018-2025")</f>
        <v/>
      </c>
      <c r="Y252">
        <f>HYPERLINK("https://klasma.github.io/Logging_2283/tillsynsmail/A 5018-2025 tillsynsbegäran mail.docx", "A 5018-2025")</f>
        <v/>
      </c>
      <c r="Z252">
        <f>HYPERLINK("https://klasma.github.io/Logging_2283/fåglar/A 5018-2025 prioriterade fågelarter.docx", "A 5018-2025")</f>
        <v/>
      </c>
    </row>
    <row r="253" ht="15" customHeight="1">
      <c r="A253" t="inlineStr">
        <is>
          <t>A 5130-2025</t>
        </is>
      </c>
      <c r="B253" s="1" t="n">
        <v>45691</v>
      </c>
      <c r="C253" s="1" t="n">
        <v>45740</v>
      </c>
      <c r="D253" t="inlineStr">
        <is>
          <t>VÄSTERNORRLANDS LÄN</t>
        </is>
      </c>
      <c r="E253" t="inlineStr">
        <is>
          <t>SOLLEFTEÅ</t>
        </is>
      </c>
      <c r="F253" t="inlineStr">
        <is>
          <t>SCA</t>
        </is>
      </c>
      <c r="G253" t="n">
        <v>7.6</v>
      </c>
      <c r="H253" t="n">
        <v>2</v>
      </c>
      <c r="I253" t="n">
        <v>0</v>
      </c>
      <c r="J253" t="n">
        <v>4</v>
      </c>
      <c r="K253" t="n">
        <v>0</v>
      </c>
      <c r="L253" t="n">
        <v>0</v>
      </c>
      <c r="M253" t="n">
        <v>0</v>
      </c>
      <c r="N253" t="n">
        <v>0</v>
      </c>
      <c r="O253" t="n">
        <v>4</v>
      </c>
      <c r="P253" t="n">
        <v>0</v>
      </c>
      <c r="Q253" t="n">
        <v>4</v>
      </c>
      <c r="R253" s="2" t="inlineStr">
        <is>
          <t>Garnlav
Lunglav
Spillkråka
Tretåig hackspett</t>
        </is>
      </c>
      <c r="S253">
        <f>HYPERLINK("https://klasma.github.io/Logging_2283/artfynd/A 5130-2025 artfynd.xlsx", "A 5130-2025")</f>
        <v/>
      </c>
      <c r="T253">
        <f>HYPERLINK("https://klasma.github.io/Logging_2283/kartor/A 5130-2025 karta.png", "A 5130-2025")</f>
        <v/>
      </c>
      <c r="V253">
        <f>HYPERLINK("https://klasma.github.io/Logging_2283/klagomål/A 5130-2025 FSC-klagomål.docx", "A 5130-2025")</f>
        <v/>
      </c>
      <c r="W253">
        <f>HYPERLINK("https://klasma.github.io/Logging_2283/klagomålsmail/A 5130-2025 FSC-klagomål mail.docx", "A 5130-2025")</f>
        <v/>
      </c>
      <c r="X253">
        <f>HYPERLINK("https://klasma.github.io/Logging_2283/tillsyn/A 5130-2025 tillsynsbegäran.docx", "A 5130-2025")</f>
        <v/>
      </c>
      <c r="Y253">
        <f>HYPERLINK("https://klasma.github.io/Logging_2283/tillsynsmail/A 5130-2025 tillsynsbegäran mail.docx", "A 5130-2025")</f>
        <v/>
      </c>
      <c r="Z253">
        <f>HYPERLINK("https://klasma.github.io/Logging_2283/fåglar/A 5130-2025 prioriterade fågelarter.docx", "A 5130-2025")</f>
        <v/>
      </c>
    </row>
    <row r="254" ht="15" customHeight="1">
      <c r="A254" t="inlineStr">
        <is>
          <t>A 55683-2019</t>
        </is>
      </c>
      <c r="B254" s="1" t="n">
        <v>43760</v>
      </c>
      <c r="C254" s="1" t="n">
        <v>45740</v>
      </c>
      <c r="D254" t="inlineStr">
        <is>
          <t>VÄSTERNORRLANDS LÄN</t>
        </is>
      </c>
      <c r="E254" t="inlineStr">
        <is>
          <t>SOLLEFTEÅ</t>
        </is>
      </c>
      <c r="F254" t="inlineStr">
        <is>
          <t>SCA</t>
        </is>
      </c>
      <c r="G254" t="n">
        <v>2.9</v>
      </c>
      <c r="H254" t="n">
        <v>0</v>
      </c>
      <c r="I254" t="n">
        <v>0</v>
      </c>
      <c r="J254" t="n">
        <v>2</v>
      </c>
      <c r="K254" t="n">
        <v>1</v>
      </c>
      <c r="L254" t="n">
        <v>0</v>
      </c>
      <c r="M254" t="n">
        <v>0</v>
      </c>
      <c r="N254" t="n">
        <v>0</v>
      </c>
      <c r="O254" t="n">
        <v>3</v>
      </c>
      <c r="P254" t="n">
        <v>1</v>
      </c>
      <c r="Q254" t="n">
        <v>3</v>
      </c>
      <c r="R254" s="2" t="inlineStr">
        <is>
          <t>Rynkskinn
Granticka
Rosenticka</t>
        </is>
      </c>
      <c r="S254">
        <f>HYPERLINK("https://klasma.github.io/Logging_2283/artfynd/A 55683-2019 artfynd.xlsx", "A 55683-2019")</f>
        <v/>
      </c>
      <c r="T254">
        <f>HYPERLINK("https://klasma.github.io/Logging_2283/kartor/A 55683-2019 karta.png", "A 55683-2019")</f>
        <v/>
      </c>
      <c r="V254">
        <f>HYPERLINK("https://klasma.github.io/Logging_2283/klagomål/A 55683-2019 FSC-klagomål.docx", "A 55683-2019")</f>
        <v/>
      </c>
      <c r="W254">
        <f>HYPERLINK("https://klasma.github.io/Logging_2283/klagomålsmail/A 55683-2019 FSC-klagomål mail.docx", "A 55683-2019")</f>
        <v/>
      </c>
      <c r="X254">
        <f>HYPERLINK("https://klasma.github.io/Logging_2283/tillsyn/A 55683-2019 tillsynsbegäran.docx", "A 55683-2019")</f>
        <v/>
      </c>
      <c r="Y254">
        <f>HYPERLINK("https://klasma.github.io/Logging_2283/tillsynsmail/A 55683-2019 tillsynsbegäran mail.docx", "A 55683-2019")</f>
        <v/>
      </c>
    </row>
    <row r="255" ht="15" customHeight="1">
      <c r="A255" t="inlineStr">
        <is>
          <t>A 24219-2020</t>
        </is>
      </c>
      <c r="B255" s="1" t="n">
        <v>43973</v>
      </c>
      <c r="C255" s="1" t="n">
        <v>45740</v>
      </c>
      <c r="D255" t="inlineStr">
        <is>
          <t>VÄSTERNORRLANDS LÄN</t>
        </is>
      </c>
      <c r="E255" t="inlineStr">
        <is>
          <t>SOLLEFTEÅ</t>
        </is>
      </c>
      <c r="G255" t="n">
        <v>11.9</v>
      </c>
      <c r="H255" t="n">
        <v>0</v>
      </c>
      <c r="I255" t="n">
        <v>0</v>
      </c>
      <c r="J255" t="n">
        <v>3</v>
      </c>
      <c r="K255" t="n">
        <v>0</v>
      </c>
      <c r="L255" t="n">
        <v>0</v>
      </c>
      <c r="M255" t="n">
        <v>0</v>
      </c>
      <c r="N255" t="n">
        <v>0</v>
      </c>
      <c r="O255" t="n">
        <v>3</v>
      </c>
      <c r="P255" t="n">
        <v>0</v>
      </c>
      <c r="Q255" t="n">
        <v>3</v>
      </c>
      <c r="R255" s="2" t="inlineStr">
        <is>
          <t>Garnlav
Lunglav
Rosenticka</t>
        </is>
      </c>
      <c r="S255">
        <f>HYPERLINK("https://klasma.github.io/Logging_2283/artfynd/A 24219-2020 artfynd.xlsx", "A 24219-2020")</f>
        <v/>
      </c>
      <c r="T255">
        <f>HYPERLINK("https://klasma.github.io/Logging_2283/kartor/A 24219-2020 karta.png", "A 24219-2020")</f>
        <v/>
      </c>
      <c r="V255">
        <f>HYPERLINK("https://klasma.github.io/Logging_2283/klagomål/A 24219-2020 FSC-klagomål.docx", "A 24219-2020")</f>
        <v/>
      </c>
      <c r="W255">
        <f>HYPERLINK("https://klasma.github.io/Logging_2283/klagomålsmail/A 24219-2020 FSC-klagomål mail.docx", "A 24219-2020")</f>
        <v/>
      </c>
      <c r="X255">
        <f>HYPERLINK("https://klasma.github.io/Logging_2283/tillsyn/A 24219-2020 tillsynsbegäran.docx", "A 24219-2020")</f>
        <v/>
      </c>
      <c r="Y255">
        <f>HYPERLINK("https://klasma.github.io/Logging_2283/tillsynsmail/A 24219-2020 tillsynsbegäran mail.docx", "A 24219-2020")</f>
        <v/>
      </c>
    </row>
    <row r="256" ht="15" customHeight="1">
      <c r="A256" t="inlineStr">
        <is>
          <t>A 31640-2020</t>
        </is>
      </c>
      <c r="B256" s="1" t="n">
        <v>44013</v>
      </c>
      <c r="C256" s="1" t="n">
        <v>45740</v>
      </c>
      <c r="D256" t="inlineStr">
        <is>
          <t>VÄSTERNORRLANDS LÄN</t>
        </is>
      </c>
      <c r="E256" t="inlineStr">
        <is>
          <t>SOLLEFTEÅ</t>
        </is>
      </c>
      <c r="F256" t="inlineStr">
        <is>
          <t>SCA</t>
        </is>
      </c>
      <c r="G256" t="n">
        <v>27.4</v>
      </c>
      <c r="H256" t="n">
        <v>1</v>
      </c>
      <c r="I256" t="n">
        <v>0</v>
      </c>
      <c r="J256" t="n">
        <v>2</v>
      </c>
      <c r="K256" t="n">
        <v>1</v>
      </c>
      <c r="L256" t="n">
        <v>0</v>
      </c>
      <c r="M256" t="n">
        <v>0</v>
      </c>
      <c r="N256" t="n">
        <v>0</v>
      </c>
      <c r="O256" t="n">
        <v>3</v>
      </c>
      <c r="P256" t="n">
        <v>1</v>
      </c>
      <c r="Q256" t="n">
        <v>3</v>
      </c>
      <c r="R256" s="2" t="inlineStr">
        <is>
          <t>Doftticka
Lunglav
Skrovellav</t>
        </is>
      </c>
      <c r="S256">
        <f>HYPERLINK("https://klasma.github.io/Logging_2283/artfynd/A 31640-2020 artfynd.xlsx", "A 31640-2020")</f>
        <v/>
      </c>
      <c r="T256">
        <f>HYPERLINK("https://klasma.github.io/Logging_2283/kartor/A 31640-2020 karta.png", "A 31640-2020")</f>
        <v/>
      </c>
      <c r="V256">
        <f>HYPERLINK("https://klasma.github.io/Logging_2283/klagomål/A 31640-2020 FSC-klagomål.docx", "A 31640-2020")</f>
        <v/>
      </c>
      <c r="W256">
        <f>HYPERLINK("https://klasma.github.io/Logging_2283/klagomålsmail/A 31640-2020 FSC-klagomål mail.docx", "A 31640-2020")</f>
        <v/>
      </c>
      <c r="X256">
        <f>HYPERLINK("https://klasma.github.io/Logging_2283/tillsyn/A 31640-2020 tillsynsbegäran.docx", "A 31640-2020")</f>
        <v/>
      </c>
      <c r="Y256">
        <f>HYPERLINK("https://klasma.github.io/Logging_2283/tillsynsmail/A 31640-2020 tillsynsbegäran mail.docx", "A 31640-2020")</f>
        <v/>
      </c>
    </row>
    <row r="257" ht="15" customHeight="1">
      <c r="A257" t="inlineStr">
        <is>
          <t>A 34085-2020</t>
        </is>
      </c>
      <c r="B257" s="1" t="n">
        <v>44028</v>
      </c>
      <c r="C257" s="1" t="n">
        <v>45740</v>
      </c>
      <c r="D257" t="inlineStr">
        <is>
          <t>VÄSTERNORRLANDS LÄN</t>
        </is>
      </c>
      <c r="E257" t="inlineStr">
        <is>
          <t>SOLLEFTEÅ</t>
        </is>
      </c>
      <c r="F257" t="inlineStr">
        <is>
          <t>SCA</t>
        </is>
      </c>
      <c r="G257" t="n">
        <v>3.7</v>
      </c>
      <c r="H257" t="n">
        <v>2</v>
      </c>
      <c r="I257" t="n">
        <v>0</v>
      </c>
      <c r="J257" t="n">
        <v>2</v>
      </c>
      <c r="K257" t="n">
        <v>1</v>
      </c>
      <c r="L257" t="n">
        <v>0</v>
      </c>
      <c r="M257" t="n">
        <v>0</v>
      </c>
      <c r="N257" t="n">
        <v>0</v>
      </c>
      <c r="O257" t="n">
        <v>3</v>
      </c>
      <c r="P257" t="n">
        <v>1</v>
      </c>
      <c r="Q257" t="n">
        <v>3</v>
      </c>
      <c r="R257" s="2" t="inlineStr">
        <is>
          <t>Knärot
Lunglav
Tretåig hackspett</t>
        </is>
      </c>
      <c r="S257">
        <f>HYPERLINK("https://klasma.github.io/Logging_2283/artfynd/A 34085-2020 artfynd.xlsx", "A 34085-2020")</f>
        <v/>
      </c>
      <c r="T257">
        <f>HYPERLINK("https://klasma.github.io/Logging_2283/kartor/A 34085-2020 karta.png", "A 34085-2020")</f>
        <v/>
      </c>
      <c r="U257">
        <f>HYPERLINK("https://klasma.github.io/Logging_2283/knärot/A 34085-2020 karta knärot.png", "A 34085-2020")</f>
        <v/>
      </c>
      <c r="V257">
        <f>HYPERLINK("https://klasma.github.io/Logging_2283/klagomål/A 34085-2020 FSC-klagomål.docx", "A 34085-2020")</f>
        <v/>
      </c>
      <c r="W257">
        <f>HYPERLINK("https://klasma.github.io/Logging_2283/klagomålsmail/A 34085-2020 FSC-klagomål mail.docx", "A 34085-2020")</f>
        <v/>
      </c>
      <c r="X257">
        <f>HYPERLINK("https://klasma.github.io/Logging_2283/tillsyn/A 34085-2020 tillsynsbegäran.docx", "A 34085-2020")</f>
        <v/>
      </c>
      <c r="Y257">
        <f>HYPERLINK("https://klasma.github.io/Logging_2283/tillsynsmail/A 34085-2020 tillsynsbegäran mail.docx", "A 34085-2020")</f>
        <v/>
      </c>
      <c r="Z257">
        <f>HYPERLINK("https://klasma.github.io/Logging_2283/fåglar/A 34085-2020 prioriterade fågelarter.docx", "A 34085-2020")</f>
        <v/>
      </c>
    </row>
    <row r="258" ht="15" customHeight="1">
      <c r="A258" t="inlineStr">
        <is>
          <t>A 15098-2021</t>
        </is>
      </c>
      <c r="B258" s="1" t="n">
        <v>44281</v>
      </c>
      <c r="C258" s="1" t="n">
        <v>45740</v>
      </c>
      <c r="D258" t="inlineStr">
        <is>
          <t>VÄSTERNORRLANDS LÄN</t>
        </is>
      </c>
      <c r="E258" t="inlineStr">
        <is>
          <t>SOLLEFTEÅ</t>
        </is>
      </c>
      <c r="F258" t="inlineStr">
        <is>
          <t>SCA</t>
        </is>
      </c>
      <c r="G258" t="n">
        <v>4</v>
      </c>
      <c r="H258" t="n">
        <v>1</v>
      </c>
      <c r="I258" t="n">
        <v>0</v>
      </c>
      <c r="J258" t="n">
        <v>2</v>
      </c>
      <c r="K258" t="n">
        <v>0</v>
      </c>
      <c r="L258" t="n">
        <v>0</v>
      </c>
      <c r="M258" t="n">
        <v>0</v>
      </c>
      <c r="N258" t="n">
        <v>0</v>
      </c>
      <c r="O258" t="n">
        <v>2</v>
      </c>
      <c r="P258" t="n">
        <v>0</v>
      </c>
      <c r="Q258" t="n">
        <v>3</v>
      </c>
      <c r="R258" s="2" t="inlineStr">
        <is>
          <t>Garnlav
Lunglav
Lavskrika</t>
        </is>
      </c>
      <c r="S258">
        <f>HYPERLINK("https://klasma.github.io/Logging_2283/artfynd/A 15098-2021 artfynd.xlsx", "A 15098-2021")</f>
        <v/>
      </c>
      <c r="T258">
        <f>HYPERLINK("https://klasma.github.io/Logging_2283/kartor/A 15098-2021 karta.png", "A 15098-2021")</f>
        <v/>
      </c>
      <c r="V258">
        <f>HYPERLINK("https://klasma.github.io/Logging_2283/klagomål/A 15098-2021 FSC-klagomål.docx", "A 15098-2021")</f>
        <v/>
      </c>
      <c r="W258">
        <f>HYPERLINK("https://klasma.github.io/Logging_2283/klagomålsmail/A 15098-2021 FSC-klagomål mail.docx", "A 15098-2021")</f>
        <v/>
      </c>
      <c r="X258">
        <f>HYPERLINK("https://klasma.github.io/Logging_2283/tillsyn/A 15098-2021 tillsynsbegäran.docx", "A 15098-2021")</f>
        <v/>
      </c>
      <c r="Y258">
        <f>HYPERLINK("https://klasma.github.io/Logging_2283/tillsynsmail/A 15098-2021 tillsynsbegäran mail.docx", "A 15098-2021")</f>
        <v/>
      </c>
      <c r="Z258">
        <f>HYPERLINK("https://klasma.github.io/Logging_2283/fåglar/A 15098-2021 prioriterade fågelarter.docx", "A 15098-2021")</f>
        <v/>
      </c>
    </row>
    <row r="259" ht="15" customHeight="1">
      <c r="A259" t="inlineStr">
        <is>
          <t>A 31354-2021</t>
        </is>
      </c>
      <c r="B259" s="1" t="n">
        <v>44369</v>
      </c>
      <c r="C259" s="1" t="n">
        <v>45740</v>
      </c>
      <c r="D259" t="inlineStr">
        <is>
          <t>VÄSTERNORRLANDS LÄN</t>
        </is>
      </c>
      <c r="E259" t="inlineStr">
        <is>
          <t>SOLLEFTEÅ</t>
        </is>
      </c>
      <c r="F259" t="inlineStr">
        <is>
          <t>SCA</t>
        </is>
      </c>
      <c r="G259" t="n">
        <v>1.5</v>
      </c>
      <c r="H259" t="n">
        <v>1</v>
      </c>
      <c r="I259" t="n">
        <v>1</v>
      </c>
      <c r="J259" t="n">
        <v>1</v>
      </c>
      <c r="K259" t="n">
        <v>1</v>
      </c>
      <c r="L259" t="n">
        <v>0</v>
      </c>
      <c r="M259" t="n">
        <v>0</v>
      </c>
      <c r="N259" t="n">
        <v>0</v>
      </c>
      <c r="O259" t="n">
        <v>2</v>
      </c>
      <c r="P259" t="n">
        <v>1</v>
      </c>
      <c r="Q259" t="n">
        <v>3</v>
      </c>
      <c r="R259" s="2" t="inlineStr">
        <is>
          <t>Knärot
Garnlav
Norrlandslav</t>
        </is>
      </c>
      <c r="S259">
        <f>HYPERLINK("https://klasma.github.io/Logging_2283/artfynd/A 31354-2021 artfynd.xlsx", "A 31354-2021")</f>
        <v/>
      </c>
      <c r="T259">
        <f>HYPERLINK("https://klasma.github.io/Logging_2283/kartor/A 31354-2021 karta.png", "A 31354-2021")</f>
        <v/>
      </c>
      <c r="U259">
        <f>HYPERLINK("https://klasma.github.io/Logging_2283/knärot/A 31354-2021 karta knärot.png", "A 31354-2021")</f>
        <v/>
      </c>
      <c r="V259">
        <f>HYPERLINK("https://klasma.github.io/Logging_2283/klagomål/A 31354-2021 FSC-klagomål.docx", "A 31354-2021")</f>
        <v/>
      </c>
      <c r="W259">
        <f>HYPERLINK("https://klasma.github.io/Logging_2283/klagomålsmail/A 31354-2021 FSC-klagomål mail.docx", "A 31354-2021")</f>
        <v/>
      </c>
      <c r="X259">
        <f>HYPERLINK("https://klasma.github.io/Logging_2283/tillsyn/A 31354-2021 tillsynsbegäran.docx", "A 31354-2021")</f>
        <v/>
      </c>
      <c r="Y259">
        <f>HYPERLINK("https://klasma.github.io/Logging_2283/tillsynsmail/A 31354-2021 tillsynsbegäran mail.docx", "A 31354-2021")</f>
        <v/>
      </c>
    </row>
    <row r="260" ht="15" customHeight="1">
      <c r="A260" t="inlineStr">
        <is>
          <t>A 44599-2021</t>
        </is>
      </c>
      <c r="B260" s="1" t="n">
        <v>44436</v>
      </c>
      <c r="C260" s="1" t="n">
        <v>45740</v>
      </c>
      <c r="D260" t="inlineStr">
        <is>
          <t>VÄSTERNORRLANDS LÄN</t>
        </is>
      </c>
      <c r="E260" t="inlineStr">
        <is>
          <t>SOLLEFTEÅ</t>
        </is>
      </c>
      <c r="F260" t="inlineStr">
        <is>
          <t>SCA</t>
        </is>
      </c>
      <c r="G260" t="n">
        <v>6.1</v>
      </c>
      <c r="H260" t="n">
        <v>0</v>
      </c>
      <c r="I260" t="n">
        <v>2</v>
      </c>
      <c r="J260" t="n">
        <v>1</v>
      </c>
      <c r="K260" t="n">
        <v>0</v>
      </c>
      <c r="L260" t="n">
        <v>0</v>
      </c>
      <c r="M260" t="n">
        <v>0</v>
      </c>
      <c r="N260" t="n">
        <v>0</v>
      </c>
      <c r="O260" t="n">
        <v>1</v>
      </c>
      <c r="P260" t="n">
        <v>0</v>
      </c>
      <c r="Q260" t="n">
        <v>3</v>
      </c>
      <c r="R260" s="2" t="inlineStr">
        <is>
          <t>Rosenticka
Strutbräken
Stuplav</t>
        </is>
      </c>
      <c r="S260">
        <f>HYPERLINK("https://klasma.github.io/Logging_2283/artfynd/A 44599-2021 artfynd.xlsx", "A 44599-2021")</f>
        <v/>
      </c>
      <c r="T260">
        <f>HYPERLINK("https://klasma.github.io/Logging_2283/kartor/A 44599-2021 karta.png", "A 44599-2021")</f>
        <v/>
      </c>
      <c r="V260">
        <f>HYPERLINK("https://klasma.github.io/Logging_2283/klagomål/A 44599-2021 FSC-klagomål.docx", "A 44599-2021")</f>
        <v/>
      </c>
      <c r="W260">
        <f>HYPERLINK("https://klasma.github.io/Logging_2283/klagomålsmail/A 44599-2021 FSC-klagomål mail.docx", "A 44599-2021")</f>
        <v/>
      </c>
      <c r="X260">
        <f>HYPERLINK("https://klasma.github.io/Logging_2283/tillsyn/A 44599-2021 tillsynsbegäran.docx", "A 44599-2021")</f>
        <v/>
      </c>
      <c r="Y260">
        <f>HYPERLINK("https://klasma.github.io/Logging_2283/tillsynsmail/A 44599-2021 tillsynsbegäran mail.docx", "A 44599-2021")</f>
        <v/>
      </c>
    </row>
    <row r="261" ht="15" customHeight="1">
      <c r="A261" t="inlineStr">
        <is>
          <t>A 61481-2021</t>
        </is>
      </c>
      <c r="B261" s="1" t="n">
        <v>44500</v>
      </c>
      <c r="C261" s="1" t="n">
        <v>45740</v>
      </c>
      <c r="D261" t="inlineStr">
        <is>
          <t>VÄSTERNORRLANDS LÄN</t>
        </is>
      </c>
      <c r="E261" t="inlineStr">
        <is>
          <t>SOLLEFTEÅ</t>
        </is>
      </c>
      <c r="F261" t="inlineStr">
        <is>
          <t>SCA</t>
        </is>
      </c>
      <c r="G261" t="n">
        <v>6.8</v>
      </c>
      <c r="H261" t="n">
        <v>0</v>
      </c>
      <c r="I261" t="n">
        <v>1</v>
      </c>
      <c r="J261" t="n">
        <v>2</v>
      </c>
      <c r="K261" t="n">
        <v>0</v>
      </c>
      <c r="L261" t="n">
        <v>0</v>
      </c>
      <c r="M261" t="n">
        <v>0</v>
      </c>
      <c r="N261" t="n">
        <v>0</v>
      </c>
      <c r="O261" t="n">
        <v>2</v>
      </c>
      <c r="P261" t="n">
        <v>0</v>
      </c>
      <c r="Q261" t="n">
        <v>3</v>
      </c>
      <c r="R261" s="2" t="inlineStr">
        <is>
          <t>Lunglav
Skrovellav
Kambräken</t>
        </is>
      </c>
      <c r="S261">
        <f>HYPERLINK("https://klasma.github.io/Logging_2283/artfynd/A 61481-2021 artfynd.xlsx", "A 61481-2021")</f>
        <v/>
      </c>
      <c r="T261">
        <f>HYPERLINK("https://klasma.github.io/Logging_2283/kartor/A 61481-2021 karta.png", "A 61481-2021")</f>
        <v/>
      </c>
      <c r="V261">
        <f>HYPERLINK("https://klasma.github.io/Logging_2283/klagomål/A 61481-2021 FSC-klagomål.docx", "A 61481-2021")</f>
        <v/>
      </c>
      <c r="W261">
        <f>HYPERLINK("https://klasma.github.io/Logging_2283/klagomålsmail/A 61481-2021 FSC-klagomål mail.docx", "A 61481-2021")</f>
        <v/>
      </c>
      <c r="X261">
        <f>HYPERLINK("https://klasma.github.io/Logging_2283/tillsyn/A 61481-2021 tillsynsbegäran.docx", "A 61481-2021")</f>
        <v/>
      </c>
      <c r="Y261">
        <f>HYPERLINK("https://klasma.github.io/Logging_2283/tillsynsmail/A 61481-2021 tillsynsbegäran mail.docx", "A 61481-2021")</f>
        <v/>
      </c>
    </row>
    <row r="262" ht="15" customHeight="1">
      <c r="A262" t="inlineStr">
        <is>
          <t>A 18012-2022</t>
        </is>
      </c>
      <c r="B262" s="1" t="n">
        <v>44683</v>
      </c>
      <c r="C262" s="1" t="n">
        <v>45740</v>
      </c>
      <c r="D262" t="inlineStr">
        <is>
          <t>VÄSTERNORRLANDS LÄN</t>
        </is>
      </c>
      <c r="E262" t="inlineStr">
        <is>
          <t>SOLLEFTEÅ</t>
        </is>
      </c>
      <c r="F262" t="inlineStr">
        <is>
          <t>SCA</t>
        </is>
      </c>
      <c r="G262" t="n">
        <v>1.7</v>
      </c>
      <c r="H262" t="n">
        <v>2</v>
      </c>
      <c r="I262" t="n">
        <v>0</v>
      </c>
      <c r="J262" t="n">
        <v>2</v>
      </c>
      <c r="K262" t="n">
        <v>1</v>
      </c>
      <c r="L262" t="n">
        <v>0</v>
      </c>
      <c r="M262" t="n">
        <v>0</v>
      </c>
      <c r="N262" t="n">
        <v>0</v>
      </c>
      <c r="O262" t="n">
        <v>3</v>
      </c>
      <c r="P262" t="n">
        <v>1</v>
      </c>
      <c r="Q262" t="n">
        <v>3</v>
      </c>
      <c r="R262" s="2" t="inlineStr">
        <is>
          <t>Knärot
Garnlav
Tretåig hackspett</t>
        </is>
      </c>
      <c r="S262">
        <f>HYPERLINK("https://klasma.github.io/Logging_2283/artfynd/A 18012-2022 artfynd.xlsx", "A 18012-2022")</f>
        <v/>
      </c>
      <c r="T262">
        <f>HYPERLINK("https://klasma.github.io/Logging_2283/kartor/A 18012-2022 karta.png", "A 18012-2022")</f>
        <v/>
      </c>
      <c r="U262">
        <f>HYPERLINK("https://klasma.github.io/Logging_2283/knärot/A 18012-2022 karta knärot.png", "A 18012-2022")</f>
        <v/>
      </c>
      <c r="V262">
        <f>HYPERLINK("https://klasma.github.io/Logging_2283/klagomål/A 18012-2022 FSC-klagomål.docx", "A 18012-2022")</f>
        <v/>
      </c>
      <c r="W262">
        <f>HYPERLINK("https://klasma.github.io/Logging_2283/klagomålsmail/A 18012-2022 FSC-klagomål mail.docx", "A 18012-2022")</f>
        <v/>
      </c>
      <c r="X262">
        <f>HYPERLINK("https://klasma.github.io/Logging_2283/tillsyn/A 18012-2022 tillsynsbegäran.docx", "A 18012-2022")</f>
        <v/>
      </c>
      <c r="Y262">
        <f>HYPERLINK("https://klasma.github.io/Logging_2283/tillsynsmail/A 18012-2022 tillsynsbegäran mail.docx", "A 18012-2022")</f>
        <v/>
      </c>
      <c r="Z262">
        <f>HYPERLINK("https://klasma.github.io/Logging_2283/fåglar/A 18012-2022 prioriterade fågelarter.docx", "A 18012-2022")</f>
        <v/>
      </c>
    </row>
    <row r="263" ht="15" customHeight="1">
      <c r="A263" t="inlineStr">
        <is>
          <t>A 34528-2022</t>
        </is>
      </c>
      <c r="B263" s="1" t="n">
        <v>44792</v>
      </c>
      <c r="C263" s="1" t="n">
        <v>45740</v>
      </c>
      <c r="D263" t="inlineStr">
        <is>
          <t>VÄSTERNORRLANDS LÄN</t>
        </is>
      </c>
      <c r="E263" t="inlineStr">
        <is>
          <t>SOLLEFTEÅ</t>
        </is>
      </c>
      <c r="F263" t="inlineStr">
        <is>
          <t>SCA</t>
        </is>
      </c>
      <c r="G263" t="n">
        <v>1.8</v>
      </c>
      <c r="H263" t="n">
        <v>0</v>
      </c>
      <c r="I263" t="n">
        <v>0</v>
      </c>
      <c r="J263" t="n">
        <v>3</v>
      </c>
      <c r="K263" t="n">
        <v>0</v>
      </c>
      <c r="L263" t="n">
        <v>0</v>
      </c>
      <c r="M263" t="n">
        <v>0</v>
      </c>
      <c r="N263" t="n">
        <v>0</v>
      </c>
      <c r="O263" t="n">
        <v>3</v>
      </c>
      <c r="P263" t="n">
        <v>0</v>
      </c>
      <c r="Q263" t="n">
        <v>3</v>
      </c>
      <c r="R263" s="2" t="inlineStr">
        <is>
          <t>Garnlav
Mörk kolflarnlav
Rosenticka</t>
        </is>
      </c>
      <c r="S263">
        <f>HYPERLINK("https://klasma.github.io/Logging_2283/artfynd/A 34528-2022 artfynd.xlsx", "A 34528-2022")</f>
        <v/>
      </c>
      <c r="T263">
        <f>HYPERLINK("https://klasma.github.io/Logging_2283/kartor/A 34528-2022 karta.png", "A 34528-2022")</f>
        <v/>
      </c>
      <c r="V263">
        <f>HYPERLINK("https://klasma.github.io/Logging_2283/klagomål/A 34528-2022 FSC-klagomål.docx", "A 34528-2022")</f>
        <v/>
      </c>
      <c r="W263">
        <f>HYPERLINK("https://klasma.github.io/Logging_2283/klagomålsmail/A 34528-2022 FSC-klagomål mail.docx", "A 34528-2022")</f>
        <v/>
      </c>
      <c r="X263">
        <f>HYPERLINK("https://klasma.github.io/Logging_2283/tillsyn/A 34528-2022 tillsynsbegäran.docx", "A 34528-2022")</f>
        <v/>
      </c>
      <c r="Y263">
        <f>HYPERLINK("https://klasma.github.io/Logging_2283/tillsynsmail/A 34528-2022 tillsynsbegäran mail.docx", "A 34528-2022")</f>
        <v/>
      </c>
    </row>
    <row r="264" ht="15" customHeight="1">
      <c r="A264" t="inlineStr">
        <is>
          <t>A 42301-2022</t>
        </is>
      </c>
      <c r="B264" s="1" t="n">
        <v>44831</v>
      </c>
      <c r="C264" s="1" t="n">
        <v>45740</v>
      </c>
      <c r="D264" t="inlineStr">
        <is>
          <t>VÄSTERNORRLANDS LÄN</t>
        </is>
      </c>
      <c r="E264" t="inlineStr">
        <is>
          <t>SOLLEFTEÅ</t>
        </is>
      </c>
      <c r="F264" t="inlineStr">
        <is>
          <t>SCA</t>
        </is>
      </c>
      <c r="G264" t="n">
        <v>0.8</v>
      </c>
      <c r="H264" t="n">
        <v>1</v>
      </c>
      <c r="I264" t="n">
        <v>0</v>
      </c>
      <c r="J264" t="n">
        <v>3</v>
      </c>
      <c r="K264" t="n">
        <v>0</v>
      </c>
      <c r="L264" t="n">
        <v>0</v>
      </c>
      <c r="M264" t="n">
        <v>0</v>
      </c>
      <c r="N264" t="n">
        <v>0</v>
      </c>
      <c r="O264" t="n">
        <v>3</v>
      </c>
      <c r="P264" t="n">
        <v>0</v>
      </c>
      <c r="Q264" t="n">
        <v>3</v>
      </c>
      <c r="R264" s="2" t="inlineStr">
        <is>
          <t>Gammelgransskål
Harticka
Tretåig hackspett</t>
        </is>
      </c>
      <c r="S264">
        <f>HYPERLINK("https://klasma.github.io/Logging_2283/artfynd/A 42301-2022 artfynd.xlsx", "A 42301-2022")</f>
        <v/>
      </c>
      <c r="T264">
        <f>HYPERLINK("https://klasma.github.io/Logging_2283/kartor/A 42301-2022 karta.png", "A 42301-2022")</f>
        <v/>
      </c>
      <c r="V264">
        <f>HYPERLINK("https://klasma.github.io/Logging_2283/klagomål/A 42301-2022 FSC-klagomål.docx", "A 42301-2022")</f>
        <v/>
      </c>
      <c r="W264">
        <f>HYPERLINK("https://klasma.github.io/Logging_2283/klagomålsmail/A 42301-2022 FSC-klagomål mail.docx", "A 42301-2022")</f>
        <v/>
      </c>
      <c r="X264">
        <f>HYPERLINK("https://klasma.github.io/Logging_2283/tillsyn/A 42301-2022 tillsynsbegäran.docx", "A 42301-2022")</f>
        <v/>
      </c>
      <c r="Y264">
        <f>HYPERLINK("https://klasma.github.io/Logging_2283/tillsynsmail/A 42301-2022 tillsynsbegäran mail.docx", "A 42301-2022")</f>
        <v/>
      </c>
      <c r="Z264">
        <f>HYPERLINK("https://klasma.github.io/Logging_2283/fåglar/A 42301-2022 prioriterade fågelarter.docx", "A 42301-2022")</f>
        <v/>
      </c>
    </row>
    <row r="265" ht="15" customHeight="1">
      <c r="A265" t="inlineStr">
        <is>
          <t>A 51212-2022</t>
        </is>
      </c>
      <c r="B265" s="1" t="n">
        <v>44868</v>
      </c>
      <c r="C265" s="1" t="n">
        <v>45740</v>
      </c>
      <c r="D265" t="inlineStr">
        <is>
          <t>VÄSTERNORRLANDS LÄN</t>
        </is>
      </c>
      <c r="E265" t="inlineStr">
        <is>
          <t>SOLLEFTEÅ</t>
        </is>
      </c>
      <c r="F265" t="inlineStr">
        <is>
          <t>Holmen skog AB</t>
        </is>
      </c>
      <c r="G265" t="n">
        <v>18.3</v>
      </c>
      <c r="H265" t="n">
        <v>1</v>
      </c>
      <c r="I265" t="n">
        <v>1</v>
      </c>
      <c r="J265" t="n">
        <v>1</v>
      </c>
      <c r="K265" t="n">
        <v>1</v>
      </c>
      <c r="L265" t="n">
        <v>0</v>
      </c>
      <c r="M265" t="n">
        <v>0</v>
      </c>
      <c r="N265" t="n">
        <v>0</v>
      </c>
      <c r="O265" t="n">
        <v>2</v>
      </c>
      <c r="P265" t="n">
        <v>1</v>
      </c>
      <c r="Q265" t="n">
        <v>3</v>
      </c>
      <c r="R265" s="2" t="inlineStr">
        <is>
          <t>Doftticka
Lunglav
Stuplav</t>
        </is>
      </c>
      <c r="S265">
        <f>HYPERLINK("https://klasma.github.io/Logging_2283/artfynd/A 51212-2022 artfynd.xlsx", "A 51212-2022")</f>
        <v/>
      </c>
      <c r="T265">
        <f>HYPERLINK("https://klasma.github.io/Logging_2283/kartor/A 51212-2022 karta.png", "A 51212-2022")</f>
        <v/>
      </c>
      <c r="V265">
        <f>HYPERLINK("https://klasma.github.io/Logging_2283/klagomål/A 51212-2022 FSC-klagomål.docx", "A 51212-2022")</f>
        <v/>
      </c>
      <c r="W265">
        <f>HYPERLINK("https://klasma.github.io/Logging_2283/klagomålsmail/A 51212-2022 FSC-klagomål mail.docx", "A 51212-2022")</f>
        <v/>
      </c>
      <c r="X265">
        <f>HYPERLINK("https://klasma.github.io/Logging_2283/tillsyn/A 51212-2022 tillsynsbegäran.docx", "A 51212-2022")</f>
        <v/>
      </c>
      <c r="Y265">
        <f>HYPERLINK("https://klasma.github.io/Logging_2283/tillsynsmail/A 51212-2022 tillsynsbegäran mail.docx", "A 51212-2022")</f>
        <v/>
      </c>
    </row>
    <row r="266" ht="15" customHeight="1">
      <c r="A266" t="inlineStr">
        <is>
          <t>A 59046-2022</t>
        </is>
      </c>
      <c r="B266" s="1" t="n">
        <v>44903</v>
      </c>
      <c r="C266" s="1" t="n">
        <v>45740</v>
      </c>
      <c r="D266" t="inlineStr">
        <is>
          <t>VÄSTERNORRLANDS LÄN</t>
        </is>
      </c>
      <c r="E266" t="inlineStr">
        <is>
          <t>SOLLEFTEÅ</t>
        </is>
      </c>
      <c r="F266" t="inlineStr">
        <is>
          <t>SCA</t>
        </is>
      </c>
      <c r="G266" t="n">
        <v>10.3</v>
      </c>
      <c r="H266" t="n">
        <v>1</v>
      </c>
      <c r="I266" t="n">
        <v>0</v>
      </c>
      <c r="J266" t="n">
        <v>3</v>
      </c>
      <c r="K266" t="n">
        <v>0</v>
      </c>
      <c r="L266" t="n">
        <v>0</v>
      </c>
      <c r="M266" t="n">
        <v>0</v>
      </c>
      <c r="N266" t="n">
        <v>0</v>
      </c>
      <c r="O266" t="n">
        <v>3</v>
      </c>
      <c r="P266" t="n">
        <v>0</v>
      </c>
      <c r="Q266" t="n">
        <v>3</v>
      </c>
      <c r="R266" s="2" t="inlineStr">
        <is>
          <t>Lunglav
Orange taggsvamp
Tretåig hackspett</t>
        </is>
      </c>
      <c r="S266">
        <f>HYPERLINK("https://klasma.github.io/Logging_2283/artfynd/A 59046-2022 artfynd.xlsx", "A 59046-2022")</f>
        <v/>
      </c>
      <c r="T266">
        <f>HYPERLINK("https://klasma.github.io/Logging_2283/kartor/A 59046-2022 karta.png", "A 59046-2022")</f>
        <v/>
      </c>
      <c r="V266">
        <f>HYPERLINK("https://klasma.github.io/Logging_2283/klagomål/A 59046-2022 FSC-klagomål.docx", "A 59046-2022")</f>
        <v/>
      </c>
      <c r="W266">
        <f>HYPERLINK("https://klasma.github.io/Logging_2283/klagomålsmail/A 59046-2022 FSC-klagomål mail.docx", "A 59046-2022")</f>
        <v/>
      </c>
      <c r="X266">
        <f>HYPERLINK("https://klasma.github.io/Logging_2283/tillsyn/A 59046-2022 tillsynsbegäran.docx", "A 59046-2022")</f>
        <v/>
      </c>
      <c r="Y266">
        <f>HYPERLINK("https://klasma.github.io/Logging_2283/tillsynsmail/A 59046-2022 tillsynsbegäran mail.docx", "A 59046-2022")</f>
        <v/>
      </c>
      <c r="Z266">
        <f>HYPERLINK("https://klasma.github.io/Logging_2283/fåglar/A 59046-2022 prioriterade fågelarter.docx", "A 59046-2022")</f>
        <v/>
      </c>
    </row>
    <row r="267" ht="15" customHeight="1">
      <c r="A267" t="inlineStr">
        <is>
          <t>A 6235-2023</t>
        </is>
      </c>
      <c r="B267" s="1" t="n">
        <v>44964</v>
      </c>
      <c r="C267" s="1" t="n">
        <v>45740</v>
      </c>
      <c r="D267" t="inlineStr">
        <is>
          <t>VÄSTERNORRLANDS LÄN</t>
        </is>
      </c>
      <c r="E267" t="inlineStr">
        <is>
          <t>SOLLEFTEÅ</t>
        </is>
      </c>
      <c r="F267" t="inlineStr">
        <is>
          <t>SCA</t>
        </is>
      </c>
      <c r="G267" t="n">
        <v>0.6</v>
      </c>
      <c r="H267" t="n">
        <v>2</v>
      </c>
      <c r="I267" t="n">
        <v>0</v>
      </c>
      <c r="J267" t="n">
        <v>2</v>
      </c>
      <c r="K267" t="n">
        <v>0</v>
      </c>
      <c r="L267" t="n">
        <v>0</v>
      </c>
      <c r="M267" t="n">
        <v>0</v>
      </c>
      <c r="N267" t="n">
        <v>0</v>
      </c>
      <c r="O267" t="n">
        <v>2</v>
      </c>
      <c r="P267" t="n">
        <v>0</v>
      </c>
      <c r="Q267" t="n">
        <v>3</v>
      </c>
      <c r="R267" s="2" t="inlineStr">
        <is>
          <t>Harticka
Tretåig hackspett
Tjäder</t>
        </is>
      </c>
      <c r="S267">
        <f>HYPERLINK("https://klasma.github.io/Logging_2283/artfynd/A 6235-2023 artfynd.xlsx", "A 6235-2023")</f>
        <v/>
      </c>
      <c r="T267">
        <f>HYPERLINK("https://klasma.github.io/Logging_2283/kartor/A 6235-2023 karta.png", "A 6235-2023")</f>
        <v/>
      </c>
      <c r="V267">
        <f>HYPERLINK("https://klasma.github.io/Logging_2283/klagomål/A 6235-2023 FSC-klagomål.docx", "A 6235-2023")</f>
        <v/>
      </c>
      <c r="W267">
        <f>HYPERLINK("https://klasma.github.io/Logging_2283/klagomålsmail/A 6235-2023 FSC-klagomål mail.docx", "A 6235-2023")</f>
        <v/>
      </c>
      <c r="X267">
        <f>HYPERLINK("https://klasma.github.io/Logging_2283/tillsyn/A 6235-2023 tillsynsbegäran.docx", "A 6235-2023")</f>
        <v/>
      </c>
      <c r="Y267">
        <f>HYPERLINK("https://klasma.github.io/Logging_2283/tillsynsmail/A 6235-2023 tillsynsbegäran mail.docx", "A 6235-2023")</f>
        <v/>
      </c>
      <c r="Z267">
        <f>HYPERLINK("https://klasma.github.io/Logging_2283/fåglar/A 6235-2023 prioriterade fågelarter.docx", "A 6235-2023")</f>
        <v/>
      </c>
    </row>
    <row r="268" ht="15" customHeight="1">
      <c r="A268" t="inlineStr">
        <is>
          <t>A 20781-2023</t>
        </is>
      </c>
      <c r="B268" s="1" t="n">
        <v>45058</v>
      </c>
      <c r="C268" s="1" t="n">
        <v>45740</v>
      </c>
      <c r="D268" t="inlineStr">
        <is>
          <t>VÄSTERNORRLANDS LÄN</t>
        </is>
      </c>
      <c r="E268" t="inlineStr">
        <is>
          <t>SOLLEFTEÅ</t>
        </is>
      </c>
      <c r="F268" t="inlineStr">
        <is>
          <t>Kyrkan</t>
        </is>
      </c>
      <c r="G268" t="n">
        <v>11.1</v>
      </c>
      <c r="H268" t="n">
        <v>1</v>
      </c>
      <c r="I268" t="n">
        <v>0</v>
      </c>
      <c r="J268" t="n">
        <v>2</v>
      </c>
      <c r="K268" t="n">
        <v>1</v>
      </c>
      <c r="L268" t="n">
        <v>0</v>
      </c>
      <c r="M268" t="n">
        <v>0</v>
      </c>
      <c r="N268" t="n">
        <v>0</v>
      </c>
      <c r="O268" t="n">
        <v>3</v>
      </c>
      <c r="P268" t="n">
        <v>1</v>
      </c>
      <c r="Q268" t="n">
        <v>3</v>
      </c>
      <c r="R268" s="2" t="inlineStr">
        <is>
          <t>Knärot
Garnlav
Ullticka</t>
        </is>
      </c>
      <c r="S268">
        <f>HYPERLINK("https://klasma.github.io/Logging_2283/artfynd/A 20781-2023 artfynd.xlsx", "A 20781-2023")</f>
        <v/>
      </c>
      <c r="T268">
        <f>HYPERLINK("https://klasma.github.io/Logging_2283/kartor/A 20781-2023 karta.png", "A 20781-2023")</f>
        <v/>
      </c>
      <c r="U268">
        <f>HYPERLINK("https://klasma.github.io/Logging_2283/knärot/A 20781-2023 karta knärot.png", "A 20781-2023")</f>
        <v/>
      </c>
      <c r="V268">
        <f>HYPERLINK("https://klasma.github.io/Logging_2283/klagomål/A 20781-2023 FSC-klagomål.docx", "A 20781-2023")</f>
        <v/>
      </c>
      <c r="W268">
        <f>HYPERLINK("https://klasma.github.io/Logging_2283/klagomålsmail/A 20781-2023 FSC-klagomål mail.docx", "A 20781-2023")</f>
        <v/>
      </c>
      <c r="X268">
        <f>HYPERLINK("https://klasma.github.io/Logging_2283/tillsyn/A 20781-2023 tillsynsbegäran.docx", "A 20781-2023")</f>
        <v/>
      </c>
      <c r="Y268">
        <f>HYPERLINK("https://klasma.github.io/Logging_2283/tillsynsmail/A 20781-2023 tillsynsbegäran mail.docx", "A 20781-2023")</f>
        <v/>
      </c>
    </row>
    <row r="269" ht="15" customHeight="1">
      <c r="A269" t="inlineStr">
        <is>
          <t>A 21342-2023</t>
        </is>
      </c>
      <c r="B269" s="1" t="n">
        <v>45062</v>
      </c>
      <c r="C269" s="1" t="n">
        <v>45740</v>
      </c>
      <c r="D269" t="inlineStr">
        <is>
          <t>VÄSTERNORRLANDS LÄN</t>
        </is>
      </c>
      <c r="E269" t="inlineStr">
        <is>
          <t>SOLLEFTEÅ</t>
        </is>
      </c>
      <c r="F269" t="inlineStr">
        <is>
          <t>SCA</t>
        </is>
      </c>
      <c r="G269" t="n">
        <v>4.3</v>
      </c>
      <c r="H269" t="n">
        <v>1</v>
      </c>
      <c r="I269" t="n">
        <v>1</v>
      </c>
      <c r="J269" t="n">
        <v>2</v>
      </c>
      <c r="K269" t="n">
        <v>0</v>
      </c>
      <c r="L269" t="n">
        <v>0</v>
      </c>
      <c r="M269" t="n">
        <v>0</v>
      </c>
      <c r="N269" t="n">
        <v>0</v>
      </c>
      <c r="O269" t="n">
        <v>2</v>
      </c>
      <c r="P269" t="n">
        <v>0</v>
      </c>
      <c r="Q269" t="n">
        <v>3</v>
      </c>
      <c r="R269" s="2" t="inlineStr">
        <is>
          <t>Dvärgbägarlav
Kolflarnlav
Plattlummer</t>
        </is>
      </c>
      <c r="S269">
        <f>HYPERLINK("https://klasma.github.io/Logging_2283/artfynd/A 21342-2023 artfynd.xlsx", "A 21342-2023")</f>
        <v/>
      </c>
      <c r="T269">
        <f>HYPERLINK("https://klasma.github.io/Logging_2283/kartor/A 21342-2023 karta.png", "A 21342-2023")</f>
        <v/>
      </c>
      <c r="V269">
        <f>HYPERLINK("https://klasma.github.io/Logging_2283/klagomål/A 21342-2023 FSC-klagomål.docx", "A 21342-2023")</f>
        <v/>
      </c>
      <c r="W269">
        <f>HYPERLINK("https://klasma.github.io/Logging_2283/klagomålsmail/A 21342-2023 FSC-klagomål mail.docx", "A 21342-2023")</f>
        <v/>
      </c>
      <c r="X269">
        <f>HYPERLINK("https://klasma.github.io/Logging_2283/tillsyn/A 21342-2023 tillsynsbegäran.docx", "A 21342-2023")</f>
        <v/>
      </c>
      <c r="Y269">
        <f>HYPERLINK("https://klasma.github.io/Logging_2283/tillsynsmail/A 21342-2023 tillsynsbegäran mail.docx", "A 21342-2023")</f>
        <v/>
      </c>
    </row>
    <row r="270" ht="15" customHeight="1">
      <c r="A270" t="inlineStr">
        <is>
          <t>A 21343-2023</t>
        </is>
      </c>
      <c r="B270" s="1" t="n">
        <v>45062</v>
      </c>
      <c r="C270" s="1" t="n">
        <v>45740</v>
      </c>
      <c r="D270" t="inlineStr">
        <is>
          <t>VÄSTERNORRLANDS LÄN</t>
        </is>
      </c>
      <c r="E270" t="inlineStr">
        <is>
          <t>SOLLEFTEÅ</t>
        </is>
      </c>
      <c r="F270" t="inlineStr">
        <is>
          <t>SCA</t>
        </is>
      </c>
      <c r="G270" t="n">
        <v>4.8</v>
      </c>
      <c r="H270" t="n">
        <v>0</v>
      </c>
      <c r="I270" t="n">
        <v>0</v>
      </c>
      <c r="J270" t="n">
        <v>3</v>
      </c>
      <c r="K270" t="n">
        <v>0</v>
      </c>
      <c r="L270" t="n">
        <v>0</v>
      </c>
      <c r="M270" t="n">
        <v>0</v>
      </c>
      <c r="N270" t="n">
        <v>0</v>
      </c>
      <c r="O270" t="n">
        <v>3</v>
      </c>
      <c r="P270" t="n">
        <v>0</v>
      </c>
      <c r="Q270" t="n">
        <v>3</v>
      </c>
      <c r="R270" s="2" t="inlineStr">
        <is>
          <t>Garnlav
Kolflarnlav
Vedskivlav</t>
        </is>
      </c>
      <c r="S270">
        <f>HYPERLINK("https://klasma.github.io/Logging_2283/artfynd/A 21343-2023 artfynd.xlsx", "A 21343-2023")</f>
        <v/>
      </c>
      <c r="T270">
        <f>HYPERLINK("https://klasma.github.io/Logging_2283/kartor/A 21343-2023 karta.png", "A 21343-2023")</f>
        <v/>
      </c>
      <c r="V270">
        <f>HYPERLINK("https://klasma.github.io/Logging_2283/klagomål/A 21343-2023 FSC-klagomål.docx", "A 21343-2023")</f>
        <v/>
      </c>
      <c r="W270">
        <f>HYPERLINK("https://klasma.github.io/Logging_2283/klagomålsmail/A 21343-2023 FSC-klagomål mail.docx", "A 21343-2023")</f>
        <v/>
      </c>
      <c r="X270">
        <f>HYPERLINK("https://klasma.github.io/Logging_2283/tillsyn/A 21343-2023 tillsynsbegäran.docx", "A 21343-2023")</f>
        <v/>
      </c>
      <c r="Y270">
        <f>HYPERLINK("https://klasma.github.io/Logging_2283/tillsynsmail/A 21343-2023 tillsynsbegäran mail.docx", "A 21343-2023")</f>
        <v/>
      </c>
    </row>
    <row r="271" ht="15" customHeight="1">
      <c r="A271" t="inlineStr">
        <is>
          <t>A 23782-2023</t>
        </is>
      </c>
      <c r="B271" s="1" t="n">
        <v>45077</v>
      </c>
      <c r="C271" s="1" t="n">
        <v>45740</v>
      </c>
      <c r="D271" t="inlineStr">
        <is>
          <t>VÄSTERNORRLANDS LÄN</t>
        </is>
      </c>
      <c r="E271" t="inlineStr">
        <is>
          <t>SOLLEFTEÅ</t>
        </is>
      </c>
      <c r="F271" t="inlineStr">
        <is>
          <t>SCA</t>
        </is>
      </c>
      <c r="G271" t="n">
        <v>6.3</v>
      </c>
      <c r="H271" t="n">
        <v>0</v>
      </c>
      <c r="I271" t="n">
        <v>2</v>
      </c>
      <c r="J271" t="n">
        <v>1</v>
      </c>
      <c r="K271" t="n">
        <v>0</v>
      </c>
      <c r="L271" t="n">
        <v>0</v>
      </c>
      <c r="M271" t="n">
        <v>0</v>
      </c>
      <c r="N271" t="n">
        <v>0</v>
      </c>
      <c r="O271" t="n">
        <v>1</v>
      </c>
      <c r="P271" t="n">
        <v>0</v>
      </c>
      <c r="Q271" t="n">
        <v>3</v>
      </c>
      <c r="R271" s="2" t="inlineStr">
        <is>
          <t>Garnlav
Bollvitmossa
Norrlandslav</t>
        </is>
      </c>
      <c r="S271">
        <f>HYPERLINK("https://klasma.github.io/Logging_2283/artfynd/A 23782-2023 artfynd.xlsx", "A 23782-2023")</f>
        <v/>
      </c>
      <c r="T271">
        <f>HYPERLINK("https://klasma.github.io/Logging_2283/kartor/A 23782-2023 karta.png", "A 23782-2023")</f>
        <v/>
      </c>
      <c r="V271">
        <f>HYPERLINK("https://klasma.github.io/Logging_2283/klagomål/A 23782-2023 FSC-klagomål.docx", "A 23782-2023")</f>
        <v/>
      </c>
      <c r="W271">
        <f>HYPERLINK("https://klasma.github.io/Logging_2283/klagomålsmail/A 23782-2023 FSC-klagomål mail.docx", "A 23782-2023")</f>
        <v/>
      </c>
      <c r="X271">
        <f>HYPERLINK("https://klasma.github.io/Logging_2283/tillsyn/A 23782-2023 tillsynsbegäran.docx", "A 23782-2023")</f>
        <v/>
      </c>
      <c r="Y271">
        <f>HYPERLINK("https://klasma.github.io/Logging_2283/tillsynsmail/A 23782-2023 tillsynsbegäran mail.docx", "A 23782-2023")</f>
        <v/>
      </c>
    </row>
    <row r="272" ht="15" customHeight="1">
      <c r="A272" t="inlineStr">
        <is>
          <t>A 26374-2023</t>
        </is>
      </c>
      <c r="B272" s="1" t="n">
        <v>45092</v>
      </c>
      <c r="C272" s="1" t="n">
        <v>45740</v>
      </c>
      <c r="D272" t="inlineStr">
        <is>
          <t>VÄSTERNORRLANDS LÄN</t>
        </is>
      </c>
      <c r="E272" t="inlineStr">
        <is>
          <t>SOLLEFTEÅ</t>
        </is>
      </c>
      <c r="F272" t="inlineStr">
        <is>
          <t>SCA</t>
        </is>
      </c>
      <c r="G272" t="n">
        <v>0.9</v>
      </c>
      <c r="H272" t="n">
        <v>0</v>
      </c>
      <c r="I272" t="n">
        <v>0</v>
      </c>
      <c r="J272" t="n">
        <v>2</v>
      </c>
      <c r="K272" t="n">
        <v>1</v>
      </c>
      <c r="L272" t="n">
        <v>0</v>
      </c>
      <c r="M272" t="n">
        <v>0</v>
      </c>
      <c r="N272" t="n">
        <v>0</v>
      </c>
      <c r="O272" t="n">
        <v>3</v>
      </c>
      <c r="P272" t="n">
        <v>1</v>
      </c>
      <c r="Q272" t="n">
        <v>3</v>
      </c>
      <c r="R272" s="2" t="inlineStr">
        <is>
          <t>Blackticka
Granticka
Ullticka</t>
        </is>
      </c>
      <c r="S272">
        <f>HYPERLINK("https://klasma.github.io/Logging_2283/artfynd/A 26374-2023 artfynd.xlsx", "A 26374-2023")</f>
        <v/>
      </c>
      <c r="T272">
        <f>HYPERLINK("https://klasma.github.io/Logging_2283/kartor/A 26374-2023 karta.png", "A 26374-2023")</f>
        <v/>
      </c>
      <c r="V272">
        <f>HYPERLINK("https://klasma.github.io/Logging_2283/klagomål/A 26374-2023 FSC-klagomål.docx", "A 26374-2023")</f>
        <v/>
      </c>
      <c r="W272">
        <f>HYPERLINK("https://klasma.github.io/Logging_2283/klagomålsmail/A 26374-2023 FSC-klagomål mail.docx", "A 26374-2023")</f>
        <v/>
      </c>
      <c r="X272">
        <f>HYPERLINK("https://klasma.github.io/Logging_2283/tillsyn/A 26374-2023 tillsynsbegäran.docx", "A 26374-2023")</f>
        <v/>
      </c>
      <c r="Y272">
        <f>HYPERLINK("https://klasma.github.io/Logging_2283/tillsynsmail/A 26374-2023 tillsynsbegäran mail.docx", "A 26374-2023")</f>
        <v/>
      </c>
    </row>
    <row r="273" ht="15" customHeight="1">
      <c r="A273" t="inlineStr">
        <is>
          <t>A 45007-2023</t>
        </is>
      </c>
      <c r="B273" s="1" t="n">
        <v>45190</v>
      </c>
      <c r="C273" s="1" t="n">
        <v>45740</v>
      </c>
      <c r="D273" t="inlineStr">
        <is>
          <t>VÄSTERNORRLANDS LÄN</t>
        </is>
      </c>
      <c r="E273" t="inlineStr">
        <is>
          <t>SOLLEFTEÅ</t>
        </is>
      </c>
      <c r="F273" t="inlineStr">
        <is>
          <t>SCA</t>
        </is>
      </c>
      <c r="G273" t="n">
        <v>2.1</v>
      </c>
      <c r="H273" t="n">
        <v>2</v>
      </c>
      <c r="I273" t="n">
        <v>0</v>
      </c>
      <c r="J273" t="n">
        <v>3</v>
      </c>
      <c r="K273" t="n">
        <v>0</v>
      </c>
      <c r="L273" t="n">
        <v>0</v>
      </c>
      <c r="M273" t="n">
        <v>0</v>
      </c>
      <c r="N273" t="n">
        <v>0</v>
      </c>
      <c r="O273" t="n">
        <v>3</v>
      </c>
      <c r="P273" t="n">
        <v>0</v>
      </c>
      <c r="Q273" t="n">
        <v>3</v>
      </c>
      <c r="R273" s="2" t="inlineStr">
        <is>
          <t>Spillkråka
Tretåig hackspett
Ullticka</t>
        </is>
      </c>
      <c r="S273">
        <f>HYPERLINK("https://klasma.github.io/Logging_2283/artfynd/A 45007-2023 artfynd.xlsx", "A 45007-2023")</f>
        <v/>
      </c>
      <c r="T273">
        <f>HYPERLINK("https://klasma.github.io/Logging_2283/kartor/A 45007-2023 karta.png", "A 45007-2023")</f>
        <v/>
      </c>
      <c r="V273">
        <f>HYPERLINK("https://klasma.github.io/Logging_2283/klagomål/A 45007-2023 FSC-klagomål.docx", "A 45007-2023")</f>
        <v/>
      </c>
      <c r="W273">
        <f>HYPERLINK("https://klasma.github.io/Logging_2283/klagomålsmail/A 45007-2023 FSC-klagomål mail.docx", "A 45007-2023")</f>
        <v/>
      </c>
      <c r="X273">
        <f>HYPERLINK("https://klasma.github.io/Logging_2283/tillsyn/A 45007-2023 tillsynsbegäran.docx", "A 45007-2023")</f>
        <v/>
      </c>
      <c r="Y273">
        <f>HYPERLINK("https://klasma.github.io/Logging_2283/tillsynsmail/A 45007-2023 tillsynsbegäran mail.docx", "A 45007-2023")</f>
        <v/>
      </c>
      <c r="Z273">
        <f>HYPERLINK("https://klasma.github.io/Logging_2283/fåglar/A 45007-2023 prioriterade fågelarter.docx", "A 45007-2023")</f>
        <v/>
      </c>
    </row>
    <row r="274" ht="15" customHeight="1">
      <c r="A274" t="inlineStr">
        <is>
          <t>A 45006-2023</t>
        </is>
      </c>
      <c r="B274" s="1" t="n">
        <v>45190</v>
      </c>
      <c r="C274" s="1" t="n">
        <v>45740</v>
      </c>
      <c r="D274" t="inlineStr">
        <is>
          <t>VÄSTERNORRLANDS LÄN</t>
        </is>
      </c>
      <c r="E274" t="inlineStr">
        <is>
          <t>SOLLEFTEÅ</t>
        </is>
      </c>
      <c r="F274" t="inlineStr">
        <is>
          <t>SCA</t>
        </is>
      </c>
      <c r="G274" t="n">
        <v>5.1</v>
      </c>
      <c r="H274" t="n">
        <v>0</v>
      </c>
      <c r="I274" t="n">
        <v>0</v>
      </c>
      <c r="J274" t="n">
        <v>2</v>
      </c>
      <c r="K274" t="n">
        <v>1</v>
      </c>
      <c r="L274" t="n">
        <v>0</v>
      </c>
      <c r="M274" t="n">
        <v>0</v>
      </c>
      <c r="N274" t="n">
        <v>0</v>
      </c>
      <c r="O274" t="n">
        <v>3</v>
      </c>
      <c r="P274" t="n">
        <v>1</v>
      </c>
      <c r="Q274" t="n">
        <v>3</v>
      </c>
      <c r="R274" s="2" t="inlineStr">
        <is>
          <t>Rynkskinn
Gammelgransskål
Rosenticka</t>
        </is>
      </c>
      <c r="S274">
        <f>HYPERLINK("https://klasma.github.io/Logging_2283/artfynd/A 45006-2023 artfynd.xlsx", "A 45006-2023")</f>
        <v/>
      </c>
      <c r="T274">
        <f>HYPERLINK("https://klasma.github.io/Logging_2283/kartor/A 45006-2023 karta.png", "A 45006-2023")</f>
        <v/>
      </c>
      <c r="V274">
        <f>HYPERLINK("https://klasma.github.io/Logging_2283/klagomål/A 45006-2023 FSC-klagomål.docx", "A 45006-2023")</f>
        <v/>
      </c>
      <c r="W274">
        <f>HYPERLINK("https://klasma.github.io/Logging_2283/klagomålsmail/A 45006-2023 FSC-klagomål mail.docx", "A 45006-2023")</f>
        <v/>
      </c>
      <c r="X274">
        <f>HYPERLINK("https://klasma.github.io/Logging_2283/tillsyn/A 45006-2023 tillsynsbegäran.docx", "A 45006-2023")</f>
        <v/>
      </c>
      <c r="Y274">
        <f>HYPERLINK("https://klasma.github.io/Logging_2283/tillsynsmail/A 45006-2023 tillsynsbegäran mail.docx", "A 45006-2023")</f>
        <v/>
      </c>
    </row>
    <row r="275" ht="15" customHeight="1">
      <c r="A275" t="inlineStr">
        <is>
          <t>A 50838-2023</t>
        </is>
      </c>
      <c r="B275" s="1" t="n">
        <v>45217</v>
      </c>
      <c r="C275" s="1" t="n">
        <v>45740</v>
      </c>
      <c r="D275" t="inlineStr">
        <is>
          <t>VÄSTERNORRLANDS LÄN</t>
        </is>
      </c>
      <c r="E275" t="inlineStr">
        <is>
          <t>SOLLEFTEÅ</t>
        </is>
      </c>
      <c r="F275" t="inlineStr">
        <is>
          <t>SCA</t>
        </is>
      </c>
      <c r="G275" t="n">
        <v>2.1</v>
      </c>
      <c r="H275" t="n">
        <v>2</v>
      </c>
      <c r="I275" t="n">
        <v>0</v>
      </c>
      <c r="J275" t="n">
        <v>1</v>
      </c>
      <c r="K275" t="n">
        <v>2</v>
      </c>
      <c r="L275" t="n">
        <v>0</v>
      </c>
      <c r="M275" t="n">
        <v>0</v>
      </c>
      <c r="N275" t="n">
        <v>0</v>
      </c>
      <c r="O275" t="n">
        <v>3</v>
      </c>
      <c r="P275" t="n">
        <v>2</v>
      </c>
      <c r="Q275" t="n">
        <v>3</v>
      </c>
      <c r="R275" s="2" t="inlineStr">
        <is>
          <t>Doftticka
Knärot
Lunglav</t>
        </is>
      </c>
      <c r="S275">
        <f>HYPERLINK("https://klasma.github.io/Logging_2283/artfynd/A 50838-2023 artfynd.xlsx", "A 50838-2023")</f>
        <v/>
      </c>
      <c r="T275">
        <f>HYPERLINK("https://klasma.github.io/Logging_2283/kartor/A 50838-2023 karta.png", "A 50838-2023")</f>
        <v/>
      </c>
      <c r="U275">
        <f>HYPERLINK("https://klasma.github.io/Logging_2283/knärot/A 50838-2023 karta knärot.png", "A 50838-2023")</f>
        <v/>
      </c>
      <c r="V275">
        <f>HYPERLINK("https://klasma.github.io/Logging_2283/klagomål/A 50838-2023 FSC-klagomål.docx", "A 50838-2023")</f>
        <v/>
      </c>
      <c r="W275">
        <f>HYPERLINK("https://klasma.github.io/Logging_2283/klagomålsmail/A 50838-2023 FSC-klagomål mail.docx", "A 50838-2023")</f>
        <v/>
      </c>
      <c r="X275">
        <f>HYPERLINK("https://klasma.github.io/Logging_2283/tillsyn/A 50838-2023 tillsynsbegäran.docx", "A 50838-2023")</f>
        <v/>
      </c>
      <c r="Y275">
        <f>HYPERLINK("https://klasma.github.io/Logging_2283/tillsynsmail/A 50838-2023 tillsynsbegäran mail.docx", "A 50838-2023")</f>
        <v/>
      </c>
    </row>
    <row r="276" ht="15" customHeight="1">
      <c r="A276" t="inlineStr">
        <is>
          <t>A 52762-2023</t>
        </is>
      </c>
      <c r="B276" s="1" t="n">
        <v>45225</v>
      </c>
      <c r="C276" s="1" t="n">
        <v>45740</v>
      </c>
      <c r="D276" t="inlineStr">
        <is>
          <t>VÄSTERNORRLANDS LÄN</t>
        </is>
      </c>
      <c r="E276" t="inlineStr">
        <is>
          <t>SOLLEFTEÅ</t>
        </is>
      </c>
      <c r="F276" t="inlineStr">
        <is>
          <t>SCA</t>
        </is>
      </c>
      <c r="G276" t="n">
        <v>6.3</v>
      </c>
      <c r="H276" t="n">
        <v>1</v>
      </c>
      <c r="I276" t="n">
        <v>0</v>
      </c>
      <c r="J276" t="n">
        <v>2</v>
      </c>
      <c r="K276" t="n">
        <v>0</v>
      </c>
      <c r="L276" t="n">
        <v>0</v>
      </c>
      <c r="M276" t="n">
        <v>0</v>
      </c>
      <c r="N276" t="n">
        <v>0</v>
      </c>
      <c r="O276" t="n">
        <v>2</v>
      </c>
      <c r="P276" t="n">
        <v>0</v>
      </c>
      <c r="Q276" t="n">
        <v>3</v>
      </c>
      <c r="R276" s="2" t="inlineStr">
        <is>
          <t>Rosenticka
Ullticka
Fläcknycklar</t>
        </is>
      </c>
      <c r="S276">
        <f>HYPERLINK("https://klasma.github.io/Logging_2283/artfynd/A 52762-2023 artfynd.xlsx", "A 52762-2023")</f>
        <v/>
      </c>
      <c r="T276">
        <f>HYPERLINK("https://klasma.github.io/Logging_2283/kartor/A 52762-2023 karta.png", "A 52762-2023")</f>
        <v/>
      </c>
      <c r="V276">
        <f>HYPERLINK("https://klasma.github.io/Logging_2283/klagomål/A 52762-2023 FSC-klagomål.docx", "A 52762-2023")</f>
        <v/>
      </c>
      <c r="W276">
        <f>HYPERLINK("https://klasma.github.io/Logging_2283/klagomålsmail/A 52762-2023 FSC-klagomål mail.docx", "A 52762-2023")</f>
        <v/>
      </c>
      <c r="X276">
        <f>HYPERLINK("https://klasma.github.io/Logging_2283/tillsyn/A 52762-2023 tillsynsbegäran.docx", "A 52762-2023")</f>
        <v/>
      </c>
      <c r="Y276">
        <f>HYPERLINK("https://klasma.github.io/Logging_2283/tillsynsmail/A 52762-2023 tillsynsbegäran mail.docx", "A 52762-2023")</f>
        <v/>
      </c>
    </row>
    <row r="277" ht="15" customHeight="1">
      <c r="A277" t="inlineStr">
        <is>
          <t>A 54030-2023</t>
        </is>
      </c>
      <c r="B277" s="1" t="n">
        <v>45231</v>
      </c>
      <c r="C277" s="1" t="n">
        <v>45740</v>
      </c>
      <c r="D277" t="inlineStr">
        <is>
          <t>VÄSTERNORRLANDS LÄN</t>
        </is>
      </c>
      <c r="E277" t="inlineStr">
        <is>
          <t>SOLLEFTEÅ</t>
        </is>
      </c>
      <c r="G277" t="n">
        <v>4.4</v>
      </c>
      <c r="H277" t="n">
        <v>0</v>
      </c>
      <c r="I277" t="n">
        <v>0</v>
      </c>
      <c r="J277" t="n">
        <v>2</v>
      </c>
      <c r="K277" t="n">
        <v>1</v>
      </c>
      <c r="L277" t="n">
        <v>0</v>
      </c>
      <c r="M277" t="n">
        <v>0</v>
      </c>
      <c r="N277" t="n">
        <v>0</v>
      </c>
      <c r="O277" t="n">
        <v>3</v>
      </c>
      <c r="P277" t="n">
        <v>1</v>
      </c>
      <c r="Q277" t="n">
        <v>3</v>
      </c>
      <c r="R277" s="2" t="inlineStr">
        <is>
          <t>Rynkskinn
Rosenticka
Ullticka</t>
        </is>
      </c>
      <c r="S277">
        <f>HYPERLINK("https://klasma.github.io/Logging_2283/artfynd/A 54030-2023 artfynd.xlsx", "A 54030-2023")</f>
        <v/>
      </c>
      <c r="T277">
        <f>HYPERLINK("https://klasma.github.io/Logging_2283/kartor/A 54030-2023 karta.png", "A 54030-2023")</f>
        <v/>
      </c>
      <c r="V277">
        <f>HYPERLINK("https://klasma.github.io/Logging_2283/klagomål/A 54030-2023 FSC-klagomål.docx", "A 54030-2023")</f>
        <v/>
      </c>
      <c r="W277">
        <f>HYPERLINK("https://klasma.github.io/Logging_2283/klagomålsmail/A 54030-2023 FSC-klagomål mail.docx", "A 54030-2023")</f>
        <v/>
      </c>
      <c r="X277">
        <f>HYPERLINK("https://klasma.github.io/Logging_2283/tillsyn/A 54030-2023 tillsynsbegäran.docx", "A 54030-2023")</f>
        <v/>
      </c>
      <c r="Y277">
        <f>HYPERLINK("https://klasma.github.io/Logging_2283/tillsynsmail/A 54030-2023 tillsynsbegäran mail.docx", "A 54030-2023")</f>
        <v/>
      </c>
    </row>
    <row r="278" ht="15" customHeight="1">
      <c r="A278" t="inlineStr">
        <is>
          <t>A 16702-2024</t>
        </is>
      </c>
      <c r="B278" s="1" t="n">
        <v>45409</v>
      </c>
      <c r="C278" s="1" t="n">
        <v>45740</v>
      </c>
      <c r="D278" t="inlineStr">
        <is>
          <t>VÄSTERNORRLANDS LÄN</t>
        </is>
      </c>
      <c r="E278" t="inlineStr">
        <is>
          <t>SOLLEFTEÅ</t>
        </is>
      </c>
      <c r="F278" t="inlineStr">
        <is>
          <t>SCA</t>
        </is>
      </c>
      <c r="G278" t="n">
        <v>2.4</v>
      </c>
      <c r="H278" t="n">
        <v>0</v>
      </c>
      <c r="I278" t="n">
        <v>0</v>
      </c>
      <c r="J278" t="n">
        <v>3</v>
      </c>
      <c r="K278" t="n">
        <v>0</v>
      </c>
      <c r="L278" t="n">
        <v>0</v>
      </c>
      <c r="M278" t="n">
        <v>0</v>
      </c>
      <c r="N278" t="n">
        <v>0</v>
      </c>
      <c r="O278" t="n">
        <v>3</v>
      </c>
      <c r="P278" t="n">
        <v>0</v>
      </c>
      <c r="Q278" t="n">
        <v>3</v>
      </c>
      <c r="R278" s="2" t="inlineStr">
        <is>
          <t>Gammelgransskål
Rosenticka
Ullticka</t>
        </is>
      </c>
      <c r="S278">
        <f>HYPERLINK("https://klasma.github.io/Logging_2283/artfynd/A 16702-2024 artfynd.xlsx", "A 16702-2024")</f>
        <v/>
      </c>
      <c r="T278">
        <f>HYPERLINK("https://klasma.github.io/Logging_2283/kartor/A 16702-2024 karta.png", "A 16702-2024")</f>
        <v/>
      </c>
      <c r="V278">
        <f>HYPERLINK("https://klasma.github.io/Logging_2283/klagomål/A 16702-2024 FSC-klagomål.docx", "A 16702-2024")</f>
        <v/>
      </c>
      <c r="W278">
        <f>HYPERLINK("https://klasma.github.io/Logging_2283/klagomålsmail/A 16702-2024 FSC-klagomål mail.docx", "A 16702-2024")</f>
        <v/>
      </c>
      <c r="X278">
        <f>HYPERLINK("https://klasma.github.io/Logging_2283/tillsyn/A 16702-2024 tillsynsbegäran.docx", "A 16702-2024")</f>
        <v/>
      </c>
      <c r="Y278">
        <f>HYPERLINK("https://klasma.github.io/Logging_2283/tillsynsmail/A 16702-2024 tillsynsbegäran mail.docx", "A 16702-2024")</f>
        <v/>
      </c>
    </row>
    <row r="279" ht="15" customHeight="1">
      <c r="A279" t="inlineStr">
        <is>
          <t>A 21097-2024</t>
        </is>
      </c>
      <c r="B279" s="1" t="n">
        <v>45440</v>
      </c>
      <c r="C279" s="1" t="n">
        <v>45740</v>
      </c>
      <c r="D279" t="inlineStr">
        <is>
          <t>VÄSTERNORRLANDS LÄN</t>
        </is>
      </c>
      <c r="E279" t="inlineStr">
        <is>
          <t>SOLLEFTEÅ</t>
        </is>
      </c>
      <c r="F279" t="inlineStr">
        <is>
          <t>SCA</t>
        </is>
      </c>
      <c r="G279" t="n">
        <v>7.7</v>
      </c>
      <c r="H279" t="n">
        <v>1</v>
      </c>
      <c r="I279" t="n">
        <v>1</v>
      </c>
      <c r="J279" t="n">
        <v>2</v>
      </c>
      <c r="K279" t="n">
        <v>0</v>
      </c>
      <c r="L279" t="n">
        <v>0</v>
      </c>
      <c r="M279" t="n">
        <v>0</v>
      </c>
      <c r="N279" t="n">
        <v>0</v>
      </c>
      <c r="O279" t="n">
        <v>2</v>
      </c>
      <c r="P279" t="n">
        <v>0</v>
      </c>
      <c r="Q279" t="n">
        <v>3</v>
      </c>
      <c r="R279" s="2" t="inlineStr">
        <is>
          <t>Lunglav
Ullticka
Lappranunkel</t>
        </is>
      </c>
      <c r="S279">
        <f>HYPERLINK("https://klasma.github.io/Logging_2283/artfynd/A 21097-2024 artfynd.xlsx", "A 21097-2024")</f>
        <v/>
      </c>
      <c r="T279">
        <f>HYPERLINK("https://klasma.github.io/Logging_2283/kartor/A 21097-2024 karta.png", "A 21097-2024")</f>
        <v/>
      </c>
      <c r="V279">
        <f>HYPERLINK("https://klasma.github.io/Logging_2283/klagomål/A 21097-2024 FSC-klagomål.docx", "A 21097-2024")</f>
        <v/>
      </c>
      <c r="W279">
        <f>HYPERLINK("https://klasma.github.io/Logging_2283/klagomålsmail/A 21097-2024 FSC-klagomål mail.docx", "A 21097-2024")</f>
        <v/>
      </c>
      <c r="X279">
        <f>HYPERLINK("https://klasma.github.io/Logging_2283/tillsyn/A 21097-2024 tillsynsbegäran.docx", "A 21097-2024")</f>
        <v/>
      </c>
      <c r="Y279">
        <f>HYPERLINK("https://klasma.github.io/Logging_2283/tillsynsmail/A 21097-2024 tillsynsbegäran mail.docx", "A 21097-2024")</f>
        <v/>
      </c>
    </row>
    <row r="280" ht="15" customHeight="1">
      <c r="A280" t="inlineStr">
        <is>
          <t>A 23939-2024</t>
        </is>
      </c>
      <c r="B280" s="1" t="n">
        <v>45456</v>
      </c>
      <c r="C280" s="1" t="n">
        <v>45740</v>
      </c>
      <c r="D280" t="inlineStr">
        <is>
          <t>VÄSTERNORRLANDS LÄN</t>
        </is>
      </c>
      <c r="E280" t="inlineStr">
        <is>
          <t>SOLLEFTEÅ</t>
        </is>
      </c>
      <c r="F280" t="inlineStr">
        <is>
          <t>SCA</t>
        </is>
      </c>
      <c r="G280" t="n">
        <v>3</v>
      </c>
      <c r="H280" t="n">
        <v>1</v>
      </c>
      <c r="I280" t="n">
        <v>1</v>
      </c>
      <c r="J280" t="n">
        <v>2</v>
      </c>
      <c r="K280" t="n">
        <v>0</v>
      </c>
      <c r="L280" t="n">
        <v>0</v>
      </c>
      <c r="M280" t="n">
        <v>0</v>
      </c>
      <c r="N280" t="n">
        <v>0</v>
      </c>
      <c r="O280" t="n">
        <v>2</v>
      </c>
      <c r="P280" t="n">
        <v>0</v>
      </c>
      <c r="Q280" t="n">
        <v>3</v>
      </c>
      <c r="R280" s="2" t="inlineStr">
        <is>
          <t>Lunglav
Talltita
Stuplav</t>
        </is>
      </c>
      <c r="S280">
        <f>HYPERLINK("https://klasma.github.io/Logging_2283/artfynd/A 23939-2024 artfynd.xlsx", "A 23939-2024")</f>
        <v/>
      </c>
      <c r="T280">
        <f>HYPERLINK("https://klasma.github.io/Logging_2283/kartor/A 23939-2024 karta.png", "A 23939-2024")</f>
        <v/>
      </c>
      <c r="V280">
        <f>HYPERLINK("https://klasma.github.io/Logging_2283/klagomål/A 23939-2024 FSC-klagomål.docx", "A 23939-2024")</f>
        <v/>
      </c>
      <c r="W280">
        <f>HYPERLINK("https://klasma.github.io/Logging_2283/klagomålsmail/A 23939-2024 FSC-klagomål mail.docx", "A 23939-2024")</f>
        <v/>
      </c>
      <c r="X280">
        <f>HYPERLINK("https://klasma.github.io/Logging_2283/tillsyn/A 23939-2024 tillsynsbegäran.docx", "A 23939-2024")</f>
        <v/>
      </c>
      <c r="Y280">
        <f>HYPERLINK("https://klasma.github.io/Logging_2283/tillsynsmail/A 23939-2024 tillsynsbegäran mail.docx", "A 23939-2024")</f>
        <v/>
      </c>
      <c r="Z280">
        <f>HYPERLINK("https://klasma.github.io/Logging_2283/fåglar/A 23939-2024 prioriterade fågelarter.docx", "A 23939-2024")</f>
        <v/>
      </c>
    </row>
    <row r="281" ht="15" customHeight="1">
      <c r="A281" t="inlineStr">
        <is>
          <t>A 24757-2024</t>
        </is>
      </c>
      <c r="B281" s="1" t="n">
        <v>45460</v>
      </c>
      <c r="C281" s="1" t="n">
        <v>45740</v>
      </c>
      <c r="D281" t="inlineStr">
        <is>
          <t>VÄSTERNORRLANDS LÄN</t>
        </is>
      </c>
      <c r="E281" t="inlineStr">
        <is>
          <t>SOLLEFTEÅ</t>
        </is>
      </c>
      <c r="G281" t="n">
        <v>1.4</v>
      </c>
      <c r="H281" t="n">
        <v>1</v>
      </c>
      <c r="I281" t="n">
        <v>0</v>
      </c>
      <c r="J281" t="n">
        <v>2</v>
      </c>
      <c r="K281" t="n">
        <v>0</v>
      </c>
      <c r="L281" t="n">
        <v>0</v>
      </c>
      <c r="M281" t="n">
        <v>0</v>
      </c>
      <c r="N281" t="n">
        <v>0</v>
      </c>
      <c r="O281" t="n">
        <v>2</v>
      </c>
      <c r="P281" t="n">
        <v>0</v>
      </c>
      <c r="Q281" t="n">
        <v>3</v>
      </c>
      <c r="R281" s="2" t="inlineStr">
        <is>
          <t>Harticka
Lunglav
Revlummer</t>
        </is>
      </c>
      <c r="S281">
        <f>HYPERLINK("https://klasma.github.io/Logging_2283/artfynd/A 24757-2024 artfynd.xlsx", "A 24757-2024")</f>
        <v/>
      </c>
      <c r="T281">
        <f>HYPERLINK("https://klasma.github.io/Logging_2283/kartor/A 24757-2024 karta.png", "A 24757-2024")</f>
        <v/>
      </c>
      <c r="V281">
        <f>HYPERLINK("https://klasma.github.io/Logging_2283/klagomål/A 24757-2024 FSC-klagomål.docx", "A 24757-2024")</f>
        <v/>
      </c>
      <c r="W281">
        <f>HYPERLINK("https://klasma.github.io/Logging_2283/klagomålsmail/A 24757-2024 FSC-klagomål mail.docx", "A 24757-2024")</f>
        <v/>
      </c>
      <c r="X281">
        <f>HYPERLINK("https://klasma.github.io/Logging_2283/tillsyn/A 24757-2024 tillsynsbegäran.docx", "A 24757-2024")</f>
        <v/>
      </c>
      <c r="Y281">
        <f>HYPERLINK("https://klasma.github.io/Logging_2283/tillsynsmail/A 24757-2024 tillsynsbegäran mail.docx", "A 24757-2024")</f>
        <v/>
      </c>
    </row>
    <row r="282" ht="15" customHeight="1">
      <c r="A282" t="inlineStr">
        <is>
          <t>A 32256-2024</t>
        </is>
      </c>
      <c r="B282" s="1" t="n">
        <v>45511</v>
      </c>
      <c r="C282" s="1" t="n">
        <v>45740</v>
      </c>
      <c r="D282" t="inlineStr">
        <is>
          <t>VÄSTERNORRLANDS LÄN</t>
        </is>
      </c>
      <c r="E282" t="inlineStr">
        <is>
          <t>SOLLEFTEÅ</t>
        </is>
      </c>
      <c r="F282" t="inlineStr">
        <is>
          <t>SCA</t>
        </is>
      </c>
      <c r="G282" t="n">
        <v>3.9</v>
      </c>
      <c r="H282" t="n">
        <v>1</v>
      </c>
      <c r="I282" t="n">
        <v>1</v>
      </c>
      <c r="J282" t="n">
        <v>2</v>
      </c>
      <c r="K282" t="n">
        <v>0</v>
      </c>
      <c r="L282" t="n">
        <v>0</v>
      </c>
      <c r="M282" t="n">
        <v>0</v>
      </c>
      <c r="N282" t="n">
        <v>0</v>
      </c>
      <c r="O282" t="n">
        <v>2</v>
      </c>
      <c r="P282" t="n">
        <v>0</v>
      </c>
      <c r="Q282" t="n">
        <v>3</v>
      </c>
      <c r="R282" s="2" t="inlineStr">
        <is>
          <t>Tretåig hackspett
Vedtrappmossa
Fjällig taggsvamp s.str.</t>
        </is>
      </c>
      <c r="S282">
        <f>HYPERLINK("https://klasma.github.io/Logging_2283/artfynd/A 32256-2024 artfynd.xlsx", "A 32256-2024")</f>
        <v/>
      </c>
      <c r="T282">
        <f>HYPERLINK("https://klasma.github.io/Logging_2283/kartor/A 32256-2024 karta.png", "A 32256-2024")</f>
        <v/>
      </c>
      <c r="V282">
        <f>HYPERLINK("https://klasma.github.io/Logging_2283/klagomål/A 32256-2024 FSC-klagomål.docx", "A 32256-2024")</f>
        <v/>
      </c>
      <c r="W282">
        <f>HYPERLINK("https://klasma.github.io/Logging_2283/klagomålsmail/A 32256-2024 FSC-klagomål mail.docx", "A 32256-2024")</f>
        <v/>
      </c>
      <c r="X282">
        <f>HYPERLINK("https://klasma.github.io/Logging_2283/tillsyn/A 32256-2024 tillsynsbegäran.docx", "A 32256-2024")</f>
        <v/>
      </c>
      <c r="Y282">
        <f>HYPERLINK("https://klasma.github.io/Logging_2283/tillsynsmail/A 32256-2024 tillsynsbegäran mail.docx", "A 32256-2024")</f>
        <v/>
      </c>
      <c r="Z282">
        <f>HYPERLINK("https://klasma.github.io/Logging_2283/fåglar/A 32256-2024 prioriterade fågelarter.docx", "A 32256-2024")</f>
        <v/>
      </c>
    </row>
    <row r="283" ht="15" customHeight="1">
      <c r="A283" t="inlineStr">
        <is>
          <t>A 38096-2024</t>
        </is>
      </c>
      <c r="B283" s="1" t="n">
        <v>45545</v>
      </c>
      <c r="C283" s="1" t="n">
        <v>45740</v>
      </c>
      <c r="D283" t="inlineStr">
        <is>
          <t>VÄSTERNORRLANDS LÄN</t>
        </is>
      </c>
      <c r="E283" t="inlineStr">
        <is>
          <t>SOLLEFTEÅ</t>
        </is>
      </c>
      <c r="F283" t="inlineStr">
        <is>
          <t>SCA</t>
        </is>
      </c>
      <c r="G283" t="n">
        <v>5.2</v>
      </c>
      <c r="H283" t="n">
        <v>1</v>
      </c>
      <c r="I283" t="n">
        <v>2</v>
      </c>
      <c r="J283" t="n">
        <v>1</v>
      </c>
      <c r="K283" t="n">
        <v>0</v>
      </c>
      <c r="L283" t="n">
        <v>0</v>
      </c>
      <c r="M283" t="n">
        <v>0</v>
      </c>
      <c r="N283" t="n">
        <v>0</v>
      </c>
      <c r="O283" t="n">
        <v>1</v>
      </c>
      <c r="P283" t="n">
        <v>0</v>
      </c>
      <c r="Q283" t="n">
        <v>3</v>
      </c>
      <c r="R283" s="2" t="inlineStr">
        <is>
          <t>Lunglav
Bollvitmossa
Lappranunkel</t>
        </is>
      </c>
      <c r="S283">
        <f>HYPERLINK("https://klasma.github.io/Logging_2283/artfynd/A 38096-2024 artfynd.xlsx", "A 38096-2024")</f>
        <v/>
      </c>
      <c r="T283">
        <f>HYPERLINK("https://klasma.github.io/Logging_2283/kartor/A 38096-2024 karta.png", "A 38096-2024")</f>
        <v/>
      </c>
      <c r="V283">
        <f>HYPERLINK("https://klasma.github.io/Logging_2283/klagomål/A 38096-2024 FSC-klagomål.docx", "A 38096-2024")</f>
        <v/>
      </c>
      <c r="W283">
        <f>HYPERLINK("https://klasma.github.io/Logging_2283/klagomålsmail/A 38096-2024 FSC-klagomål mail.docx", "A 38096-2024")</f>
        <v/>
      </c>
      <c r="X283">
        <f>HYPERLINK("https://klasma.github.io/Logging_2283/tillsyn/A 38096-2024 tillsynsbegäran.docx", "A 38096-2024")</f>
        <v/>
      </c>
      <c r="Y283">
        <f>HYPERLINK("https://klasma.github.io/Logging_2283/tillsynsmail/A 38096-2024 tillsynsbegäran mail.docx", "A 38096-2024")</f>
        <v/>
      </c>
    </row>
    <row r="284" ht="15" customHeight="1">
      <c r="A284" t="inlineStr">
        <is>
          <t>A 42951-2024</t>
        </is>
      </c>
      <c r="B284" s="1" t="n">
        <v>45567</v>
      </c>
      <c r="C284" s="1" t="n">
        <v>45740</v>
      </c>
      <c r="D284" t="inlineStr">
        <is>
          <t>VÄSTERNORRLANDS LÄN</t>
        </is>
      </c>
      <c r="E284" t="inlineStr">
        <is>
          <t>SOLLEFTEÅ</t>
        </is>
      </c>
      <c r="F284" t="inlineStr">
        <is>
          <t>SCA</t>
        </is>
      </c>
      <c r="G284" t="n">
        <v>8</v>
      </c>
      <c r="H284" t="n">
        <v>2</v>
      </c>
      <c r="I284" t="n">
        <v>0</v>
      </c>
      <c r="J284" t="n">
        <v>1</v>
      </c>
      <c r="K284" t="n">
        <v>1</v>
      </c>
      <c r="L284" t="n">
        <v>0</v>
      </c>
      <c r="M284" t="n">
        <v>0</v>
      </c>
      <c r="N284" t="n">
        <v>0</v>
      </c>
      <c r="O284" t="n">
        <v>2</v>
      </c>
      <c r="P284" t="n">
        <v>1</v>
      </c>
      <c r="Q284" t="n">
        <v>3</v>
      </c>
      <c r="R284" s="2" t="inlineStr">
        <is>
          <t>Knärot
Rosenticka
Revlummer</t>
        </is>
      </c>
      <c r="S284">
        <f>HYPERLINK("https://klasma.github.io/Logging_2283/artfynd/A 42951-2024 artfynd.xlsx", "A 42951-2024")</f>
        <v/>
      </c>
      <c r="T284">
        <f>HYPERLINK("https://klasma.github.io/Logging_2283/kartor/A 42951-2024 karta.png", "A 42951-2024")</f>
        <v/>
      </c>
      <c r="U284">
        <f>HYPERLINK("https://klasma.github.io/Logging_2283/knärot/A 42951-2024 karta knärot.png", "A 42951-2024")</f>
        <v/>
      </c>
      <c r="V284">
        <f>HYPERLINK("https://klasma.github.io/Logging_2283/klagomål/A 42951-2024 FSC-klagomål.docx", "A 42951-2024")</f>
        <v/>
      </c>
      <c r="W284">
        <f>HYPERLINK("https://klasma.github.io/Logging_2283/klagomålsmail/A 42951-2024 FSC-klagomål mail.docx", "A 42951-2024")</f>
        <v/>
      </c>
      <c r="X284">
        <f>HYPERLINK("https://klasma.github.io/Logging_2283/tillsyn/A 42951-2024 tillsynsbegäran.docx", "A 42951-2024")</f>
        <v/>
      </c>
      <c r="Y284">
        <f>HYPERLINK("https://klasma.github.io/Logging_2283/tillsynsmail/A 42951-2024 tillsynsbegäran mail.docx", "A 42951-2024")</f>
        <v/>
      </c>
    </row>
    <row r="285" ht="15" customHeight="1">
      <c r="A285" t="inlineStr">
        <is>
          <t>A 51064-2024</t>
        </is>
      </c>
      <c r="B285" s="1" t="n">
        <v>45603</v>
      </c>
      <c r="C285" s="1" t="n">
        <v>45740</v>
      </c>
      <c r="D285" t="inlineStr">
        <is>
          <t>VÄSTERNORRLANDS LÄN</t>
        </is>
      </c>
      <c r="E285" t="inlineStr">
        <is>
          <t>SOLLEFTEÅ</t>
        </is>
      </c>
      <c r="F285" t="inlineStr">
        <is>
          <t>SCA</t>
        </is>
      </c>
      <c r="G285" t="n">
        <v>1.6</v>
      </c>
      <c r="H285" t="n">
        <v>1</v>
      </c>
      <c r="I285" t="n">
        <v>0</v>
      </c>
      <c r="J285" t="n">
        <v>2</v>
      </c>
      <c r="K285" t="n">
        <v>1</v>
      </c>
      <c r="L285" t="n">
        <v>0</v>
      </c>
      <c r="M285" t="n">
        <v>0</v>
      </c>
      <c r="N285" t="n">
        <v>0</v>
      </c>
      <c r="O285" t="n">
        <v>3</v>
      </c>
      <c r="P285" t="n">
        <v>1</v>
      </c>
      <c r="Q285" t="n">
        <v>3</v>
      </c>
      <c r="R285" s="2" t="inlineStr">
        <is>
          <t>Knärot
Lunglav
Rosenticka</t>
        </is>
      </c>
      <c r="S285">
        <f>HYPERLINK("https://klasma.github.io/Logging_2283/artfynd/A 51064-2024 artfynd.xlsx", "A 51064-2024")</f>
        <v/>
      </c>
      <c r="T285">
        <f>HYPERLINK("https://klasma.github.io/Logging_2283/kartor/A 51064-2024 karta.png", "A 51064-2024")</f>
        <v/>
      </c>
      <c r="U285">
        <f>HYPERLINK("https://klasma.github.io/Logging_2283/knärot/A 51064-2024 karta knärot.png", "A 51064-2024")</f>
        <v/>
      </c>
      <c r="V285">
        <f>HYPERLINK("https://klasma.github.io/Logging_2283/klagomål/A 51064-2024 FSC-klagomål.docx", "A 51064-2024")</f>
        <v/>
      </c>
      <c r="W285">
        <f>HYPERLINK("https://klasma.github.io/Logging_2283/klagomålsmail/A 51064-2024 FSC-klagomål mail.docx", "A 51064-2024")</f>
        <v/>
      </c>
      <c r="X285">
        <f>HYPERLINK("https://klasma.github.io/Logging_2283/tillsyn/A 51064-2024 tillsynsbegäran.docx", "A 51064-2024")</f>
        <v/>
      </c>
      <c r="Y285">
        <f>HYPERLINK("https://klasma.github.io/Logging_2283/tillsynsmail/A 51064-2024 tillsynsbegäran mail.docx", "A 51064-2024")</f>
        <v/>
      </c>
    </row>
    <row r="286" ht="15" customHeight="1">
      <c r="A286" t="inlineStr">
        <is>
          <t>A 53852-2024</t>
        </is>
      </c>
      <c r="B286" s="1" t="n">
        <v>45615</v>
      </c>
      <c r="C286" s="1" t="n">
        <v>45740</v>
      </c>
      <c r="D286" t="inlineStr">
        <is>
          <t>VÄSTERNORRLANDS LÄN</t>
        </is>
      </c>
      <c r="E286" t="inlineStr">
        <is>
          <t>SOLLEFTEÅ</t>
        </is>
      </c>
      <c r="F286" t="inlineStr">
        <is>
          <t>SCA</t>
        </is>
      </c>
      <c r="G286" t="n">
        <v>0.7</v>
      </c>
      <c r="H286" t="n">
        <v>1</v>
      </c>
      <c r="I286" t="n">
        <v>2</v>
      </c>
      <c r="J286" t="n">
        <v>1</v>
      </c>
      <c r="K286" t="n">
        <v>0</v>
      </c>
      <c r="L286" t="n">
        <v>0</v>
      </c>
      <c r="M286" t="n">
        <v>0</v>
      </c>
      <c r="N286" t="n">
        <v>0</v>
      </c>
      <c r="O286" t="n">
        <v>1</v>
      </c>
      <c r="P286" t="n">
        <v>0</v>
      </c>
      <c r="Q286" t="n">
        <v>3</v>
      </c>
      <c r="R286" s="2" t="inlineStr">
        <is>
          <t>Garnlav
Korallrot
Ögonpyrola</t>
        </is>
      </c>
      <c r="S286">
        <f>HYPERLINK("https://klasma.github.io/Logging_2283/artfynd/A 53852-2024 artfynd.xlsx", "A 53852-2024")</f>
        <v/>
      </c>
      <c r="T286">
        <f>HYPERLINK("https://klasma.github.io/Logging_2283/kartor/A 53852-2024 karta.png", "A 53852-2024")</f>
        <v/>
      </c>
      <c r="V286">
        <f>HYPERLINK("https://klasma.github.io/Logging_2283/klagomål/A 53852-2024 FSC-klagomål.docx", "A 53852-2024")</f>
        <v/>
      </c>
      <c r="W286">
        <f>HYPERLINK("https://klasma.github.io/Logging_2283/klagomålsmail/A 53852-2024 FSC-klagomål mail.docx", "A 53852-2024")</f>
        <v/>
      </c>
      <c r="X286">
        <f>HYPERLINK("https://klasma.github.io/Logging_2283/tillsyn/A 53852-2024 tillsynsbegäran.docx", "A 53852-2024")</f>
        <v/>
      </c>
      <c r="Y286">
        <f>HYPERLINK("https://klasma.github.io/Logging_2283/tillsynsmail/A 53852-2024 tillsynsbegäran mail.docx", "A 53852-2024")</f>
        <v/>
      </c>
    </row>
    <row r="287" ht="15" customHeight="1">
      <c r="A287" t="inlineStr">
        <is>
          <t>A 53682-2024</t>
        </is>
      </c>
      <c r="B287" s="1" t="n">
        <v>45615</v>
      </c>
      <c r="C287" s="1" t="n">
        <v>45740</v>
      </c>
      <c r="D287" t="inlineStr">
        <is>
          <t>VÄSTERNORRLANDS LÄN</t>
        </is>
      </c>
      <c r="E287" t="inlineStr">
        <is>
          <t>SOLLEFTEÅ</t>
        </is>
      </c>
      <c r="F287" t="inlineStr">
        <is>
          <t>SCA</t>
        </is>
      </c>
      <c r="G287" t="n">
        <v>9.5</v>
      </c>
      <c r="H287" t="n">
        <v>0</v>
      </c>
      <c r="I287" t="n">
        <v>0</v>
      </c>
      <c r="J287" t="n">
        <v>2</v>
      </c>
      <c r="K287" t="n">
        <v>1</v>
      </c>
      <c r="L287" t="n">
        <v>0</v>
      </c>
      <c r="M287" t="n">
        <v>0</v>
      </c>
      <c r="N287" t="n">
        <v>0</v>
      </c>
      <c r="O287" t="n">
        <v>3</v>
      </c>
      <c r="P287" t="n">
        <v>1</v>
      </c>
      <c r="Q287" t="n">
        <v>3</v>
      </c>
      <c r="R287" s="2" t="inlineStr">
        <is>
          <t>Tallgråticka
Blå taggsvamp
Skrovlig taggsvamp</t>
        </is>
      </c>
      <c r="S287">
        <f>HYPERLINK("https://klasma.github.io/Logging_2283/artfynd/A 53682-2024 artfynd.xlsx", "A 53682-2024")</f>
        <v/>
      </c>
      <c r="T287">
        <f>HYPERLINK("https://klasma.github.io/Logging_2283/kartor/A 53682-2024 karta.png", "A 53682-2024")</f>
        <v/>
      </c>
      <c r="V287">
        <f>HYPERLINK("https://klasma.github.io/Logging_2283/klagomål/A 53682-2024 FSC-klagomål.docx", "A 53682-2024")</f>
        <v/>
      </c>
      <c r="W287">
        <f>HYPERLINK("https://klasma.github.io/Logging_2283/klagomålsmail/A 53682-2024 FSC-klagomål mail.docx", "A 53682-2024")</f>
        <v/>
      </c>
      <c r="X287">
        <f>HYPERLINK("https://klasma.github.io/Logging_2283/tillsyn/A 53682-2024 tillsynsbegäran.docx", "A 53682-2024")</f>
        <v/>
      </c>
      <c r="Y287">
        <f>HYPERLINK("https://klasma.github.io/Logging_2283/tillsynsmail/A 53682-2024 tillsynsbegäran mail.docx", "A 53682-2024")</f>
        <v/>
      </c>
    </row>
    <row r="288" ht="15" customHeight="1">
      <c r="A288" t="inlineStr">
        <is>
          <t>A 54177-2024</t>
        </is>
      </c>
      <c r="B288" s="1" t="n">
        <v>45616</v>
      </c>
      <c r="C288" s="1" t="n">
        <v>45740</v>
      </c>
      <c r="D288" t="inlineStr">
        <is>
          <t>VÄSTERNORRLANDS LÄN</t>
        </is>
      </c>
      <c r="E288" t="inlineStr">
        <is>
          <t>SOLLEFTEÅ</t>
        </is>
      </c>
      <c r="F288" t="inlineStr">
        <is>
          <t>SCA</t>
        </is>
      </c>
      <c r="G288" t="n">
        <v>6.6</v>
      </c>
      <c r="H288" t="n">
        <v>3</v>
      </c>
      <c r="I288" t="n">
        <v>0</v>
      </c>
      <c r="J288" t="n">
        <v>2</v>
      </c>
      <c r="K288" t="n">
        <v>0</v>
      </c>
      <c r="L288" t="n">
        <v>0</v>
      </c>
      <c r="M288" t="n">
        <v>0</v>
      </c>
      <c r="N288" t="n">
        <v>0</v>
      </c>
      <c r="O288" t="n">
        <v>2</v>
      </c>
      <c r="P288" t="n">
        <v>0</v>
      </c>
      <c r="Q288" t="n">
        <v>3</v>
      </c>
      <c r="R288" s="2" t="inlineStr">
        <is>
          <t>Spillkråka
Tretåig hackspett
Tjäder</t>
        </is>
      </c>
      <c r="S288">
        <f>HYPERLINK("https://klasma.github.io/Logging_2283/artfynd/A 54177-2024 artfynd.xlsx", "A 54177-2024")</f>
        <v/>
      </c>
      <c r="T288">
        <f>HYPERLINK("https://klasma.github.io/Logging_2283/kartor/A 54177-2024 karta.png", "A 54177-2024")</f>
        <v/>
      </c>
      <c r="V288">
        <f>HYPERLINK("https://klasma.github.io/Logging_2283/klagomål/A 54177-2024 FSC-klagomål.docx", "A 54177-2024")</f>
        <v/>
      </c>
      <c r="W288">
        <f>HYPERLINK("https://klasma.github.io/Logging_2283/klagomålsmail/A 54177-2024 FSC-klagomål mail.docx", "A 54177-2024")</f>
        <v/>
      </c>
      <c r="X288">
        <f>HYPERLINK("https://klasma.github.io/Logging_2283/tillsyn/A 54177-2024 tillsynsbegäran.docx", "A 54177-2024")</f>
        <v/>
      </c>
      <c r="Y288">
        <f>HYPERLINK("https://klasma.github.io/Logging_2283/tillsynsmail/A 54177-2024 tillsynsbegäran mail.docx", "A 54177-2024")</f>
        <v/>
      </c>
      <c r="Z288">
        <f>HYPERLINK("https://klasma.github.io/Logging_2283/fåglar/A 54177-2024 prioriterade fågelarter.docx", "A 54177-2024")</f>
        <v/>
      </c>
    </row>
    <row r="289" ht="15" customHeight="1">
      <c r="A289" t="inlineStr">
        <is>
          <t>A 54624-2024</t>
        </is>
      </c>
      <c r="B289" s="1" t="n">
        <v>45617</v>
      </c>
      <c r="C289" s="1" t="n">
        <v>45740</v>
      </c>
      <c r="D289" t="inlineStr">
        <is>
          <t>VÄSTERNORRLANDS LÄN</t>
        </is>
      </c>
      <c r="E289" t="inlineStr">
        <is>
          <t>SOLLEFTEÅ</t>
        </is>
      </c>
      <c r="G289" t="n">
        <v>11.5</v>
      </c>
      <c r="H289" t="n">
        <v>0</v>
      </c>
      <c r="I289" t="n">
        <v>2</v>
      </c>
      <c r="J289" t="n">
        <v>1</v>
      </c>
      <c r="K289" t="n">
        <v>0</v>
      </c>
      <c r="L289" t="n">
        <v>0</v>
      </c>
      <c r="M289" t="n">
        <v>0</v>
      </c>
      <c r="N289" t="n">
        <v>0</v>
      </c>
      <c r="O289" t="n">
        <v>1</v>
      </c>
      <c r="P289" t="n">
        <v>0</v>
      </c>
      <c r="Q289" t="n">
        <v>3</v>
      </c>
      <c r="R289" s="2" t="inlineStr">
        <is>
          <t>Ullticka
Stuplav
Vedticka</t>
        </is>
      </c>
      <c r="S289">
        <f>HYPERLINK("https://klasma.github.io/Logging_2283/artfynd/A 54624-2024 artfynd.xlsx", "A 54624-2024")</f>
        <v/>
      </c>
      <c r="T289">
        <f>HYPERLINK("https://klasma.github.io/Logging_2283/kartor/A 54624-2024 karta.png", "A 54624-2024")</f>
        <v/>
      </c>
      <c r="V289">
        <f>HYPERLINK("https://klasma.github.io/Logging_2283/klagomål/A 54624-2024 FSC-klagomål.docx", "A 54624-2024")</f>
        <v/>
      </c>
      <c r="W289">
        <f>HYPERLINK("https://klasma.github.io/Logging_2283/klagomålsmail/A 54624-2024 FSC-klagomål mail.docx", "A 54624-2024")</f>
        <v/>
      </c>
      <c r="X289">
        <f>HYPERLINK("https://klasma.github.io/Logging_2283/tillsyn/A 54624-2024 tillsynsbegäran.docx", "A 54624-2024")</f>
        <v/>
      </c>
      <c r="Y289">
        <f>HYPERLINK("https://klasma.github.io/Logging_2283/tillsynsmail/A 54624-2024 tillsynsbegäran mail.docx", "A 54624-2024")</f>
        <v/>
      </c>
    </row>
    <row r="290" ht="15" customHeight="1">
      <c r="A290" t="inlineStr">
        <is>
          <t>A 57101-2024</t>
        </is>
      </c>
      <c r="B290" s="1" t="n">
        <v>45629</v>
      </c>
      <c r="C290" s="1" t="n">
        <v>45740</v>
      </c>
      <c r="D290" t="inlineStr">
        <is>
          <t>VÄSTERNORRLANDS LÄN</t>
        </is>
      </c>
      <c r="E290" t="inlineStr">
        <is>
          <t>SOLLEFTEÅ</t>
        </is>
      </c>
      <c r="F290" t="inlineStr">
        <is>
          <t>SCA</t>
        </is>
      </c>
      <c r="G290" t="n">
        <v>4.3</v>
      </c>
      <c r="H290" t="n">
        <v>2</v>
      </c>
      <c r="I290" t="n">
        <v>0</v>
      </c>
      <c r="J290" t="n">
        <v>2</v>
      </c>
      <c r="K290" t="n">
        <v>0</v>
      </c>
      <c r="L290" t="n">
        <v>0</v>
      </c>
      <c r="M290" t="n">
        <v>0</v>
      </c>
      <c r="N290" t="n">
        <v>0</v>
      </c>
      <c r="O290" t="n">
        <v>2</v>
      </c>
      <c r="P290" t="n">
        <v>0</v>
      </c>
      <c r="Q290" t="n">
        <v>3</v>
      </c>
      <c r="R290" s="2" t="inlineStr">
        <is>
          <t>Garnlav
Tretåig hackspett
Tjäder</t>
        </is>
      </c>
      <c r="S290">
        <f>HYPERLINK("https://klasma.github.io/Logging_2283/artfynd/A 57101-2024 artfynd.xlsx", "A 57101-2024")</f>
        <v/>
      </c>
      <c r="T290">
        <f>HYPERLINK("https://klasma.github.io/Logging_2283/kartor/A 57101-2024 karta.png", "A 57101-2024")</f>
        <v/>
      </c>
      <c r="V290">
        <f>HYPERLINK("https://klasma.github.io/Logging_2283/klagomål/A 57101-2024 FSC-klagomål.docx", "A 57101-2024")</f>
        <v/>
      </c>
      <c r="W290">
        <f>HYPERLINK("https://klasma.github.io/Logging_2283/klagomålsmail/A 57101-2024 FSC-klagomål mail.docx", "A 57101-2024")</f>
        <v/>
      </c>
      <c r="X290">
        <f>HYPERLINK("https://klasma.github.io/Logging_2283/tillsyn/A 57101-2024 tillsynsbegäran.docx", "A 57101-2024")</f>
        <v/>
      </c>
      <c r="Y290">
        <f>HYPERLINK("https://klasma.github.io/Logging_2283/tillsynsmail/A 57101-2024 tillsynsbegäran mail.docx", "A 57101-2024")</f>
        <v/>
      </c>
      <c r="Z290">
        <f>HYPERLINK("https://klasma.github.io/Logging_2283/fåglar/A 57101-2024 prioriterade fågelarter.docx", "A 57101-2024")</f>
        <v/>
      </c>
    </row>
    <row r="291" ht="15" customHeight="1">
      <c r="A291" t="inlineStr">
        <is>
          <t>A 5121-2025</t>
        </is>
      </c>
      <c r="B291" s="1" t="n">
        <v>45691</v>
      </c>
      <c r="C291" s="1" t="n">
        <v>45740</v>
      </c>
      <c r="D291" t="inlineStr">
        <is>
          <t>VÄSTERNORRLANDS LÄN</t>
        </is>
      </c>
      <c r="E291" t="inlineStr">
        <is>
          <t>SOLLEFTEÅ</t>
        </is>
      </c>
      <c r="G291" t="n">
        <v>3.4</v>
      </c>
      <c r="H291" t="n">
        <v>1</v>
      </c>
      <c r="I291" t="n">
        <v>0</v>
      </c>
      <c r="J291" t="n">
        <v>3</v>
      </c>
      <c r="K291" t="n">
        <v>0</v>
      </c>
      <c r="L291" t="n">
        <v>0</v>
      </c>
      <c r="M291" t="n">
        <v>0</v>
      </c>
      <c r="N291" t="n">
        <v>0</v>
      </c>
      <c r="O291" t="n">
        <v>3</v>
      </c>
      <c r="P291" t="n">
        <v>0</v>
      </c>
      <c r="Q291" t="n">
        <v>3</v>
      </c>
      <c r="R291" s="2" t="inlineStr">
        <is>
          <t>Granticka
Tretåig hackspett
Ullticka</t>
        </is>
      </c>
      <c r="S291">
        <f>HYPERLINK("https://klasma.github.io/Logging_2283/artfynd/A 5121-2025 artfynd.xlsx", "A 5121-2025")</f>
        <v/>
      </c>
      <c r="T291">
        <f>HYPERLINK("https://klasma.github.io/Logging_2283/kartor/A 5121-2025 karta.png", "A 5121-2025")</f>
        <v/>
      </c>
      <c r="V291">
        <f>HYPERLINK("https://klasma.github.io/Logging_2283/klagomål/A 5121-2025 FSC-klagomål.docx", "A 5121-2025")</f>
        <v/>
      </c>
      <c r="W291">
        <f>HYPERLINK("https://klasma.github.io/Logging_2283/klagomålsmail/A 5121-2025 FSC-klagomål mail.docx", "A 5121-2025")</f>
        <v/>
      </c>
      <c r="X291">
        <f>HYPERLINK("https://klasma.github.io/Logging_2283/tillsyn/A 5121-2025 tillsynsbegäran.docx", "A 5121-2025")</f>
        <v/>
      </c>
      <c r="Y291">
        <f>HYPERLINK("https://klasma.github.io/Logging_2283/tillsynsmail/A 5121-2025 tillsynsbegäran mail.docx", "A 5121-2025")</f>
        <v/>
      </c>
      <c r="Z291">
        <f>HYPERLINK("https://klasma.github.io/Logging_2283/fåglar/A 5121-2025 prioriterade fågelarter.docx", "A 5121-2025")</f>
        <v/>
      </c>
    </row>
    <row r="292" ht="15" customHeight="1">
      <c r="A292" t="inlineStr">
        <is>
          <t>A 8077-2025</t>
        </is>
      </c>
      <c r="B292" s="1" t="n">
        <v>45707</v>
      </c>
      <c r="C292" s="1" t="n">
        <v>45740</v>
      </c>
      <c r="D292" t="inlineStr">
        <is>
          <t>VÄSTERNORRLANDS LÄN</t>
        </is>
      </c>
      <c r="E292" t="inlineStr">
        <is>
          <t>SOLLEFTEÅ</t>
        </is>
      </c>
      <c r="F292" t="inlineStr">
        <is>
          <t>SCA</t>
        </is>
      </c>
      <c r="G292" t="n">
        <v>2.7</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8077-2025 artfynd.xlsx", "A 8077-2025")</f>
        <v/>
      </c>
      <c r="T292">
        <f>HYPERLINK("https://klasma.github.io/Logging_2283/kartor/A 8077-2025 karta.png", "A 8077-2025")</f>
        <v/>
      </c>
      <c r="V292">
        <f>HYPERLINK("https://klasma.github.io/Logging_2283/klagomål/A 8077-2025 FSC-klagomål.docx", "A 8077-2025")</f>
        <v/>
      </c>
      <c r="W292">
        <f>HYPERLINK("https://klasma.github.io/Logging_2283/klagomålsmail/A 8077-2025 FSC-klagomål mail.docx", "A 8077-2025")</f>
        <v/>
      </c>
      <c r="X292">
        <f>HYPERLINK("https://klasma.github.io/Logging_2283/tillsyn/A 8077-2025 tillsynsbegäran.docx", "A 8077-2025")</f>
        <v/>
      </c>
      <c r="Y292">
        <f>HYPERLINK("https://klasma.github.io/Logging_2283/tillsynsmail/A 8077-2025 tillsynsbegäran mail.docx", "A 8077-2025")</f>
        <v/>
      </c>
      <c r="Z292">
        <f>HYPERLINK("https://klasma.github.io/Logging_2283/fåglar/A 8077-2025 prioriterade fågelarter.docx", "A 8077-2025")</f>
        <v/>
      </c>
    </row>
    <row r="293" ht="15" customHeight="1">
      <c r="A293" t="inlineStr">
        <is>
          <t>A 13877-2025</t>
        </is>
      </c>
      <c r="B293" s="1" t="n">
        <v>45737</v>
      </c>
      <c r="C293" s="1" t="n">
        <v>45740</v>
      </c>
      <c r="D293" t="inlineStr">
        <is>
          <t>VÄSTERNORRLANDS LÄN</t>
        </is>
      </c>
      <c r="E293" t="inlineStr">
        <is>
          <t>SOLLEFTEÅ</t>
        </is>
      </c>
      <c r="F293" t="inlineStr">
        <is>
          <t>SCA</t>
        </is>
      </c>
      <c r="G293" t="n">
        <v>3.9</v>
      </c>
      <c r="H293" t="n">
        <v>2</v>
      </c>
      <c r="I293" t="n">
        <v>0</v>
      </c>
      <c r="J293" t="n">
        <v>2</v>
      </c>
      <c r="K293" t="n">
        <v>0</v>
      </c>
      <c r="L293" t="n">
        <v>0</v>
      </c>
      <c r="M293" t="n">
        <v>0</v>
      </c>
      <c r="N293" t="n">
        <v>0</v>
      </c>
      <c r="O293" t="n">
        <v>2</v>
      </c>
      <c r="P293" t="n">
        <v>0</v>
      </c>
      <c r="Q293" t="n">
        <v>3</v>
      </c>
      <c r="R293" s="2" t="inlineStr">
        <is>
          <t>Granticka
Spillkråka
Revlummer</t>
        </is>
      </c>
      <c r="S293">
        <f>HYPERLINK("https://klasma.github.io/Logging_2283/artfynd/A 13877-2025 artfynd.xlsx", "A 13877-2025")</f>
        <v/>
      </c>
      <c r="T293">
        <f>HYPERLINK("https://klasma.github.io/Logging_2283/kartor/A 13877-2025 karta.png", "A 13877-2025")</f>
        <v/>
      </c>
      <c r="V293">
        <f>HYPERLINK("https://klasma.github.io/Logging_2283/klagomål/A 13877-2025 FSC-klagomål.docx", "A 13877-2025")</f>
        <v/>
      </c>
      <c r="W293">
        <f>HYPERLINK("https://klasma.github.io/Logging_2283/klagomålsmail/A 13877-2025 FSC-klagomål mail.docx", "A 13877-2025")</f>
        <v/>
      </c>
      <c r="X293">
        <f>HYPERLINK("https://klasma.github.io/Logging_2283/tillsyn/A 13877-2025 tillsynsbegäran.docx", "A 13877-2025")</f>
        <v/>
      </c>
      <c r="Y293">
        <f>HYPERLINK("https://klasma.github.io/Logging_2283/tillsynsmail/A 13877-2025 tillsynsbegäran mail.docx", "A 13877-2025")</f>
        <v/>
      </c>
      <c r="Z293">
        <f>HYPERLINK("https://klasma.github.io/Logging_2283/fåglar/A 13877-2025 prioriterade fågelarter.docx", "A 13877-2025")</f>
        <v/>
      </c>
    </row>
    <row r="294" ht="15" customHeight="1">
      <c r="A294" t="inlineStr">
        <is>
          <t>A 18452-2019</t>
        </is>
      </c>
      <c r="B294" s="1" t="n">
        <v>43559</v>
      </c>
      <c r="C294" s="1" t="n">
        <v>45740</v>
      </c>
      <c r="D294" t="inlineStr">
        <is>
          <t>VÄSTERNORRLANDS LÄN</t>
        </is>
      </c>
      <c r="E294" t="inlineStr">
        <is>
          <t>SOLLEFTEÅ</t>
        </is>
      </c>
      <c r="G294" t="n">
        <v>2.2</v>
      </c>
      <c r="H294" t="n">
        <v>0</v>
      </c>
      <c r="I294" t="n">
        <v>1</v>
      </c>
      <c r="J294" t="n">
        <v>1</v>
      </c>
      <c r="K294" t="n">
        <v>0</v>
      </c>
      <c r="L294" t="n">
        <v>0</v>
      </c>
      <c r="M294" t="n">
        <v>0</v>
      </c>
      <c r="N294" t="n">
        <v>0</v>
      </c>
      <c r="O294" t="n">
        <v>1</v>
      </c>
      <c r="P294" t="n">
        <v>0</v>
      </c>
      <c r="Q294" t="n">
        <v>2</v>
      </c>
      <c r="R294" s="2" t="inlineStr">
        <is>
          <t>Lunglav
Bollvitmossa</t>
        </is>
      </c>
      <c r="S294">
        <f>HYPERLINK("https://klasma.github.io/Logging_2283/artfynd/A 18452-2019 artfynd.xlsx", "A 18452-2019")</f>
        <v/>
      </c>
      <c r="T294">
        <f>HYPERLINK("https://klasma.github.io/Logging_2283/kartor/A 18452-2019 karta.png", "A 18452-2019")</f>
        <v/>
      </c>
      <c r="V294">
        <f>HYPERLINK("https://klasma.github.io/Logging_2283/klagomål/A 18452-2019 FSC-klagomål.docx", "A 18452-2019")</f>
        <v/>
      </c>
      <c r="W294">
        <f>HYPERLINK("https://klasma.github.io/Logging_2283/klagomålsmail/A 18452-2019 FSC-klagomål mail.docx", "A 18452-2019")</f>
        <v/>
      </c>
      <c r="X294">
        <f>HYPERLINK("https://klasma.github.io/Logging_2283/tillsyn/A 18452-2019 tillsynsbegäran.docx", "A 18452-2019")</f>
        <v/>
      </c>
      <c r="Y294">
        <f>HYPERLINK("https://klasma.github.io/Logging_2283/tillsynsmail/A 18452-2019 tillsynsbegäran mail.docx", "A 18452-2019")</f>
        <v/>
      </c>
    </row>
    <row r="295" ht="15" customHeight="1">
      <c r="A295" t="inlineStr">
        <is>
          <t>A 21120-2019</t>
        </is>
      </c>
      <c r="B295" s="1" t="n">
        <v>43578</v>
      </c>
      <c r="C295" s="1" t="n">
        <v>45740</v>
      </c>
      <c r="D295" t="inlineStr">
        <is>
          <t>VÄSTERNORRLANDS LÄN</t>
        </is>
      </c>
      <c r="E295" t="inlineStr">
        <is>
          <t>SOLLEFTEÅ</t>
        </is>
      </c>
      <c r="F295" t="inlineStr">
        <is>
          <t>SCA</t>
        </is>
      </c>
      <c r="G295" t="n">
        <v>54.4</v>
      </c>
      <c r="H295" t="n">
        <v>2</v>
      </c>
      <c r="I295" t="n">
        <v>0</v>
      </c>
      <c r="J295" t="n">
        <v>1</v>
      </c>
      <c r="K295" t="n">
        <v>0</v>
      </c>
      <c r="L295" t="n">
        <v>0</v>
      </c>
      <c r="M295" t="n">
        <v>0</v>
      </c>
      <c r="N295" t="n">
        <v>0</v>
      </c>
      <c r="O295" t="n">
        <v>1</v>
      </c>
      <c r="P295" t="n">
        <v>0</v>
      </c>
      <c r="Q295" t="n">
        <v>2</v>
      </c>
      <c r="R295" s="2" t="inlineStr">
        <is>
          <t>Buskskvätta
Revlummer</t>
        </is>
      </c>
      <c r="S295">
        <f>HYPERLINK("https://klasma.github.io/Logging_2283/artfynd/A 21120-2019 artfynd.xlsx", "A 21120-2019")</f>
        <v/>
      </c>
      <c r="T295">
        <f>HYPERLINK("https://klasma.github.io/Logging_2283/kartor/A 21120-2019 karta.png", "A 21120-2019")</f>
        <v/>
      </c>
      <c r="V295">
        <f>HYPERLINK("https://klasma.github.io/Logging_2283/klagomål/A 21120-2019 FSC-klagomål.docx", "A 21120-2019")</f>
        <v/>
      </c>
      <c r="W295">
        <f>HYPERLINK("https://klasma.github.io/Logging_2283/klagomålsmail/A 21120-2019 FSC-klagomål mail.docx", "A 21120-2019")</f>
        <v/>
      </c>
      <c r="X295">
        <f>HYPERLINK("https://klasma.github.io/Logging_2283/tillsyn/A 21120-2019 tillsynsbegäran.docx", "A 21120-2019")</f>
        <v/>
      </c>
      <c r="Y295">
        <f>HYPERLINK("https://klasma.github.io/Logging_2283/tillsynsmail/A 21120-2019 tillsynsbegäran mail.docx", "A 21120-2019")</f>
        <v/>
      </c>
      <c r="Z295">
        <f>HYPERLINK("https://klasma.github.io/Logging_2283/fåglar/A 21120-2019 prioriterade fågelarter.docx", "A 21120-2019")</f>
        <v/>
      </c>
    </row>
    <row r="296" ht="15" customHeight="1">
      <c r="A296" t="inlineStr">
        <is>
          <t>A 34918-2019</t>
        </is>
      </c>
      <c r="B296" s="1" t="n">
        <v>43658</v>
      </c>
      <c r="C296" s="1" t="n">
        <v>45740</v>
      </c>
      <c r="D296" t="inlineStr">
        <is>
          <t>VÄSTERNORRLANDS LÄN</t>
        </is>
      </c>
      <c r="E296" t="inlineStr">
        <is>
          <t>SOLLEFTEÅ</t>
        </is>
      </c>
      <c r="G296" t="n">
        <v>2.7</v>
      </c>
      <c r="H296" t="n">
        <v>0</v>
      </c>
      <c r="I296" t="n">
        <v>0</v>
      </c>
      <c r="J296" t="n">
        <v>2</v>
      </c>
      <c r="K296" t="n">
        <v>0</v>
      </c>
      <c r="L296" t="n">
        <v>0</v>
      </c>
      <c r="M296" t="n">
        <v>0</v>
      </c>
      <c r="N296" t="n">
        <v>0</v>
      </c>
      <c r="O296" t="n">
        <v>2</v>
      </c>
      <c r="P296" t="n">
        <v>0</v>
      </c>
      <c r="Q296" t="n">
        <v>2</v>
      </c>
      <c r="R296" s="2" t="inlineStr">
        <is>
          <t>Granticka
Ullticka</t>
        </is>
      </c>
      <c r="S296">
        <f>HYPERLINK("https://klasma.github.io/Logging_2283/artfynd/A 34918-2019 artfynd.xlsx", "A 34918-2019")</f>
        <v/>
      </c>
      <c r="T296">
        <f>HYPERLINK("https://klasma.github.io/Logging_2283/kartor/A 34918-2019 karta.png", "A 34918-2019")</f>
        <v/>
      </c>
      <c r="V296">
        <f>HYPERLINK("https://klasma.github.io/Logging_2283/klagomål/A 34918-2019 FSC-klagomål.docx", "A 34918-2019")</f>
        <v/>
      </c>
      <c r="W296">
        <f>HYPERLINK("https://klasma.github.io/Logging_2283/klagomålsmail/A 34918-2019 FSC-klagomål mail.docx", "A 34918-2019")</f>
        <v/>
      </c>
      <c r="X296">
        <f>HYPERLINK("https://klasma.github.io/Logging_2283/tillsyn/A 34918-2019 tillsynsbegäran.docx", "A 34918-2019")</f>
        <v/>
      </c>
      <c r="Y296">
        <f>HYPERLINK("https://klasma.github.io/Logging_2283/tillsynsmail/A 34918-2019 tillsynsbegäran mail.docx", "A 34918-2019")</f>
        <v/>
      </c>
    </row>
    <row r="297" ht="15" customHeight="1">
      <c r="A297" t="inlineStr">
        <is>
          <t>A 66366-2019</t>
        </is>
      </c>
      <c r="B297" s="1" t="n">
        <v>43808</v>
      </c>
      <c r="C297" s="1" t="n">
        <v>45740</v>
      </c>
      <c r="D297" t="inlineStr">
        <is>
          <t>VÄSTERNORRLANDS LÄN</t>
        </is>
      </c>
      <c r="E297" t="inlineStr">
        <is>
          <t>SOLLEFTEÅ</t>
        </is>
      </c>
      <c r="G297" t="n">
        <v>2.9</v>
      </c>
      <c r="H297" t="n">
        <v>0</v>
      </c>
      <c r="I297" t="n">
        <v>1</v>
      </c>
      <c r="J297" t="n">
        <v>1</v>
      </c>
      <c r="K297" t="n">
        <v>0</v>
      </c>
      <c r="L297" t="n">
        <v>0</v>
      </c>
      <c r="M297" t="n">
        <v>0</v>
      </c>
      <c r="N297" t="n">
        <v>0</v>
      </c>
      <c r="O297" t="n">
        <v>1</v>
      </c>
      <c r="P297" t="n">
        <v>0</v>
      </c>
      <c r="Q297" t="n">
        <v>2</v>
      </c>
      <c r="R297" s="2" t="inlineStr">
        <is>
          <t>Lunglav
Stor aspticka</t>
        </is>
      </c>
      <c r="S297">
        <f>HYPERLINK("https://klasma.github.io/Logging_2283/artfynd/A 66366-2019 artfynd.xlsx", "A 66366-2019")</f>
        <v/>
      </c>
      <c r="T297">
        <f>HYPERLINK("https://klasma.github.io/Logging_2283/kartor/A 66366-2019 karta.png", "A 66366-2019")</f>
        <v/>
      </c>
      <c r="V297">
        <f>HYPERLINK("https://klasma.github.io/Logging_2283/klagomål/A 66366-2019 FSC-klagomål.docx", "A 66366-2019")</f>
        <v/>
      </c>
      <c r="W297">
        <f>HYPERLINK("https://klasma.github.io/Logging_2283/klagomålsmail/A 66366-2019 FSC-klagomål mail.docx", "A 66366-2019")</f>
        <v/>
      </c>
      <c r="X297">
        <f>HYPERLINK("https://klasma.github.io/Logging_2283/tillsyn/A 66366-2019 tillsynsbegäran.docx", "A 66366-2019")</f>
        <v/>
      </c>
      <c r="Y297">
        <f>HYPERLINK("https://klasma.github.io/Logging_2283/tillsynsmail/A 66366-2019 tillsynsbegäran mail.docx", "A 66366-2019")</f>
        <v/>
      </c>
    </row>
    <row r="298" ht="15" customHeight="1">
      <c r="A298" t="inlineStr">
        <is>
          <t>A 5314-2020</t>
        </is>
      </c>
      <c r="B298" s="1" t="n">
        <v>43857</v>
      </c>
      <c r="C298" s="1" t="n">
        <v>45740</v>
      </c>
      <c r="D298" t="inlineStr">
        <is>
          <t>VÄSTERNORRLANDS LÄN</t>
        </is>
      </c>
      <c r="E298" t="inlineStr">
        <is>
          <t>SOLLEFTEÅ</t>
        </is>
      </c>
      <c r="G298" t="n">
        <v>1.1</v>
      </c>
      <c r="H298" t="n">
        <v>0</v>
      </c>
      <c r="I298" t="n">
        <v>0</v>
      </c>
      <c r="J298" t="n">
        <v>2</v>
      </c>
      <c r="K298" t="n">
        <v>0</v>
      </c>
      <c r="L298" t="n">
        <v>0</v>
      </c>
      <c r="M298" t="n">
        <v>0</v>
      </c>
      <c r="N298" t="n">
        <v>0</v>
      </c>
      <c r="O298" t="n">
        <v>2</v>
      </c>
      <c r="P298" t="n">
        <v>0</v>
      </c>
      <c r="Q298" t="n">
        <v>2</v>
      </c>
      <c r="R298" s="2" t="inlineStr">
        <is>
          <t>Kolflarnlav
Vedskivlav</t>
        </is>
      </c>
      <c r="S298">
        <f>HYPERLINK("https://klasma.github.io/Logging_2283/artfynd/A 5314-2020 artfynd.xlsx", "A 5314-2020")</f>
        <v/>
      </c>
      <c r="T298">
        <f>HYPERLINK("https://klasma.github.io/Logging_2283/kartor/A 5314-2020 karta.png", "A 5314-2020")</f>
        <v/>
      </c>
      <c r="V298">
        <f>HYPERLINK("https://klasma.github.io/Logging_2283/klagomål/A 5314-2020 FSC-klagomål.docx", "A 5314-2020")</f>
        <v/>
      </c>
      <c r="W298">
        <f>HYPERLINK("https://klasma.github.io/Logging_2283/klagomålsmail/A 5314-2020 FSC-klagomål mail.docx", "A 5314-2020")</f>
        <v/>
      </c>
      <c r="X298">
        <f>HYPERLINK("https://klasma.github.io/Logging_2283/tillsyn/A 5314-2020 tillsynsbegäran.docx", "A 5314-2020")</f>
        <v/>
      </c>
      <c r="Y298">
        <f>HYPERLINK("https://klasma.github.io/Logging_2283/tillsynsmail/A 5314-2020 tillsynsbegäran mail.docx", "A 5314-2020")</f>
        <v/>
      </c>
    </row>
    <row r="299" ht="15" customHeight="1">
      <c r="A299" t="inlineStr">
        <is>
          <t>A 29505-2020</t>
        </is>
      </c>
      <c r="B299" s="1" t="n">
        <v>44004</v>
      </c>
      <c r="C299" s="1" t="n">
        <v>45740</v>
      </c>
      <c r="D299" t="inlineStr">
        <is>
          <t>VÄSTERNORRLANDS LÄN</t>
        </is>
      </c>
      <c r="E299" t="inlineStr">
        <is>
          <t>SOLLEFTEÅ</t>
        </is>
      </c>
      <c r="F299" t="inlineStr">
        <is>
          <t>SCA</t>
        </is>
      </c>
      <c r="G299" t="n">
        <v>1.9</v>
      </c>
      <c r="H299" t="n">
        <v>0</v>
      </c>
      <c r="I299" t="n">
        <v>1</v>
      </c>
      <c r="J299" t="n">
        <v>1</v>
      </c>
      <c r="K299" t="n">
        <v>0</v>
      </c>
      <c r="L299" t="n">
        <v>0</v>
      </c>
      <c r="M299" t="n">
        <v>0</v>
      </c>
      <c r="N299" t="n">
        <v>0</v>
      </c>
      <c r="O299" t="n">
        <v>1</v>
      </c>
      <c r="P299" t="n">
        <v>0</v>
      </c>
      <c r="Q299" t="n">
        <v>2</v>
      </c>
      <c r="R299" s="2" t="inlineStr">
        <is>
          <t>Lunglav
Bårdlav</t>
        </is>
      </c>
      <c r="S299">
        <f>HYPERLINK("https://klasma.github.io/Logging_2283/artfynd/A 29505-2020 artfynd.xlsx", "A 29505-2020")</f>
        <v/>
      </c>
      <c r="T299">
        <f>HYPERLINK("https://klasma.github.io/Logging_2283/kartor/A 29505-2020 karta.png", "A 29505-2020")</f>
        <v/>
      </c>
      <c r="V299">
        <f>HYPERLINK("https://klasma.github.io/Logging_2283/klagomål/A 29505-2020 FSC-klagomål.docx", "A 29505-2020")</f>
        <v/>
      </c>
      <c r="W299">
        <f>HYPERLINK("https://klasma.github.io/Logging_2283/klagomålsmail/A 29505-2020 FSC-klagomål mail.docx", "A 29505-2020")</f>
        <v/>
      </c>
      <c r="X299">
        <f>HYPERLINK("https://klasma.github.io/Logging_2283/tillsyn/A 29505-2020 tillsynsbegäran.docx", "A 29505-2020")</f>
        <v/>
      </c>
      <c r="Y299">
        <f>HYPERLINK("https://klasma.github.io/Logging_2283/tillsynsmail/A 29505-2020 tillsynsbegäran mail.docx", "A 29505-2020")</f>
        <v/>
      </c>
    </row>
    <row r="300" ht="15" customHeight="1">
      <c r="A300" t="inlineStr">
        <is>
          <t>A 35220-2020</t>
        </is>
      </c>
      <c r="B300" s="1" t="n">
        <v>44041</v>
      </c>
      <c r="C300" s="1" t="n">
        <v>45740</v>
      </c>
      <c r="D300" t="inlineStr">
        <is>
          <t>VÄSTERNORRLANDS LÄN</t>
        </is>
      </c>
      <c r="E300" t="inlineStr">
        <is>
          <t>SOLLEFTEÅ</t>
        </is>
      </c>
      <c r="F300" t="inlineStr">
        <is>
          <t>SCA</t>
        </is>
      </c>
      <c r="G300" t="n">
        <v>3.4</v>
      </c>
      <c r="H300" t="n">
        <v>2</v>
      </c>
      <c r="I300" t="n">
        <v>0</v>
      </c>
      <c r="J300" t="n">
        <v>1</v>
      </c>
      <c r="K300" t="n">
        <v>0</v>
      </c>
      <c r="L300" t="n">
        <v>0</v>
      </c>
      <c r="M300" t="n">
        <v>0</v>
      </c>
      <c r="N300" t="n">
        <v>0</v>
      </c>
      <c r="O300" t="n">
        <v>1</v>
      </c>
      <c r="P300" t="n">
        <v>0</v>
      </c>
      <c r="Q300" t="n">
        <v>2</v>
      </c>
      <c r="R300" s="2" t="inlineStr">
        <is>
          <t>Järpe
Tjäder</t>
        </is>
      </c>
      <c r="S300">
        <f>HYPERLINK("https://klasma.github.io/Logging_2283/artfynd/A 35220-2020 artfynd.xlsx", "A 35220-2020")</f>
        <v/>
      </c>
      <c r="T300">
        <f>HYPERLINK("https://klasma.github.io/Logging_2283/kartor/A 35220-2020 karta.png", "A 35220-2020")</f>
        <v/>
      </c>
      <c r="V300">
        <f>HYPERLINK("https://klasma.github.io/Logging_2283/klagomål/A 35220-2020 FSC-klagomål.docx", "A 35220-2020")</f>
        <v/>
      </c>
      <c r="W300">
        <f>HYPERLINK("https://klasma.github.io/Logging_2283/klagomålsmail/A 35220-2020 FSC-klagomål mail.docx", "A 35220-2020")</f>
        <v/>
      </c>
      <c r="X300">
        <f>HYPERLINK("https://klasma.github.io/Logging_2283/tillsyn/A 35220-2020 tillsynsbegäran.docx", "A 35220-2020")</f>
        <v/>
      </c>
      <c r="Y300">
        <f>HYPERLINK("https://klasma.github.io/Logging_2283/tillsynsmail/A 35220-2020 tillsynsbegäran mail.docx", "A 35220-2020")</f>
        <v/>
      </c>
      <c r="Z300">
        <f>HYPERLINK("https://klasma.github.io/Logging_2283/fåglar/A 35220-2020 prioriterade fågelarter.docx", "A 35220-2020")</f>
        <v/>
      </c>
    </row>
    <row r="301" ht="15" customHeight="1">
      <c r="A301" t="inlineStr">
        <is>
          <t>A 2309-2021</t>
        </is>
      </c>
      <c r="B301" s="1" t="n">
        <v>44213</v>
      </c>
      <c r="C301" s="1" t="n">
        <v>45740</v>
      </c>
      <c r="D301" t="inlineStr">
        <is>
          <t>VÄSTERNORRLANDS LÄN</t>
        </is>
      </c>
      <c r="E301" t="inlineStr">
        <is>
          <t>SOLLEFTEÅ</t>
        </is>
      </c>
      <c r="G301" t="n">
        <v>2.1</v>
      </c>
      <c r="H301" t="n">
        <v>1</v>
      </c>
      <c r="I301" t="n">
        <v>0</v>
      </c>
      <c r="J301" t="n">
        <v>2</v>
      </c>
      <c r="K301" t="n">
        <v>0</v>
      </c>
      <c r="L301" t="n">
        <v>0</v>
      </c>
      <c r="M301" t="n">
        <v>0</v>
      </c>
      <c r="N301" t="n">
        <v>0</v>
      </c>
      <c r="O301" t="n">
        <v>2</v>
      </c>
      <c r="P301" t="n">
        <v>0</v>
      </c>
      <c r="Q301" t="n">
        <v>2</v>
      </c>
      <c r="R301" s="2" t="inlineStr">
        <is>
          <t>Tretåig hackspett
Ullticka</t>
        </is>
      </c>
      <c r="S301">
        <f>HYPERLINK("https://klasma.github.io/Logging_2283/artfynd/A 2309-2021 artfynd.xlsx", "A 2309-2021")</f>
        <v/>
      </c>
      <c r="T301">
        <f>HYPERLINK("https://klasma.github.io/Logging_2283/kartor/A 2309-2021 karta.png", "A 2309-2021")</f>
        <v/>
      </c>
      <c r="V301">
        <f>HYPERLINK("https://klasma.github.io/Logging_2283/klagomål/A 2309-2021 FSC-klagomål.docx", "A 2309-2021")</f>
        <v/>
      </c>
      <c r="W301">
        <f>HYPERLINK("https://klasma.github.io/Logging_2283/klagomålsmail/A 2309-2021 FSC-klagomål mail.docx", "A 2309-2021")</f>
        <v/>
      </c>
      <c r="X301">
        <f>HYPERLINK("https://klasma.github.io/Logging_2283/tillsyn/A 2309-2021 tillsynsbegäran.docx", "A 2309-2021")</f>
        <v/>
      </c>
      <c r="Y301">
        <f>HYPERLINK("https://klasma.github.io/Logging_2283/tillsynsmail/A 2309-2021 tillsynsbegäran mail.docx", "A 2309-2021")</f>
        <v/>
      </c>
      <c r="Z301">
        <f>HYPERLINK("https://klasma.github.io/Logging_2283/fåglar/A 2309-2021 prioriterade fågelarter.docx", "A 2309-2021")</f>
        <v/>
      </c>
    </row>
    <row r="302" ht="15" customHeight="1">
      <c r="A302" t="inlineStr">
        <is>
          <t>A 20836-2021</t>
        </is>
      </c>
      <c r="B302" s="1" t="n">
        <v>44318</v>
      </c>
      <c r="C302" s="1" t="n">
        <v>45740</v>
      </c>
      <c r="D302" t="inlineStr">
        <is>
          <t>VÄSTERNORRLANDS LÄN</t>
        </is>
      </c>
      <c r="E302" t="inlineStr">
        <is>
          <t>SOLLEFTEÅ</t>
        </is>
      </c>
      <c r="F302" t="inlineStr">
        <is>
          <t>SCA</t>
        </is>
      </c>
      <c r="G302" t="n">
        <v>4.8</v>
      </c>
      <c r="H302" t="n">
        <v>1</v>
      </c>
      <c r="I302" t="n">
        <v>0</v>
      </c>
      <c r="J302" t="n">
        <v>2</v>
      </c>
      <c r="K302" t="n">
        <v>0</v>
      </c>
      <c r="L302" t="n">
        <v>0</v>
      </c>
      <c r="M302" t="n">
        <v>0</v>
      </c>
      <c r="N302" t="n">
        <v>0</v>
      </c>
      <c r="O302" t="n">
        <v>2</v>
      </c>
      <c r="P302" t="n">
        <v>0</v>
      </c>
      <c r="Q302" t="n">
        <v>2</v>
      </c>
      <c r="R302" s="2" t="inlineStr">
        <is>
          <t>Garnlav
Talltita</t>
        </is>
      </c>
      <c r="S302">
        <f>HYPERLINK("https://klasma.github.io/Logging_2283/artfynd/A 20836-2021 artfynd.xlsx", "A 20836-2021")</f>
        <v/>
      </c>
      <c r="T302">
        <f>HYPERLINK("https://klasma.github.io/Logging_2283/kartor/A 20836-2021 karta.png", "A 20836-2021")</f>
        <v/>
      </c>
      <c r="V302">
        <f>HYPERLINK("https://klasma.github.io/Logging_2283/klagomål/A 20836-2021 FSC-klagomål.docx", "A 20836-2021")</f>
        <v/>
      </c>
      <c r="W302">
        <f>HYPERLINK("https://klasma.github.io/Logging_2283/klagomålsmail/A 20836-2021 FSC-klagomål mail.docx", "A 20836-2021")</f>
        <v/>
      </c>
      <c r="X302">
        <f>HYPERLINK("https://klasma.github.io/Logging_2283/tillsyn/A 20836-2021 tillsynsbegäran.docx", "A 20836-2021")</f>
        <v/>
      </c>
      <c r="Y302">
        <f>HYPERLINK("https://klasma.github.io/Logging_2283/tillsynsmail/A 20836-2021 tillsynsbegäran mail.docx", "A 20836-2021")</f>
        <v/>
      </c>
      <c r="Z302">
        <f>HYPERLINK("https://klasma.github.io/Logging_2283/fåglar/A 20836-2021 prioriterade fågelarter.docx", "A 20836-2021")</f>
        <v/>
      </c>
    </row>
    <row r="303" ht="15" customHeight="1">
      <c r="A303" t="inlineStr">
        <is>
          <t>A 27983-2021</t>
        </is>
      </c>
      <c r="B303" s="1" t="n">
        <v>44354</v>
      </c>
      <c r="C303" s="1" t="n">
        <v>45740</v>
      </c>
      <c r="D303" t="inlineStr">
        <is>
          <t>VÄSTERNORRLANDS LÄN</t>
        </is>
      </c>
      <c r="E303" t="inlineStr">
        <is>
          <t>SOLLEFTEÅ</t>
        </is>
      </c>
      <c r="F303" t="inlineStr">
        <is>
          <t>SCA</t>
        </is>
      </c>
      <c r="G303" t="n">
        <v>5.4</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27983-2021 artfynd.xlsx", "A 27983-2021")</f>
        <v/>
      </c>
      <c r="T303">
        <f>HYPERLINK("https://klasma.github.io/Logging_2283/kartor/A 27983-2021 karta.png", "A 27983-2021")</f>
        <v/>
      </c>
      <c r="V303">
        <f>HYPERLINK("https://klasma.github.io/Logging_2283/klagomål/A 27983-2021 FSC-klagomål.docx", "A 27983-2021")</f>
        <v/>
      </c>
      <c r="W303">
        <f>HYPERLINK("https://klasma.github.io/Logging_2283/klagomålsmail/A 27983-2021 FSC-klagomål mail.docx", "A 27983-2021")</f>
        <v/>
      </c>
      <c r="X303">
        <f>HYPERLINK("https://klasma.github.io/Logging_2283/tillsyn/A 27983-2021 tillsynsbegäran.docx", "A 27983-2021")</f>
        <v/>
      </c>
      <c r="Y303">
        <f>HYPERLINK("https://klasma.github.io/Logging_2283/tillsynsmail/A 27983-2021 tillsynsbegäran mail.docx", "A 27983-2021")</f>
        <v/>
      </c>
    </row>
    <row r="304" ht="15" customHeight="1">
      <c r="A304" t="inlineStr">
        <is>
          <t>A 35071-2021</t>
        </is>
      </c>
      <c r="B304" s="1" t="n">
        <v>44383</v>
      </c>
      <c r="C304" s="1" t="n">
        <v>45740</v>
      </c>
      <c r="D304" t="inlineStr">
        <is>
          <t>VÄSTERNORRLANDS LÄN</t>
        </is>
      </c>
      <c r="E304" t="inlineStr">
        <is>
          <t>SOLLEFTEÅ</t>
        </is>
      </c>
      <c r="F304" t="inlineStr">
        <is>
          <t>SCA</t>
        </is>
      </c>
      <c r="G304" t="n">
        <v>1.8</v>
      </c>
      <c r="H304" t="n">
        <v>0</v>
      </c>
      <c r="I304" t="n">
        <v>2</v>
      </c>
      <c r="J304" t="n">
        <v>0</v>
      </c>
      <c r="K304" t="n">
        <v>0</v>
      </c>
      <c r="L304" t="n">
        <v>0</v>
      </c>
      <c r="M304" t="n">
        <v>0</v>
      </c>
      <c r="N304" t="n">
        <v>0</v>
      </c>
      <c r="O304" t="n">
        <v>0</v>
      </c>
      <c r="P304" t="n">
        <v>0</v>
      </c>
      <c r="Q304" t="n">
        <v>2</v>
      </c>
      <c r="R304" s="2" t="inlineStr">
        <is>
          <t>Norrlandslav
Vedticka</t>
        </is>
      </c>
      <c r="S304">
        <f>HYPERLINK("https://klasma.github.io/Logging_2283/artfynd/A 35071-2021 artfynd.xlsx", "A 35071-2021")</f>
        <v/>
      </c>
      <c r="T304">
        <f>HYPERLINK("https://klasma.github.io/Logging_2283/kartor/A 35071-2021 karta.png", "A 35071-2021")</f>
        <v/>
      </c>
      <c r="V304">
        <f>HYPERLINK("https://klasma.github.io/Logging_2283/klagomål/A 35071-2021 FSC-klagomål.docx", "A 35071-2021")</f>
        <v/>
      </c>
      <c r="W304">
        <f>HYPERLINK("https://klasma.github.io/Logging_2283/klagomålsmail/A 35071-2021 FSC-klagomål mail.docx", "A 35071-2021")</f>
        <v/>
      </c>
      <c r="X304">
        <f>HYPERLINK("https://klasma.github.io/Logging_2283/tillsyn/A 35071-2021 tillsynsbegäran.docx", "A 35071-2021")</f>
        <v/>
      </c>
      <c r="Y304">
        <f>HYPERLINK("https://klasma.github.io/Logging_2283/tillsynsmail/A 35071-2021 tillsynsbegäran mail.docx", "A 35071-2021")</f>
        <v/>
      </c>
    </row>
    <row r="305" ht="15" customHeight="1">
      <c r="A305" t="inlineStr">
        <is>
          <t>A 39329-2021</t>
        </is>
      </c>
      <c r="B305" s="1" t="n">
        <v>44414</v>
      </c>
      <c r="C305" s="1" t="n">
        <v>45740</v>
      </c>
      <c r="D305" t="inlineStr">
        <is>
          <t>VÄSTERNORRLANDS LÄN</t>
        </is>
      </c>
      <c r="E305" t="inlineStr">
        <is>
          <t>SOLLEFTEÅ</t>
        </is>
      </c>
      <c r="F305" t="inlineStr">
        <is>
          <t>SCA</t>
        </is>
      </c>
      <c r="G305" t="n">
        <v>2.7</v>
      </c>
      <c r="H305" t="n">
        <v>0</v>
      </c>
      <c r="I305" t="n">
        <v>1</v>
      </c>
      <c r="J305" t="n">
        <v>1</v>
      </c>
      <c r="K305" t="n">
        <v>0</v>
      </c>
      <c r="L305" t="n">
        <v>0</v>
      </c>
      <c r="M305" t="n">
        <v>0</v>
      </c>
      <c r="N305" t="n">
        <v>0</v>
      </c>
      <c r="O305" t="n">
        <v>1</v>
      </c>
      <c r="P305" t="n">
        <v>0</v>
      </c>
      <c r="Q305" t="n">
        <v>2</v>
      </c>
      <c r="R305" s="2" t="inlineStr">
        <is>
          <t>Mörk kolflarnlav
Bollvitmossa</t>
        </is>
      </c>
      <c r="S305">
        <f>HYPERLINK("https://klasma.github.io/Logging_2283/artfynd/A 39329-2021 artfynd.xlsx", "A 39329-2021")</f>
        <v/>
      </c>
      <c r="T305">
        <f>HYPERLINK("https://klasma.github.io/Logging_2283/kartor/A 39329-2021 karta.png", "A 39329-2021")</f>
        <v/>
      </c>
      <c r="V305">
        <f>HYPERLINK("https://klasma.github.io/Logging_2283/klagomål/A 39329-2021 FSC-klagomål.docx", "A 39329-2021")</f>
        <v/>
      </c>
      <c r="W305">
        <f>HYPERLINK("https://klasma.github.io/Logging_2283/klagomålsmail/A 39329-2021 FSC-klagomål mail.docx", "A 39329-2021")</f>
        <v/>
      </c>
      <c r="X305">
        <f>HYPERLINK("https://klasma.github.io/Logging_2283/tillsyn/A 39329-2021 tillsynsbegäran.docx", "A 39329-2021")</f>
        <v/>
      </c>
      <c r="Y305">
        <f>HYPERLINK("https://klasma.github.io/Logging_2283/tillsynsmail/A 39329-2021 tillsynsbegäran mail.docx", "A 39329-2021")</f>
        <v/>
      </c>
    </row>
    <row r="306" ht="15" customHeight="1">
      <c r="A306" t="inlineStr">
        <is>
          <t>A 45213-2021</t>
        </is>
      </c>
      <c r="B306" s="1" t="n">
        <v>44431</v>
      </c>
      <c r="C306" s="1" t="n">
        <v>45740</v>
      </c>
      <c r="D306" t="inlineStr">
        <is>
          <t>VÄSTERNORRLANDS LÄN</t>
        </is>
      </c>
      <c r="E306" t="inlineStr">
        <is>
          <t>SOLLEFTEÅ</t>
        </is>
      </c>
      <c r="F306" t="inlineStr">
        <is>
          <t>SCA</t>
        </is>
      </c>
      <c r="G306" t="n">
        <v>2.3</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45213-2021 artfynd.xlsx", "A 45213-2021")</f>
        <v/>
      </c>
      <c r="T306">
        <f>HYPERLINK("https://klasma.github.io/Logging_2283/kartor/A 45213-2021 karta.png", "A 45213-2021")</f>
        <v/>
      </c>
      <c r="V306">
        <f>HYPERLINK("https://klasma.github.io/Logging_2283/klagomål/A 45213-2021 FSC-klagomål.docx", "A 45213-2021")</f>
        <v/>
      </c>
      <c r="W306">
        <f>HYPERLINK("https://klasma.github.io/Logging_2283/klagomålsmail/A 45213-2021 FSC-klagomål mail.docx", "A 45213-2021")</f>
        <v/>
      </c>
      <c r="X306">
        <f>HYPERLINK("https://klasma.github.io/Logging_2283/tillsyn/A 45213-2021 tillsynsbegäran.docx", "A 45213-2021")</f>
        <v/>
      </c>
      <c r="Y306">
        <f>HYPERLINK("https://klasma.github.io/Logging_2283/tillsynsmail/A 45213-2021 tillsynsbegäran mail.docx", "A 45213-2021")</f>
        <v/>
      </c>
    </row>
    <row r="307" ht="15" customHeight="1">
      <c r="A307" t="inlineStr">
        <is>
          <t>A 47858-2021</t>
        </is>
      </c>
      <c r="B307" s="1" t="n">
        <v>44448</v>
      </c>
      <c r="C307" s="1" t="n">
        <v>45740</v>
      </c>
      <c r="D307" t="inlineStr">
        <is>
          <t>VÄSTERNORRLANDS LÄN</t>
        </is>
      </c>
      <c r="E307" t="inlineStr">
        <is>
          <t>SOLLEFTEÅ</t>
        </is>
      </c>
      <c r="G307" t="n">
        <v>7.7</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47858-2021 artfynd.xlsx", "A 47858-2021")</f>
        <v/>
      </c>
      <c r="T307">
        <f>HYPERLINK("https://klasma.github.io/Logging_2283/kartor/A 47858-2021 karta.png", "A 47858-2021")</f>
        <v/>
      </c>
      <c r="V307">
        <f>HYPERLINK("https://klasma.github.io/Logging_2283/klagomål/A 47858-2021 FSC-klagomål.docx", "A 47858-2021")</f>
        <v/>
      </c>
      <c r="W307">
        <f>HYPERLINK("https://klasma.github.io/Logging_2283/klagomålsmail/A 47858-2021 FSC-klagomål mail.docx", "A 47858-2021")</f>
        <v/>
      </c>
      <c r="X307">
        <f>HYPERLINK("https://klasma.github.io/Logging_2283/tillsyn/A 47858-2021 tillsynsbegäran.docx", "A 47858-2021")</f>
        <v/>
      </c>
      <c r="Y307">
        <f>HYPERLINK("https://klasma.github.io/Logging_2283/tillsynsmail/A 47858-2021 tillsynsbegäran mail.docx", "A 47858-2021")</f>
        <v/>
      </c>
    </row>
    <row r="308" ht="15" customHeight="1">
      <c r="A308" t="inlineStr">
        <is>
          <t>A 51024-2021</t>
        </is>
      </c>
      <c r="B308" s="1" t="n">
        <v>44461</v>
      </c>
      <c r="C308" s="1" t="n">
        <v>45740</v>
      </c>
      <c r="D308" t="inlineStr">
        <is>
          <t>VÄSTERNORRLANDS LÄN</t>
        </is>
      </c>
      <c r="E308" t="inlineStr">
        <is>
          <t>SOLLEFTEÅ</t>
        </is>
      </c>
      <c r="F308" t="inlineStr">
        <is>
          <t>SCA</t>
        </is>
      </c>
      <c r="G308" t="n">
        <v>7.1</v>
      </c>
      <c r="H308" t="n">
        <v>0</v>
      </c>
      <c r="I308" t="n">
        <v>0</v>
      </c>
      <c r="J308" t="n">
        <v>2</v>
      </c>
      <c r="K308" t="n">
        <v>0</v>
      </c>
      <c r="L308" t="n">
        <v>0</v>
      </c>
      <c r="M308" t="n">
        <v>0</v>
      </c>
      <c r="N308" t="n">
        <v>0</v>
      </c>
      <c r="O308" t="n">
        <v>2</v>
      </c>
      <c r="P308" t="n">
        <v>0</v>
      </c>
      <c r="Q308" t="n">
        <v>2</v>
      </c>
      <c r="R308" s="2" t="inlineStr">
        <is>
          <t>Tallticka
Ullticka</t>
        </is>
      </c>
      <c r="S308">
        <f>HYPERLINK("https://klasma.github.io/Logging_2283/artfynd/A 51024-2021 artfynd.xlsx", "A 51024-2021")</f>
        <v/>
      </c>
      <c r="T308">
        <f>HYPERLINK("https://klasma.github.io/Logging_2283/kartor/A 51024-2021 karta.png", "A 51024-2021")</f>
        <v/>
      </c>
      <c r="V308">
        <f>HYPERLINK("https://klasma.github.io/Logging_2283/klagomål/A 51024-2021 FSC-klagomål.docx", "A 51024-2021")</f>
        <v/>
      </c>
      <c r="W308">
        <f>HYPERLINK("https://klasma.github.io/Logging_2283/klagomålsmail/A 51024-2021 FSC-klagomål mail.docx", "A 51024-2021")</f>
        <v/>
      </c>
      <c r="X308">
        <f>HYPERLINK("https://klasma.github.io/Logging_2283/tillsyn/A 51024-2021 tillsynsbegäran.docx", "A 51024-2021")</f>
        <v/>
      </c>
      <c r="Y308">
        <f>HYPERLINK("https://klasma.github.io/Logging_2283/tillsynsmail/A 51024-2021 tillsynsbegäran mail.docx", "A 51024-2021")</f>
        <v/>
      </c>
    </row>
    <row r="309" ht="15" customHeight="1">
      <c r="A309" t="inlineStr">
        <is>
          <t>A 54153-2021</t>
        </is>
      </c>
      <c r="B309" s="1" t="n">
        <v>44469</v>
      </c>
      <c r="C309" s="1" t="n">
        <v>45740</v>
      </c>
      <c r="D309" t="inlineStr">
        <is>
          <t>VÄSTERNORRLANDS LÄN</t>
        </is>
      </c>
      <c r="E309" t="inlineStr">
        <is>
          <t>SOLLEFTEÅ</t>
        </is>
      </c>
      <c r="G309" t="n">
        <v>1.4</v>
      </c>
      <c r="H309" t="n">
        <v>0</v>
      </c>
      <c r="I309" t="n">
        <v>0</v>
      </c>
      <c r="J309" t="n">
        <v>2</v>
      </c>
      <c r="K309" t="n">
        <v>0</v>
      </c>
      <c r="L309" t="n">
        <v>0</v>
      </c>
      <c r="M309" t="n">
        <v>0</v>
      </c>
      <c r="N309" t="n">
        <v>0</v>
      </c>
      <c r="O309" t="n">
        <v>2</v>
      </c>
      <c r="P309" t="n">
        <v>0</v>
      </c>
      <c r="Q309" t="n">
        <v>2</v>
      </c>
      <c r="R309" s="2" t="inlineStr">
        <is>
          <t>Garnlav
Rosenticka</t>
        </is>
      </c>
      <c r="S309">
        <f>HYPERLINK("https://klasma.github.io/Logging_2283/artfynd/A 54153-2021 artfynd.xlsx", "A 54153-2021")</f>
        <v/>
      </c>
      <c r="T309">
        <f>HYPERLINK("https://klasma.github.io/Logging_2283/kartor/A 54153-2021 karta.png", "A 54153-2021")</f>
        <v/>
      </c>
      <c r="V309">
        <f>HYPERLINK("https://klasma.github.io/Logging_2283/klagomål/A 54153-2021 FSC-klagomål.docx", "A 54153-2021")</f>
        <v/>
      </c>
      <c r="W309">
        <f>HYPERLINK("https://klasma.github.io/Logging_2283/klagomålsmail/A 54153-2021 FSC-klagomål mail.docx", "A 54153-2021")</f>
        <v/>
      </c>
      <c r="X309">
        <f>HYPERLINK("https://klasma.github.io/Logging_2283/tillsyn/A 54153-2021 tillsynsbegäran.docx", "A 54153-2021")</f>
        <v/>
      </c>
      <c r="Y309">
        <f>HYPERLINK("https://klasma.github.io/Logging_2283/tillsynsmail/A 54153-2021 tillsynsbegäran mail.docx", "A 54153-2021")</f>
        <v/>
      </c>
    </row>
    <row r="310" ht="15" customHeight="1">
      <c r="A310" t="inlineStr">
        <is>
          <t>A 65419-2021</t>
        </is>
      </c>
      <c r="B310" s="1" t="n">
        <v>44515</v>
      </c>
      <c r="C310" s="1" t="n">
        <v>45740</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65419-2021 artfynd.xlsx", "A 65419-2021")</f>
        <v/>
      </c>
      <c r="T310">
        <f>HYPERLINK("https://klasma.github.io/Logging_2283/kartor/A 65419-2021 karta.png", "A 65419-2021")</f>
        <v/>
      </c>
      <c r="V310">
        <f>HYPERLINK("https://klasma.github.io/Logging_2283/klagomål/A 65419-2021 FSC-klagomål.docx", "A 65419-2021")</f>
        <v/>
      </c>
      <c r="W310">
        <f>HYPERLINK("https://klasma.github.io/Logging_2283/klagomålsmail/A 65419-2021 FSC-klagomål mail.docx", "A 65419-2021")</f>
        <v/>
      </c>
      <c r="X310">
        <f>HYPERLINK("https://klasma.github.io/Logging_2283/tillsyn/A 65419-2021 tillsynsbegäran.docx", "A 65419-2021")</f>
        <v/>
      </c>
      <c r="Y310">
        <f>HYPERLINK("https://klasma.github.io/Logging_2283/tillsynsmail/A 65419-2021 tillsynsbegäran mail.docx", "A 65419-2021")</f>
        <v/>
      </c>
    </row>
    <row r="311" ht="15" customHeight="1">
      <c r="A311" t="inlineStr">
        <is>
          <t>A 9583-2022</t>
        </is>
      </c>
      <c r="B311" s="1" t="n">
        <v>44617</v>
      </c>
      <c r="C311" s="1" t="n">
        <v>45740</v>
      </c>
      <c r="D311" t="inlineStr">
        <is>
          <t>VÄSTERNORRLANDS LÄN</t>
        </is>
      </c>
      <c r="E311" t="inlineStr">
        <is>
          <t>SOLLEFTEÅ</t>
        </is>
      </c>
      <c r="F311" t="inlineStr">
        <is>
          <t>Övriga Aktiebolag</t>
        </is>
      </c>
      <c r="G311" t="n">
        <v>2.3</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9583-2022 artfynd.xlsx", "A 9583-2022")</f>
        <v/>
      </c>
      <c r="T311">
        <f>HYPERLINK("https://klasma.github.io/Logging_2283/kartor/A 9583-2022 karta.png", "A 9583-2022")</f>
        <v/>
      </c>
      <c r="V311">
        <f>HYPERLINK("https://klasma.github.io/Logging_2283/klagomål/A 9583-2022 FSC-klagomål.docx", "A 9583-2022")</f>
        <v/>
      </c>
      <c r="W311">
        <f>HYPERLINK("https://klasma.github.io/Logging_2283/klagomålsmail/A 9583-2022 FSC-klagomål mail.docx", "A 9583-2022")</f>
        <v/>
      </c>
      <c r="X311">
        <f>HYPERLINK("https://klasma.github.io/Logging_2283/tillsyn/A 9583-2022 tillsynsbegäran.docx", "A 9583-2022")</f>
        <v/>
      </c>
      <c r="Y311">
        <f>HYPERLINK("https://klasma.github.io/Logging_2283/tillsynsmail/A 9583-2022 tillsynsbegäran mail.docx", "A 9583-2022")</f>
        <v/>
      </c>
    </row>
    <row r="312" ht="15" customHeight="1">
      <c r="A312" t="inlineStr">
        <is>
          <t>A 13059-2022</t>
        </is>
      </c>
      <c r="B312" s="1" t="n">
        <v>44643</v>
      </c>
      <c r="C312" s="1" t="n">
        <v>45740</v>
      </c>
      <c r="D312" t="inlineStr">
        <is>
          <t>VÄSTERNORRLANDS LÄN</t>
        </is>
      </c>
      <c r="E312" t="inlineStr">
        <is>
          <t>SOLLEFTEÅ</t>
        </is>
      </c>
      <c r="G312" t="n">
        <v>9.9</v>
      </c>
      <c r="H312" t="n">
        <v>0</v>
      </c>
      <c r="I312" t="n">
        <v>0</v>
      </c>
      <c r="J312" t="n">
        <v>2</v>
      </c>
      <c r="K312" t="n">
        <v>0</v>
      </c>
      <c r="L312" t="n">
        <v>0</v>
      </c>
      <c r="M312" t="n">
        <v>0</v>
      </c>
      <c r="N312" t="n">
        <v>0</v>
      </c>
      <c r="O312" t="n">
        <v>2</v>
      </c>
      <c r="P312" t="n">
        <v>0</v>
      </c>
      <c r="Q312" t="n">
        <v>2</v>
      </c>
      <c r="R312" s="2" t="inlineStr">
        <is>
          <t>Garnlav
Ullticka</t>
        </is>
      </c>
      <c r="S312">
        <f>HYPERLINK("https://klasma.github.io/Logging_2283/artfynd/A 13059-2022 artfynd.xlsx", "A 13059-2022")</f>
        <v/>
      </c>
      <c r="T312">
        <f>HYPERLINK("https://klasma.github.io/Logging_2283/kartor/A 13059-2022 karta.png", "A 13059-2022")</f>
        <v/>
      </c>
      <c r="V312">
        <f>HYPERLINK("https://klasma.github.io/Logging_2283/klagomål/A 13059-2022 FSC-klagomål.docx", "A 13059-2022")</f>
        <v/>
      </c>
      <c r="W312">
        <f>HYPERLINK("https://klasma.github.io/Logging_2283/klagomålsmail/A 13059-2022 FSC-klagomål mail.docx", "A 13059-2022")</f>
        <v/>
      </c>
      <c r="X312">
        <f>HYPERLINK("https://klasma.github.io/Logging_2283/tillsyn/A 13059-2022 tillsynsbegäran.docx", "A 13059-2022")</f>
        <v/>
      </c>
      <c r="Y312">
        <f>HYPERLINK("https://klasma.github.io/Logging_2283/tillsynsmail/A 13059-2022 tillsynsbegäran mail.docx", "A 13059-2022")</f>
        <v/>
      </c>
    </row>
    <row r="313" ht="15" customHeight="1">
      <c r="A313" t="inlineStr">
        <is>
          <t>A 13658-2022</t>
        </is>
      </c>
      <c r="B313" s="1" t="n">
        <v>44648</v>
      </c>
      <c r="C313" s="1" t="n">
        <v>45740</v>
      </c>
      <c r="D313" t="inlineStr">
        <is>
          <t>VÄSTERNORRLANDS LÄN</t>
        </is>
      </c>
      <c r="E313" t="inlineStr">
        <is>
          <t>SOLLEFTEÅ</t>
        </is>
      </c>
      <c r="G313" t="n">
        <v>7.4</v>
      </c>
      <c r="H313" t="n">
        <v>2</v>
      </c>
      <c r="I313" t="n">
        <v>0</v>
      </c>
      <c r="J313" t="n">
        <v>1</v>
      </c>
      <c r="K313" t="n">
        <v>0</v>
      </c>
      <c r="L313" t="n">
        <v>0</v>
      </c>
      <c r="M313" t="n">
        <v>0</v>
      </c>
      <c r="N313" t="n">
        <v>0</v>
      </c>
      <c r="O313" t="n">
        <v>1</v>
      </c>
      <c r="P313" t="n">
        <v>0</v>
      </c>
      <c r="Q313" t="n">
        <v>2</v>
      </c>
      <c r="R313" s="2" t="inlineStr">
        <is>
          <t>Nordfladdermus
Vattenfladdermus</t>
        </is>
      </c>
      <c r="S313">
        <f>HYPERLINK("https://klasma.github.io/Logging_2283/artfynd/A 13658-2022 artfynd.xlsx", "A 13658-2022")</f>
        <v/>
      </c>
      <c r="T313">
        <f>HYPERLINK("https://klasma.github.io/Logging_2283/kartor/A 13658-2022 karta.png", "A 13658-2022")</f>
        <v/>
      </c>
      <c r="V313">
        <f>HYPERLINK("https://klasma.github.io/Logging_2283/klagomål/A 13658-2022 FSC-klagomål.docx", "A 13658-2022")</f>
        <v/>
      </c>
      <c r="W313">
        <f>HYPERLINK("https://klasma.github.io/Logging_2283/klagomålsmail/A 13658-2022 FSC-klagomål mail.docx", "A 13658-2022")</f>
        <v/>
      </c>
      <c r="X313">
        <f>HYPERLINK("https://klasma.github.io/Logging_2283/tillsyn/A 13658-2022 tillsynsbegäran.docx", "A 13658-2022")</f>
        <v/>
      </c>
      <c r="Y313">
        <f>HYPERLINK("https://klasma.github.io/Logging_2283/tillsynsmail/A 13658-2022 tillsynsbegäran mail.docx", "A 13658-2022")</f>
        <v/>
      </c>
    </row>
    <row r="314" ht="15" customHeight="1">
      <c r="A314" t="inlineStr">
        <is>
          <t>A 18019-2022</t>
        </is>
      </c>
      <c r="B314" s="1" t="n">
        <v>44684</v>
      </c>
      <c r="C314" s="1" t="n">
        <v>45740</v>
      </c>
      <c r="D314" t="inlineStr">
        <is>
          <t>VÄSTERNORRLANDS LÄN</t>
        </is>
      </c>
      <c r="E314" t="inlineStr">
        <is>
          <t>SOLLEFTEÅ</t>
        </is>
      </c>
      <c r="F314" t="inlineStr">
        <is>
          <t>SCA</t>
        </is>
      </c>
      <c r="G314" t="n">
        <v>2.6</v>
      </c>
      <c r="H314" t="n">
        <v>0</v>
      </c>
      <c r="I314" t="n">
        <v>0</v>
      </c>
      <c r="J314" t="n">
        <v>2</v>
      </c>
      <c r="K314" t="n">
        <v>0</v>
      </c>
      <c r="L314" t="n">
        <v>0</v>
      </c>
      <c r="M314" t="n">
        <v>0</v>
      </c>
      <c r="N314" t="n">
        <v>0</v>
      </c>
      <c r="O314" t="n">
        <v>2</v>
      </c>
      <c r="P314" t="n">
        <v>0</v>
      </c>
      <c r="Q314" t="n">
        <v>2</v>
      </c>
      <c r="R314" s="2" t="inlineStr">
        <is>
          <t>Gammelgransskål
Ullticka</t>
        </is>
      </c>
      <c r="S314">
        <f>HYPERLINK("https://klasma.github.io/Logging_2283/artfynd/A 18019-2022 artfynd.xlsx", "A 18019-2022")</f>
        <v/>
      </c>
      <c r="T314">
        <f>HYPERLINK("https://klasma.github.io/Logging_2283/kartor/A 18019-2022 karta.png", "A 18019-2022")</f>
        <v/>
      </c>
      <c r="V314">
        <f>HYPERLINK("https://klasma.github.io/Logging_2283/klagomål/A 18019-2022 FSC-klagomål.docx", "A 18019-2022")</f>
        <v/>
      </c>
      <c r="W314">
        <f>HYPERLINK("https://klasma.github.io/Logging_2283/klagomålsmail/A 18019-2022 FSC-klagomål mail.docx", "A 18019-2022")</f>
        <v/>
      </c>
      <c r="X314">
        <f>HYPERLINK("https://klasma.github.io/Logging_2283/tillsyn/A 18019-2022 tillsynsbegäran.docx", "A 18019-2022")</f>
        <v/>
      </c>
      <c r="Y314">
        <f>HYPERLINK("https://klasma.github.io/Logging_2283/tillsynsmail/A 18019-2022 tillsynsbegäran mail.docx", "A 18019-2022")</f>
        <v/>
      </c>
    </row>
    <row r="315" ht="15" customHeight="1">
      <c r="A315" t="inlineStr">
        <is>
          <t>A 20956-2022</t>
        </is>
      </c>
      <c r="B315" s="1" t="n">
        <v>44701</v>
      </c>
      <c r="C315" s="1" t="n">
        <v>45740</v>
      </c>
      <c r="D315" t="inlineStr">
        <is>
          <t>VÄSTERNORRLANDS LÄN</t>
        </is>
      </c>
      <c r="E315" t="inlineStr">
        <is>
          <t>SOLLEFTEÅ</t>
        </is>
      </c>
      <c r="F315" t="inlineStr">
        <is>
          <t>SCA</t>
        </is>
      </c>
      <c r="G315" t="n">
        <v>2.5</v>
      </c>
      <c r="H315" t="n">
        <v>0</v>
      </c>
      <c r="I315" t="n">
        <v>0</v>
      </c>
      <c r="J315" t="n">
        <v>2</v>
      </c>
      <c r="K315" t="n">
        <v>0</v>
      </c>
      <c r="L315" t="n">
        <v>0</v>
      </c>
      <c r="M315" t="n">
        <v>0</v>
      </c>
      <c r="N315" t="n">
        <v>0</v>
      </c>
      <c r="O315" t="n">
        <v>2</v>
      </c>
      <c r="P315" t="n">
        <v>0</v>
      </c>
      <c r="Q315" t="n">
        <v>2</v>
      </c>
      <c r="R315" s="2" t="inlineStr">
        <is>
          <t>Kandelabersvamp
Stiftgelélav</t>
        </is>
      </c>
      <c r="S315">
        <f>HYPERLINK("https://klasma.github.io/Logging_2283/artfynd/A 20956-2022 artfynd.xlsx", "A 20956-2022")</f>
        <v/>
      </c>
      <c r="T315">
        <f>HYPERLINK("https://klasma.github.io/Logging_2283/kartor/A 20956-2022 karta.png", "A 20956-2022")</f>
        <v/>
      </c>
      <c r="V315">
        <f>HYPERLINK("https://klasma.github.io/Logging_2283/klagomål/A 20956-2022 FSC-klagomål.docx", "A 20956-2022")</f>
        <v/>
      </c>
      <c r="W315">
        <f>HYPERLINK("https://klasma.github.io/Logging_2283/klagomålsmail/A 20956-2022 FSC-klagomål mail.docx", "A 20956-2022")</f>
        <v/>
      </c>
      <c r="X315">
        <f>HYPERLINK("https://klasma.github.io/Logging_2283/tillsyn/A 20956-2022 tillsynsbegäran.docx", "A 20956-2022")</f>
        <v/>
      </c>
      <c r="Y315">
        <f>HYPERLINK("https://klasma.github.io/Logging_2283/tillsynsmail/A 20956-2022 tillsynsbegäran mail.docx", "A 20956-2022")</f>
        <v/>
      </c>
    </row>
    <row r="316" ht="15" customHeight="1">
      <c r="A316" t="inlineStr">
        <is>
          <t>A 24321-2022</t>
        </is>
      </c>
      <c r="B316" s="1" t="n">
        <v>44725</v>
      </c>
      <c r="C316" s="1" t="n">
        <v>45740</v>
      </c>
      <c r="D316" t="inlineStr">
        <is>
          <t>VÄSTERNORRLANDS LÄN</t>
        </is>
      </c>
      <c r="E316" t="inlineStr">
        <is>
          <t>SOLLEFTEÅ</t>
        </is>
      </c>
      <c r="F316" t="inlineStr">
        <is>
          <t>SCA</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HYPERLINK("https://klasma.github.io/Logging_2283/artfynd/A 24321-2022 artfynd.xlsx", "A 24321-2022")</f>
        <v/>
      </c>
      <c r="T316">
        <f>HYPERLINK("https://klasma.github.io/Logging_2283/kartor/A 24321-2022 karta.png", "A 24321-2022")</f>
        <v/>
      </c>
      <c r="U316">
        <f>HYPERLINK("https://klasma.github.io/Logging_2283/knärot/A 24321-2022 karta knärot.png", "A 24321-2022")</f>
        <v/>
      </c>
      <c r="V316">
        <f>HYPERLINK("https://klasma.github.io/Logging_2283/klagomål/A 24321-2022 FSC-klagomål.docx", "A 24321-2022")</f>
        <v/>
      </c>
      <c r="W316">
        <f>HYPERLINK("https://klasma.github.io/Logging_2283/klagomålsmail/A 24321-2022 FSC-klagomål mail.docx", "A 24321-2022")</f>
        <v/>
      </c>
      <c r="X316">
        <f>HYPERLINK("https://klasma.github.io/Logging_2283/tillsyn/A 24321-2022 tillsynsbegäran.docx", "A 24321-2022")</f>
        <v/>
      </c>
      <c r="Y316">
        <f>HYPERLINK("https://klasma.github.io/Logging_2283/tillsynsmail/A 24321-2022 tillsynsbegäran mail.docx", "A 24321-2022")</f>
        <v/>
      </c>
    </row>
    <row r="317" ht="15" customHeight="1">
      <c r="A317" t="inlineStr">
        <is>
          <t>A 29549-2022</t>
        </is>
      </c>
      <c r="B317" s="1" t="n">
        <v>44753</v>
      </c>
      <c r="C317" s="1" t="n">
        <v>45740</v>
      </c>
      <c r="D317" t="inlineStr">
        <is>
          <t>VÄSTERNORRLANDS LÄN</t>
        </is>
      </c>
      <c r="E317" t="inlineStr">
        <is>
          <t>SOLLEFTEÅ</t>
        </is>
      </c>
      <c r="F317" t="inlineStr">
        <is>
          <t>SCA</t>
        </is>
      </c>
      <c r="G317" t="n">
        <v>36.7</v>
      </c>
      <c r="H317" t="n">
        <v>0</v>
      </c>
      <c r="I317" t="n">
        <v>0</v>
      </c>
      <c r="J317" t="n">
        <v>2</v>
      </c>
      <c r="K317" t="n">
        <v>0</v>
      </c>
      <c r="L317" t="n">
        <v>0</v>
      </c>
      <c r="M317" t="n">
        <v>0</v>
      </c>
      <c r="N317" t="n">
        <v>0</v>
      </c>
      <c r="O317" t="n">
        <v>2</v>
      </c>
      <c r="P317" t="n">
        <v>0</v>
      </c>
      <c r="Q317" t="n">
        <v>2</v>
      </c>
      <c r="R317" s="2" t="inlineStr">
        <is>
          <t>Kolflarnlav
Skrovlig taggsvamp</t>
        </is>
      </c>
      <c r="S317">
        <f>HYPERLINK("https://klasma.github.io/Logging_2283/artfynd/A 29549-2022 artfynd.xlsx", "A 29549-2022")</f>
        <v/>
      </c>
      <c r="T317">
        <f>HYPERLINK("https://klasma.github.io/Logging_2283/kartor/A 29549-2022 karta.png", "A 29549-2022")</f>
        <v/>
      </c>
      <c r="V317">
        <f>HYPERLINK("https://klasma.github.io/Logging_2283/klagomål/A 29549-2022 FSC-klagomål.docx", "A 29549-2022")</f>
        <v/>
      </c>
      <c r="W317">
        <f>HYPERLINK("https://klasma.github.io/Logging_2283/klagomålsmail/A 29549-2022 FSC-klagomål mail.docx", "A 29549-2022")</f>
        <v/>
      </c>
      <c r="X317">
        <f>HYPERLINK("https://klasma.github.io/Logging_2283/tillsyn/A 29549-2022 tillsynsbegäran.docx", "A 29549-2022")</f>
        <v/>
      </c>
      <c r="Y317">
        <f>HYPERLINK("https://klasma.github.io/Logging_2283/tillsynsmail/A 29549-2022 tillsynsbegäran mail.docx", "A 29549-2022")</f>
        <v/>
      </c>
    </row>
    <row r="318" ht="15" customHeight="1">
      <c r="A318" t="inlineStr">
        <is>
          <t>A 33087-2022</t>
        </is>
      </c>
      <c r="B318" s="1" t="n">
        <v>44785</v>
      </c>
      <c r="C318" s="1" t="n">
        <v>45740</v>
      </c>
      <c r="D318" t="inlineStr">
        <is>
          <t>VÄSTERNORRLANDS LÄN</t>
        </is>
      </c>
      <c r="E318" t="inlineStr">
        <is>
          <t>SOLLEFTEÅ</t>
        </is>
      </c>
      <c r="G318" t="n">
        <v>0.5</v>
      </c>
      <c r="H318" t="n">
        <v>0</v>
      </c>
      <c r="I318" t="n">
        <v>0</v>
      </c>
      <c r="J318" t="n">
        <v>2</v>
      </c>
      <c r="K318" t="n">
        <v>0</v>
      </c>
      <c r="L318" t="n">
        <v>0</v>
      </c>
      <c r="M318" t="n">
        <v>0</v>
      </c>
      <c r="N318" t="n">
        <v>0</v>
      </c>
      <c r="O318" t="n">
        <v>2</v>
      </c>
      <c r="P318" t="n">
        <v>0</v>
      </c>
      <c r="Q318" t="n">
        <v>2</v>
      </c>
      <c r="R318" s="2" t="inlineStr">
        <is>
          <t>Garnlav
Lunglav</t>
        </is>
      </c>
      <c r="S318">
        <f>HYPERLINK("https://klasma.github.io/Logging_2283/artfynd/A 33087-2022 artfynd.xlsx", "A 33087-2022")</f>
        <v/>
      </c>
      <c r="T318">
        <f>HYPERLINK("https://klasma.github.io/Logging_2283/kartor/A 33087-2022 karta.png", "A 33087-2022")</f>
        <v/>
      </c>
      <c r="V318">
        <f>HYPERLINK("https://klasma.github.io/Logging_2283/klagomål/A 33087-2022 FSC-klagomål.docx", "A 33087-2022")</f>
        <v/>
      </c>
      <c r="W318">
        <f>HYPERLINK("https://klasma.github.io/Logging_2283/klagomålsmail/A 33087-2022 FSC-klagomål mail.docx", "A 33087-2022")</f>
        <v/>
      </c>
      <c r="X318">
        <f>HYPERLINK("https://klasma.github.io/Logging_2283/tillsyn/A 33087-2022 tillsynsbegäran.docx", "A 33087-2022")</f>
        <v/>
      </c>
      <c r="Y318">
        <f>HYPERLINK("https://klasma.github.io/Logging_2283/tillsynsmail/A 33087-2022 tillsynsbegäran mail.docx", "A 33087-2022")</f>
        <v/>
      </c>
    </row>
    <row r="319" ht="15" customHeight="1">
      <c r="A319" t="inlineStr">
        <is>
          <t>A 34526-2022</t>
        </is>
      </c>
      <c r="B319" s="1" t="n">
        <v>44792</v>
      </c>
      <c r="C319" s="1" t="n">
        <v>45740</v>
      </c>
      <c r="D319" t="inlineStr">
        <is>
          <t>VÄSTERNORRLANDS LÄN</t>
        </is>
      </c>
      <c r="E319" t="inlineStr">
        <is>
          <t>SOLLEFTEÅ</t>
        </is>
      </c>
      <c r="F319" t="inlineStr">
        <is>
          <t>SCA</t>
        </is>
      </c>
      <c r="G319" t="n">
        <v>1.4</v>
      </c>
      <c r="H319" t="n">
        <v>0</v>
      </c>
      <c r="I319" t="n">
        <v>0</v>
      </c>
      <c r="J319" t="n">
        <v>2</v>
      </c>
      <c r="K319" t="n">
        <v>0</v>
      </c>
      <c r="L319" t="n">
        <v>0</v>
      </c>
      <c r="M319" t="n">
        <v>0</v>
      </c>
      <c r="N319" t="n">
        <v>0</v>
      </c>
      <c r="O319" t="n">
        <v>2</v>
      </c>
      <c r="P319" t="n">
        <v>0</v>
      </c>
      <c r="Q319" t="n">
        <v>2</v>
      </c>
      <c r="R319" s="2" t="inlineStr">
        <is>
          <t>Garnlav
Mörk kolflarnlav</t>
        </is>
      </c>
      <c r="S319">
        <f>HYPERLINK("https://klasma.github.io/Logging_2283/artfynd/A 34526-2022 artfynd.xlsx", "A 34526-2022")</f>
        <v/>
      </c>
      <c r="T319">
        <f>HYPERLINK("https://klasma.github.io/Logging_2283/kartor/A 34526-2022 karta.png", "A 34526-2022")</f>
        <v/>
      </c>
      <c r="V319">
        <f>HYPERLINK("https://klasma.github.io/Logging_2283/klagomål/A 34526-2022 FSC-klagomål.docx", "A 34526-2022")</f>
        <v/>
      </c>
      <c r="W319">
        <f>HYPERLINK("https://klasma.github.io/Logging_2283/klagomålsmail/A 34526-2022 FSC-klagomål mail.docx", "A 34526-2022")</f>
        <v/>
      </c>
      <c r="X319">
        <f>HYPERLINK("https://klasma.github.io/Logging_2283/tillsyn/A 34526-2022 tillsynsbegäran.docx", "A 34526-2022")</f>
        <v/>
      </c>
      <c r="Y319">
        <f>HYPERLINK("https://klasma.github.io/Logging_2283/tillsynsmail/A 34526-2022 tillsynsbegäran mail.docx", "A 34526-2022")</f>
        <v/>
      </c>
    </row>
    <row r="320" ht="15" customHeight="1">
      <c r="A320" t="inlineStr">
        <is>
          <t>A 37243-2022</t>
        </is>
      </c>
      <c r="B320" s="1" t="n">
        <v>44806</v>
      </c>
      <c r="C320" s="1" t="n">
        <v>45740</v>
      </c>
      <c r="D320" t="inlineStr">
        <is>
          <t>VÄSTERNORRLANDS LÄN</t>
        </is>
      </c>
      <c r="E320" t="inlineStr">
        <is>
          <t>SOLLEFTEÅ</t>
        </is>
      </c>
      <c r="F320" t="inlineStr">
        <is>
          <t>SCA</t>
        </is>
      </c>
      <c r="G320" t="n">
        <v>7.1</v>
      </c>
      <c r="H320" t="n">
        <v>0</v>
      </c>
      <c r="I320" t="n">
        <v>1</v>
      </c>
      <c r="J320" t="n">
        <v>1</v>
      </c>
      <c r="K320" t="n">
        <v>0</v>
      </c>
      <c r="L320" t="n">
        <v>0</v>
      </c>
      <c r="M320" t="n">
        <v>0</v>
      </c>
      <c r="N320" t="n">
        <v>0</v>
      </c>
      <c r="O320" t="n">
        <v>1</v>
      </c>
      <c r="P320" t="n">
        <v>0</v>
      </c>
      <c r="Q320" t="n">
        <v>2</v>
      </c>
      <c r="R320" s="2" t="inlineStr">
        <is>
          <t>Violettgrå tagellav
Dropptaggsvamp</t>
        </is>
      </c>
      <c r="S320">
        <f>HYPERLINK("https://klasma.github.io/Logging_2283/artfynd/A 37243-2022 artfynd.xlsx", "A 37243-2022")</f>
        <v/>
      </c>
      <c r="T320">
        <f>HYPERLINK("https://klasma.github.io/Logging_2283/kartor/A 37243-2022 karta.png", "A 37243-2022")</f>
        <v/>
      </c>
      <c r="V320">
        <f>HYPERLINK("https://klasma.github.io/Logging_2283/klagomål/A 37243-2022 FSC-klagomål.docx", "A 37243-2022")</f>
        <v/>
      </c>
      <c r="W320">
        <f>HYPERLINK("https://klasma.github.io/Logging_2283/klagomålsmail/A 37243-2022 FSC-klagomål mail.docx", "A 37243-2022")</f>
        <v/>
      </c>
      <c r="X320">
        <f>HYPERLINK("https://klasma.github.io/Logging_2283/tillsyn/A 37243-2022 tillsynsbegäran.docx", "A 37243-2022")</f>
        <v/>
      </c>
      <c r="Y320">
        <f>HYPERLINK("https://klasma.github.io/Logging_2283/tillsynsmail/A 37243-2022 tillsynsbegäran mail.docx", "A 37243-2022")</f>
        <v/>
      </c>
    </row>
    <row r="321" ht="15" customHeight="1">
      <c r="A321" t="inlineStr">
        <is>
          <t>A 45083-2022</t>
        </is>
      </c>
      <c r="B321" s="1" t="n">
        <v>44841</v>
      </c>
      <c r="C321" s="1" t="n">
        <v>45740</v>
      </c>
      <c r="D321" t="inlineStr">
        <is>
          <t>VÄSTERNORRLANDS LÄN</t>
        </is>
      </c>
      <c r="E321" t="inlineStr">
        <is>
          <t>SOLLEFTEÅ</t>
        </is>
      </c>
      <c r="F321" t="inlineStr">
        <is>
          <t>SCA</t>
        </is>
      </c>
      <c r="G321" t="n">
        <v>4.3</v>
      </c>
      <c r="H321" t="n">
        <v>2</v>
      </c>
      <c r="I321" t="n">
        <v>0</v>
      </c>
      <c r="J321" t="n">
        <v>1</v>
      </c>
      <c r="K321" t="n">
        <v>0</v>
      </c>
      <c r="L321" t="n">
        <v>0</v>
      </c>
      <c r="M321" t="n">
        <v>0</v>
      </c>
      <c r="N321" t="n">
        <v>0</v>
      </c>
      <c r="O321" t="n">
        <v>1</v>
      </c>
      <c r="P321" t="n">
        <v>0</v>
      </c>
      <c r="Q321" t="n">
        <v>2</v>
      </c>
      <c r="R321" s="2" t="inlineStr">
        <is>
          <t>Talltita
Blåsippa</t>
        </is>
      </c>
      <c r="S321">
        <f>HYPERLINK("https://klasma.github.io/Logging_2283/artfynd/A 45083-2022 artfynd.xlsx", "A 45083-2022")</f>
        <v/>
      </c>
      <c r="T321">
        <f>HYPERLINK("https://klasma.github.io/Logging_2283/kartor/A 45083-2022 karta.png", "A 45083-2022")</f>
        <v/>
      </c>
      <c r="V321">
        <f>HYPERLINK("https://klasma.github.io/Logging_2283/klagomål/A 45083-2022 FSC-klagomål.docx", "A 45083-2022")</f>
        <v/>
      </c>
      <c r="W321">
        <f>HYPERLINK("https://klasma.github.io/Logging_2283/klagomålsmail/A 45083-2022 FSC-klagomål mail.docx", "A 45083-2022")</f>
        <v/>
      </c>
      <c r="X321">
        <f>HYPERLINK("https://klasma.github.io/Logging_2283/tillsyn/A 45083-2022 tillsynsbegäran.docx", "A 45083-2022")</f>
        <v/>
      </c>
      <c r="Y321">
        <f>HYPERLINK("https://klasma.github.io/Logging_2283/tillsynsmail/A 45083-2022 tillsynsbegäran mail.docx", "A 45083-2022")</f>
        <v/>
      </c>
      <c r="Z321">
        <f>HYPERLINK("https://klasma.github.io/Logging_2283/fåglar/A 45083-2022 prioriterade fågelarter.docx", "A 45083-2022")</f>
        <v/>
      </c>
    </row>
    <row r="322" ht="15" customHeight="1">
      <c r="A322" t="inlineStr">
        <is>
          <t>A 46630-2022</t>
        </is>
      </c>
      <c r="B322" s="1" t="n">
        <v>44848</v>
      </c>
      <c r="C322" s="1" t="n">
        <v>45740</v>
      </c>
      <c r="D322" t="inlineStr">
        <is>
          <t>VÄSTERNORRLANDS LÄN</t>
        </is>
      </c>
      <c r="E322" t="inlineStr">
        <is>
          <t>SOLLEFTEÅ</t>
        </is>
      </c>
      <c r="F322" t="inlineStr">
        <is>
          <t>SCA</t>
        </is>
      </c>
      <c r="G322" t="n">
        <v>3.1</v>
      </c>
      <c r="H322" t="n">
        <v>2</v>
      </c>
      <c r="I322" t="n">
        <v>0</v>
      </c>
      <c r="J322" t="n">
        <v>1</v>
      </c>
      <c r="K322" t="n">
        <v>1</v>
      </c>
      <c r="L322" t="n">
        <v>0</v>
      </c>
      <c r="M322" t="n">
        <v>0</v>
      </c>
      <c r="N322" t="n">
        <v>0</v>
      </c>
      <c r="O322" t="n">
        <v>2</v>
      </c>
      <c r="P322" t="n">
        <v>1</v>
      </c>
      <c r="Q322" t="n">
        <v>2</v>
      </c>
      <c r="R322" s="2" t="inlineStr">
        <is>
          <t>Knärot
Tretåig hackspett</t>
        </is>
      </c>
      <c r="S322">
        <f>HYPERLINK("https://klasma.github.io/Logging_2283/artfynd/A 46630-2022 artfynd.xlsx", "A 46630-2022")</f>
        <v/>
      </c>
      <c r="T322">
        <f>HYPERLINK("https://klasma.github.io/Logging_2283/kartor/A 46630-2022 karta.png", "A 46630-2022")</f>
        <v/>
      </c>
      <c r="U322">
        <f>HYPERLINK("https://klasma.github.io/Logging_2283/knärot/A 46630-2022 karta knärot.png", "A 46630-2022")</f>
        <v/>
      </c>
      <c r="V322">
        <f>HYPERLINK("https://klasma.github.io/Logging_2283/klagomål/A 46630-2022 FSC-klagomål.docx", "A 46630-2022")</f>
        <v/>
      </c>
      <c r="W322">
        <f>HYPERLINK("https://klasma.github.io/Logging_2283/klagomålsmail/A 46630-2022 FSC-klagomål mail.docx", "A 46630-2022")</f>
        <v/>
      </c>
      <c r="X322">
        <f>HYPERLINK("https://klasma.github.io/Logging_2283/tillsyn/A 46630-2022 tillsynsbegäran.docx", "A 46630-2022")</f>
        <v/>
      </c>
      <c r="Y322">
        <f>HYPERLINK("https://klasma.github.io/Logging_2283/tillsynsmail/A 46630-2022 tillsynsbegäran mail.docx", "A 46630-2022")</f>
        <v/>
      </c>
      <c r="Z322">
        <f>HYPERLINK("https://klasma.github.io/Logging_2283/fåglar/A 46630-2022 prioriterade fågelarter.docx", "A 46630-2022")</f>
        <v/>
      </c>
    </row>
    <row r="323" ht="15" customHeight="1">
      <c r="A323" t="inlineStr">
        <is>
          <t>A 48073-2022</t>
        </is>
      </c>
      <c r="B323" s="1" t="n">
        <v>44855</v>
      </c>
      <c r="C323" s="1" t="n">
        <v>45740</v>
      </c>
      <c r="D323" t="inlineStr">
        <is>
          <t>VÄSTERNORRLANDS LÄN</t>
        </is>
      </c>
      <c r="E323" t="inlineStr">
        <is>
          <t>SOLLEFTEÅ</t>
        </is>
      </c>
      <c r="F323" t="inlineStr">
        <is>
          <t>SCA</t>
        </is>
      </c>
      <c r="G323" t="n">
        <v>4.3</v>
      </c>
      <c r="H323" t="n">
        <v>2</v>
      </c>
      <c r="I323" t="n">
        <v>0</v>
      </c>
      <c r="J323" t="n">
        <v>1</v>
      </c>
      <c r="K323" t="n">
        <v>0</v>
      </c>
      <c r="L323" t="n">
        <v>0</v>
      </c>
      <c r="M323" t="n">
        <v>0</v>
      </c>
      <c r="N323" t="n">
        <v>0</v>
      </c>
      <c r="O323" t="n">
        <v>1</v>
      </c>
      <c r="P323" t="n">
        <v>0</v>
      </c>
      <c r="Q323" t="n">
        <v>2</v>
      </c>
      <c r="R323" s="2" t="inlineStr">
        <is>
          <t>Talltita
Blåsippa</t>
        </is>
      </c>
      <c r="S323">
        <f>HYPERLINK("https://klasma.github.io/Logging_2283/artfynd/A 48073-2022 artfynd.xlsx", "A 48073-2022")</f>
        <v/>
      </c>
      <c r="T323">
        <f>HYPERLINK("https://klasma.github.io/Logging_2283/kartor/A 48073-2022 karta.png", "A 48073-2022")</f>
        <v/>
      </c>
      <c r="V323">
        <f>HYPERLINK("https://klasma.github.io/Logging_2283/klagomål/A 48073-2022 FSC-klagomål.docx", "A 48073-2022")</f>
        <v/>
      </c>
      <c r="W323">
        <f>HYPERLINK("https://klasma.github.io/Logging_2283/klagomålsmail/A 48073-2022 FSC-klagomål mail.docx", "A 48073-2022")</f>
        <v/>
      </c>
      <c r="X323">
        <f>HYPERLINK("https://klasma.github.io/Logging_2283/tillsyn/A 48073-2022 tillsynsbegäran.docx", "A 48073-2022")</f>
        <v/>
      </c>
      <c r="Y323">
        <f>HYPERLINK("https://klasma.github.io/Logging_2283/tillsynsmail/A 48073-2022 tillsynsbegäran mail.docx", "A 48073-2022")</f>
        <v/>
      </c>
      <c r="Z323">
        <f>HYPERLINK("https://klasma.github.io/Logging_2283/fåglar/A 48073-2022 prioriterade fågelarter.docx", "A 48073-2022")</f>
        <v/>
      </c>
    </row>
    <row r="324" ht="15" customHeight="1">
      <c r="A324" t="inlineStr">
        <is>
          <t>A 3017-2023</t>
        </is>
      </c>
      <c r="B324" s="1" t="n">
        <v>44945</v>
      </c>
      <c r="C324" s="1" t="n">
        <v>45740</v>
      </c>
      <c r="D324" t="inlineStr">
        <is>
          <t>VÄSTERNORRLANDS LÄN</t>
        </is>
      </c>
      <c r="E324" t="inlineStr">
        <is>
          <t>SOLLEFTEÅ</t>
        </is>
      </c>
      <c r="G324" t="n">
        <v>3.6</v>
      </c>
      <c r="H324" t="n">
        <v>0</v>
      </c>
      <c r="I324" t="n">
        <v>0</v>
      </c>
      <c r="J324" t="n">
        <v>2</v>
      </c>
      <c r="K324" t="n">
        <v>0</v>
      </c>
      <c r="L324" t="n">
        <v>0</v>
      </c>
      <c r="M324" t="n">
        <v>0</v>
      </c>
      <c r="N324" t="n">
        <v>0</v>
      </c>
      <c r="O324" t="n">
        <v>2</v>
      </c>
      <c r="P324" t="n">
        <v>0</v>
      </c>
      <c r="Q324" t="n">
        <v>2</v>
      </c>
      <c r="R324" s="2" t="inlineStr">
        <is>
          <t>Harticka
Ullticka</t>
        </is>
      </c>
      <c r="S324">
        <f>HYPERLINK("https://klasma.github.io/Logging_2283/artfynd/A 3017-2023 artfynd.xlsx", "A 3017-2023")</f>
        <v/>
      </c>
      <c r="T324">
        <f>HYPERLINK("https://klasma.github.io/Logging_2283/kartor/A 3017-2023 karta.png", "A 3017-2023")</f>
        <v/>
      </c>
      <c r="V324">
        <f>HYPERLINK("https://klasma.github.io/Logging_2283/klagomål/A 3017-2023 FSC-klagomål.docx", "A 3017-2023")</f>
        <v/>
      </c>
      <c r="W324">
        <f>HYPERLINK("https://klasma.github.io/Logging_2283/klagomålsmail/A 3017-2023 FSC-klagomål mail.docx", "A 3017-2023")</f>
        <v/>
      </c>
      <c r="X324">
        <f>HYPERLINK("https://klasma.github.io/Logging_2283/tillsyn/A 3017-2023 tillsynsbegäran.docx", "A 3017-2023")</f>
        <v/>
      </c>
      <c r="Y324">
        <f>HYPERLINK("https://klasma.github.io/Logging_2283/tillsynsmail/A 3017-2023 tillsynsbegäran mail.docx", "A 3017-2023")</f>
        <v/>
      </c>
    </row>
    <row r="325" ht="15" customHeight="1">
      <c r="A325" t="inlineStr">
        <is>
          <t>A 8669-2023</t>
        </is>
      </c>
      <c r="B325" s="1" t="n">
        <v>44977</v>
      </c>
      <c r="C325" s="1" t="n">
        <v>45740</v>
      </c>
      <c r="D325" t="inlineStr">
        <is>
          <t>VÄSTERNORRLANDS LÄN</t>
        </is>
      </c>
      <c r="E325" t="inlineStr">
        <is>
          <t>SOLLEFTEÅ</t>
        </is>
      </c>
      <c r="F325" t="inlineStr">
        <is>
          <t>SCA</t>
        </is>
      </c>
      <c r="G325" t="n">
        <v>2.3</v>
      </c>
      <c r="H325" t="n">
        <v>1</v>
      </c>
      <c r="I325" t="n">
        <v>1</v>
      </c>
      <c r="J325" t="n">
        <v>1</v>
      </c>
      <c r="K325" t="n">
        <v>0</v>
      </c>
      <c r="L325" t="n">
        <v>0</v>
      </c>
      <c r="M325" t="n">
        <v>0</v>
      </c>
      <c r="N325" t="n">
        <v>0</v>
      </c>
      <c r="O325" t="n">
        <v>1</v>
      </c>
      <c r="P325" t="n">
        <v>0</v>
      </c>
      <c r="Q325" t="n">
        <v>2</v>
      </c>
      <c r="R325" s="2" t="inlineStr">
        <is>
          <t>Garnlav
Lappranunkel</t>
        </is>
      </c>
      <c r="S325">
        <f>HYPERLINK("https://klasma.github.io/Logging_2283/artfynd/A 8669-2023 artfynd.xlsx", "A 8669-2023")</f>
        <v/>
      </c>
      <c r="T325">
        <f>HYPERLINK("https://klasma.github.io/Logging_2283/kartor/A 8669-2023 karta.png", "A 8669-2023")</f>
        <v/>
      </c>
      <c r="V325">
        <f>HYPERLINK("https://klasma.github.io/Logging_2283/klagomål/A 8669-2023 FSC-klagomål.docx", "A 8669-2023")</f>
        <v/>
      </c>
      <c r="W325">
        <f>HYPERLINK("https://klasma.github.io/Logging_2283/klagomålsmail/A 8669-2023 FSC-klagomål mail.docx", "A 8669-2023")</f>
        <v/>
      </c>
      <c r="X325">
        <f>HYPERLINK("https://klasma.github.io/Logging_2283/tillsyn/A 8669-2023 tillsynsbegäran.docx", "A 8669-2023")</f>
        <v/>
      </c>
      <c r="Y325">
        <f>HYPERLINK("https://klasma.github.io/Logging_2283/tillsynsmail/A 8669-2023 tillsynsbegäran mail.docx", "A 8669-2023")</f>
        <v/>
      </c>
    </row>
    <row r="326" ht="15" customHeight="1">
      <c r="A326" t="inlineStr">
        <is>
          <t>A 9363-2023</t>
        </is>
      </c>
      <c r="B326" s="1" t="n">
        <v>44980</v>
      </c>
      <c r="C326" s="1" t="n">
        <v>45740</v>
      </c>
      <c r="D326" t="inlineStr">
        <is>
          <t>VÄSTERNORRLANDS LÄN</t>
        </is>
      </c>
      <c r="E326" t="inlineStr">
        <is>
          <t>SOLLEFTEÅ</t>
        </is>
      </c>
      <c r="F326" t="inlineStr">
        <is>
          <t>SCA</t>
        </is>
      </c>
      <c r="G326" t="n">
        <v>4.7</v>
      </c>
      <c r="H326" t="n">
        <v>0</v>
      </c>
      <c r="I326" t="n">
        <v>0</v>
      </c>
      <c r="J326" t="n">
        <v>2</v>
      </c>
      <c r="K326" t="n">
        <v>0</v>
      </c>
      <c r="L326" t="n">
        <v>0</v>
      </c>
      <c r="M326" t="n">
        <v>0</v>
      </c>
      <c r="N326" t="n">
        <v>0</v>
      </c>
      <c r="O326" t="n">
        <v>2</v>
      </c>
      <c r="P326" t="n">
        <v>0</v>
      </c>
      <c r="Q326" t="n">
        <v>2</v>
      </c>
      <c r="R326" s="2" t="inlineStr">
        <is>
          <t>Garnlav
Vedskivlav</t>
        </is>
      </c>
      <c r="S326">
        <f>HYPERLINK("https://klasma.github.io/Logging_2283/artfynd/A 9363-2023 artfynd.xlsx", "A 9363-2023")</f>
        <v/>
      </c>
      <c r="T326">
        <f>HYPERLINK("https://klasma.github.io/Logging_2283/kartor/A 9363-2023 karta.png", "A 9363-2023")</f>
        <v/>
      </c>
      <c r="V326">
        <f>HYPERLINK("https://klasma.github.io/Logging_2283/klagomål/A 9363-2023 FSC-klagomål.docx", "A 9363-2023")</f>
        <v/>
      </c>
      <c r="W326">
        <f>HYPERLINK("https://klasma.github.io/Logging_2283/klagomålsmail/A 9363-2023 FSC-klagomål mail.docx", "A 9363-2023")</f>
        <v/>
      </c>
      <c r="X326">
        <f>HYPERLINK("https://klasma.github.io/Logging_2283/tillsyn/A 9363-2023 tillsynsbegäran.docx", "A 9363-2023")</f>
        <v/>
      </c>
      <c r="Y326">
        <f>HYPERLINK("https://klasma.github.io/Logging_2283/tillsynsmail/A 9363-2023 tillsynsbegäran mail.docx", "A 9363-2023")</f>
        <v/>
      </c>
    </row>
    <row r="327" ht="15" customHeight="1">
      <c r="A327" t="inlineStr">
        <is>
          <t>A 13000-2023</t>
        </is>
      </c>
      <c r="B327" s="1" t="n">
        <v>45002</v>
      </c>
      <c r="C327" s="1" t="n">
        <v>45740</v>
      </c>
      <c r="D327" t="inlineStr">
        <is>
          <t>VÄSTERNORRLANDS LÄN</t>
        </is>
      </c>
      <c r="E327" t="inlineStr">
        <is>
          <t>SOLLEFTEÅ</t>
        </is>
      </c>
      <c r="F327" t="inlineStr">
        <is>
          <t>SCA</t>
        </is>
      </c>
      <c r="G327" t="n">
        <v>93.5</v>
      </c>
      <c r="H327" t="n">
        <v>1</v>
      </c>
      <c r="I327" t="n">
        <v>0</v>
      </c>
      <c r="J327" t="n">
        <v>1</v>
      </c>
      <c r="K327" t="n">
        <v>0</v>
      </c>
      <c r="L327" t="n">
        <v>0</v>
      </c>
      <c r="M327" t="n">
        <v>0</v>
      </c>
      <c r="N327" t="n">
        <v>0</v>
      </c>
      <c r="O327" t="n">
        <v>1</v>
      </c>
      <c r="P327" t="n">
        <v>0</v>
      </c>
      <c r="Q327" t="n">
        <v>2</v>
      </c>
      <c r="R327" s="2" t="inlineStr">
        <is>
          <t>Månlåsbräken
Fläcknycklar</t>
        </is>
      </c>
      <c r="S327">
        <f>HYPERLINK("https://klasma.github.io/Logging_2283/artfynd/A 13000-2023 artfynd.xlsx", "A 13000-2023")</f>
        <v/>
      </c>
      <c r="T327">
        <f>HYPERLINK("https://klasma.github.io/Logging_2283/kartor/A 13000-2023 karta.png", "A 13000-2023")</f>
        <v/>
      </c>
      <c r="U327">
        <f>HYPERLINK("https://klasma.github.io/Logging_2283/knärot/A 13000-2023 karta knärot.png", "A 13000-2023")</f>
        <v/>
      </c>
      <c r="V327">
        <f>HYPERLINK("https://klasma.github.io/Logging_2283/klagomål/A 13000-2023 FSC-klagomål.docx", "A 13000-2023")</f>
        <v/>
      </c>
      <c r="W327">
        <f>HYPERLINK("https://klasma.github.io/Logging_2283/klagomålsmail/A 13000-2023 FSC-klagomål mail.docx", "A 13000-2023")</f>
        <v/>
      </c>
      <c r="X327">
        <f>HYPERLINK("https://klasma.github.io/Logging_2283/tillsyn/A 13000-2023 tillsynsbegäran.docx", "A 13000-2023")</f>
        <v/>
      </c>
      <c r="Y327">
        <f>HYPERLINK("https://klasma.github.io/Logging_2283/tillsynsmail/A 13000-2023 tillsynsbegäran mail.docx", "A 13000-2023")</f>
        <v/>
      </c>
    </row>
    <row r="328" ht="15" customHeight="1">
      <c r="A328" t="inlineStr">
        <is>
          <t>A 18781-2023</t>
        </is>
      </c>
      <c r="B328" s="1" t="n">
        <v>45043</v>
      </c>
      <c r="C328" s="1" t="n">
        <v>45740</v>
      </c>
      <c r="D328" t="inlineStr">
        <is>
          <t>VÄSTERNORRLANDS LÄN</t>
        </is>
      </c>
      <c r="E328" t="inlineStr">
        <is>
          <t>SOLLEFTEÅ</t>
        </is>
      </c>
      <c r="F328" t="inlineStr">
        <is>
          <t>SCA</t>
        </is>
      </c>
      <c r="G328" t="n">
        <v>5.3</v>
      </c>
      <c r="H328" t="n">
        <v>1</v>
      </c>
      <c r="I328" t="n">
        <v>0</v>
      </c>
      <c r="J328" t="n">
        <v>1</v>
      </c>
      <c r="K328" t="n">
        <v>0</v>
      </c>
      <c r="L328" t="n">
        <v>0</v>
      </c>
      <c r="M328" t="n">
        <v>0</v>
      </c>
      <c r="N328" t="n">
        <v>0</v>
      </c>
      <c r="O328" t="n">
        <v>1</v>
      </c>
      <c r="P328" t="n">
        <v>0</v>
      </c>
      <c r="Q328" t="n">
        <v>2</v>
      </c>
      <c r="R328" s="2" t="inlineStr">
        <is>
          <t>Lunglav
Tjäder</t>
        </is>
      </c>
      <c r="S328">
        <f>HYPERLINK("https://klasma.github.io/Logging_2283/artfynd/A 18781-2023 artfynd.xlsx", "A 18781-2023")</f>
        <v/>
      </c>
      <c r="T328">
        <f>HYPERLINK("https://klasma.github.io/Logging_2283/kartor/A 18781-2023 karta.png", "A 18781-2023")</f>
        <v/>
      </c>
      <c r="V328">
        <f>HYPERLINK("https://klasma.github.io/Logging_2283/klagomål/A 18781-2023 FSC-klagomål.docx", "A 18781-2023")</f>
        <v/>
      </c>
      <c r="W328">
        <f>HYPERLINK("https://klasma.github.io/Logging_2283/klagomålsmail/A 18781-2023 FSC-klagomål mail.docx", "A 18781-2023")</f>
        <v/>
      </c>
      <c r="X328">
        <f>HYPERLINK("https://klasma.github.io/Logging_2283/tillsyn/A 18781-2023 tillsynsbegäran.docx", "A 18781-2023")</f>
        <v/>
      </c>
      <c r="Y328">
        <f>HYPERLINK("https://klasma.github.io/Logging_2283/tillsynsmail/A 18781-2023 tillsynsbegäran mail.docx", "A 18781-2023")</f>
        <v/>
      </c>
      <c r="Z328">
        <f>HYPERLINK("https://klasma.github.io/Logging_2283/fåglar/A 18781-2023 prioriterade fågelarter.docx", "A 18781-2023")</f>
        <v/>
      </c>
    </row>
    <row r="329" ht="15" customHeight="1">
      <c r="A329" t="inlineStr">
        <is>
          <t>A 33036-2023</t>
        </is>
      </c>
      <c r="B329" s="1" t="n">
        <v>45125</v>
      </c>
      <c r="C329" s="1" t="n">
        <v>45740</v>
      </c>
      <c r="D329" t="inlineStr">
        <is>
          <t>VÄSTERNORRLANDS LÄN</t>
        </is>
      </c>
      <c r="E329" t="inlineStr">
        <is>
          <t>SOLLEFTEÅ</t>
        </is>
      </c>
      <c r="F329" t="inlineStr">
        <is>
          <t>SCA</t>
        </is>
      </c>
      <c r="G329" t="n">
        <v>12</v>
      </c>
      <c r="H329" t="n">
        <v>0</v>
      </c>
      <c r="I329" t="n">
        <v>1</v>
      </c>
      <c r="J329" t="n">
        <v>1</v>
      </c>
      <c r="K329" t="n">
        <v>0</v>
      </c>
      <c r="L329" t="n">
        <v>0</v>
      </c>
      <c r="M329" t="n">
        <v>0</v>
      </c>
      <c r="N329" t="n">
        <v>0</v>
      </c>
      <c r="O329" t="n">
        <v>1</v>
      </c>
      <c r="P329" t="n">
        <v>0</v>
      </c>
      <c r="Q329" t="n">
        <v>2</v>
      </c>
      <c r="R329" s="2" t="inlineStr">
        <is>
          <t>Småflikig brosklav
Stuplav</t>
        </is>
      </c>
      <c r="S329">
        <f>HYPERLINK("https://klasma.github.io/Logging_2283/artfynd/A 33036-2023 artfynd.xlsx", "A 33036-2023")</f>
        <v/>
      </c>
      <c r="T329">
        <f>HYPERLINK("https://klasma.github.io/Logging_2283/kartor/A 33036-2023 karta.png", "A 33036-2023")</f>
        <v/>
      </c>
      <c r="V329">
        <f>HYPERLINK("https://klasma.github.io/Logging_2283/klagomål/A 33036-2023 FSC-klagomål.docx", "A 33036-2023")</f>
        <v/>
      </c>
      <c r="W329">
        <f>HYPERLINK("https://klasma.github.io/Logging_2283/klagomålsmail/A 33036-2023 FSC-klagomål mail.docx", "A 33036-2023")</f>
        <v/>
      </c>
      <c r="X329">
        <f>HYPERLINK("https://klasma.github.io/Logging_2283/tillsyn/A 33036-2023 tillsynsbegäran.docx", "A 33036-2023")</f>
        <v/>
      </c>
      <c r="Y329">
        <f>HYPERLINK("https://klasma.github.io/Logging_2283/tillsynsmail/A 33036-2023 tillsynsbegäran mail.docx", "A 33036-2023")</f>
        <v/>
      </c>
    </row>
    <row r="330" ht="15" customHeight="1">
      <c r="A330" t="inlineStr">
        <is>
          <t>A 35587-2023</t>
        </is>
      </c>
      <c r="B330" s="1" t="n">
        <v>45147</v>
      </c>
      <c r="C330" s="1" t="n">
        <v>45740</v>
      </c>
      <c r="D330" t="inlineStr">
        <is>
          <t>VÄSTERNORRLANDS LÄN</t>
        </is>
      </c>
      <c r="E330" t="inlineStr">
        <is>
          <t>SOLLEFTEÅ</t>
        </is>
      </c>
      <c r="F330" t="inlineStr">
        <is>
          <t>Holmen skog AB</t>
        </is>
      </c>
      <c r="G330" t="n">
        <v>5.1</v>
      </c>
      <c r="H330" t="n">
        <v>0</v>
      </c>
      <c r="I330" t="n">
        <v>1</v>
      </c>
      <c r="J330" t="n">
        <v>0</v>
      </c>
      <c r="K330" t="n">
        <v>1</v>
      </c>
      <c r="L330" t="n">
        <v>0</v>
      </c>
      <c r="M330" t="n">
        <v>0</v>
      </c>
      <c r="N330" t="n">
        <v>0</v>
      </c>
      <c r="O330" t="n">
        <v>1</v>
      </c>
      <c r="P330" t="n">
        <v>1</v>
      </c>
      <c r="Q330" t="n">
        <v>2</v>
      </c>
      <c r="R330" s="2" t="inlineStr">
        <is>
          <t>Fläckporing
Dropptaggsvamp</t>
        </is>
      </c>
      <c r="S330">
        <f>HYPERLINK("https://klasma.github.io/Logging_2283/artfynd/A 35587-2023 artfynd.xlsx", "A 35587-2023")</f>
        <v/>
      </c>
      <c r="T330">
        <f>HYPERLINK("https://klasma.github.io/Logging_2283/kartor/A 35587-2023 karta.png", "A 35587-2023")</f>
        <v/>
      </c>
      <c r="V330">
        <f>HYPERLINK("https://klasma.github.io/Logging_2283/klagomål/A 35587-2023 FSC-klagomål.docx", "A 35587-2023")</f>
        <v/>
      </c>
      <c r="W330">
        <f>HYPERLINK("https://klasma.github.io/Logging_2283/klagomålsmail/A 35587-2023 FSC-klagomål mail.docx", "A 35587-2023")</f>
        <v/>
      </c>
      <c r="X330">
        <f>HYPERLINK("https://klasma.github.io/Logging_2283/tillsyn/A 35587-2023 tillsynsbegäran.docx", "A 35587-2023")</f>
        <v/>
      </c>
      <c r="Y330">
        <f>HYPERLINK("https://klasma.github.io/Logging_2283/tillsynsmail/A 35587-2023 tillsynsbegäran mail.docx", "A 35587-2023")</f>
        <v/>
      </c>
    </row>
    <row r="331" ht="15" customHeight="1">
      <c r="A331" t="inlineStr">
        <is>
          <t>A 40419-2023</t>
        </is>
      </c>
      <c r="B331" s="1" t="n">
        <v>45169</v>
      </c>
      <c r="C331" s="1" t="n">
        <v>45740</v>
      </c>
      <c r="D331" t="inlineStr">
        <is>
          <t>VÄSTERNORRLANDS LÄN</t>
        </is>
      </c>
      <c r="E331" t="inlineStr">
        <is>
          <t>SOLLEFTEÅ</t>
        </is>
      </c>
      <c r="F331" t="inlineStr">
        <is>
          <t>SCA</t>
        </is>
      </c>
      <c r="G331" t="n">
        <v>7.9</v>
      </c>
      <c r="H331" t="n">
        <v>1</v>
      </c>
      <c r="I331" t="n">
        <v>0</v>
      </c>
      <c r="J331" t="n">
        <v>1</v>
      </c>
      <c r="K331" t="n">
        <v>1</v>
      </c>
      <c r="L331" t="n">
        <v>0</v>
      </c>
      <c r="M331" t="n">
        <v>0</v>
      </c>
      <c r="N331" t="n">
        <v>0</v>
      </c>
      <c r="O331" t="n">
        <v>2</v>
      </c>
      <c r="P331" t="n">
        <v>1</v>
      </c>
      <c r="Q331" t="n">
        <v>2</v>
      </c>
      <c r="R331" s="2" t="inlineStr">
        <is>
          <t>Knärot
Lunglav</t>
        </is>
      </c>
      <c r="S331">
        <f>HYPERLINK("https://klasma.github.io/Logging_2283/artfynd/A 40419-2023 artfynd.xlsx", "A 40419-2023")</f>
        <v/>
      </c>
      <c r="T331">
        <f>HYPERLINK("https://klasma.github.io/Logging_2283/kartor/A 40419-2023 karta.png", "A 40419-2023")</f>
        <v/>
      </c>
      <c r="U331">
        <f>HYPERLINK("https://klasma.github.io/Logging_2283/knärot/A 40419-2023 karta knärot.png", "A 40419-2023")</f>
        <v/>
      </c>
      <c r="V331">
        <f>HYPERLINK("https://klasma.github.io/Logging_2283/klagomål/A 40419-2023 FSC-klagomål.docx", "A 40419-2023")</f>
        <v/>
      </c>
      <c r="W331">
        <f>HYPERLINK("https://klasma.github.io/Logging_2283/klagomålsmail/A 40419-2023 FSC-klagomål mail.docx", "A 40419-2023")</f>
        <v/>
      </c>
      <c r="X331">
        <f>HYPERLINK("https://klasma.github.io/Logging_2283/tillsyn/A 40419-2023 tillsynsbegäran.docx", "A 40419-2023")</f>
        <v/>
      </c>
      <c r="Y331">
        <f>HYPERLINK("https://klasma.github.io/Logging_2283/tillsynsmail/A 40419-2023 tillsynsbegäran mail.docx", "A 40419-2023")</f>
        <v/>
      </c>
    </row>
    <row r="332" ht="15" customHeight="1">
      <c r="A332" t="inlineStr">
        <is>
          <t>A 40866-2023</t>
        </is>
      </c>
      <c r="B332" s="1" t="n">
        <v>45173</v>
      </c>
      <c r="C332" s="1" t="n">
        <v>45740</v>
      </c>
      <c r="D332" t="inlineStr">
        <is>
          <t>VÄSTERNORRLANDS LÄN</t>
        </is>
      </c>
      <c r="E332" t="inlineStr">
        <is>
          <t>SOLLEFTEÅ</t>
        </is>
      </c>
      <c r="G332" t="n">
        <v>1.7</v>
      </c>
      <c r="H332" t="n">
        <v>1</v>
      </c>
      <c r="I332" t="n">
        <v>1</v>
      </c>
      <c r="J332" t="n">
        <v>0</v>
      </c>
      <c r="K332" t="n">
        <v>0</v>
      </c>
      <c r="L332" t="n">
        <v>0</v>
      </c>
      <c r="M332" t="n">
        <v>0</v>
      </c>
      <c r="N332" t="n">
        <v>0</v>
      </c>
      <c r="O332" t="n">
        <v>0</v>
      </c>
      <c r="P332" t="n">
        <v>0</v>
      </c>
      <c r="Q332" t="n">
        <v>2</v>
      </c>
      <c r="R332" s="2" t="inlineStr">
        <is>
          <t>Tibast
Skogsödla</t>
        </is>
      </c>
      <c r="S332">
        <f>HYPERLINK("https://klasma.github.io/Logging_2283/artfynd/A 40866-2023 artfynd.xlsx", "A 40866-2023")</f>
        <v/>
      </c>
      <c r="T332">
        <f>HYPERLINK("https://klasma.github.io/Logging_2283/kartor/A 40866-2023 karta.png", "A 40866-2023")</f>
        <v/>
      </c>
      <c r="V332">
        <f>HYPERLINK("https://klasma.github.io/Logging_2283/klagomål/A 40866-2023 FSC-klagomål.docx", "A 40866-2023")</f>
        <v/>
      </c>
      <c r="W332">
        <f>HYPERLINK("https://klasma.github.io/Logging_2283/klagomålsmail/A 40866-2023 FSC-klagomål mail.docx", "A 40866-2023")</f>
        <v/>
      </c>
      <c r="X332">
        <f>HYPERLINK("https://klasma.github.io/Logging_2283/tillsyn/A 40866-2023 tillsynsbegäran.docx", "A 40866-2023")</f>
        <v/>
      </c>
      <c r="Y332">
        <f>HYPERLINK("https://klasma.github.io/Logging_2283/tillsynsmail/A 40866-2023 tillsynsbegäran mail.docx", "A 40866-2023")</f>
        <v/>
      </c>
    </row>
    <row r="333" ht="15" customHeight="1">
      <c r="A333" t="inlineStr">
        <is>
          <t>A 45016-2023</t>
        </is>
      </c>
      <c r="B333" s="1" t="n">
        <v>45191</v>
      </c>
      <c r="C333" s="1" t="n">
        <v>45740</v>
      </c>
      <c r="D333" t="inlineStr">
        <is>
          <t>VÄSTERNORRLANDS LÄN</t>
        </is>
      </c>
      <c r="E333" t="inlineStr">
        <is>
          <t>SOLLEFTEÅ</t>
        </is>
      </c>
      <c r="F333" t="inlineStr">
        <is>
          <t>SCA</t>
        </is>
      </c>
      <c r="G333" t="n">
        <v>1.5</v>
      </c>
      <c r="H333" t="n">
        <v>0</v>
      </c>
      <c r="I333" t="n">
        <v>0</v>
      </c>
      <c r="J333" t="n">
        <v>2</v>
      </c>
      <c r="K333" t="n">
        <v>0</v>
      </c>
      <c r="L333" t="n">
        <v>0</v>
      </c>
      <c r="M333" t="n">
        <v>0</v>
      </c>
      <c r="N333" t="n">
        <v>0</v>
      </c>
      <c r="O333" t="n">
        <v>2</v>
      </c>
      <c r="P333" t="n">
        <v>0</v>
      </c>
      <c r="Q333" t="n">
        <v>2</v>
      </c>
      <c r="R333" s="2" t="inlineStr">
        <is>
          <t>Garnlav
Lunglav</t>
        </is>
      </c>
      <c r="S333">
        <f>HYPERLINK("https://klasma.github.io/Logging_2283/artfynd/A 45016-2023 artfynd.xlsx", "A 45016-2023")</f>
        <v/>
      </c>
      <c r="T333">
        <f>HYPERLINK("https://klasma.github.io/Logging_2283/kartor/A 45016-2023 karta.png", "A 45016-2023")</f>
        <v/>
      </c>
      <c r="V333">
        <f>HYPERLINK("https://klasma.github.io/Logging_2283/klagomål/A 45016-2023 FSC-klagomål.docx", "A 45016-2023")</f>
        <v/>
      </c>
      <c r="W333">
        <f>HYPERLINK("https://klasma.github.io/Logging_2283/klagomålsmail/A 45016-2023 FSC-klagomål mail.docx", "A 45016-2023")</f>
        <v/>
      </c>
      <c r="X333">
        <f>HYPERLINK("https://klasma.github.io/Logging_2283/tillsyn/A 45016-2023 tillsynsbegäran.docx", "A 45016-2023")</f>
        <v/>
      </c>
      <c r="Y333">
        <f>HYPERLINK("https://klasma.github.io/Logging_2283/tillsynsmail/A 45016-2023 tillsynsbegäran mail.docx", "A 45016-2023")</f>
        <v/>
      </c>
    </row>
    <row r="334" ht="15" customHeight="1">
      <c r="A334" t="inlineStr">
        <is>
          <t>A 48489-2023</t>
        </is>
      </c>
      <c r="B334" s="1" t="n">
        <v>45206</v>
      </c>
      <c r="C334" s="1" t="n">
        <v>45740</v>
      </c>
      <c r="D334" t="inlineStr">
        <is>
          <t>VÄSTERNORRLANDS LÄN</t>
        </is>
      </c>
      <c r="E334" t="inlineStr">
        <is>
          <t>SOLLEFTEÅ</t>
        </is>
      </c>
      <c r="F334" t="inlineStr">
        <is>
          <t>SCA</t>
        </is>
      </c>
      <c r="G334" t="n">
        <v>51.8</v>
      </c>
      <c r="H334" t="n">
        <v>2</v>
      </c>
      <c r="I334" t="n">
        <v>0</v>
      </c>
      <c r="J334" t="n">
        <v>2</v>
      </c>
      <c r="K334" t="n">
        <v>0</v>
      </c>
      <c r="L334" t="n">
        <v>0</v>
      </c>
      <c r="M334" t="n">
        <v>0</v>
      </c>
      <c r="N334" t="n">
        <v>0</v>
      </c>
      <c r="O334" t="n">
        <v>2</v>
      </c>
      <c r="P334" t="n">
        <v>0</v>
      </c>
      <c r="Q334" t="n">
        <v>2</v>
      </c>
      <c r="R334" s="2" t="inlineStr">
        <is>
          <t>Spillkråka
Talltita</t>
        </is>
      </c>
      <c r="S334">
        <f>HYPERLINK("https://klasma.github.io/Logging_2283/artfynd/A 48489-2023 artfynd.xlsx", "A 48489-2023")</f>
        <v/>
      </c>
      <c r="T334">
        <f>HYPERLINK("https://klasma.github.io/Logging_2283/kartor/A 48489-2023 karta.png", "A 48489-2023")</f>
        <v/>
      </c>
      <c r="V334">
        <f>HYPERLINK("https://klasma.github.io/Logging_2283/klagomål/A 48489-2023 FSC-klagomål.docx", "A 48489-2023")</f>
        <v/>
      </c>
      <c r="W334">
        <f>HYPERLINK("https://klasma.github.io/Logging_2283/klagomålsmail/A 48489-2023 FSC-klagomål mail.docx", "A 48489-2023")</f>
        <v/>
      </c>
      <c r="X334">
        <f>HYPERLINK("https://klasma.github.io/Logging_2283/tillsyn/A 48489-2023 tillsynsbegäran.docx", "A 48489-2023")</f>
        <v/>
      </c>
      <c r="Y334">
        <f>HYPERLINK("https://klasma.github.io/Logging_2283/tillsynsmail/A 48489-2023 tillsynsbegäran mail.docx", "A 48489-2023")</f>
        <v/>
      </c>
      <c r="Z334">
        <f>HYPERLINK("https://klasma.github.io/Logging_2283/fåglar/A 48489-2023 prioriterade fågelarter.docx", "A 48489-2023")</f>
        <v/>
      </c>
    </row>
    <row r="335" ht="15" customHeight="1">
      <c r="A335" t="inlineStr">
        <is>
          <t>A 53949-2023</t>
        </is>
      </c>
      <c r="B335" s="1" t="n">
        <v>45224</v>
      </c>
      <c r="C335" s="1" t="n">
        <v>45740</v>
      </c>
      <c r="D335" t="inlineStr">
        <is>
          <t>VÄSTERNORRLANDS LÄN</t>
        </is>
      </c>
      <c r="E335" t="inlineStr">
        <is>
          <t>SOLLEFTEÅ</t>
        </is>
      </c>
      <c r="G335" t="n">
        <v>4</v>
      </c>
      <c r="H335" t="n">
        <v>1</v>
      </c>
      <c r="I335" t="n">
        <v>0</v>
      </c>
      <c r="J335" t="n">
        <v>1</v>
      </c>
      <c r="K335" t="n">
        <v>0</v>
      </c>
      <c r="L335" t="n">
        <v>0</v>
      </c>
      <c r="M335" t="n">
        <v>0</v>
      </c>
      <c r="N335" t="n">
        <v>0</v>
      </c>
      <c r="O335" t="n">
        <v>1</v>
      </c>
      <c r="P335" t="n">
        <v>0</v>
      </c>
      <c r="Q335" t="n">
        <v>2</v>
      </c>
      <c r="R335" s="2" t="inlineStr">
        <is>
          <t>Granticka
Fläcknycklar</t>
        </is>
      </c>
      <c r="S335">
        <f>HYPERLINK("https://klasma.github.io/Logging_2283/artfynd/A 53949-2023 artfynd.xlsx", "A 53949-2023")</f>
        <v/>
      </c>
      <c r="T335">
        <f>HYPERLINK("https://klasma.github.io/Logging_2283/kartor/A 53949-2023 karta.png", "A 53949-2023")</f>
        <v/>
      </c>
      <c r="V335">
        <f>HYPERLINK("https://klasma.github.io/Logging_2283/klagomål/A 53949-2023 FSC-klagomål.docx", "A 53949-2023")</f>
        <v/>
      </c>
      <c r="W335">
        <f>HYPERLINK("https://klasma.github.io/Logging_2283/klagomålsmail/A 53949-2023 FSC-klagomål mail.docx", "A 53949-2023")</f>
        <v/>
      </c>
      <c r="X335">
        <f>HYPERLINK("https://klasma.github.io/Logging_2283/tillsyn/A 53949-2023 tillsynsbegäran.docx", "A 53949-2023")</f>
        <v/>
      </c>
      <c r="Y335">
        <f>HYPERLINK("https://klasma.github.io/Logging_2283/tillsynsmail/A 53949-2023 tillsynsbegäran mail.docx", "A 53949-2023")</f>
        <v/>
      </c>
    </row>
    <row r="336" ht="15" customHeight="1">
      <c r="A336" t="inlineStr">
        <is>
          <t>A 58827-2023</t>
        </is>
      </c>
      <c r="B336" s="1" t="n">
        <v>45247</v>
      </c>
      <c r="C336" s="1" t="n">
        <v>45740</v>
      </c>
      <c r="D336" t="inlineStr">
        <is>
          <t>VÄSTERNORRLANDS LÄN</t>
        </is>
      </c>
      <c r="E336" t="inlineStr">
        <is>
          <t>SOLLEFTEÅ</t>
        </is>
      </c>
      <c r="G336" t="n">
        <v>2.2</v>
      </c>
      <c r="H336" t="n">
        <v>1</v>
      </c>
      <c r="I336" t="n">
        <v>0</v>
      </c>
      <c r="J336" t="n">
        <v>1</v>
      </c>
      <c r="K336" t="n">
        <v>0</v>
      </c>
      <c r="L336" t="n">
        <v>0</v>
      </c>
      <c r="M336" t="n">
        <v>0</v>
      </c>
      <c r="N336" t="n">
        <v>0</v>
      </c>
      <c r="O336" t="n">
        <v>1</v>
      </c>
      <c r="P336" t="n">
        <v>0</v>
      </c>
      <c r="Q336" t="n">
        <v>2</v>
      </c>
      <c r="R336" s="2" t="inlineStr">
        <is>
          <t>Garnlav
Mattlummer</t>
        </is>
      </c>
      <c r="S336">
        <f>HYPERLINK("https://klasma.github.io/Logging_2283/artfynd/A 58827-2023 artfynd.xlsx", "A 58827-2023")</f>
        <v/>
      </c>
      <c r="T336">
        <f>HYPERLINK("https://klasma.github.io/Logging_2283/kartor/A 58827-2023 karta.png", "A 58827-2023")</f>
        <v/>
      </c>
      <c r="V336">
        <f>HYPERLINK("https://klasma.github.io/Logging_2283/klagomål/A 58827-2023 FSC-klagomål.docx", "A 58827-2023")</f>
        <v/>
      </c>
      <c r="W336">
        <f>HYPERLINK("https://klasma.github.io/Logging_2283/klagomålsmail/A 58827-2023 FSC-klagomål mail.docx", "A 58827-2023")</f>
        <v/>
      </c>
      <c r="X336">
        <f>HYPERLINK("https://klasma.github.io/Logging_2283/tillsyn/A 58827-2023 tillsynsbegäran.docx", "A 58827-2023")</f>
        <v/>
      </c>
      <c r="Y336">
        <f>HYPERLINK("https://klasma.github.io/Logging_2283/tillsynsmail/A 58827-2023 tillsynsbegäran mail.docx", "A 58827-2023")</f>
        <v/>
      </c>
    </row>
    <row r="337" ht="15" customHeight="1">
      <c r="A337" t="inlineStr">
        <is>
          <t>A 2515-2024</t>
        </is>
      </c>
      <c r="B337" s="1" t="n">
        <v>45313</v>
      </c>
      <c r="C337" s="1" t="n">
        <v>45740</v>
      </c>
      <c r="D337" t="inlineStr">
        <is>
          <t>VÄSTERNORRLANDS LÄN</t>
        </is>
      </c>
      <c r="E337" t="inlineStr">
        <is>
          <t>SOLLEFTEÅ</t>
        </is>
      </c>
      <c r="F337" t="inlineStr">
        <is>
          <t>Kommuner</t>
        </is>
      </c>
      <c r="G337" t="n">
        <v>8.699999999999999</v>
      </c>
      <c r="H337" t="n">
        <v>1</v>
      </c>
      <c r="I337" t="n">
        <v>0</v>
      </c>
      <c r="J337" t="n">
        <v>2</v>
      </c>
      <c r="K337" t="n">
        <v>0</v>
      </c>
      <c r="L337" t="n">
        <v>0</v>
      </c>
      <c r="M337" t="n">
        <v>0</v>
      </c>
      <c r="N337" t="n">
        <v>0</v>
      </c>
      <c r="O337" t="n">
        <v>2</v>
      </c>
      <c r="P337" t="n">
        <v>0</v>
      </c>
      <c r="Q337" t="n">
        <v>2</v>
      </c>
      <c r="R337" s="2" t="inlineStr">
        <is>
          <t>Granticka
Talltita</t>
        </is>
      </c>
      <c r="S337">
        <f>HYPERLINK("https://klasma.github.io/Logging_2283/artfynd/A 2515-2024 artfynd.xlsx", "A 2515-2024")</f>
        <v/>
      </c>
      <c r="T337">
        <f>HYPERLINK("https://klasma.github.io/Logging_2283/kartor/A 2515-2024 karta.png", "A 2515-2024")</f>
        <v/>
      </c>
      <c r="V337">
        <f>HYPERLINK("https://klasma.github.io/Logging_2283/klagomål/A 2515-2024 FSC-klagomål.docx", "A 2515-2024")</f>
        <v/>
      </c>
      <c r="W337">
        <f>HYPERLINK("https://klasma.github.io/Logging_2283/klagomålsmail/A 2515-2024 FSC-klagomål mail.docx", "A 2515-2024")</f>
        <v/>
      </c>
      <c r="X337">
        <f>HYPERLINK("https://klasma.github.io/Logging_2283/tillsyn/A 2515-2024 tillsynsbegäran.docx", "A 2515-2024")</f>
        <v/>
      </c>
      <c r="Y337">
        <f>HYPERLINK("https://klasma.github.io/Logging_2283/tillsynsmail/A 2515-2024 tillsynsbegäran mail.docx", "A 2515-2024")</f>
        <v/>
      </c>
      <c r="Z337">
        <f>HYPERLINK("https://klasma.github.io/Logging_2283/fåglar/A 2515-2024 prioriterade fågelarter.docx", "A 2515-2024")</f>
        <v/>
      </c>
    </row>
    <row r="338" ht="15" customHeight="1">
      <c r="A338" t="inlineStr">
        <is>
          <t>A 6698-2024</t>
        </is>
      </c>
      <c r="B338" s="1" t="n">
        <v>45341</v>
      </c>
      <c r="C338" s="1" t="n">
        <v>45740</v>
      </c>
      <c r="D338" t="inlineStr">
        <is>
          <t>VÄSTERNORRLANDS LÄN</t>
        </is>
      </c>
      <c r="E338" t="inlineStr">
        <is>
          <t>SOLLEFTEÅ</t>
        </is>
      </c>
      <c r="F338" t="inlineStr">
        <is>
          <t>SCA</t>
        </is>
      </c>
      <c r="G338" t="n">
        <v>3</v>
      </c>
      <c r="H338" t="n">
        <v>0</v>
      </c>
      <c r="I338" t="n">
        <v>0</v>
      </c>
      <c r="J338" t="n">
        <v>2</v>
      </c>
      <c r="K338" t="n">
        <v>0</v>
      </c>
      <c r="L338" t="n">
        <v>0</v>
      </c>
      <c r="M338" t="n">
        <v>0</v>
      </c>
      <c r="N338" t="n">
        <v>0</v>
      </c>
      <c r="O338" t="n">
        <v>2</v>
      </c>
      <c r="P338" t="n">
        <v>0</v>
      </c>
      <c r="Q338" t="n">
        <v>2</v>
      </c>
      <c r="R338" s="2" t="inlineStr">
        <is>
          <t>Granticka
Harticka</t>
        </is>
      </c>
      <c r="S338">
        <f>HYPERLINK("https://klasma.github.io/Logging_2283/artfynd/A 6698-2024 artfynd.xlsx", "A 6698-2024")</f>
        <v/>
      </c>
      <c r="T338">
        <f>HYPERLINK("https://klasma.github.io/Logging_2283/kartor/A 6698-2024 karta.png", "A 6698-2024")</f>
        <v/>
      </c>
      <c r="V338">
        <f>HYPERLINK("https://klasma.github.io/Logging_2283/klagomål/A 6698-2024 FSC-klagomål.docx", "A 6698-2024")</f>
        <v/>
      </c>
      <c r="W338">
        <f>HYPERLINK("https://klasma.github.io/Logging_2283/klagomålsmail/A 6698-2024 FSC-klagomål mail.docx", "A 6698-2024")</f>
        <v/>
      </c>
      <c r="X338">
        <f>HYPERLINK("https://klasma.github.io/Logging_2283/tillsyn/A 6698-2024 tillsynsbegäran.docx", "A 6698-2024")</f>
        <v/>
      </c>
      <c r="Y338">
        <f>HYPERLINK("https://klasma.github.io/Logging_2283/tillsynsmail/A 6698-2024 tillsynsbegäran mail.docx", "A 6698-2024")</f>
        <v/>
      </c>
    </row>
    <row r="339" ht="15" customHeight="1">
      <c r="A339" t="inlineStr">
        <is>
          <t>A 7108-2024</t>
        </is>
      </c>
      <c r="B339" s="1" t="n">
        <v>45343</v>
      </c>
      <c r="C339" s="1" t="n">
        <v>45740</v>
      </c>
      <c r="D339" t="inlineStr">
        <is>
          <t>VÄSTERNORRLANDS LÄN</t>
        </is>
      </c>
      <c r="E339" t="inlineStr">
        <is>
          <t>SOLLEFTEÅ</t>
        </is>
      </c>
      <c r="F339" t="inlineStr">
        <is>
          <t>SCA</t>
        </is>
      </c>
      <c r="G339" t="n">
        <v>3.8</v>
      </c>
      <c r="H339" t="n">
        <v>2</v>
      </c>
      <c r="I339" t="n">
        <v>0</v>
      </c>
      <c r="J339" t="n">
        <v>1</v>
      </c>
      <c r="K339" t="n">
        <v>0</v>
      </c>
      <c r="L339" t="n">
        <v>0</v>
      </c>
      <c r="M339" t="n">
        <v>0</v>
      </c>
      <c r="N339" t="n">
        <v>0</v>
      </c>
      <c r="O339" t="n">
        <v>1</v>
      </c>
      <c r="P339" t="n">
        <v>0</v>
      </c>
      <c r="Q339" t="n">
        <v>2</v>
      </c>
      <c r="R339" s="2" t="inlineStr">
        <is>
          <t>Nordfladdermus
Vattenfladdermus</t>
        </is>
      </c>
      <c r="S339">
        <f>HYPERLINK("https://klasma.github.io/Logging_2283/artfynd/A 7108-2024 artfynd.xlsx", "A 7108-2024")</f>
        <v/>
      </c>
      <c r="T339">
        <f>HYPERLINK("https://klasma.github.io/Logging_2283/kartor/A 7108-2024 karta.png", "A 7108-2024")</f>
        <v/>
      </c>
      <c r="V339">
        <f>HYPERLINK("https://klasma.github.io/Logging_2283/klagomål/A 7108-2024 FSC-klagomål.docx", "A 7108-2024")</f>
        <v/>
      </c>
      <c r="W339">
        <f>HYPERLINK("https://klasma.github.io/Logging_2283/klagomålsmail/A 7108-2024 FSC-klagomål mail.docx", "A 7108-2024")</f>
        <v/>
      </c>
      <c r="X339">
        <f>HYPERLINK("https://klasma.github.io/Logging_2283/tillsyn/A 7108-2024 tillsynsbegäran.docx", "A 7108-2024")</f>
        <v/>
      </c>
      <c r="Y339">
        <f>HYPERLINK("https://klasma.github.io/Logging_2283/tillsynsmail/A 7108-2024 tillsynsbegäran mail.docx", "A 7108-2024")</f>
        <v/>
      </c>
    </row>
    <row r="340" ht="15" customHeight="1">
      <c r="A340" t="inlineStr">
        <is>
          <t>A 7109-2024</t>
        </is>
      </c>
      <c r="B340" s="1" t="n">
        <v>45343</v>
      </c>
      <c r="C340" s="1" t="n">
        <v>45740</v>
      </c>
      <c r="D340" t="inlineStr">
        <is>
          <t>VÄSTERNORRLANDS LÄN</t>
        </is>
      </c>
      <c r="E340" t="inlineStr">
        <is>
          <t>SOLLEFTEÅ</t>
        </is>
      </c>
      <c r="F340" t="inlineStr">
        <is>
          <t>SCA</t>
        </is>
      </c>
      <c r="G340" t="n">
        <v>11</v>
      </c>
      <c r="H340" t="n">
        <v>1</v>
      </c>
      <c r="I340" t="n">
        <v>0</v>
      </c>
      <c r="J340" t="n">
        <v>2</v>
      </c>
      <c r="K340" t="n">
        <v>0</v>
      </c>
      <c r="L340" t="n">
        <v>0</v>
      </c>
      <c r="M340" t="n">
        <v>0</v>
      </c>
      <c r="N340" t="n">
        <v>0</v>
      </c>
      <c r="O340" t="n">
        <v>2</v>
      </c>
      <c r="P340" t="n">
        <v>0</v>
      </c>
      <c r="Q340" t="n">
        <v>2</v>
      </c>
      <c r="R340" s="2" t="inlineStr">
        <is>
          <t>Garnlav
Tretåig hackspett</t>
        </is>
      </c>
      <c r="S340">
        <f>HYPERLINK("https://klasma.github.io/Logging_2283/artfynd/A 7109-2024 artfynd.xlsx", "A 7109-2024")</f>
        <v/>
      </c>
      <c r="T340">
        <f>HYPERLINK("https://klasma.github.io/Logging_2283/kartor/A 7109-2024 karta.png", "A 7109-2024")</f>
        <v/>
      </c>
      <c r="V340">
        <f>HYPERLINK("https://klasma.github.io/Logging_2283/klagomål/A 7109-2024 FSC-klagomål.docx", "A 7109-2024")</f>
        <v/>
      </c>
      <c r="W340">
        <f>HYPERLINK("https://klasma.github.io/Logging_2283/klagomålsmail/A 7109-2024 FSC-klagomål mail.docx", "A 7109-2024")</f>
        <v/>
      </c>
      <c r="X340">
        <f>HYPERLINK("https://klasma.github.io/Logging_2283/tillsyn/A 7109-2024 tillsynsbegäran.docx", "A 7109-2024")</f>
        <v/>
      </c>
      <c r="Y340">
        <f>HYPERLINK("https://klasma.github.io/Logging_2283/tillsynsmail/A 7109-2024 tillsynsbegäran mail.docx", "A 7109-2024")</f>
        <v/>
      </c>
      <c r="Z340">
        <f>HYPERLINK("https://klasma.github.io/Logging_2283/fåglar/A 7109-2024 prioriterade fågelarter.docx", "A 7109-2024")</f>
        <v/>
      </c>
    </row>
    <row r="341" ht="15" customHeight="1">
      <c r="A341" t="inlineStr">
        <is>
          <t>A 9554-2024</t>
        </is>
      </c>
      <c r="B341" s="1" t="n">
        <v>45360</v>
      </c>
      <c r="C341" s="1" t="n">
        <v>45740</v>
      </c>
      <c r="D341" t="inlineStr">
        <is>
          <t>VÄSTERNORRLANDS LÄN</t>
        </is>
      </c>
      <c r="E341" t="inlineStr">
        <is>
          <t>SOLLEFTEÅ</t>
        </is>
      </c>
      <c r="F341" t="inlineStr">
        <is>
          <t>SCA</t>
        </is>
      </c>
      <c r="G341" t="n">
        <v>7.3</v>
      </c>
      <c r="H341" t="n">
        <v>2</v>
      </c>
      <c r="I341" t="n">
        <v>0</v>
      </c>
      <c r="J341" t="n">
        <v>0</v>
      </c>
      <c r="K341" t="n">
        <v>1</v>
      </c>
      <c r="L341" t="n">
        <v>0</v>
      </c>
      <c r="M341" t="n">
        <v>0</v>
      </c>
      <c r="N341" t="n">
        <v>0</v>
      </c>
      <c r="O341" t="n">
        <v>1</v>
      </c>
      <c r="P341" t="n">
        <v>1</v>
      </c>
      <c r="Q341" t="n">
        <v>2</v>
      </c>
      <c r="R341" s="2" t="inlineStr">
        <is>
          <t>Knärot
Revlummer</t>
        </is>
      </c>
      <c r="S341">
        <f>HYPERLINK("https://klasma.github.io/Logging_2283/artfynd/A 9554-2024 artfynd.xlsx", "A 9554-2024")</f>
        <v/>
      </c>
      <c r="T341">
        <f>HYPERLINK("https://klasma.github.io/Logging_2283/kartor/A 9554-2024 karta.png", "A 9554-2024")</f>
        <v/>
      </c>
      <c r="U341">
        <f>HYPERLINK("https://klasma.github.io/Logging_2283/knärot/A 9554-2024 karta knärot.png", "A 9554-2024")</f>
        <v/>
      </c>
      <c r="V341">
        <f>HYPERLINK("https://klasma.github.io/Logging_2283/klagomål/A 9554-2024 FSC-klagomål.docx", "A 9554-2024")</f>
        <v/>
      </c>
      <c r="W341">
        <f>HYPERLINK("https://klasma.github.io/Logging_2283/klagomålsmail/A 9554-2024 FSC-klagomål mail.docx", "A 9554-2024")</f>
        <v/>
      </c>
      <c r="X341">
        <f>HYPERLINK("https://klasma.github.io/Logging_2283/tillsyn/A 9554-2024 tillsynsbegäran.docx", "A 9554-2024")</f>
        <v/>
      </c>
      <c r="Y341">
        <f>HYPERLINK("https://klasma.github.io/Logging_2283/tillsynsmail/A 9554-2024 tillsynsbegäran mail.docx", "A 9554-2024")</f>
        <v/>
      </c>
    </row>
    <row r="342" ht="15" customHeight="1">
      <c r="A342" t="inlineStr">
        <is>
          <t>A 19080-2024</t>
        </is>
      </c>
      <c r="B342" s="1" t="n">
        <v>45428</v>
      </c>
      <c r="C342" s="1" t="n">
        <v>45740</v>
      </c>
      <c r="D342" t="inlineStr">
        <is>
          <t>VÄSTERNORRLANDS LÄN</t>
        </is>
      </c>
      <c r="E342" t="inlineStr">
        <is>
          <t>SOLLEFTEÅ</t>
        </is>
      </c>
      <c r="F342" t="inlineStr">
        <is>
          <t>SCA</t>
        </is>
      </c>
      <c r="G342" t="n">
        <v>1.2</v>
      </c>
      <c r="H342" t="n">
        <v>0</v>
      </c>
      <c r="I342" t="n">
        <v>1</v>
      </c>
      <c r="J342" t="n">
        <v>1</v>
      </c>
      <c r="K342" t="n">
        <v>0</v>
      </c>
      <c r="L342" t="n">
        <v>0</v>
      </c>
      <c r="M342" t="n">
        <v>0</v>
      </c>
      <c r="N342" t="n">
        <v>0</v>
      </c>
      <c r="O342" t="n">
        <v>1</v>
      </c>
      <c r="P342" t="n">
        <v>0</v>
      </c>
      <c r="Q342" t="n">
        <v>2</v>
      </c>
      <c r="R342" s="2" t="inlineStr">
        <is>
          <t>Garnlav
Stor aspticka</t>
        </is>
      </c>
      <c r="S342">
        <f>HYPERLINK("https://klasma.github.io/Logging_2283/artfynd/A 19080-2024 artfynd.xlsx", "A 19080-2024")</f>
        <v/>
      </c>
      <c r="T342">
        <f>HYPERLINK("https://klasma.github.io/Logging_2283/kartor/A 19080-2024 karta.png", "A 19080-2024")</f>
        <v/>
      </c>
      <c r="V342">
        <f>HYPERLINK("https://klasma.github.io/Logging_2283/klagomål/A 19080-2024 FSC-klagomål.docx", "A 19080-2024")</f>
        <v/>
      </c>
      <c r="W342">
        <f>HYPERLINK("https://klasma.github.io/Logging_2283/klagomålsmail/A 19080-2024 FSC-klagomål mail.docx", "A 19080-2024")</f>
        <v/>
      </c>
      <c r="X342">
        <f>HYPERLINK("https://klasma.github.io/Logging_2283/tillsyn/A 19080-2024 tillsynsbegäran.docx", "A 19080-2024")</f>
        <v/>
      </c>
      <c r="Y342">
        <f>HYPERLINK("https://klasma.github.io/Logging_2283/tillsynsmail/A 19080-2024 tillsynsbegäran mail.docx", "A 19080-2024")</f>
        <v/>
      </c>
    </row>
    <row r="343" ht="15" customHeight="1">
      <c r="A343" t="inlineStr">
        <is>
          <t>A 27644-2024</t>
        </is>
      </c>
      <c r="B343" s="1" t="n">
        <v>45474</v>
      </c>
      <c r="C343" s="1" t="n">
        <v>45740</v>
      </c>
      <c r="D343" t="inlineStr">
        <is>
          <t>VÄSTERNORRLANDS LÄN</t>
        </is>
      </c>
      <c r="E343" t="inlineStr">
        <is>
          <t>SOLLEFTEÅ</t>
        </is>
      </c>
      <c r="F343" t="inlineStr">
        <is>
          <t>SCA</t>
        </is>
      </c>
      <c r="G343" t="n">
        <v>2.8</v>
      </c>
      <c r="H343" t="n">
        <v>1</v>
      </c>
      <c r="I343" t="n">
        <v>0</v>
      </c>
      <c r="J343" t="n">
        <v>1</v>
      </c>
      <c r="K343" t="n">
        <v>0</v>
      </c>
      <c r="L343" t="n">
        <v>0</v>
      </c>
      <c r="M343" t="n">
        <v>0</v>
      </c>
      <c r="N343" t="n">
        <v>0</v>
      </c>
      <c r="O343" t="n">
        <v>1</v>
      </c>
      <c r="P343" t="n">
        <v>0</v>
      </c>
      <c r="Q343" t="n">
        <v>2</v>
      </c>
      <c r="R343" s="2" t="inlineStr">
        <is>
          <t>Granticka
Fläcknycklar</t>
        </is>
      </c>
      <c r="S343">
        <f>HYPERLINK("https://klasma.github.io/Logging_2283/artfynd/A 27644-2024 artfynd.xlsx", "A 27644-2024")</f>
        <v/>
      </c>
      <c r="T343">
        <f>HYPERLINK("https://klasma.github.io/Logging_2283/kartor/A 27644-2024 karta.png", "A 27644-2024")</f>
        <v/>
      </c>
      <c r="V343">
        <f>HYPERLINK("https://klasma.github.io/Logging_2283/klagomål/A 27644-2024 FSC-klagomål.docx", "A 27644-2024")</f>
        <v/>
      </c>
      <c r="W343">
        <f>HYPERLINK("https://klasma.github.io/Logging_2283/klagomålsmail/A 27644-2024 FSC-klagomål mail.docx", "A 27644-2024")</f>
        <v/>
      </c>
      <c r="X343">
        <f>HYPERLINK("https://klasma.github.io/Logging_2283/tillsyn/A 27644-2024 tillsynsbegäran.docx", "A 27644-2024")</f>
        <v/>
      </c>
      <c r="Y343">
        <f>HYPERLINK("https://klasma.github.io/Logging_2283/tillsynsmail/A 27644-2024 tillsynsbegäran mail.docx", "A 27644-2024")</f>
        <v/>
      </c>
    </row>
    <row r="344" ht="15" customHeight="1">
      <c r="A344" t="inlineStr">
        <is>
          <t>A 29264-2024</t>
        </is>
      </c>
      <c r="B344" s="1" t="n">
        <v>45482</v>
      </c>
      <c r="C344" s="1" t="n">
        <v>45740</v>
      </c>
      <c r="D344" t="inlineStr">
        <is>
          <t>VÄSTERNORRLANDS LÄN</t>
        </is>
      </c>
      <c r="E344" t="inlineStr">
        <is>
          <t>SOLLEFTEÅ</t>
        </is>
      </c>
      <c r="F344" t="inlineStr">
        <is>
          <t>SCA</t>
        </is>
      </c>
      <c r="G344" t="n">
        <v>3</v>
      </c>
      <c r="H344" t="n">
        <v>2</v>
      </c>
      <c r="I344" t="n">
        <v>0</v>
      </c>
      <c r="J344" t="n">
        <v>1</v>
      </c>
      <c r="K344" t="n">
        <v>0</v>
      </c>
      <c r="L344" t="n">
        <v>0</v>
      </c>
      <c r="M344" t="n">
        <v>0</v>
      </c>
      <c r="N344" t="n">
        <v>0</v>
      </c>
      <c r="O344" t="n">
        <v>1</v>
      </c>
      <c r="P344" t="n">
        <v>0</v>
      </c>
      <c r="Q344" t="n">
        <v>2</v>
      </c>
      <c r="R344" s="2" t="inlineStr">
        <is>
          <t>Tretåig hackspett
Fläcknycklar</t>
        </is>
      </c>
      <c r="S344">
        <f>HYPERLINK("https://klasma.github.io/Logging_2283/artfynd/A 29264-2024 artfynd.xlsx", "A 29264-2024")</f>
        <v/>
      </c>
      <c r="T344">
        <f>HYPERLINK("https://klasma.github.io/Logging_2283/kartor/A 29264-2024 karta.png", "A 29264-2024")</f>
        <v/>
      </c>
      <c r="V344">
        <f>HYPERLINK("https://klasma.github.io/Logging_2283/klagomål/A 29264-2024 FSC-klagomål.docx", "A 29264-2024")</f>
        <v/>
      </c>
      <c r="W344">
        <f>HYPERLINK("https://klasma.github.io/Logging_2283/klagomålsmail/A 29264-2024 FSC-klagomål mail.docx", "A 29264-2024")</f>
        <v/>
      </c>
      <c r="X344">
        <f>HYPERLINK("https://klasma.github.io/Logging_2283/tillsyn/A 29264-2024 tillsynsbegäran.docx", "A 29264-2024")</f>
        <v/>
      </c>
      <c r="Y344">
        <f>HYPERLINK("https://klasma.github.io/Logging_2283/tillsynsmail/A 29264-2024 tillsynsbegäran mail.docx", "A 29264-2024")</f>
        <v/>
      </c>
      <c r="Z344">
        <f>HYPERLINK("https://klasma.github.io/Logging_2283/fåglar/A 29264-2024 prioriterade fågelarter.docx", "A 29264-2024")</f>
        <v/>
      </c>
    </row>
    <row r="345" ht="15" customHeight="1">
      <c r="A345" t="inlineStr">
        <is>
          <t>A 29919-2024</t>
        </is>
      </c>
      <c r="B345" s="1" t="n">
        <v>45488</v>
      </c>
      <c r="C345" s="1" t="n">
        <v>45740</v>
      </c>
      <c r="D345" t="inlineStr">
        <is>
          <t>VÄSTERNORRLANDS LÄN</t>
        </is>
      </c>
      <c r="E345" t="inlineStr">
        <is>
          <t>SOLLEFTEÅ</t>
        </is>
      </c>
      <c r="G345" t="n">
        <v>8.1</v>
      </c>
      <c r="H345" t="n">
        <v>0</v>
      </c>
      <c r="I345" t="n">
        <v>0</v>
      </c>
      <c r="J345" t="n">
        <v>2</v>
      </c>
      <c r="K345" t="n">
        <v>0</v>
      </c>
      <c r="L345" t="n">
        <v>0</v>
      </c>
      <c r="M345" t="n">
        <v>0</v>
      </c>
      <c r="N345" t="n">
        <v>0</v>
      </c>
      <c r="O345" t="n">
        <v>2</v>
      </c>
      <c r="P345" t="n">
        <v>0</v>
      </c>
      <c r="Q345" t="n">
        <v>2</v>
      </c>
      <c r="R345" s="2" t="inlineStr">
        <is>
          <t>Garnlav
Rosenticka</t>
        </is>
      </c>
      <c r="S345">
        <f>HYPERLINK("https://klasma.github.io/Logging_2283/artfynd/A 29919-2024 artfynd.xlsx", "A 29919-2024")</f>
        <v/>
      </c>
      <c r="T345">
        <f>HYPERLINK("https://klasma.github.io/Logging_2283/kartor/A 29919-2024 karta.png", "A 29919-2024")</f>
        <v/>
      </c>
      <c r="V345">
        <f>HYPERLINK("https://klasma.github.io/Logging_2283/klagomål/A 29919-2024 FSC-klagomål.docx", "A 29919-2024")</f>
        <v/>
      </c>
      <c r="W345">
        <f>HYPERLINK("https://klasma.github.io/Logging_2283/klagomålsmail/A 29919-2024 FSC-klagomål mail.docx", "A 29919-2024")</f>
        <v/>
      </c>
      <c r="X345">
        <f>HYPERLINK("https://klasma.github.io/Logging_2283/tillsyn/A 29919-2024 tillsynsbegäran.docx", "A 29919-2024")</f>
        <v/>
      </c>
      <c r="Y345">
        <f>HYPERLINK("https://klasma.github.io/Logging_2283/tillsynsmail/A 29919-2024 tillsynsbegäran mail.docx", "A 29919-2024")</f>
        <v/>
      </c>
    </row>
    <row r="346" ht="15" customHeight="1">
      <c r="A346" t="inlineStr">
        <is>
          <t>A 29917-2024</t>
        </is>
      </c>
      <c r="B346" s="1" t="n">
        <v>45487</v>
      </c>
      <c r="C346" s="1" t="n">
        <v>45740</v>
      </c>
      <c r="D346" t="inlineStr">
        <is>
          <t>VÄSTERNORRLANDS LÄN</t>
        </is>
      </c>
      <c r="E346" t="inlineStr">
        <is>
          <t>SOLLEFTEÅ</t>
        </is>
      </c>
      <c r="G346" t="n">
        <v>1.1</v>
      </c>
      <c r="H346" t="n">
        <v>0</v>
      </c>
      <c r="I346" t="n">
        <v>0</v>
      </c>
      <c r="J346" t="n">
        <v>2</v>
      </c>
      <c r="K346" t="n">
        <v>0</v>
      </c>
      <c r="L346" t="n">
        <v>0</v>
      </c>
      <c r="M346" t="n">
        <v>0</v>
      </c>
      <c r="N346" t="n">
        <v>0</v>
      </c>
      <c r="O346" t="n">
        <v>2</v>
      </c>
      <c r="P346" t="n">
        <v>0</v>
      </c>
      <c r="Q346" t="n">
        <v>2</v>
      </c>
      <c r="R346" s="2" t="inlineStr">
        <is>
          <t>Garnlav
Mörk kolflarnlav</t>
        </is>
      </c>
      <c r="S346">
        <f>HYPERLINK("https://klasma.github.io/Logging_2283/artfynd/A 29917-2024 artfynd.xlsx", "A 29917-2024")</f>
        <v/>
      </c>
      <c r="T346">
        <f>HYPERLINK("https://klasma.github.io/Logging_2283/kartor/A 29917-2024 karta.png", "A 29917-2024")</f>
        <v/>
      </c>
      <c r="V346">
        <f>HYPERLINK("https://klasma.github.io/Logging_2283/klagomål/A 29917-2024 FSC-klagomål.docx", "A 29917-2024")</f>
        <v/>
      </c>
      <c r="W346">
        <f>HYPERLINK("https://klasma.github.io/Logging_2283/klagomålsmail/A 29917-2024 FSC-klagomål mail.docx", "A 29917-2024")</f>
        <v/>
      </c>
      <c r="X346">
        <f>HYPERLINK("https://klasma.github.io/Logging_2283/tillsyn/A 29917-2024 tillsynsbegäran.docx", "A 29917-2024")</f>
        <v/>
      </c>
      <c r="Y346">
        <f>HYPERLINK("https://klasma.github.io/Logging_2283/tillsynsmail/A 29917-2024 tillsynsbegäran mail.docx", "A 29917-2024")</f>
        <v/>
      </c>
    </row>
    <row r="347" ht="15" customHeight="1">
      <c r="A347" t="inlineStr">
        <is>
          <t>A 31491-2024</t>
        </is>
      </c>
      <c r="B347" s="1" t="n">
        <v>45505</v>
      </c>
      <c r="C347" s="1" t="n">
        <v>45740</v>
      </c>
      <c r="D347" t="inlineStr">
        <is>
          <t>VÄSTERNORRLANDS LÄN</t>
        </is>
      </c>
      <c r="E347" t="inlineStr">
        <is>
          <t>SOLLEFTEÅ</t>
        </is>
      </c>
      <c r="F347" t="inlineStr">
        <is>
          <t>SCA</t>
        </is>
      </c>
      <c r="G347" t="n">
        <v>17.2</v>
      </c>
      <c r="H347" t="n">
        <v>1</v>
      </c>
      <c r="I347" t="n">
        <v>0</v>
      </c>
      <c r="J347" t="n">
        <v>2</v>
      </c>
      <c r="K347" t="n">
        <v>0</v>
      </c>
      <c r="L347" t="n">
        <v>0</v>
      </c>
      <c r="M347" t="n">
        <v>0</v>
      </c>
      <c r="N347" t="n">
        <v>0</v>
      </c>
      <c r="O347" t="n">
        <v>2</v>
      </c>
      <c r="P347" t="n">
        <v>0</v>
      </c>
      <c r="Q347" t="n">
        <v>2</v>
      </c>
      <c r="R347" s="2" t="inlineStr">
        <is>
          <t>Lunglav
Tretåig hackspett</t>
        </is>
      </c>
      <c r="S347">
        <f>HYPERLINK("https://klasma.github.io/Logging_2283/artfynd/A 31491-2024 artfynd.xlsx", "A 31491-2024")</f>
        <v/>
      </c>
      <c r="T347">
        <f>HYPERLINK("https://klasma.github.io/Logging_2283/kartor/A 31491-2024 karta.png", "A 31491-2024")</f>
        <v/>
      </c>
      <c r="V347">
        <f>HYPERLINK("https://klasma.github.io/Logging_2283/klagomål/A 31491-2024 FSC-klagomål.docx", "A 31491-2024")</f>
        <v/>
      </c>
      <c r="W347">
        <f>HYPERLINK("https://klasma.github.io/Logging_2283/klagomålsmail/A 31491-2024 FSC-klagomål mail.docx", "A 31491-2024")</f>
        <v/>
      </c>
      <c r="X347">
        <f>HYPERLINK("https://klasma.github.io/Logging_2283/tillsyn/A 31491-2024 tillsynsbegäran.docx", "A 31491-2024")</f>
        <v/>
      </c>
      <c r="Y347">
        <f>HYPERLINK("https://klasma.github.io/Logging_2283/tillsynsmail/A 31491-2024 tillsynsbegäran mail.docx", "A 31491-2024")</f>
        <v/>
      </c>
      <c r="Z347">
        <f>HYPERLINK("https://klasma.github.io/Logging_2283/fåglar/A 31491-2024 prioriterade fågelarter.docx", "A 31491-2024")</f>
        <v/>
      </c>
    </row>
    <row r="348" ht="15" customHeight="1">
      <c r="A348" t="inlineStr">
        <is>
          <t>A 34812-2024</t>
        </is>
      </c>
      <c r="B348" s="1" t="n">
        <v>45526</v>
      </c>
      <c r="C348" s="1" t="n">
        <v>45740</v>
      </c>
      <c r="D348" t="inlineStr">
        <is>
          <t>VÄSTERNORRLANDS LÄN</t>
        </is>
      </c>
      <c r="E348" t="inlineStr">
        <is>
          <t>SOLLEFTEÅ</t>
        </is>
      </c>
      <c r="G348" t="n">
        <v>8.1</v>
      </c>
      <c r="H348" t="n">
        <v>0</v>
      </c>
      <c r="I348" t="n">
        <v>1</v>
      </c>
      <c r="J348" t="n">
        <v>1</v>
      </c>
      <c r="K348" t="n">
        <v>0</v>
      </c>
      <c r="L348" t="n">
        <v>0</v>
      </c>
      <c r="M348" t="n">
        <v>0</v>
      </c>
      <c r="N348" t="n">
        <v>0</v>
      </c>
      <c r="O348" t="n">
        <v>1</v>
      </c>
      <c r="P348" t="n">
        <v>0</v>
      </c>
      <c r="Q348" t="n">
        <v>2</v>
      </c>
      <c r="R348" s="2" t="inlineStr">
        <is>
          <t>Garnlav
Dropptaggsvamp</t>
        </is>
      </c>
      <c r="S348">
        <f>HYPERLINK("https://klasma.github.io/Logging_2283/artfynd/A 34812-2024 artfynd.xlsx", "A 34812-2024")</f>
        <v/>
      </c>
      <c r="T348">
        <f>HYPERLINK("https://klasma.github.io/Logging_2283/kartor/A 34812-2024 karta.png", "A 34812-2024")</f>
        <v/>
      </c>
      <c r="V348">
        <f>HYPERLINK("https://klasma.github.io/Logging_2283/klagomål/A 34812-2024 FSC-klagomål.docx", "A 34812-2024")</f>
        <v/>
      </c>
      <c r="W348">
        <f>HYPERLINK("https://klasma.github.io/Logging_2283/klagomålsmail/A 34812-2024 FSC-klagomål mail.docx", "A 34812-2024")</f>
        <v/>
      </c>
      <c r="X348">
        <f>HYPERLINK("https://klasma.github.io/Logging_2283/tillsyn/A 34812-2024 tillsynsbegäran.docx", "A 34812-2024")</f>
        <v/>
      </c>
      <c r="Y348">
        <f>HYPERLINK("https://klasma.github.io/Logging_2283/tillsynsmail/A 34812-2024 tillsynsbegäran mail.docx", "A 34812-2024")</f>
        <v/>
      </c>
    </row>
    <row r="349" ht="15" customHeight="1">
      <c r="A349" t="inlineStr">
        <is>
          <t>A 34814-2024</t>
        </is>
      </c>
      <c r="B349" s="1" t="n">
        <v>45526</v>
      </c>
      <c r="C349" s="1" t="n">
        <v>45740</v>
      </c>
      <c r="D349" t="inlineStr">
        <is>
          <t>VÄSTERNORRLANDS LÄN</t>
        </is>
      </c>
      <c r="E349" t="inlineStr">
        <is>
          <t>SOLLEFTEÅ</t>
        </is>
      </c>
      <c r="F349" t="inlineStr">
        <is>
          <t>SCA</t>
        </is>
      </c>
      <c r="G349" t="n">
        <v>6.9</v>
      </c>
      <c r="H349" t="n">
        <v>0</v>
      </c>
      <c r="I349" t="n">
        <v>0</v>
      </c>
      <c r="J349" t="n">
        <v>2</v>
      </c>
      <c r="K349" t="n">
        <v>0</v>
      </c>
      <c r="L349" t="n">
        <v>0</v>
      </c>
      <c r="M349" t="n">
        <v>0</v>
      </c>
      <c r="N349" t="n">
        <v>0</v>
      </c>
      <c r="O349" t="n">
        <v>2</v>
      </c>
      <c r="P349" t="n">
        <v>0</v>
      </c>
      <c r="Q349" t="n">
        <v>2</v>
      </c>
      <c r="R349" s="2" t="inlineStr">
        <is>
          <t>Kolflarnlav
Lunglav</t>
        </is>
      </c>
      <c r="S349">
        <f>HYPERLINK("https://klasma.github.io/Logging_2283/artfynd/A 34814-2024 artfynd.xlsx", "A 34814-2024")</f>
        <v/>
      </c>
      <c r="T349">
        <f>HYPERLINK("https://klasma.github.io/Logging_2283/kartor/A 34814-2024 karta.png", "A 34814-2024")</f>
        <v/>
      </c>
      <c r="V349">
        <f>HYPERLINK("https://klasma.github.io/Logging_2283/klagomål/A 34814-2024 FSC-klagomål.docx", "A 34814-2024")</f>
        <v/>
      </c>
      <c r="W349">
        <f>HYPERLINK("https://klasma.github.io/Logging_2283/klagomålsmail/A 34814-2024 FSC-klagomål mail.docx", "A 34814-2024")</f>
        <v/>
      </c>
      <c r="X349">
        <f>HYPERLINK("https://klasma.github.io/Logging_2283/tillsyn/A 34814-2024 tillsynsbegäran.docx", "A 34814-2024")</f>
        <v/>
      </c>
      <c r="Y349">
        <f>HYPERLINK("https://klasma.github.io/Logging_2283/tillsynsmail/A 34814-2024 tillsynsbegäran mail.docx", "A 34814-2024")</f>
        <v/>
      </c>
    </row>
    <row r="350" ht="15" customHeight="1">
      <c r="A350" t="inlineStr">
        <is>
          <t>A 36912-2024</t>
        </is>
      </c>
      <c r="B350" s="1" t="n">
        <v>45538</v>
      </c>
      <c r="C350" s="1" t="n">
        <v>45740</v>
      </c>
      <c r="D350" t="inlineStr">
        <is>
          <t>VÄSTERNORRLANDS LÄN</t>
        </is>
      </c>
      <c r="E350" t="inlineStr">
        <is>
          <t>SOLLEFTEÅ</t>
        </is>
      </c>
      <c r="F350" t="inlineStr">
        <is>
          <t>SCA</t>
        </is>
      </c>
      <c r="G350" t="n">
        <v>2</v>
      </c>
      <c r="H350" t="n">
        <v>1</v>
      </c>
      <c r="I350" t="n">
        <v>0</v>
      </c>
      <c r="J350" t="n">
        <v>2</v>
      </c>
      <c r="K350" t="n">
        <v>0</v>
      </c>
      <c r="L350" t="n">
        <v>0</v>
      </c>
      <c r="M350" t="n">
        <v>0</v>
      </c>
      <c r="N350" t="n">
        <v>0</v>
      </c>
      <c r="O350" t="n">
        <v>2</v>
      </c>
      <c r="P350" t="n">
        <v>0</v>
      </c>
      <c r="Q350" t="n">
        <v>2</v>
      </c>
      <c r="R350" s="2" t="inlineStr">
        <is>
          <t>Talltita
Ullticka</t>
        </is>
      </c>
      <c r="S350">
        <f>HYPERLINK("https://klasma.github.io/Logging_2283/artfynd/A 36912-2024 artfynd.xlsx", "A 36912-2024")</f>
        <v/>
      </c>
      <c r="T350">
        <f>HYPERLINK("https://klasma.github.io/Logging_2283/kartor/A 36912-2024 karta.png", "A 36912-2024")</f>
        <v/>
      </c>
      <c r="V350">
        <f>HYPERLINK("https://klasma.github.io/Logging_2283/klagomål/A 36912-2024 FSC-klagomål.docx", "A 36912-2024")</f>
        <v/>
      </c>
      <c r="W350">
        <f>HYPERLINK("https://klasma.github.io/Logging_2283/klagomålsmail/A 36912-2024 FSC-klagomål mail.docx", "A 36912-2024")</f>
        <v/>
      </c>
      <c r="X350">
        <f>HYPERLINK("https://klasma.github.io/Logging_2283/tillsyn/A 36912-2024 tillsynsbegäran.docx", "A 36912-2024")</f>
        <v/>
      </c>
      <c r="Y350">
        <f>HYPERLINK("https://klasma.github.io/Logging_2283/tillsynsmail/A 36912-2024 tillsynsbegäran mail.docx", "A 36912-2024")</f>
        <v/>
      </c>
      <c r="Z350">
        <f>HYPERLINK("https://klasma.github.io/Logging_2283/fåglar/A 36912-2024 prioriterade fågelarter.docx", "A 36912-2024")</f>
        <v/>
      </c>
    </row>
    <row r="351" ht="15" customHeight="1">
      <c r="A351" t="inlineStr">
        <is>
          <t>A 38017-2024</t>
        </is>
      </c>
      <c r="B351" s="1" t="n">
        <v>45544</v>
      </c>
      <c r="C351" s="1" t="n">
        <v>45740</v>
      </c>
      <c r="D351" t="inlineStr">
        <is>
          <t>VÄSTERNORRLANDS LÄN</t>
        </is>
      </c>
      <c r="E351" t="inlineStr">
        <is>
          <t>SOLLEFTEÅ</t>
        </is>
      </c>
      <c r="F351" t="inlineStr">
        <is>
          <t>SCA</t>
        </is>
      </c>
      <c r="G351" t="n">
        <v>1.9</v>
      </c>
      <c r="H351" t="n">
        <v>0</v>
      </c>
      <c r="I351" t="n">
        <v>1</v>
      </c>
      <c r="J351" t="n">
        <v>1</v>
      </c>
      <c r="K351" t="n">
        <v>0</v>
      </c>
      <c r="L351" t="n">
        <v>0</v>
      </c>
      <c r="M351" t="n">
        <v>0</v>
      </c>
      <c r="N351" t="n">
        <v>0</v>
      </c>
      <c r="O351" t="n">
        <v>1</v>
      </c>
      <c r="P351" t="n">
        <v>0</v>
      </c>
      <c r="Q351" t="n">
        <v>2</v>
      </c>
      <c r="R351" s="2" t="inlineStr">
        <is>
          <t>Garnlav
Bårdlav</t>
        </is>
      </c>
      <c r="S351">
        <f>HYPERLINK("https://klasma.github.io/Logging_2283/artfynd/A 38017-2024 artfynd.xlsx", "A 38017-2024")</f>
        <v/>
      </c>
      <c r="T351">
        <f>HYPERLINK("https://klasma.github.io/Logging_2283/kartor/A 38017-2024 karta.png", "A 38017-2024")</f>
        <v/>
      </c>
      <c r="V351">
        <f>HYPERLINK("https://klasma.github.io/Logging_2283/klagomål/A 38017-2024 FSC-klagomål.docx", "A 38017-2024")</f>
        <v/>
      </c>
      <c r="W351">
        <f>HYPERLINK("https://klasma.github.io/Logging_2283/klagomålsmail/A 38017-2024 FSC-klagomål mail.docx", "A 38017-2024")</f>
        <v/>
      </c>
      <c r="X351">
        <f>HYPERLINK("https://klasma.github.io/Logging_2283/tillsyn/A 38017-2024 tillsynsbegäran.docx", "A 38017-2024")</f>
        <v/>
      </c>
      <c r="Y351">
        <f>HYPERLINK("https://klasma.github.io/Logging_2283/tillsynsmail/A 38017-2024 tillsynsbegäran mail.docx", "A 38017-2024")</f>
        <v/>
      </c>
    </row>
    <row r="352" ht="15" customHeight="1">
      <c r="A352" t="inlineStr">
        <is>
          <t>A 40576-2024</t>
        </is>
      </c>
      <c r="B352" s="1" t="n">
        <v>45555</v>
      </c>
      <c r="C352" s="1" t="n">
        <v>45740</v>
      </c>
      <c r="D352" t="inlineStr">
        <is>
          <t>VÄSTERNORRLANDS LÄN</t>
        </is>
      </c>
      <c r="E352" t="inlineStr">
        <is>
          <t>SOLLEFTEÅ</t>
        </is>
      </c>
      <c r="F352" t="inlineStr">
        <is>
          <t>SCA</t>
        </is>
      </c>
      <c r="G352" t="n">
        <v>11.7</v>
      </c>
      <c r="H352" t="n">
        <v>1</v>
      </c>
      <c r="I352" t="n">
        <v>0</v>
      </c>
      <c r="J352" t="n">
        <v>2</v>
      </c>
      <c r="K352" t="n">
        <v>0</v>
      </c>
      <c r="L352" t="n">
        <v>0</v>
      </c>
      <c r="M352" t="n">
        <v>0</v>
      </c>
      <c r="N352" t="n">
        <v>0</v>
      </c>
      <c r="O352" t="n">
        <v>2</v>
      </c>
      <c r="P352" t="n">
        <v>0</v>
      </c>
      <c r="Q352" t="n">
        <v>2</v>
      </c>
      <c r="R352" s="2" t="inlineStr">
        <is>
          <t>Granticka
Tretåig hackspett</t>
        </is>
      </c>
      <c r="S352">
        <f>HYPERLINK("https://klasma.github.io/Logging_2283/artfynd/A 40576-2024 artfynd.xlsx", "A 40576-2024")</f>
        <v/>
      </c>
      <c r="T352">
        <f>HYPERLINK("https://klasma.github.io/Logging_2283/kartor/A 40576-2024 karta.png", "A 40576-2024")</f>
        <v/>
      </c>
      <c r="V352">
        <f>HYPERLINK("https://klasma.github.io/Logging_2283/klagomål/A 40576-2024 FSC-klagomål.docx", "A 40576-2024")</f>
        <v/>
      </c>
      <c r="W352">
        <f>HYPERLINK("https://klasma.github.io/Logging_2283/klagomålsmail/A 40576-2024 FSC-klagomål mail.docx", "A 40576-2024")</f>
        <v/>
      </c>
      <c r="X352">
        <f>HYPERLINK("https://klasma.github.io/Logging_2283/tillsyn/A 40576-2024 tillsynsbegäran.docx", "A 40576-2024")</f>
        <v/>
      </c>
      <c r="Y352">
        <f>HYPERLINK("https://klasma.github.io/Logging_2283/tillsynsmail/A 40576-2024 tillsynsbegäran mail.docx", "A 40576-2024")</f>
        <v/>
      </c>
      <c r="Z352">
        <f>HYPERLINK("https://klasma.github.io/Logging_2283/fåglar/A 40576-2024 prioriterade fågelarter.docx", "A 40576-2024")</f>
        <v/>
      </c>
    </row>
    <row r="353" ht="15" customHeight="1">
      <c r="A353" t="inlineStr">
        <is>
          <t>A 41337-2024</t>
        </is>
      </c>
      <c r="B353" s="1" t="n">
        <v>45559</v>
      </c>
      <c r="C353" s="1" t="n">
        <v>45740</v>
      </c>
      <c r="D353" t="inlineStr">
        <is>
          <t>VÄSTERNORRLANDS LÄN</t>
        </is>
      </c>
      <c r="E353" t="inlineStr">
        <is>
          <t>SOLLEFTEÅ</t>
        </is>
      </c>
      <c r="G353" t="n">
        <v>30.1</v>
      </c>
      <c r="H353" t="n">
        <v>0</v>
      </c>
      <c r="I353" t="n">
        <v>0</v>
      </c>
      <c r="J353" t="n">
        <v>2</v>
      </c>
      <c r="K353" t="n">
        <v>0</v>
      </c>
      <c r="L353" t="n">
        <v>0</v>
      </c>
      <c r="M353" t="n">
        <v>0</v>
      </c>
      <c r="N353" t="n">
        <v>0</v>
      </c>
      <c r="O353" t="n">
        <v>2</v>
      </c>
      <c r="P353" t="n">
        <v>0</v>
      </c>
      <c r="Q353" t="n">
        <v>2</v>
      </c>
      <c r="R353" s="2" t="inlineStr">
        <is>
          <t>Granticka
Rosenticka</t>
        </is>
      </c>
      <c r="S353">
        <f>HYPERLINK("https://klasma.github.io/Logging_2283/artfynd/A 41337-2024 artfynd.xlsx", "A 41337-2024")</f>
        <v/>
      </c>
      <c r="T353">
        <f>HYPERLINK("https://klasma.github.io/Logging_2283/kartor/A 41337-2024 karta.png", "A 41337-2024")</f>
        <v/>
      </c>
      <c r="V353">
        <f>HYPERLINK("https://klasma.github.io/Logging_2283/klagomål/A 41337-2024 FSC-klagomål.docx", "A 41337-2024")</f>
        <v/>
      </c>
      <c r="W353">
        <f>HYPERLINK("https://klasma.github.io/Logging_2283/klagomålsmail/A 41337-2024 FSC-klagomål mail.docx", "A 41337-2024")</f>
        <v/>
      </c>
      <c r="X353">
        <f>HYPERLINK("https://klasma.github.io/Logging_2283/tillsyn/A 41337-2024 tillsynsbegäran.docx", "A 41337-2024")</f>
        <v/>
      </c>
      <c r="Y353">
        <f>HYPERLINK("https://klasma.github.io/Logging_2283/tillsynsmail/A 41337-2024 tillsynsbegäran mail.docx", "A 41337-2024")</f>
        <v/>
      </c>
    </row>
    <row r="354" ht="15" customHeight="1">
      <c r="A354" t="inlineStr">
        <is>
          <t>A 41904-2024</t>
        </is>
      </c>
      <c r="B354" s="1" t="n">
        <v>45561</v>
      </c>
      <c r="C354" s="1" t="n">
        <v>45740</v>
      </c>
      <c r="D354" t="inlineStr">
        <is>
          <t>VÄSTERNORRLANDS LÄN</t>
        </is>
      </c>
      <c r="E354" t="inlineStr">
        <is>
          <t>SOLLEFTEÅ</t>
        </is>
      </c>
      <c r="F354" t="inlineStr">
        <is>
          <t>SCA</t>
        </is>
      </c>
      <c r="G354" t="n">
        <v>6.7</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41904-2024 artfynd.xlsx", "A 41904-2024")</f>
        <v/>
      </c>
      <c r="T354">
        <f>HYPERLINK("https://klasma.github.io/Logging_2283/kartor/A 41904-2024 karta.png", "A 41904-2024")</f>
        <v/>
      </c>
      <c r="V354">
        <f>HYPERLINK("https://klasma.github.io/Logging_2283/klagomål/A 41904-2024 FSC-klagomål.docx", "A 41904-2024")</f>
        <v/>
      </c>
      <c r="W354">
        <f>HYPERLINK("https://klasma.github.io/Logging_2283/klagomålsmail/A 41904-2024 FSC-klagomål mail.docx", "A 41904-2024")</f>
        <v/>
      </c>
      <c r="X354">
        <f>HYPERLINK("https://klasma.github.io/Logging_2283/tillsyn/A 41904-2024 tillsynsbegäran.docx", "A 41904-2024")</f>
        <v/>
      </c>
      <c r="Y354">
        <f>HYPERLINK("https://klasma.github.io/Logging_2283/tillsynsmail/A 41904-2024 tillsynsbegäran mail.docx", "A 41904-2024")</f>
        <v/>
      </c>
      <c r="Z354">
        <f>HYPERLINK("https://klasma.github.io/Logging_2283/fåglar/A 41904-2024 prioriterade fågelarter.docx", "A 41904-2024")</f>
        <v/>
      </c>
    </row>
    <row r="355" ht="15" customHeight="1">
      <c r="A355" t="inlineStr">
        <is>
          <t>A 45590-2024</t>
        </is>
      </c>
      <c r="B355" s="1" t="n">
        <v>45579</v>
      </c>
      <c r="C355" s="1" t="n">
        <v>45740</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45740</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45740</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45740</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45740</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45740</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45740</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45740</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45740</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45740</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45740</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45740</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45740</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45740</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45740</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45740</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45740</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45740</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45740</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45740</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45740</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45740</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45740</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45740</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45740</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45740</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45740</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45740</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45740</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45740</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45740</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45740</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45740</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45740</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45740</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45740</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45740</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45740</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45740</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45740</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45740</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45740</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45740</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45740</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45740</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45740</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45740</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45740</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45740</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45740</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45740</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45740</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45740</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45740</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45740</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45740</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45740</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45740</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45740</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45740</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45740</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45740</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45740</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45740</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45740</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45740</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45740</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45740</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45740</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45740</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45740</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45740</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45740</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45740</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45740</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45740</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45740</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45740</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45740</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45740</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45740</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45740</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45740</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45740</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45740</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45740</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45740</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45740</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45740</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45740</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45740</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45740</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45740</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45740</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45740</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45740</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45740</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45740</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45740</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45740</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45740</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45740</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45740</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45740</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45740</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45740</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45740</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45740</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45740</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45740</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45740</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45740</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45740</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45740</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45740</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45740</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45740</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45740</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45740</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45740</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45740</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45740</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45740</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45740</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45740</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45740</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45740</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45740</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45740</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45740</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45740</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45740</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45740</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45740</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45740</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45740</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45740</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45740</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45740</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45740</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45740</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45740</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45740</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45740</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45740</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45740</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45740</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45740</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45740</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45740</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45740</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45740</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45740</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45740</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45740</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45740</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45740</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45740</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45740</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45740</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45740</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45740</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45740</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45740</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45740</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45740</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45740</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45740</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45740</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45740</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45740</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45740</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45740</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45740</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45740</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45740</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45740</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45740</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45740</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45740</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45740</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45740</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45740</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45740</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45740</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45740</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45740</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45740</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45740</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45740</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45740</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45740</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45740</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45740</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45740</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45740</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45740</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45740</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45740</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45740</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45740</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45740</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45740</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45740</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45740</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45740</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45740</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45740</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45740</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45740</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45740</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45740</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45740</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45740</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45740</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45740</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45740</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45740</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45740</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45740</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45740</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45740</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45740</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45740</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45740</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45740</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45740</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45740</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45740</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45740</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45740</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45740</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45740</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45740</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45740</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45740</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45740</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45740</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45740</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45740</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45740</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45740</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45740</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45740</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45740</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45740</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45740</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45740</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45740</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45740</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45740</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45740</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45740</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45740</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45740</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45740</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45740</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45740</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45740</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45740</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45740</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45740</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45740</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45740</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45740</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45740</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45740</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45740</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45740</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45740</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45740</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45740</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45740</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45740</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45740</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45740</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45740</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45740</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45740</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45740</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45740</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45740</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45740</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45740</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45740</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45740</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45740</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45740</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45740</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45740</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45740</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45740</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45740</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45740</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45740</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45740</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45740</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45740</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45740</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45740</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45740</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45740</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45740</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45740</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45740</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45740</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45740</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45740</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45740</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45740</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45740</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45740</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45740</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45740</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45740</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45740</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45740</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45740</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45740</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45740</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45740</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45740</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45740</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45740</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45740</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45740</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45740</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45740</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45740</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45740</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45740</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45740</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45740</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45740</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45740</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45740</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45740</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45740</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45740</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45740</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45740</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45740</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45740</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45740</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45740</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45740</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45740</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45740</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45740</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45740</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45740</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45740</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45740</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45740</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45740</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45740</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45740</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45740</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45740</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45740</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45740</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45740</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45740</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45740</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45740</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45740</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45740</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45740</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45740</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45740</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45740</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45740</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45740</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45740</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45740</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45740</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45740</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45740</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45740</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45740</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45740</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45740</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45740</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45740</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45740</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45740</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45740</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45740</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45740</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45740</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45740</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45740</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45740</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45740</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45740</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45740</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45740</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45740</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45740</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45740</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45740</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45740</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45740</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45740</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45740</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45740</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45740</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45740</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45740</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45740</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45740</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45740</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45740</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45740</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45740</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45740</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45740</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45740</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45740</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45740</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45740</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45740</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45740</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45740</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45740</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45740</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45740</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45740</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45740</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45740</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45740</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45740</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45740</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45740</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45740</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45740</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45740</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45740</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45740</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45740</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45740</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45740</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45740</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45740</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45740</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45740</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45740</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45740</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45740</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45740</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45740</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45740</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45740</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45740</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45740</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45740</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45740</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45740</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45740</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45740</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45740</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45740</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45740</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45740</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45740</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45740</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45740</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45740</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45740</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45740</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45740</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45740</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45740</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45740</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45740</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45740</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45740</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45740</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45740</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45740</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45740</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45740</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45740</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45740</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45740</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45740</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45740</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45740</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45740</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45740</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45740</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45740</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45740</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45740</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45740</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45740</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45740</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45740</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45740</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45740</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45740</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45740</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45740</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45740</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45740</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45740</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45740</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45740</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45740</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45740</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45740</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45740</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45740</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45740</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45740</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45740</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45740</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45740</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45740</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45740</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45740</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45740</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45740</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45740</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45740</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45740</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45740</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45740</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45740</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45740</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45740</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45740</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45740</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45740</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45740</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45740</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45740</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45740</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45740</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45740</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45740</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45740</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45740</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45740</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45740</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45740</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45740</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45740</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45740</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45740</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45740</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45740</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45740</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45740</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45740</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45740</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45740</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45740</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45740</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45740</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45740</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45740</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45740</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45740</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45740</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45740</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45740</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45740</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45740</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45740</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45740</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45740</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45740</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45740</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45740</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45740</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45740</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45740</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45740</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45740</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45740</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45740</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45740</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45740</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45740</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45740</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45740</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45740</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45740</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45740</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45740</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45740</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45740</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45740</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45740</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45740</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45740</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45740</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45740</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45740</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45740</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45740</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45740</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45740</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45740</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45740</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45740</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45740</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45740</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45740</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45740</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45740</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45740</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45740</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45740</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45740</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45740</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45740</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45740</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45740</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45740</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45740</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45740</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45740</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45740</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45740</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45740</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45740</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45740</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45740</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45740</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45740</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45740</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45740</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45740</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45740</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45740</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45740</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45740</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45740</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45740</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45740</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45740</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45740</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45740</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45740</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45740</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45740</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45740</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45740</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45740</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45740</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45740</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45740</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45740</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45740</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45740</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45740</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45740</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45740</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45740</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45740</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45740</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45740</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45740</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45740</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45740</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45740</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45740</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45740</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45740</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45740</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45740</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45740</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45740</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45740</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45740</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45740</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45740</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45740</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45740</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45740</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45740</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45740</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45740</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45740</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45740</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45740</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45740</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45740</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45740</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45740</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45740</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45740</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45740</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45740</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45740</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45740</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45740</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45740</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45740</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45740</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45740</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45740</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45740</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45740</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45740</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45740</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45740</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45740</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45740</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45740</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45740</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45740</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45740</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45740</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45740</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45740</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45740</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45740</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45740</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45740</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45740</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45740</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45740</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45740</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45740</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45740</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45740</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45740</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45740</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45740</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45740</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45740</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45740</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45740</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45740</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45740</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45740</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45740</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45740</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45740</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45740</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45740</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45740</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45740</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45740</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45740</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45740</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45740</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45740</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45740</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45740</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45740</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45740</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45740</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45740</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45740</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45740</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45740</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45740</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45740</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45740</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45740</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45740</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45740</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45740</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45740</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45740</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45740</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45740</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45740</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45740</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45740</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45740</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45740</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45740</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45740</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45740</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45740</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45740</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45740</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45740</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45740</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45740</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45740</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45740</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45740</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45740</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45740</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45740</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45740</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45740</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45740</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45740</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45740</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45740</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45740</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45740</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45740</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45740</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45740</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45740</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45740</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45740</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45740</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45740</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45740</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45740</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45740</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45740</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45740</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45740</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45740</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45740</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45740</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45740</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45740</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45740</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45740</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45740</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45740</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45740</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45740</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45740</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45740</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45740</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45740</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45740</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45740</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45740</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45740</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45740</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45740</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45740</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45740</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45740</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45740</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45740</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45740</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45740</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45740</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45740</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45740</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45740</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45740</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45740</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45740</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45740</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45740</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45740</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45740</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45740</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45740</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45740</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45740</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45740</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45740</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45740</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45740</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45740</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45740</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45740</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45740</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45740</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45740</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45740</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45740</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45740</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45740</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45740</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45740</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45740</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45740</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45740</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45740</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45740</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45740</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45740</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45740</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45740</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45740</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45740</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45740</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45740</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45740</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45740</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45740</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45740</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45740</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45740</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45740</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45740</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45740</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45740</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45740</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45740</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45740</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45740</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45740</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45740</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45740</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45740</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45740</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45740</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45740</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45740</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45740</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45740</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45740</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45740</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45740</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45740</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45740</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45740</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45740</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45740</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45740</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45740</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45740</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45740</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45740</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45740</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45740</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45740</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45740</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45740</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45740</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45740</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45740</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45740</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45740</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45740</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45740</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45740</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45740</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45740</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45740</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45740</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45740</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45740</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45740</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45740</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45740</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45740</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45740</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45740</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45740</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45740</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45740</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45740</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45740</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45740</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45740</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45740</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45740</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45740</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45740</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45740</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45740</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45740</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45740</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45740</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45740</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45740</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45740</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45740</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45740</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45740</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45740</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45740</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45740</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45740</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45740</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45740</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45740</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45740</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45740</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45740</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45740</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45740</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45740</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45740</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45740</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45740</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45740</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45740</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45740</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45740</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45740</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45740</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45740</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45740</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45740</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45740</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45740</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45740</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45740</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45740</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45740</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45740</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45740</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45740</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45740</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45740</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45740</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45740</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45740</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45740</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45740</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45740</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45740</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45740</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45740</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45740</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45740</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45740</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45740</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45740</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45740</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45740</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45740</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45740</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45740</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45740</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45740</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45740</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45740</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45740</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45740</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45740</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45740</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45740</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45740</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45740</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45740</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45740</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45740</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45740</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45740</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45740</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45740</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45740</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45740</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45740</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45740</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45740</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45740</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45740</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45740</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45740</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45740</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45740</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45740</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45740</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45740</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45740</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45740</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45740</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45740</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45740</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45740</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45740</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45740</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45740</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45740</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45740</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45740</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45740</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45740</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45740</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45740</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45740</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45740</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45740</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45740</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45740</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45740</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45740</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45740</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45740</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45740</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45740</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45740</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45740</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45740</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45740</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45740</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45740</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45740</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45740</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45740</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45740</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45740</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45740</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45740</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45740</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45740</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45740</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45740</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45740</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45740</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45740</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45740</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45740</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45740</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45740</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45740</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45740</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45740</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45740</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45740</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45740</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45740</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45740</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45740</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45740</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45740</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45740</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45740</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45740</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45740</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45740</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45740</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45740</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45740</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45740</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45740</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45740</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45740</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45740</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45740</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45740</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45740</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45740</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45740</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45740</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45740</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45740</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45740</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45740</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45740</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45740</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45740</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45740</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45740</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45740</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45740</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45740</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45740</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45740</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45740</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45740</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45740</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45740</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45740</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45740</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45740</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45740</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45740</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45740</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45740</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45740</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45740</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45740</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45740</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45740</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45740</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45740</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45740</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45740</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45740</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45740</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45740</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45740</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45740</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45740</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45740</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45740</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45740</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45740</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45740</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45740</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45740</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45740</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45740</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45740</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45740</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45740</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45740</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45740</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45740</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45740</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45740</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45740</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45740</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45740</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45740</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45740</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45740</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45740</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45740</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45740</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45740</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45740</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45740</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45740</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45740</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45740</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45740</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45740</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45740</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45740</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45740</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45740</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45740</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45740</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45740</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45740</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45740</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45740</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45740</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45740</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45740</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45740</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45740</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45740</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45740</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45740</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45740</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45740</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45740</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45740</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45740</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45740</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45740</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45740</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45740</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45740</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45740</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45740</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45740</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45740</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45740</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45740</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45740</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45740</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45740</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45740</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45740</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45740</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45740</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45740</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45740</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45740</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45740</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45740</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45740</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45740</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45740</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45740</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45740</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45740</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45740</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45740</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45740</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45740</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45740</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45740</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45740</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45740</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45740</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45740</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45740</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45740</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45740</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45740</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45740</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45740</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45740</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45740</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45740</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45740</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45740</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45740</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45740</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45740</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45740</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45740</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45740</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45740</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45740</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45740</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45740</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45740</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45740</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45740</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45740</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45740</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45740</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45740</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45740</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45740</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45740</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45740</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45740</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45740</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45740</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45740</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45740</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45740</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45740</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45740</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45740</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45740</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45740</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45740</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45740</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45740</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45740</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45740</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45740</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45740</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45740</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45740</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45740</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45740</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45740</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45740</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45740</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45740</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45740</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45740</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45740</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45740</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45740</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45740</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45740</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45740</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45740</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45740</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45740</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45740</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45740</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45740</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45740</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45740</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45740</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45740</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45740</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45740</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45740</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45740</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45740</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45740</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45740</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45740</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45740</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45740</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45740</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45740</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45740</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45740</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45740</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45740</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45740</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45740</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45740</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45740</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45740</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45740</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45740</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45740</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45740</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45740</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45740</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45740</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45740</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45740</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45740</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45740</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45740</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45740</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45740</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45740</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45740</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45740</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45740</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45740</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45740</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45740</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45740</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45740</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45740</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45740</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45740</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45740</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45740</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45740</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45740</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45740</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45740</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45740</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45740</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45740</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45740</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45740</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45740</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45740</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45740</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45740</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45740</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45740</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45740</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45740</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45740</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45740</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45740</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45740</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45740</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45740</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45740</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45740</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45740</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45740</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45740</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45740</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45740</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45740</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45740</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45740</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45740</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45740</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45740</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45740</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45740</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45740</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45740</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45740</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45740</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45740</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45740</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45740</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45740</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45740</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45740</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45740</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45740</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45740</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45740</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45740</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45740</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45740</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45740</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45740</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45740</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45740</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45740</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45740</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45740</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45740</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45740</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45740</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45740</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45740</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45740</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45740</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45740</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45740</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45740</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45740</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45740</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45740</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45740</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45740</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45740</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45740</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45740</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45740</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45740</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45740</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45740</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45740</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45740</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45740</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45740</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45740</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45740</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45740</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45740</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45740</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45740</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45740</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45740</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45740</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45740</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45740</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45740</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45740</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45740</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45740</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45740</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45740</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45740</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45740</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45740</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45740</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45740</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45740</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45740</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45740</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45740</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45740</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45740</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45740</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45740</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45740</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45740</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45740</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45740</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45740</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45740</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45740</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45740</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45740</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45740</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45740</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45740</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45740</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45740</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45740</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45740</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45740</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45740</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45740</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45740</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45740</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45740</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45740</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45740</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45740</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45740</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45740</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45740</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45740</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45740</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45740</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45740</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45740</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45740</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45740</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45740</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45740</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45740</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45740</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45740</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45740</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45740</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45740</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45740</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45740</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45740</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45740</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45740</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45740</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45740</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45740</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45740</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45740</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45740</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45740</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45740</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45740</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45740</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45740</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45740</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45740</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45740</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45740</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45740</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45740</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45740</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45740</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45740</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45740</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45740</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45740</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45740</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45740</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45740</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45740</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45740</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45740</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45740</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45740</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45740</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45740</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45740</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45740</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45740</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45740</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45740</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45740</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45740</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45740</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45740</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45740</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45740</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45740</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45740</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45740</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45740</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45740</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45740</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45740</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45740</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45740</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45740</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45740</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45740</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45740</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45740</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45740</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45740</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45740</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45740</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45740</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45740</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45740</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45740</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45740</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45740</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45740</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45740</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45740</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45740</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45740</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45740</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45740</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45740</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45740</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45740</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45740</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45740</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45740</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45740</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45740</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45740</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45740</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45740</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45740</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45740</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45740</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45740</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45740</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45740</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45740</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45740</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45740</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45740</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45740</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45740</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45740</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45740</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45740</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45740</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45740</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45740</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45740</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45740</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45740</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45740</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45740</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45740</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45740</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45740</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45740</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45740</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45740</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45740</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45740</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45740</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45740</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45740</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45740</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45740</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45740</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45740</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45740</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45740</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45740</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45740</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45740</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45740</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45740</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45740</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45740</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45740</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45740</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45740</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45740</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45740</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45740</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45740</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45740</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45740</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45740</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45740</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45740</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45740</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45740</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45740</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45740</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45740</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45740</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45740</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45740</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45740</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45740</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45740</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45740</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45740</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45740</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45740</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45740</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45740</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45740</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45740</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45740</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45740</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45740</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45740</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45740</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45740</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45740</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45740</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45740</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45740</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45740</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45740</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45740</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45740</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45740</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45740</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45740</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45740</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45740</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45740</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45740</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45740</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45740</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45740</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45740</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45740</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45740</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45740</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45740</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45740</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45740</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45740</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45740</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45740</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45740</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45740</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45740</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45740</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45740</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45740</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45740</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45740</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45740</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45740</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45740</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45740</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45740</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45740</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45740</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45740</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45740</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45740</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45740</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45740</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45740</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45740</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45740</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45740</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45740</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45740</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45740</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45740</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45740</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45740</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45740</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45740</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45740</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45740</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45740</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45740</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45740</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45740</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45740</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45740</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45740</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45740</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45740</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45740</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45740</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45740</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45740</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45740</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45740</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45740</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45740</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45740</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45740</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45740</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45740</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45740</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45740</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45740</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45740</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45740</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45740</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45740</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45740</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45740</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45740</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45740</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45740</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45740</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45740</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45740</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45740</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45740</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45740</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45740</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45740</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45740</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45740</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45740</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45740</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45740</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45740</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45740</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45740</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45740</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45740</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45740</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45740</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45740</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45740</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45740</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45740</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45740</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45740</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45740</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45740</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45740</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45740</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45740</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45740</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45740</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45740</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45740</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45740</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45740</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45740</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45740</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45740</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45740</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45740</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45740</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45740</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45740</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45740</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45740</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45740</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45740</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45740</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45740</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45740</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45740</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45740</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45740</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45740</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45740</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45740</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45740</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45740</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45740</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45740</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45740</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45740</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45740</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45740</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45740</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45740</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45740</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45740</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45740</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45740</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45740</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45740</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45740</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45740</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45740</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45740</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45740</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45740</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45740</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45740</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45740</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45740</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45740</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45740</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45740</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45740</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45740</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45740</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45740</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45740</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45740</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45740</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45740</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45740</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45740</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45740</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45740</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45740</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45740</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45740</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45740</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45740</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45740</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45740</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45740</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45740</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45740</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45740</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45740</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45740</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45740</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45740</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45740</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45740</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45740</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45740</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45740</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45740</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45740</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45740</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45740</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45740</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45740</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45740</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45740</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45740</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45740</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45740</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45740</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45740</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45740</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45740</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45740</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45740</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45740</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45740</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45740</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45740</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45740</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45740</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45740</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45740</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45740</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45740</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45740</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45740</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45740</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45740</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45740</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45740</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45740</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45740</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45740</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45740</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45740</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45740</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45740</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45740</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45740</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45740</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45740</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45740</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45740</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45740</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45740</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45740</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45740</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45740</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45740</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45740</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45740</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45740</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45740</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45740</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45740</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45740</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45740</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45740</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45740</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45740</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45740</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45740</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45740</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45740</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45740</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45740</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45740</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45740</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45740</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45740</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45740</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45740</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45740</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45740</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45740</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45740</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45740</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45740</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45740</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45740</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45740</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45740</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45740</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45740</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45740</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45740</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45740</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45740</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45740</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45740</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45740</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45740</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45740</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45740</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45740</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45740</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45740</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45740</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45740</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45740</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45740</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45740</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45740</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45740</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45740</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45740</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45740</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45740</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45740</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45740</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45740</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45740</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45740</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45740</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45740</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45740</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45740</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45740</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45740</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45740</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45740</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45740</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45740</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45740</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45740</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45740</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45740</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45740</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45740</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45740</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45740</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45740</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45740</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45740</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45740</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45740</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45740</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45740</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45740</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45740</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45740</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45740</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45740</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45740</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45740</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45740</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45740</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45740</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45740</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45740</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45740</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45740</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45740</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45740</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45740</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45740</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45740</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45740</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45740</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45740</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45740</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45740</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45740</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45740</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45740</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45740</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45740</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45740</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45740</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45740</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45740</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45740</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45740</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45740</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45740</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45740</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45740</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45740</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45740</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45740</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45740</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45740</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45740</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45740</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45740</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45740</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45740</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45740</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45740</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45740</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45740</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45740</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45740</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45740</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45740</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45740</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45740</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45740</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45740</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45740</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45740</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45740</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45740</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45740</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45740</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45740</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45740</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45740</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45740</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45740</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45740</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45740</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45740</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45740</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45740</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45740</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45740</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45740</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45740</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45740</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45740</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45740</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45740</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45740</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45740</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45740</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45740</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45740</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45740</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45740</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45740</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45740</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45740</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45740</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45740</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45740</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45740</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45740</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45740</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45740</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45740</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45740</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45740</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45740</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45740</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45740</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45740</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45740</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45740</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45740</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45740</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45740</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45740</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45740</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45740</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45740</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45740</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45740</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45740</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45740</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45740</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45740</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45740</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45740</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45740</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45740</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45740</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45740</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45740</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45740</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45740</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45740</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45740</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45740</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45740</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45740</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45740</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45740</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45740</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45740</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45740</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45740</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45740</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45740</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45740</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45740</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45740</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45740</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45740</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45740</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45740</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45740</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45740</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45740</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45740</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45740</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45740</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45740</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45740</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45740</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45740</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45740</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45740</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45740</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45740</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45740</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45740</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45740</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45740</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45740</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45740</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45740</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45740</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45740</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45740</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45740</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45740</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45740</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45740</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45740</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45740</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45740</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45740</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45740</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45740</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45740</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45740</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45740</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45740</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45740</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45740</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45740</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45740</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45740</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45740</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45740</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45740</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45740</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45740</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45740</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45740</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45740</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45740</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45740</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45740</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45740</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45740</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45740</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45740</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45740</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45740</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45740</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45740</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45740</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45740</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45740</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45740</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45740</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45740</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45740</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45740</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45740</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45740</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45740</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45740</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45740</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45740</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45740</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45740</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45740</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45740</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45740</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45740</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45740</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45740</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45740</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45740</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45740</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45740</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45740</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45740</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45740</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45740</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45740</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45740</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45740</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45740</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45740</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45740</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45740</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45740</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45740</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45740</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45740</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45740</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45740</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45740</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45740</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45740</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45740</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45740</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45740</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45740</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45740</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45740</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45740</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45740</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45740</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45740</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45740</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45740</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45740</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45740</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45740</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45740</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45740</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45740</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45740</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45740</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45740</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45740</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45740</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45740</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45740</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45740</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45740</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45740</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45740</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45740</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45740</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45740</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45740</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45740</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45740</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45740</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45740</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45740</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45740</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45740</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45740</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45740</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45740</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45740</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45740</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45740</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45740</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45740</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45740</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45740</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45740</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45740</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45740</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45740</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45740</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45740</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45740</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45740</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45740</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45740</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45740</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45740</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45740</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45740</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45740</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45740</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45740</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45740</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45740</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45740</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45740</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45740</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45740</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45740</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45740</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45740</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45740</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45740</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45740</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45740</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45740</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45740</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45740</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45740</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45740</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45740</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45740</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45740</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45740</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45740</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45740</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45740</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45740</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45740</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45740</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45740</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45740</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45740</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45740</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45740</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45740</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45740</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45740</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45740</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45740</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45740</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45740</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45740</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45740</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45740</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45740</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45740</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45740</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45740</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45740</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45740</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45740</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45740</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45740</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45740</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45740</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45740</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45740</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45740</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45740</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45740</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45740</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45740</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45740</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45740</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45740</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45740</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45740</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45740</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45740</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45740</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45740</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45740</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45740</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45740</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45740</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45740</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45740</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45740</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45740</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45740</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45740</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45740</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45740</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45740</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45740</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45740</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45740</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45740</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45740</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45740</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45740</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45740</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45740</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45740</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45740</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45740</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45740</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45740</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45740</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45740</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45740</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45740</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45740</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45740</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45740</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45740</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45740</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45740</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45740</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45740</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45740</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45740</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45740</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45740</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45740</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45740</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45740</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45740</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45740</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45740</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45740</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45740</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45740</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45740</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45740</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45740</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45740</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45740</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45740</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45740</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45740</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45740</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45740</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45740</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45740</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45740</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45740</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45740</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45740</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45740</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45740</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45740</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45740</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45740</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45740</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45740</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45740</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45740</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45740</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45740</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45740</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45740</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45740</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45740</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45740</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45740</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45740</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45740</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45740</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45740</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45740</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45740</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45740</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45740</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45740</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45740</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45740</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45740</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45740</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45740</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45740</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45740</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45740</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45740</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45740</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45740</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45740</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45740</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45740</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45740</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45740</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45740</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45740</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45740</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45740</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45740</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45740</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45740</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45740</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45740</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45740</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45740</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45740</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45740</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45740</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45740</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45740</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45740</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45740</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45740</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45740</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45740</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45740</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45740</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45740</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45740</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45740</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45740</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45740</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45740</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45740</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45740</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45740</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45740</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45740</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45740</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45740</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45740</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45740</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45740</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45740</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45740</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45740</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45740</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45740</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45740</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45740</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45740</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45740</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45740</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45740</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45740</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45740</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45740</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45740</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45740</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45740</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45740</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45740</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45740</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45740</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45740</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45740</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45740</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45740</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45740</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45740</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45740</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45740</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45740</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45740</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45740</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45740</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45740</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45740</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45740</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45740</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45740</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45740</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45740</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45740</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45740</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45740</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45740</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45740</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45740</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45740</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45740</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45740</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45740</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45740</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45740</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45740</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45740</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45740</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45740</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45740</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45740</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45740</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45740</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45740</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45740</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45740</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45740</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45740</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45740</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45740</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45740</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45740</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45740</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45740</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45740</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45740</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45740</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45740</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45740</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45740</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45740</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45740</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45740</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45740</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45740</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45740</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45740</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45740</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45740</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45740</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45740</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45740</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45740</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45740</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45740</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45740</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45740</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45740</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45740</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45740</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45740</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45740</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45740</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45740</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45740</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45740</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45740</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45740</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45740</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45740</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45740</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45740</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45740</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45740</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45740</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45740</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45740</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45740</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45740</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45740</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45740</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45740</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45740</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45740</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45740</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45740</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45740</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45740</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45740</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45740</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45740</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45740</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45740</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45740</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45740</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45740</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45740</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45740</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45740</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45740</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45740</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45740</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45740</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45740</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45740</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45740</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45740</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45740</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45740</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45740</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45740</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45740</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45740</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45740</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45740</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45740</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45740</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45740</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45740</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45740</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45740</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45740</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45740</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45740</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45740</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45740</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45740</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45740</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45740</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45740</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45740</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45740</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45740</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45740</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45740</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45740</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45740</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45740</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45740</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45740</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45740</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45740</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45740</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45740</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45740</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45740</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45740</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45740</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45740</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45740</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45740</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45740</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45740</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45740</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45740</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45740</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45740</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45740</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45740</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45740</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45740</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45740</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45740</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45740</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45740</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45740</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45740</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45740</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45740</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45740</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45740</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45740</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45740</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45740</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45740</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45740</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45740</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45740</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45740</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45740</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45740</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45740</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45740</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45740</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45740</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45740</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45740</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45740</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45740</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45740</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45740</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45740</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45740</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45740</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45740</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45740</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45740</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45740</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45740</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45740</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45740</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45740</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45740</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45740</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45740</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45740</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45740</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45740</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45740</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45740</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45740</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45740</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45740</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45740</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45740</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45740</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45740</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45740</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45740</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45740</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45740</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45740</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45740</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45740</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45740</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45740</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45740</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45740</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45740</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45740</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45740</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45740</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45740</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45740</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45740</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45740</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45740</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45740</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45740</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45740</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45740</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45740</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45740</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45740</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45740</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45740</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45740</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45740</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45740</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45740</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45740</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45740</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45740</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45740</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45740</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45740</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45740</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45740</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45740</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45740</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45740</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45740</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45740</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45740</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45740</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45740</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45740</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45740</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45740</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45740</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45740</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45740</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45740</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45740</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45740</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45740</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45740</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45740</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45740</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45740</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45740</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45740</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45740</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45740</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45740</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45740</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45740</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45740</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45740</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45740</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45740</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45740</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45740</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45740</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45740</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45740</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45740</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45740</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45740</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45740</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45740</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45740</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45740</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45740</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45740</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45740</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45740</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45740</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45740</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45740</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45740</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45740</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45740</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45740</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45740</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45740</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45740</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45740</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45740</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45740</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45740</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45740</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45740</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45740</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45740</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45740</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45740</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45740</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45740</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45740</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45740</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45740</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45740</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45740</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45740</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45740</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45740</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45740</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45740</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45740</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45740</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45740</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45740</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45740</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45740</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45740</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45740</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45740</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45740</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45740</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45740</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45740</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45740</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45740</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45740</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45740</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45740</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45740</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45740</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45740</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45740</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45740</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45740</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45740</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45740</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45740</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45740</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45740</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45740</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45740</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45740</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45740</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45740</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45740</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45740</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45740</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45740</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45740</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45740</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45740</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45740</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45740</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45740</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45740</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45740</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45740</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45740</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45740</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45740</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45740</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45740</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45740</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45740</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45740</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45740</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45740</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45740</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45740</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45740</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45740</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45740</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45740</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45740</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45740</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45740</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45740</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45740</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45740</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45740</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45740</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45740</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45740</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45740</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45740</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45740</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45740</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45740</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45740</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45740</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45740</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45740</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45740</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45740</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45740</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45740</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45740</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45740</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45740</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45740</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45740</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45740</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45740</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45740</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45740</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45740</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45740</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45740</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45740</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45740</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45740</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45740</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45740</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45740</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45740</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45740</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45740</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45740</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45740</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45740</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45740</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45740</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45740</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45740</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45740</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45740</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45740</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45740</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45740</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45740</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45740</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45740</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45740</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45740</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45740</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45740</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45740</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45740</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45740</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45740</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45740</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45740</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45740</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45740</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45740</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45740</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45740</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45740</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45740</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45740</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45740</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45740</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45740</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45740</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45740</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45740</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45740</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45740</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45740</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45740</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45740</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45740</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45740</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45740</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45740</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45740</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45740</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45740</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45740</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45740</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45740</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45740</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45740</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45740</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45740</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45740</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45740</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45740</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45740</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45740</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45740</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45740</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45740</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45740</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45740</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45740</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45740</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45740</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45740</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45740</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45740</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45740</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45740</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45740</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45740</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45740</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45740</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45740</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45740</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45740</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45740</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45740</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45740</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45740</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45740</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45740</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45740</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45740</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45740</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45740</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45740</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45740</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45740</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45740</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45740</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45740</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45740</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45740</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45740</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45740</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45740</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45740</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45740</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45740</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45740</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45740</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45740</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45740</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45740</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45740</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45740</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45740</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45740</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45740</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45740</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45740</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45740</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45740</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45740</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45740</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45740</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45740</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45740</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45740</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45740</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45740</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45740</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45740</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45740</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45740</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45740</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45740</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45740</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45740</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45740</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45740</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45740</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45740</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45740</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45740</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45740</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45740</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45740</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45740</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45740</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45740</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45740</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45740</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45740</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45740</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45740</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45740</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45740</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45740</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45740</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45740</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45740</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45740</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45740</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45740</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45740</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45740</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45740</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45740</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45740</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45740</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45740</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45740</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45740</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45740</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45740</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45740</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45740</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45740</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45740</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45740</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45740</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45740</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45740</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45740</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45740</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45740</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45740</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45740</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45740</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45740</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45740</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45740</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45740</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45740</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45740</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45740</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45740</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45740</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45740</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45740</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45740</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45740</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45740</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45740</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45740</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45740</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45740</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45740</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45740</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45740</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45740</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45740</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45740</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45740</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45740</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45740</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45740</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45740</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45740</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45740</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45740</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45740</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45740</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45740</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45740</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45740</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45740</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45740</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45740</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45740</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45740</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45740</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45740</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45740</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45740</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45740</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45740</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45740</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45740</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45740</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45740</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45740</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45740</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45740</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45740</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45740</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45740</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45740</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45740</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45740</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45740</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45740</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45740</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45740</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45740</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45740</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45740</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45740</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45740</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45740</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45740</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45740</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45740</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45740</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45740</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45740</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45740</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45740</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45740</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45740</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45740</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45740</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45740</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45740</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45740</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45740</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45740</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45740</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45740</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45740</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45740</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45740</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45740</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45740</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45740</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45740</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45740</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45740</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45740</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45740</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45740</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45740</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45740</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45740</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45740</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45740</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45740</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45740</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45740</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45740</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45740</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45740</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45740</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45740</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45740</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45740</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45740</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45740</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45740</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45740</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45740</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45740</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45740</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45740</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45740</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45740</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45740</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45740</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45740</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45740</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45740</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45740</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45740</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45740</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45740</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45740</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45740</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45740</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45740</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8657-2025</t>
        </is>
      </c>
      <c r="B3802" s="1" t="n">
        <v>45712</v>
      </c>
      <c r="C3802" s="1" t="n">
        <v>45740</v>
      </c>
      <c r="D3802" t="inlineStr">
        <is>
          <t>VÄSTERNORRLANDS LÄN</t>
        </is>
      </c>
      <c r="E3802" t="inlineStr">
        <is>
          <t>SOLLEFTEÅ</t>
        </is>
      </c>
      <c r="F3802" t="inlineStr">
        <is>
          <t>SCA</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8712-2025</t>
        </is>
      </c>
      <c r="B3803" s="1" t="n">
        <v>45712</v>
      </c>
      <c r="C3803" s="1" t="n">
        <v>45740</v>
      </c>
      <c r="D3803" t="inlineStr">
        <is>
          <t>VÄSTERNORRLANDS LÄN</t>
        </is>
      </c>
      <c r="E3803" t="inlineStr">
        <is>
          <t>SOLLEFTEÅ</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45740</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8814-2025</t>
        </is>
      </c>
      <c r="B3805" s="1" t="n">
        <v>45712</v>
      </c>
      <c r="C3805" s="1" t="n">
        <v>45740</v>
      </c>
      <c r="D3805" t="inlineStr">
        <is>
          <t>VÄSTERNORRLANDS LÄN</t>
        </is>
      </c>
      <c r="E3805" t="inlineStr">
        <is>
          <t>SOLLEFTEÅ</t>
        </is>
      </c>
      <c r="F3805" t="inlineStr">
        <is>
          <t>Kyrkan</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8653-2025</t>
        </is>
      </c>
      <c r="B3806" s="1" t="n">
        <v>45712</v>
      </c>
      <c r="C3806" s="1" t="n">
        <v>45740</v>
      </c>
      <c r="D3806" t="inlineStr">
        <is>
          <t>VÄSTERNORRLANDS LÄN</t>
        </is>
      </c>
      <c r="E3806" t="inlineStr">
        <is>
          <t>SOLLEFTEÅ</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45740</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8851-2025</t>
        </is>
      </c>
      <c r="B3808" s="1" t="n">
        <v>45713</v>
      </c>
      <c r="C3808" s="1" t="n">
        <v>45740</v>
      </c>
      <c r="D3808" t="inlineStr">
        <is>
          <t>VÄSTERNORRLANDS LÄN</t>
        </is>
      </c>
      <c r="E3808" t="inlineStr">
        <is>
          <t>SOLLEFTEÅ</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8893-2025</t>
        </is>
      </c>
      <c r="B3809" s="1" t="n">
        <v>45713</v>
      </c>
      <c r="C3809" s="1" t="n">
        <v>45740</v>
      </c>
      <c r="D3809" t="inlineStr">
        <is>
          <t>VÄSTERNORRLANDS LÄN</t>
        </is>
      </c>
      <c r="E3809" t="inlineStr">
        <is>
          <t>SOLLEFTEÅ</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8895-2025</t>
        </is>
      </c>
      <c r="B3810" s="1" t="n">
        <v>45713</v>
      </c>
      <c r="C3810" s="1" t="n">
        <v>45740</v>
      </c>
      <c r="D3810" t="inlineStr">
        <is>
          <t>VÄSTERNORRLANDS LÄN</t>
        </is>
      </c>
      <c r="E3810" t="inlineStr">
        <is>
          <t>SOLLEFTEÅ</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9072-2025</t>
        </is>
      </c>
      <c r="B3811" s="1" t="n">
        <v>45713</v>
      </c>
      <c r="C3811" s="1" t="n">
        <v>45740</v>
      </c>
      <c r="D3811" t="inlineStr">
        <is>
          <t>VÄSTERNORRLANDS LÄN</t>
        </is>
      </c>
      <c r="E3811" t="inlineStr">
        <is>
          <t>SOLLEFTEÅ</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8854-2025</t>
        </is>
      </c>
      <c r="B3812" s="1" t="n">
        <v>45713</v>
      </c>
      <c r="C3812" s="1" t="n">
        <v>45740</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8894-2025</t>
        </is>
      </c>
      <c r="B3813" s="1" t="n">
        <v>45713</v>
      </c>
      <c r="C3813" s="1" t="n">
        <v>45740</v>
      </c>
      <c r="D3813" t="inlineStr">
        <is>
          <t>VÄSTERNORRLANDS LÄN</t>
        </is>
      </c>
      <c r="E3813" t="inlineStr">
        <is>
          <t>SOLLEFTEÅ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8914-2025</t>
        </is>
      </c>
      <c r="B3814" s="1" t="n">
        <v>45713</v>
      </c>
      <c r="C3814" s="1" t="n">
        <v>45740</v>
      </c>
      <c r="D3814" t="inlineStr">
        <is>
          <t>VÄSTERNORRLANDS LÄN</t>
        </is>
      </c>
      <c r="E3814" t="inlineStr">
        <is>
          <t>SOLLEFTEÅ</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9089-2025</t>
        </is>
      </c>
      <c r="B3815" s="1" t="n">
        <v>45713</v>
      </c>
      <c r="C3815" s="1" t="n">
        <v>45740</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9070-2025</t>
        </is>
      </c>
      <c r="B3816" s="1" t="n">
        <v>45713</v>
      </c>
      <c r="C3816" s="1" t="n">
        <v>45740</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9151-2025</t>
        </is>
      </c>
      <c r="B3817" s="1" t="n">
        <v>45714</v>
      </c>
      <c r="C3817" s="1" t="n">
        <v>45740</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9163-2025</t>
        </is>
      </c>
      <c r="B3818" s="1" t="n">
        <v>45714</v>
      </c>
      <c r="C3818" s="1" t="n">
        <v>45740</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9237-2025</t>
        </is>
      </c>
      <c r="B3819" s="1" t="n">
        <v>45714</v>
      </c>
      <c r="C3819" s="1" t="n">
        <v>45740</v>
      </c>
      <c r="D3819" t="inlineStr">
        <is>
          <t>VÄSTERNORRLANDS LÄN</t>
        </is>
      </c>
      <c r="E3819" t="inlineStr">
        <is>
          <t>SOLLEFTEÅ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9245-2025</t>
        </is>
      </c>
      <c r="B3820" s="1" t="n">
        <v>45714</v>
      </c>
      <c r="C3820" s="1" t="n">
        <v>45740</v>
      </c>
      <c r="D3820" t="inlineStr">
        <is>
          <t>VÄSTERNORRLANDS LÄN</t>
        </is>
      </c>
      <c r="E3820" t="inlineStr">
        <is>
          <t>SOLLEFTEÅ</t>
        </is>
      </c>
      <c r="G3820" t="n">
        <v>13.7</v>
      </c>
      <c r="H3820" t="n">
        <v>0</v>
      </c>
      <c r="I3820" t="n">
        <v>0</v>
      </c>
      <c r="J3820" t="n">
        <v>0</v>
      </c>
      <c r="K3820" t="n">
        <v>0</v>
      </c>
      <c r="L3820" t="n">
        <v>0</v>
      </c>
      <c r="M3820" t="n">
        <v>0</v>
      </c>
      <c r="N3820" t="n">
        <v>0</v>
      </c>
      <c r="O3820" t="n">
        <v>0</v>
      </c>
      <c r="P3820" t="n">
        <v>0</v>
      </c>
      <c r="Q3820" t="n">
        <v>0</v>
      </c>
      <c r="R3820" s="2" t="inlineStr"/>
    </row>
    <row r="3821" ht="15" customHeight="1">
      <c r="A3821" t="inlineStr">
        <is>
          <t>A 9253-2025</t>
        </is>
      </c>
      <c r="B3821" s="1" t="n">
        <v>45714</v>
      </c>
      <c r="C3821" s="1" t="n">
        <v>45740</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9305-2025</t>
        </is>
      </c>
      <c r="B3822" s="1" t="n">
        <v>45714</v>
      </c>
      <c r="C3822" s="1" t="n">
        <v>45740</v>
      </c>
      <c r="D3822" t="inlineStr">
        <is>
          <t>VÄSTERNORRLANDS LÄN</t>
        </is>
      </c>
      <c r="E3822" t="inlineStr">
        <is>
          <t>SOLLEFTEÅ</t>
        </is>
      </c>
      <c r="F3822" t="inlineStr">
        <is>
          <t>SCA</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9254-2025</t>
        </is>
      </c>
      <c r="B3823" s="1" t="n">
        <v>45714</v>
      </c>
      <c r="C3823" s="1" t="n">
        <v>45740</v>
      </c>
      <c r="D3823" t="inlineStr">
        <is>
          <t>VÄSTERNORRLANDS LÄN</t>
        </is>
      </c>
      <c r="E3823" t="inlineStr">
        <is>
          <t>SOLLEFTEÅ</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9606-2025</t>
        </is>
      </c>
      <c r="B3824" s="1" t="n">
        <v>45715</v>
      </c>
      <c r="C3824" s="1" t="n">
        <v>45740</v>
      </c>
      <c r="D3824" t="inlineStr">
        <is>
          <t>VÄSTERNORRLANDS LÄN</t>
        </is>
      </c>
      <c r="E3824" t="inlineStr">
        <is>
          <t>SOLLEFTEÅ</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9608-2025</t>
        </is>
      </c>
      <c r="B3825" s="1" t="n">
        <v>45715</v>
      </c>
      <c r="C3825" s="1" t="n">
        <v>45740</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9607-2025</t>
        </is>
      </c>
      <c r="B3826" s="1" t="n">
        <v>45715</v>
      </c>
      <c r="C3826" s="1" t="n">
        <v>45740</v>
      </c>
      <c r="D3826" t="inlineStr">
        <is>
          <t>VÄSTERNORRLANDS LÄN</t>
        </is>
      </c>
      <c r="E3826" t="inlineStr">
        <is>
          <t>SOLLEFTEÅ</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45740</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9754-2025</t>
        </is>
      </c>
      <c r="B3828" s="1" t="n">
        <v>45716</v>
      </c>
      <c r="C3828" s="1" t="n">
        <v>45740</v>
      </c>
      <c r="D3828" t="inlineStr">
        <is>
          <t>VÄSTERNORRLANDS LÄN</t>
        </is>
      </c>
      <c r="E3828" t="inlineStr">
        <is>
          <t>SOLLEFTEÅ</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9708-2025</t>
        </is>
      </c>
      <c r="B3829" s="1" t="n">
        <v>45716</v>
      </c>
      <c r="C3829" s="1" t="n">
        <v>45740</v>
      </c>
      <c r="D3829" t="inlineStr">
        <is>
          <t>VÄSTERNORRLANDS LÄN</t>
        </is>
      </c>
      <c r="E3829" t="inlineStr">
        <is>
          <t>SOLLEFTEÅ</t>
        </is>
      </c>
      <c r="F3829" t="inlineStr">
        <is>
          <t>SCA</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9720-2025</t>
        </is>
      </c>
      <c r="B3830" s="1" t="n">
        <v>45716</v>
      </c>
      <c r="C3830" s="1" t="n">
        <v>45740</v>
      </c>
      <c r="D3830" t="inlineStr">
        <is>
          <t>VÄSTERNORRLANDS LÄN</t>
        </is>
      </c>
      <c r="E3830" t="inlineStr">
        <is>
          <t>SOLLEFTEÅ</t>
        </is>
      </c>
      <c r="F3830" t="inlineStr">
        <is>
          <t>SCA</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45740</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9967-2025</t>
        </is>
      </c>
      <c r="B3832" s="1" t="n">
        <v>45719</v>
      </c>
      <c r="C3832" s="1" t="n">
        <v>45740</v>
      </c>
      <c r="D3832" t="inlineStr">
        <is>
          <t>VÄSTERNORRLANDS LÄN</t>
        </is>
      </c>
      <c r="E3832" t="inlineStr">
        <is>
          <t>SOLLEFTEÅ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9950-2025</t>
        </is>
      </c>
      <c r="B3833" s="1" t="n">
        <v>45719</v>
      </c>
      <c r="C3833" s="1" t="n">
        <v>45740</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9966-2025</t>
        </is>
      </c>
      <c r="B3834" s="1" t="n">
        <v>45719</v>
      </c>
      <c r="C3834" s="1" t="n">
        <v>45740</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10237-2025</t>
        </is>
      </c>
      <c r="B3835" s="1" t="n">
        <v>45720</v>
      </c>
      <c r="C3835" s="1" t="n">
        <v>45740</v>
      </c>
      <c r="D3835" t="inlineStr">
        <is>
          <t>VÄSTERNORRLANDS LÄN</t>
        </is>
      </c>
      <c r="E3835" t="inlineStr">
        <is>
          <t>SOLLEFTEÅ</t>
        </is>
      </c>
      <c r="F3835" t="inlineStr">
        <is>
          <t>SCA</t>
        </is>
      </c>
      <c r="G3835" t="n">
        <v>13.5</v>
      </c>
      <c r="H3835" t="n">
        <v>0</v>
      </c>
      <c r="I3835" t="n">
        <v>0</v>
      </c>
      <c r="J3835" t="n">
        <v>0</v>
      </c>
      <c r="K3835" t="n">
        <v>0</v>
      </c>
      <c r="L3835" t="n">
        <v>0</v>
      </c>
      <c r="M3835" t="n">
        <v>0</v>
      </c>
      <c r="N3835" t="n">
        <v>0</v>
      </c>
      <c r="O3835" t="n">
        <v>0</v>
      </c>
      <c r="P3835" t="n">
        <v>0</v>
      </c>
      <c r="Q3835" t="n">
        <v>0</v>
      </c>
      <c r="R3835" s="2" t="inlineStr"/>
    </row>
    <row r="3836" ht="15" customHeight="1">
      <c r="A3836" t="inlineStr">
        <is>
          <t>A 10240-2025</t>
        </is>
      </c>
      <c r="B3836" s="1" t="n">
        <v>45720</v>
      </c>
      <c r="C3836" s="1" t="n">
        <v>45740</v>
      </c>
      <c r="D3836" t="inlineStr">
        <is>
          <t>VÄSTERNORRLANDS LÄN</t>
        </is>
      </c>
      <c r="E3836" t="inlineStr">
        <is>
          <t>SOLLEFTEÅ</t>
        </is>
      </c>
      <c r="F3836" t="inlineStr">
        <is>
          <t>SCA</t>
        </is>
      </c>
      <c r="G3836" t="n">
        <v>18.8</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45740</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10437-2025</t>
        </is>
      </c>
      <c r="B3838" s="1" t="n">
        <v>45720</v>
      </c>
      <c r="C3838" s="1" t="n">
        <v>45740</v>
      </c>
      <c r="D3838" t="inlineStr">
        <is>
          <t>VÄSTERNORRLANDS LÄN</t>
        </is>
      </c>
      <c r="E3838" t="inlineStr">
        <is>
          <t>SOLLEFTEÅ</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10438-2025</t>
        </is>
      </c>
      <c r="B3839" s="1" t="n">
        <v>45720</v>
      </c>
      <c r="C3839" s="1" t="n">
        <v>45740</v>
      </c>
      <c r="D3839" t="inlineStr">
        <is>
          <t>VÄSTERNORRLANDS LÄN</t>
        </is>
      </c>
      <c r="E3839" t="inlineStr">
        <is>
          <t>SOLLEFTEÅ</t>
        </is>
      </c>
      <c r="F3839" t="inlineStr">
        <is>
          <t>SCA</t>
        </is>
      </c>
      <c r="G3839" t="n">
        <v>14.6</v>
      </c>
      <c r="H3839" t="n">
        <v>0</v>
      </c>
      <c r="I3839" t="n">
        <v>0</v>
      </c>
      <c r="J3839" t="n">
        <v>0</v>
      </c>
      <c r="K3839" t="n">
        <v>0</v>
      </c>
      <c r="L3839" t="n">
        <v>0</v>
      </c>
      <c r="M3839" t="n">
        <v>0</v>
      </c>
      <c r="N3839" t="n">
        <v>0</v>
      </c>
      <c r="O3839" t="n">
        <v>0</v>
      </c>
      <c r="P3839" t="n">
        <v>0</v>
      </c>
      <c r="Q3839" t="n">
        <v>0</v>
      </c>
      <c r="R3839" s="2" t="inlineStr"/>
    </row>
    <row r="3840" ht="15" customHeight="1">
      <c r="A3840" t="inlineStr">
        <is>
          <t>A 10726-2025</t>
        </is>
      </c>
      <c r="B3840" s="1" t="n">
        <v>45722</v>
      </c>
      <c r="C3840" s="1" t="n">
        <v>45740</v>
      </c>
      <c r="D3840" t="inlineStr">
        <is>
          <t>VÄSTERNORRLANDS LÄN</t>
        </is>
      </c>
      <c r="E3840" t="inlineStr">
        <is>
          <t>SOLLEFTEÅ</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10738-2025</t>
        </is>
      </c>
      <c r="B3841" s="1" t="n">
        <v>45722</v>
      </c>
      <c r="C3841" s="1" t="n">
        <v>45740</v>
      </c>
      <c r="D3841" t="inlineStr">
        <is>
          <t>VÄSTERNORRLANDS LÄN</t>
        </is>
      </c>
      <c r="E3841" t="inlineStr">
        <is>
          <t>SOLLEFTEÅ</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10725-2025</t>
        </is>
      </c>
      <c r="B3842" s="1" t="n">
        <v>45722</v>
      </c>
      <c r="C3842" s="1" t="n">
        <v>45740</v>
      </c>
      <c r="D3842" t="inlineStr">
        <is>
          <t>VÄSTERNORRLANDS LÄN</t>
        </is>
      </c>
      <c r="E3842" t="inlineStr">
        <is>
          <t>SOLLEFTEÅ</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45740</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10865-2025</t>
        </is>
      </c>
      <c r="B3844" s="1" t="n">
        <v>45722</v>
      </c>
      <c r="C3844" s="1" t="n">
        <v>45740</v>
      </c>
      <c r="D3844" t="inlineStr">
        <is>
          <t>VÄSTERNORRLANDS LÄN</t>
        </is>
      </c>
      <c r="E3844" t="inlineStr">
        <is>
          <t>SOLLEFTEÅ</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10950-2025</t>
        </is>
      </c>
      <c r="B3845" s="1" t="n">
        <v>45723</v>
      </c>
      <c r="C3845" s="1" t="n">
        <v>45740</v>
      </c>
      <c r="D3845" t="inlineStr">
        <is>
          <t>VÄSTERNORRLANDS LÄN</t>
        </is>
      </c>
      <c r="E3845" t="inlineStr">
        <is>
          <t>SOLLEFTEÅ</t>
        </is>
      </c>
      <c r="F3845" t="inlineStr">
        <is>
          <t>SCA</t>
        </is>
      </c>
      <c r="G3845" t="n">
        <v>32.3</v>
      </c>
      <c r="H3845" t="n">
        <v>0</v>
      </c>
      <c r="I3845" t="n">
        <v>0</v>
      </c>
      <c r="J3845" t="n">
        <v>0</v>
      </c>
      <c r="K3845" t="n">
        <v>0</v>
      </c>
      <c r="L3845" t="n">
        <v>0</v>
      </c>
      <c r="M3845" t="n">
        <v>0</v>
      </c>
      <c r="N3845" t="n">
        <v>0</v>
      </c>
      <c r="O3845" t="n">
        <v>0</v>
      </c>
      <c r="P3845" t="n">
        <v>0</v>
      </c>
      <c r="Q3845" t="n">
        <v>0</v>
      </c>
      <c r="R3845" s="2" t="inlineStr"/>
    </row>
    <row r="3846" ht="15" customHeight="1">
      <c r="A3846" t="inlineStr">
        <is>
          <t>A 10967-2025</t>
        </is>
      </c>
      <c r="B3846" s="1" t="n">
        <v>45723</v>
      </c>
      <c r="C3846" s="1" t="n">
        <v>45740</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10968-2025</t>
        </is>
      </c>
      <c r="B3847" s="1" t="n">
        <v>45723</v>
      </c>
      <c r="C3847" s="1" t="n">
        <v>45740</v>
      </c>
      <c r="D3847" t="inlineStr">
        <is>
          <t>VÄSTERNORRLANDS LÄN</t>
        </is>
      </c>
      <c r="E3847" t="inlineStr">
        <is>
          <t>SOLLEFTEÅ</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45740</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10981-2025</t>
        </is>
      </c>
      <c r="B3849" s="1" t="n">
        <v>45723</v>
      </c>
      <c r="C3849" s="1" t="n">
        <v>45740</v>
      </c>
      <c r="D3849" t="inlineStr">
        <is>
          <t>VÄSTERNORRLANDS LÄN</t>
        </is>
      </c>
      <c r="E3849" t="inlineStr">
        <is>
          <t>SOLLEFTEÅ</t>
        </is>
      </c>
      <c r="F3849" t="inlineStr">
        <is>
          <t>SCA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45740</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10971-2025</t>
        </is>
      </c>
      <c r="B3851" s="1" t="n">
        <v>45723</v>
      </c>
      <c r="C3851" s="1" t="n">
        <v>45740</v>
      </c>
      <c r="D3851" t="inlineStr">
        <is>
          <t>VÄSTERNORRLANDS LÄN</t>
        </is>
      </c>
      <c r="E3851" t="inlineStr">
        <is>
          <t>SOLLEFTEÅ</t>
        </is>
      </c>
      <c r="F3851" t="inlineStr">
        <is>
          <t>SCA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45740</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11057-2025</t>
        </is>
      </c>
      <c r="B3853" s="1" t="n">
        <v>45723</v>
      </c>
      <c r="C3853" s="1" t="n">
        <v>45740</v>
      </c>
      <c r="D3853" t="inlineStr">
        <is>
          <t>VÄSTERNORRLANDS LÄN</t>
        </is>
      </c>
      <c r="E3853" t="inlineStr">
        <is>
          <t>SOLLEFTEÅ</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11108-2025</t>
        </is>
      </c>
      <c r="B3854" s="1" t="n">
        <v>45723</v>
      </c>
      <c r="C3854" s="1" t="n">
        <v>45740</v>
      </c>
      <c r="D3854" t="inlineStr">
        <is>
          <t>VÄSTERNORRLANDS LÄN</t>
        </is>
      </c>
      <c r="E3854" t="inlineStr">
        <is>
          <t>SOLLEFTEÅ</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11134-2025</t>
        </is>
      </c>
      <c r="B3855" s="1" t="n">
        <v>45723</v>
      </c>
      <c r="C3855" s="1" t="n">
        <v>45740</v>
      </c>
      <c r="D3855" t="inlineStr">
        <is>
          <t>VÄSTERNORRLANDS LÄN</t>
        </is>
      </c>
      <c r="E3855" t="inlineStr">
        <is>
          <t>SOLLEFTEÅ</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11338-2025</t>
        </is>
      </c>
      <c r="B3856" s="1" t="n">
        <v>45726</v>
      </c>
      <c r="C3856" s="1" t="n">
        <v>45740</v>
      </c>
      <c r="D3856" t="inlineStr">
        <is>
          <t>VÄSTERNORRLANDS LÄN</t>
        </is>
      </c>
      <c r="E3856" t="inlineStr">
        <is>
          <t>SOLLEFTEÅ</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11455-2025</t>
        </is>
      </c>
      <c r="B3857" s="1" t="n">
        <v>45726</v>
      </c>
      <c r="C3857" s="1" t="n">
        <v>45740</v>
      </c>
      <c r="D3857" t="inlineStr">
        <is>
          <t>VÄSTERNORRLANDS LÄN</t>
        </is>
      </c>
      <c r="E3857" t="inlineStr">
        <is>
          <t>SOLLEFTEÅ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11449-2025</t>
        </is>
      </c>
      <c r="B3858" s="1" t="n">
        <v>45726</v>
      </c>
      <c r="C3858" s="1" t="n">
        <v>45740</v>
      </c>
      <c r="D3858" t="inlineStr">
        <is>
          <t>VÄSTERNORRLANDS LÄN</t>
        </is>
      </c>
      <c r="E3858" t="inlineStr">
        <is>
          <t>SOLLEFTEÅ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45740</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11711-2025</t>
        </is>
      </c>
      <c r="B3860" s="1" t="n">
        <v>45727</v>
      </c>
      <c r="C3860" s="1" t="n">
        <v>45740</v>
      </c>
      <c r="D3860" t="inlineStr">
        <is>
          <t>VÄSTERNORRLANDS LÄN</t>
        </is>
      </c>
      <c r="E3860" t="inlineStr">
        <is>
          <t>SOLLEFTEÅ</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11698-2025</t>
        </is>
      </c>
      <c r="B3861" s="1" t="n">
        <v>45727</v>
      </c>
      <c r="C3861" s="1" t="n">
        <v>45740</v>
      </c>
      <c r="D3861" t="inlineStr">
        <is>
          <t>VÄSTERNORRLANDS LÄN</t>
        </is>
      </c>
      <c r="E3861" t="inlineStr">
        <is>
          <t>SOLLEFTEÅ</t>
        </is>
      </c>
      <c r="F3861" t="inlineStr">
        <is>
          <t>SCA</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11746-2025</t>
        </is>
      </c>
      <c r="B3862" s="1" t="n">
        <v>45727</v>
      </c>
      <c r="C3862" s="1" t="n">
        <v>45740</v>
      </c>
      <c r="D3862" t="inlineStr">
        <is>
          <t>VÄSTERNORRLANDS LÄN</t>
        </is>
      </c>
      <c r="E3862" t="inlineStr">
        <is>
          <t>SOLLEFTEÅ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11727-2025</t>
        </is>
      </c>
      <c r="B3863" s="1" t="n">
        <v>45727</v>
      </c>
      <c r="C3863" s="1" t="n">
        <v>45740</v>
      </c>
      <c r="D3863" t="inlineStr">
        <is>
          <t>VÄSTERNORRLANDS LÄN</t>
        </is>
      </c>
      <c r="E3863" t="inlineStr">
        <is>
          <t>SOLLEFTEÅ</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11982-2025</t>
        </is>
      </c>
      <c r="B3864" s="1" t="n">
        <v>45728</v>
      </c>
      <c r="C3864" s="1" t="n">
        <v>45740</v>
      </c>
      <c r="D3864" t="inlineStr">
        <is>
          <t>VÄSTERNORRLANDS LÄN</t>
        </is>
      </c>
      <c r="E3864" t="inlineStr">
        <is>
          <t>SOLLEFTEÅ</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12062-2025</t>
        </is>
      </c>
      <c r="B3865" s="1" t="n">
        <v>45728</v>
      </c>
      <c r="C3865" s="1" t="n">
        <v>45740</v>
      </c>
      <c r="D3865" t="inlineStr">
        <is>
          <t>VÄSTERNORRLANDS LÄN</t>
        </is>
      </c>
      <c r="E3865" t="inlineStr">
        <is>
          <t>SOLLEFTEÅ</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12063-2025</t>
        </is>
      </c>
      <c r="B3866" s="1" t="n">
        <v>45728</v>
      </c>
      <c r="C3866" s="1" t="n">
        <v>45740</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12061-2025</t>
        </is>
      </c>
      <c r="B3867" s="1" t="n">
        <v>45728</v>
      </c>
      <c r="C3867" s="1" t="n">
        <v>45740</v>
      </c>
      <c r="D3867" t="inlineStr">
        <is>
          <t>VÄSTERNORRLANDS LÄN</t>
        </is>
      </c>
      <c r="E3867" t="inlineStr">
        <is>
          <t>SOLLEFTEÅ</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12064-2025</t>
        </is>
      </c>
      <c r="B3868" s="1" t="n">
        <v>45728</v>
      </c>
      <c r="C3868" s="1" t="n">
        <v>45740</v>
      </c>
      <c r="D3868" t="inlineStr">
        <is>
          <t>VÄSTERNORRLANDS LÄN</t>
        </is>
      </c>
      <c r="E3868" t="inlineStr">
        <is>
          <t>SOLLEFTEÅ</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12361-2025</t>
        </is>
      </c>
      <c r="B3869" s="1" t="n">
        <v>45730</v>
      </c>
      <c r="C3869" s="1" t="n">
        <v>45740</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12355-2025</t>
        </is>
      </c>
      <c r="B3870" s="1" t="n">
        <v>45730</v>
      </c>
      <c r="C3870" s="1" t="n">
        <v>45740</v>
      </c>
      <c r="D3870" t="inlineStr">
        <is>
          <t>VÄSTERNORRLANDS LÄN</t>
        </is>
      </c>
      <c r="E3870" t="inlineStr">
        <is>
          <t>SOLLEFTEÅ</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12379-2025</t>
        </is>
      </c>
      <c r="B3871" s="1" t="n">
        <v>45730</v>
      </c>
      <c r="C3871" s="1" t="n">
        <v>45740</v>
      </c>
      <c r="D3871" t="inlineStr">
        <is>
          <t>VÄSTERNORRLANDS LÄN</t>
        </is>
      </c>
      <c r="E3871" t="inlineStr">
        <is>
          <t>SOLLEFTEÅ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12384-2025</t>
        </is>
      </c>
      <c r="B3872" s="1" t="n">
        <v>45730</v>
      </c>
      <c r="C3872" s="1" t="n">
        <v>45740</v>
      </c>
      <c r="D3872" t="inlineStr">
        <is>
          <t>VÄSTERNORRLANDS LÄN</t>
        </is>
      </c>
      <c r="E3872" t="inlineStr">
        <is>
          <t>SOLLEFTEÅ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45740</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12632-2025</t>
        </is>
      </c>
      <c r="B3874" s="1" t="n">
        <v>45733</v>
      </c>
      <c r="C3874" s="1" t="n">
        <v>45740</v>
      </c>
      <c r="D3874" t="inlineStr">
        <is>
          <t>VÄSTERNORRLANDS LÄN</t>
        </is>
      </c>
      <c r="E3874" t="inlineStr">
        <is>
          <t>SOLLEFTEÅ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12644-2025</t>
        </is>
      </c>
      <c r="B3875" s="1" t="n">
        <v>45733</v>
      </c>
      <c r="C3875" s="1" t="n">
        <v>45740</v>
      </c>
      <c r="D3875" t="inlineStr">
        <is>
          <t>VÄSTERNORRLANDS LÄN</t>
        </is>
      </c>
      <c r="E3875" t="inlineStr">
        <is>
          <t>SOLLEFTEÅ</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12673-2025</t>
        </is>
      </c>
      <c r="B3876" s="1" t="n">
        <v>45733</v>
      </c>
      <c r="C3876" s="1" t="n">
        <v>45740</v>
      </c>
      <c r="D3876" t="inlineStr">
        <is>
          <t>VÄSTERNORRLANDS LÄN</t>
        </is>
      </c>
      <c r="E3876" t="inlineStr">
        <is>
          <t>SOLLEFTEÅ</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45740</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12617-2025</t>
        </is>
      </c>
      <c r="B3878" s="1" t="n">
        <v>45733</v>
      </c>
      <c r="C3878" s="1" t="n">
        <v>45740</v>
      </c>
      <c r="D3878" t="inlineStr">
        <is>
          <t>VÄSTERNORRLANDS LÄN</t>
        </is>
      </c>
      <c r="E3878" t="inlineStr">
        <is>
          <t>SOLLEFTEÅ</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12834-2025</t>
        </is>
      </c>
      <c r="B3879" s="1" t="n">
        <v>45733</v>
      </c>
      <c r="C3879" s="1" t="n">
        <v>45740</v>
      </c>
      <c r="D3879" t="inlineStr">
        <is>
          <t>VÄSTERNORRLANDS LÄN</t>
        </is>
      </c>
      <c r="E3879" t="inlineStr">
        <is>
          <t>SOLLEFTEÅ</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12706-2025</t>
        </is>
      </c>
      <c r="B3880" s="1" t="n">
        <v>45733</v>
      </c>
      <c r="C3880" s="1" t="n">
        <v>45740</v>
      </c>
      <c r="D3880" t="inlineStr">
        <is>
          <t>VÄSTERNORRLANDS LÄN</t>
        </is>
      </c>
      <c r="E3880" t="inlineStr">
        <is>
          <t>SOLLEFTEÅ</t>
        </is>
      </c>
      <c r="F3880" t="inlineStr">
        <is>
          <t>SCA</t>
        </is>
      </c>
      <c r="G3880" t="n">
        <v>21.7</v>
      </c>
      <c r="H3880" t="n">
        <v>0</v>
      </c>
      <c r="I3880" t="n">
        <v>0</v>
      </c>
      <c r="J3880" t="n">
        <v>0</v>
      </c>
      <c r="K3880" t="n">
        <v>0</v>
      </c>
      <c r="L3880" t="n">
        <v>0</v>
      </c>
      <c r="M3880" t="n">
        <v>0</v>
      </c>
      <c r="N3880" t="n">
        <v>0</v>
      </c>
      <c r="O3880" t="n">
        <v>0</v>
      </c>
      <c r="P3880" t="n">
        <v>0</v>
      </c>
      <c r="Q3880" t="n">
        <v>0</v>
      </c>
      <c r="R3880" s="2" t="inlineStr"/>
    </row>
    <row r="3881" ht="15" customHeight="1">
      <c r="A3881" t="inlineStr">
        <is>
          <t>A 12730-2025</t>
        </is>
      </c>
      <c r="B3881" s="1" t="n">
        <v>45733</v>
      </c>
      <c r="C3881" s="1" t="n">
        <v>45740</v>
      </c>
      <c r="D3881" t="inlineStr">
        <is>
          <t>VÄSTERNORRLANDS LÄN</t>
        </is>
      </c>
      <c r="E3881" t="inlineStr">
        <is>
          <t>SOLLEFTEÅ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12614-2025</t>
        </is>
      </c>
      <c r="B3882" s="1" t="n">
        <v>45733</v>
      </c>
      <c r="C3882" s="1" t="n">
        <v>45740</v>
      </c>
      <c r="D3882" t="inlineStr">
        <is>
          <t>VÄSTERNORRLANDS LÄN</t>
        </is>
      </c>
      <c r="E3882" t="inlineStr">
        <is>
          <t>SOLLEFTEÅ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12627-2025</t>
        </is>
      </c>
      <c r="B3883" s="1" t="n">
        <v>45733</v>
      </c>
      <c r="C3883" s="1" t="n">
        <v>45740</v>
      </c>
      <c r="D3883" t="inlineStr">
        <is>
          <t>VÄSTERNORRLANDS LÄN</t>
        </is>
      </c>
      <c r="E3883" t="inlineStr">
        <is>
          <t>SOLLEFTEÅ</t>
        </is>
      </c>
      <c r="G3883" t="n">
        <v>12.9</v>
      </c>
      <c r="H3883" t="n">
        <v>0</v>
      </c>
      <c r="I3883" t="n">
        <v>0</v>
      </c>
      <c r="J3883" t="n">
        <v>0</v>
      </c>
      <c r="K3883" t="n">
        <v>0</v>
      </c>
      <c r="L3883" t="n">
        <v>0</v>
      </c>
      <c r="M3883" t="n">
        <v>0</v>
      </c>
      <c r="N3883" t="n">
        <v>0</v>
      </c>
      <c r="O3883" t="n">
        <v>0</v>
      </c>
      <c r="P3883" t="n">
        <v>0</v>
      </c>
      <c r="Q3883" t="n">
        <v>0</v>
      </c>
      <c r="R3883" s="2" t="inlineStr"/>
    </row>
    <row r="3884" ht="15" customHeight="1">
      <c r="A3884" t="inlineStr">
        <is>
          <t>A 13070-2025</t>
        </is>
      </c>
      <c r="B3884" s="1" t="n">
        <v>45734</v>
      </c>
      <c r="C3884" s="1" t="n">
        <v>45740</v>
      </c>
      <c r="D3884" t="inlineStr">
        <is>
          <t>VÄSTERNORRLANDS LÄN</t>
        </is>
      </c>
      <c r="E3884" t="inlineStr">
        <is>
          <t>SOLLEFTEÅ</t>
        </is>
      </c>
      <c r="F3884" t="inlineStr">
        <is>
          <t>SCA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12946-2025</t>
        </is>
      </c>
      <c r="B3885" s="1" t="n">
        <v>45734</v>
      </c>
      <c r="C3885" s="1" t="n">
        <v>45740</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12965-2025</t>
        </is>
      </c>
      <c r="B3886" s="1" t="n">
        <v>45734</v>
      </c>
      <c r="C3886" s="1" t="n">
        <v>45740</v>
      </c>
      <c r="D3886" t="inlineStr">
        <is>
          <t>VÄSTERNORRLANDS LÄN</t>
        </is>
      </c>
      <c r="E3886" t="inlineStr">
        <is>
          <t>SOLLEFTEÅ</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45740</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13151-2025</t>
        </is>
      </c>
      <c r="B3888" s="1" t="n">
        <v>45735</v>
      </c>
      <c r="C3888" s="1" t="n">
        <v>45740</v>
      </c>
      <c r="D3888" t="inlineStr">
        <is>
          <t>VÄSTERNORRLANDS LÄN</t>
        </is>
      </c>
      <c r="E3888" t="inlineStr">
        <is>
          <t>SOLLEFTEÅ</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13150-2025</t>
        </is>
      </c>
      <c r="B3889" s="1" t="n">
        <v>45735</v>
      </c>
      <c r="C3889" s="1" t="n">
        <v>45740</v>
      </c>
      <c r="D3889" t="inlineStr">
        <is>
          <t>VÄSTERNORRLANDS LÄN</t>
        </is>
      </c>
      <c r="E3889" t="inlineStr">
        <is>
          <t>SOLLEFTEÅ</t>
        </is>
      </c>
      <c r="F3889" t="inlineStr">
        <is>
          <t>SCA</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13215-2025</t>
        </is>
      </c>
      <c r="B3890" s="1" t="n">
        <v>45735</v>
      </c>
      <c r="C3890" s="1" t="n">
        <v>45740</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13217-2025</t>
        </is>
      </c>
      <c r="B3891" s="1" t="n">
        <v>45735</v>
      </c>
      <c r="C3891" s="1" t="n">
        <v>45740</v>
      </c>
      <c r="D3891" t="inlineStr">
        <is>
          <t>VÄSTERNORRLANDS LÄN</t>
        </is>
      </c>
      <c r="E3891" t="inlineStr">
        <is>
          <t>SOLLEFTEÅ</t>
        </is>
      </c>
      <c r="F3891" t="inlineStr">
        <is>
          <t>SCA</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13257-2025</t>
        </is>
      </c>
      <c r="B3892" s="1" t="n">
        <v>45735</v>
      </c>
      <c r="C3892" s="1" t="n">
        <v>45740</v>
      </c>
      <c r="D3892" t="inlineStr">
        <is>
          <t>VÄSTERNORRLANDS LÄN</t>
        </is>
      </c>
      <c r="E3892" t="inlineStr">
        <is>
          <t>SOLLEFTEÅ</t>
        </is>
      </c>
      <c r="F3892" t="inlineStr">
        <is>
          <t>SCA</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45740</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13250-2025</t>
        </is>
      </c>
      <c r="B3894" s="1" t="n">
        <v>45735</v>
      </c>
      <c r="C3894" s="1" t="n">
        <v>45740</v>
      </c>
      <c r="D3894" t="inlineStr">
        <is>
          <t>VÄSTERNORRLANDS LÄN</t>
        </is>
      </c>
      <c r="E3894" t="inlineStr">
        <is>
          <t>SOLLEFTEÅ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13366-2025</t>
        </is>
      </c>
      <c r="B3895" s="1" t="n">
        <v>45735</v>
      </c>
      <c r="C3895" s="1" t="n">
        <v>45740</v>
      </c>
      <c r="D3895" t="inlineStr">
        <is>
          <t>VÄSTERNORRLANDS LÄN</t>
        </is>
      </c>
      <c r="E3895" t="inlineStr">
        <is>
          <t>SOLLEFTEÅ</t>
        </is>
      </c>
      <c r="F3895" t="inlineStr">
        <is>
          <t>SCA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13363-2025</t>
        </is>
      </c>
      <c r="B3896" s="1" t="n">
        <v>45735</v>
      </c>
      <c r="C3896" s="1" t="n">
        <v>45740</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13639-2025</t>
        </is>
      </c>
      <c r="B3897" s="1" t="n">
        <v>45736</v>
      </c>
      <c r="C3897" s="1" t="n">
        <v>45740</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13584-2025</t>
        </is>
      </c>
      <c r="B3898" s="1" t="n">
        <v>45736</v>
      </c>
      <c r="C3898" s="1" t="n">
        <v>45740</v>
      </c>
      <c r="D3898" t="inlineStr">
        <is>
          <t>VÄSTERNORRLANDS LÄN</t>
        </is>
      </c>
      <c r="E3898" t="inlineStr">
        <is>
          <t>SOLLEFTEÅ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13652-2025</t>
        </is>
      </c>
      <c r="B3899" s="1" t="n">
        <v>45736</v>
      </c>
      <c r="C3899" s="1" t="n">
        <v>45740</v>
      </c>
      <c r="D3899" t="inlineStr">
        <is>
          <t>VÄSTERNORRLANDS LÄN</t>
        </is>
      </c>
      <c r="E3899" t="inlineStr">
        <is>
          <t>SOLLEFTEÅ</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13637-2025</t>
        </is>
      </c>
      <c r="B3900" s="1" t="n">
        <v>45736</v>
      </c>
      <c r="C3900" s="1" t="n">
        <v>45740</v>
      </c>
      <c r="D3900" t="inlineStr">
        <is>
          <t>VÄSTERNORRLANDS LÄN</t>
        </is>
      </c>
      <c r="E3900" t="inlineStr">
        <is>
          <t>SOLLEFTEÅ</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13858-2025</t>
        </is>
      </c>
      <c r="B3901" s="1" t="n">
        <v>45737</v>
      </c>
      <c r="C3901" s="1" t="n">
        <v>45740</v>
      </c>
      <c r="D3901" t="inlineStr">
        <is>
          <t>VÄSTERNORRLANDS LÄN</t>
        </is>
      </c>
      <c r="E3901" t="inlineStr">
        <is>
          <t>SOLLEFTEÅ</t>
        </is>
      </c>
      <c r="F3901" t="inlineStr">
        <is>
          <t>SCA</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13707-2025</t>
        </is>
      </c>
      <c r="B3902" s="1" t="n">
        <v>45737</v>
      </c>
      <c r="C3902" s="1" t="n">
        <v>45740</v>
      </c>
      <c r="D3902" t="inlineStr">
        <is>
          <t>VÄSTERNORRLANDS LÄN</t>
        </is>
      </c>
      <c r="E3902" t="inlineStr">
        <is>
          <t>SOLLEFTEÅ</t>
        </is>
      </c>
      <c r="F3902" t="inlineStr">
        <is>
          <t>SCA</t>
        </is>
      </c>
      <c r="G3902" t="n">
        <v>4</v>
      </c>
      <c r="H3902" t="n">
        <v>0</v>
      </c>
      <c r="I3902" t="n">
        <v>0</v>
      </c>
      <c r="J3902" t="n">
        <v>0</v>
      </c>
      <c r="K3902" t="n">
        <v>0</v>
      </c>
      <c r="L3902" t="n">
        <v>0</v>
      </c>
      <c r="M3902" t="n">
        <v>0</v>
      </c>
      <c r="N3902" t="n">
        <v>0</v>
      </c>
      <c r="O3902" t="n">
        <v>0</v>
      </c>
      <c r="P3902" t="n">
        <v>0</v>
      </c>
      <c r="Q3902" t="n">
        <v>0</v>
      </c>
      <c r="R3902" s="2" t="inlineStr"/>
    </row>
    <row r="3903">
      <c r="A3903" t="inlineStr">
        <is>
          <t>A 13860-2025</t>
        </is>
      </c>
      <c r="B3903" s="1" t="n">
        <v>45737</v>
      </c>
      <c r="C3903" s="1" t="n">
        <v>45740</v>
      </c>
      <c r="D3903" t="inlineStr">
        <is>
          <t>VÄSTERNORRLANDS LÄN</t>
        </is>
      </c>
      <c r="E3903" t="inlineStr">
        <is>
          <t>SOLLEFTEÅ</t>
        </is>
      </c>
      <c r="F3903" t="inlineStr">
        <is>
          <t>SCA</t>
        </is>
      </c>
      <c r="G3903" t="n">
        <v>10.2</v>
      </c>
      <c r="H3903" t="n">
        <v>0</v>
      </c>
      <c r="I3903" t="n">
        <v>0</v>
      </c>
      <c r="J3903" t="n">
        <v>0</v>
      </c>
      <c r="K3903" t="n">
        <v>0</v>
      </c>
      <c r="L3903" t="n">
        <v>0</v>
      </c>
      <c r="M3903" t="n">
        <v>0</v>
      </c>
      <c r="N3903" t="n">
        <v>0</v>
      </c>
      <c r="O3903" t="n">
        <v>0</v>
      </c>
      <c r="P3903" t="n">
        <v>0</v>
      </c>
      <c r="Q3903" t="n">
        <v>0</v>
      </c>
      <c r="R3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2025-03-24T17:57:16Z</dcterms:created>
  <dcterms:modified xmlns:dcterms="http://purl.org/dc/terms/" xmlns:xsi="http://www.w3.org/2001/XMLSchema-instance" xsi:type="dcterms:W3CDTF">2025-03-24T17:57:19Z</dcterms:modified>
</cp:coreProperties>
</file>