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45346</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45346</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45346</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45346</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45346</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45346</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45346</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45346</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45346</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45346</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45346</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45346</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45346</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45346</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45346</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45346</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45346</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45346</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45346</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45346</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45346</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45346</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45346</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45346</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45346</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45346</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45346</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45346</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45346</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45346</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45346</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45346</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45346</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45346</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45346</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45346</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45346</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45346</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45346</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45346</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45346</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45346</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45346</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45346</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45346</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45346</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45346</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45346</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45346</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45346</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45346</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45346</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45346</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45346</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45346</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45346</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45346</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45346</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45346</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45346</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45346</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45346</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45346</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45346</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45346</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45346</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45346</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45346</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45346</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45346</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45346</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45346</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45346</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45346</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45346</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45346</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45346</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45346</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45346</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45346</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45346</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45346</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45346</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45346</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45346</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45346</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45346</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45346</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45346</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45346</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45346</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45346</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45346</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45346</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45346</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45346</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45346</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45346</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45346</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45346</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45346</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45346</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45346</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45346</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45346</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45346</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45346</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45346</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45346</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45346</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45346</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45346</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45346</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45346</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45346</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45346</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45346</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45346</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45346</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45346</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45346</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45346</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45346</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45346</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45346</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45346</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45346</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45346</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45346</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45346</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45346</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45346</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45346</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45346</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45346</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45346</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45346</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45346</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45346</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45346</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45346</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45346</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45346</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45346</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45346</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45346</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45346</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45346</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45346</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45346</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45346</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45346</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45346</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45346</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45346</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45346</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45346</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45346</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45346</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45346</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45346</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45346</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45346</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45346</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45346</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45346</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45346</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45346</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45346</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45346</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45346</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45346</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45346</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45346</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45346</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45346</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45346</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45346</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45346</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45346</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45346</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45346</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45346</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45346</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45346</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45346</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45346</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45346</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45346</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45346</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45346</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45346</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45346</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45346</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45346</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45346</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45346</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45346</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45346</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45346</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45346</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45346</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45346</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45346</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45346</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45346</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45346</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45346</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45346</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45346</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45346</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45346</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45346</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45346</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45346</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45346</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45346</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45346</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45346</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45346</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45346</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45346</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45346</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45346</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45346</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45346</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45346</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45346</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45346</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45346</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45346</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45346</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45346</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45346</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45346</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45346</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45346</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2570-2024</t>
        </is>
      </c>
      <c r="B241" s="1" t="n">
        <v>45313</v>
      </c>
      <c r="C241" s="1" t="n">
        <v>45346</v>
      </c>
      <c r="D241" t="inlineStr">
        <is>
          <t>VÄSTERNORRLANDS LÄN</t>
        </is>
      </c>
      <c r="E241" t="inlineStr">
        <is>
          <t>SOLLEFTEÅ</t>
        </is>
      </c>
      <c r="F241" t="inlineStr">
        <is>
          <t>Kommuner</t>
        </is>
      </c>
      <c r="G241" t="n">
        <v>6</v>
      </c>
      <c r="H241" t="n">
        <v>1</v>
      </c>
      <c r="I241" t="n">
        <v>0</v>
      </c>
      <c r="J241" t="n">
        <v>1</v>
      </c>
      <c r="K241" t="n">
        <v>0</v>
      </c>
      <c r="L241" t="n">
        <v>0</v>
      </c>
      <c r="M241" t="n">
        <v>0</v>
      </c>
      <c r="N241" t="n">
        <v>0</v>
      </c>
      <c r="O241" t="n">
        <v>1</v>
      </c>
      <c r="P241" t="n">
        <v>0</v>
      </c>
      <c r="Q241" t="n">
        <v>1</v>
      </c>
      <c r="R241" s="2" t="inlineStr">
        <is>
          <t>Tretåig hackspett</t>
        </is>
      </c>
      <c r="S241">
        <f>HYPERLINK("https://klasma.github.io/Logging_2283/artfynd/A 2570-2024 artfynd.xlsx", "A 2570-2024")</f>
        <v/>
      </c>
      <c r="T241">
        <f>HYPERLINK("https://klasma.github.io/Logging_2283/kartor/A 2570-2024 karta.png", "A 2570-2024")</f>
        <v/>
      </c>
      <c r="V241">
        <f>HYPERLINK("https://klasma.github.io/Logging_2283/klagomål/A 2570-2024 FSC-klagomål.docx", "A 2570-2024")</f>
        <v/>
      </c>
      <c r="W241">
        <f>HYPERLINK("https://klasma.github.io/Logging_2283/klagomålsmail/A 2570-2024 FSC-klagomål mail.docx", "A 2570-2024")</f>
        <v/>
      </c>
      <c r="X241">
        <f>HYPERLINK("https://klasma.github.io/Logging_2283/tillsyn/A 2570-2024 tillsynsbegäran.docx", "A 2570-2024")</f>
        <v/>
      </c>
      <c r="Y241">
        <f>HYPERLINK("https://klasma.github.io/Logging_2283/tillsynsmail/A 2570-2024 tillsynsbegäran mail.docx", "A 2570-2024")</f>
        <v/>
      </c>
      <c r="Z241">
        <f>HYPERLINK("https://klasma.github.io/Logging_2283/fåglar/A 2570-2024 prioriterade fågelarter.docx", "A 2570-2024")</f>
        <v/>
      </c>
    </row>
    <row r="242" ht="15" customHeight="1">
      <c r="A242" t="inlineStr">
        <is>
          <t>A 3959-2024</t>
        </is>
      </c>
      <c r="B242" s="1" t="n">
        <v>45322</v>
      </c>
      <c r="C242" s="1" t="n">
        <v>45346</v>
      </c>
      <c r="D242" t="inlineStr">
        <is>
          <t>VÄSTERNORRLANDS LÄN</t>
        </is>
      </c>
      <c r="E242" t="inlineStr">
        <is>
          <t>SOLLEFTEÅ</t>
        </is>
      </c>
      <c r="F242" t="inlineStr">
        <is>
          <t>Kommuner</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HYPERLINK("https://klasma.github.io/Logging_2283/artfynd/A 3959-2024 artfynd.xlsx", "A 3959-2024")</f>
        <v/>
      </c>
      <c r="T242">
        <f>HYPERLINK("https://klasma.github.io/Logging_2283/kartor/A 3959-2024 karta.png", "A 3959-2024")</f>
        <v/>
      </c>
      <c r="V242">
        <f>HYPERLINK("https://klasma.github.io/Logging_2283/klagomål/A 3959-2024 FSC-klagomål.docx", "A 3959-2024")</f>
        <v/>
      </c>
      <c r="W242">
        <f>HYPERLINK("https://klasma.github.io/Logging_2283/klagomålsmail/A 3959-2024 FSC-klagomål mail.docx", "A 3959-2024")</f>
        <v/>
      </c>
      <c r="X242">
        <f>HYPERLINK("https://klasma.github.io/Logging_2283/tillsyn/A 3959-2024 tillsynsbegäran.docx", "A 3959-2024")</f>
        <v/>
      </c>
      <c r="Y242">
        <f>HYPERLINK("https://klasma.github.io/Logging_2283/tillsynsmail/A 3959-2024 tillsynsbegäran mail.docx", "A 3959-2024")</f>
        <v/>
      </c>
    </row>
    <row r="243" ht="15" customHeight="1">
      <c r="A243" t="inlineStr">
        <is>
          <t>A 5033-2024</t>
        </is>
      </c>
      <c r="B243" s="1" t="n">
        <v>45329</v>
      </c>
      <c r="C243" s="1" t="n">
        <v>45346</v>
      </c>
      <c r="D243" t="inlineStr">
        <is>
          <t>VÄSTERNORRLANDS LÄN</t>
        </is>
      </c>
      <c r="E243" t="inlineStr">
        <is>
          <t>SOLLEFTEÅ</t>
        </is>
      </c>
      <c r="F243" t="inlineStr">
        <is>
          <t>Övriga Aktiebolag</t>
        </is>
      </c>
      <c r="G243" t="n">
        <v>3.2</v>
      </c>
      <c r="H243" t="n">
        <v>0</v>
      </c>
      <c r="I243" t="n">
        <v>1</v>
      </c>
      <c r="J243" t="n">
        <v>0</v>
      </c>
      <c r="K243" t="n">
        <v>0</v>
      </c>
      <c r="L243" t="n">
        <v>0</v>
      </c>
      <c r="M243" t="n">
        <v>0</v>
      </c>
      <c r="N243" t="n">
        <v>0</v>
      </c>
      <c r="O243" t="n">
        <v>0</v>
      </c>
      <c r="P243" t="n">
        <v>0</v>
      </c>
      <c r="Q243" t="n">
        <v>1</v>
      </c>
      <c r="R243" s="2" t="inlineStr">
        <is>
          <t>Kransrams</t>
        </is>
      </c>
      <c r="S243">
        <f>HYPERLINK("https://klasma.github.io/Logging_2283/artfynd/A 5033-2024 artfynd.xlsx", "A 5033-2024")</f>
        <v/>
      </c>
      <c r="T243">
        <f>HYPERLINK("https://klasma.github.io/Logging_2283/kartor/A 5033-2024 karta.png", "A 5033-2024")</f>
        <v/>
      </c>
      <c r="V243">
        <f>HYPERLINK("https://klasma.github.io/Logging_2283/klagomål/A 5033-2024 FSC-klagomål.docx", "A 5033-2024")</f>
        <v/>
      </c>
      <c r="W243">
        <f>HYPERLINK("https://klasma.github.io/Logging_2283/klagomålsmail/A 5033-2024 FSC-klagomål mail.docx", "A 5033-2024")</f>
        <v/>
      </c>
      <c r="X243">
        <f>HYPERLINK("https://klasma.github.io/Logging_2283/tillsyn/A 5033-2024 tillsynsbegäran.docx", "A 5033-2024")</f>
        <v/>
      </c>
      <c r="Y243">
        <f>HYPERLINK("https://klasma.github.io/Logging_2283/tillsynsmail/A 5033-2024 tillsynsbegäran mail.docx", "A 5033-2024")</f>
        <v/>
      </c>
    </row>
    <row r="244" ht="15" customHeight="1">
      <c r="A244" t="inlineStr">
        <is>
          <t>A 6889-2024</t>
        </is>
      </c>
      <c r="B244" s="1" t="n">
        <v>45342</v>
      </c>
      <c r="C244" s="1" t="n">
        <v>45346</v>
      </c>
      <c r="D244" t="inlineStr">
        <is>
          <t>VÄSTERNORRLANDS LÄN</t>
        </is>
      </c>
      <c r="E244" t="inlineStr">
        <is>
          <t>SOLLEFTEÅ</t>
        </is>
      </c>
      <c r="G244" t="n">
        <v>2.8</v>
      </c>
      <c r="H244" t="n">
        <v>0</v>
      </c>
      <c r="I244" t="n">
        <v>0</v>
      </c>
      <c r="J244" t="n">
        <v>1</v>
      </c>
      <c r="K244" t="n">
        <v>0</v>
      </c>
      <c r="L244" t="n">
        <v>0</v>
      </c>
      <c r="M244" t="n">
        <v>0</v>
      </c>
      <c r="N244" t="n">
        <v>0</v>
      </c>
      <c r="O244" t="n">
        <v>1</v>
      </c>
      <c r="P244" t="n">
        <v>0</v>
      </c>
      <c r="Q244" t="n">
        <v>1</v>
      </c>
      <c r="R244" s="2" t="inlineStr">
        <is>
          <t>Granticka</t>
        </is>
      </c>
      <c r="S244">
        <f>HYPERLINK("https://klasma.github.io/Logging_2283/artfynd/A 6889-2024 artfynd.xlsx", "A 6889-2024")</f>
        <v/>
      </c>
      <c r="T244">
        <f>HYPERLINK("https://klasma.github.io/Logging_2283/kartor/A 6889-2024 karta.png", "A 6889-2024")</f>
        <v/>
      </c>
      <c r="V244">
        <f>HYPERLINK("https://klasma.github.io/Logging_2283/klagomål/A 6889-2024 FSC-klagomål.docx", "A 6889-2024")</f>
        <v/>
      </c>
      <c r="W244">
        <f>HYPERLINK("https://klasma.github.io/Logging_2283/klagomålsmail/A 6889-2024 FSC-klagomål mail.docx", "A 6889-2024")</f>
        <v/>
      </c>
      <c r="X244">
        <f>HYPERLINK("https://klasma.github.io/Logging_2283/tillsyn/A 6889-2024 tillsynsbegäran.docx", "A 6889-2024")</f>
        <v/>
      </c>
      <c r="Y244">
        <f>HYPERLINK("https://klasma.github.io/Logging_2283/tillsynsmail/A 6889-2024 tillsynsbegäran mail.docx", "A 6889-2024")</f>
        <v/>
      </c>
    </row>
    <row r="245" ht="15" customHeight="1">
      <c r="A245" t="inlineStr">
        <is>
          <t>A 7114-2024</t>
        </is>
      </c>
      <c r="B245" s="1" t="n">
        <v>45343</v>
      </c>
      <c r="C245" s="1" t="n">
        <v>45346</v>
      </c>
      <c r="D245" t="inlineStr">
        <is>
          <t>VÄSTERNORRLANDS LÄN</t>
        </is>
      </c>
      <c r="E245" t="inlineStr">
        <is>
          <t>SOLLEFTEÅ</t>
        </is>
      </c>
      <c r="F245" t="inlineStr">
        <is>
          <t>SCA</t>
        </is>
      </c>
      <c r="G245" t="n">
        <v>2.9</v>
      </c>
      <c r="H245" t="n">
        <v>1</v>
      </c>
      <c r="I245" t="n">
        <v>0</v>
      </c>
      <c r="J245" t="n">
        <v>1</v>
      </c>
      <c r="K245" t="n">
        <v>0</v>
      </c>
      <c r="L245" t="n">
        <v>0</v>
      </c>
      <c r="M245" t="n">
        <v>0</v>
      </c>
      <c r="N245" t="n">
        <v>0</v>
      </c>
      <c r="O245" t="n">
        <v>1</v>
      </c>
      <c r="P245" t="n">
        <v>0</v>
      </c>
      <c r="Q245" t="n">
        <v>1</v>
      </c>
      <c r="R245" s="2" t="inlineStr">
        <is>
          <t>Järpe</t>
        </is>
      </c>
      <c r="S245">
        <f>HYPERLINK("https://klasma.github.io/Logging_2283/artfynd/A 7114-2024 artfynd.xlsx", "A 7114-2024")</f>
        <v/>
      </c>
      <c r="T245">
        <f>HYPERLINK("https://klasma.github.io/Logging_2283/kartor/A 7114-2024 karta.png", "A 7114-2024")</f>
        <v/>
      </c>
      <c r="V245">
        <f>HYPERLINK("https://klasma.github.io/Logging_2283/klagomål/A 7114-2024 FSC-klagomål.docx", "A 7114-2024")</f>
        <v/>
      </c>
      <c r="W245">
        <f>HYPERLINK("https://klasma.github.io/Logging_2283/klagomålsmail/A 7114-2024 FSC-klagomål mail.docx", "A 7114-2024")</f>
        <v/>
      </c>
      <c r="X245">
        <f>HYPERLINK("https://klasma.github.io/Logging_2283/tillsyn/A 7114-2024 tillsynsbegäran.docx", "A 7114-2024")</f>
        <v/>
      </c>
      <c r="Y245">
        <f>HYPERLINK("https://klasma.github.io/Logging_2283/tillsynsmail/A 7114-2024 tillsynsbegäran mail.docx", "A 7114-2024")</f>
        <v/>
      </c>
      <c r="Z245">
        <f>HYPERLINK("https://klasma.github.io/Logging_2283/fåglar/A 7114-2024 prioriterade fågelarter.docx", "A 7114-2024")</f>
        <v/>
      </c>
    </row>
    <row r="246" ht="15" customHeight="1">
      <c r="A246" t="inlineStr">
        <is>
          <t>A 33896-2018</t>
        </is>
      </c>
      <c r="B246" s="1" t="n">
        <v>43314</v>
      </c>
      <c r="C246" s="1" t="n">
        <v>45346</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34267-2018</t>
        </is>
      </c>
      <c r="B247" s="1" t="n">
        <v>43318</v>
      </c>
      <c r="C247" s="1" t="n">
        <v>45346</v>
      </c>
      <c r="D247" t="inlineStr">
        <is>
          <t>VÄSTERNORRLANDS LÄN</t>
        </is>
      </c>
      <c r="E247" t="inlineStr">
        <is>
          <t>SOLLEFTEÅ</t>
        </is>
      </c>
      <c r="G247" t="n">
        <v>5.3</v>
      </c>
      <c r="H247" t="n">
        <v>0</v>
      </c>
      <c r="I247" t="n">
        <v>0</v>
      </c>
      <c r="J247" t="n">
        <v>0</v>
      </c>
      <c r="K247" t="n">
        <v>0</v>
      </c>
      <c r="L247" t="n">
        <v>0</v>
      </c>
      <c r="M247" t="n">
        <v>0</v>
      </c>
      <c r="N247" t="n">
        <v>0</v>
      </c>
      <c r="O247" t="n">
        <v>0</v>
      </c>
      <c r="P247" t="n">
        <v>0</v>
      </c>
      <c r="Q247" t="n">
        <v>0</v>
      </c>
      <c r="R247" s="2" t="inlineStr"/>
    </row>
    <row r="248" ht="15" customHeight="1">
      <c r="A248" t="inlineStr">
        <is>
          <t>A 36973-2018</t>
        </is>
      </c>
      <c r="B248" s="1" t="n">
        <v>43332</v>
      </c>
      <c r="C248" s="1" t="n">
        <v>45346</v>
      </c>
      <c r="D248" t="inlineStr">
        <is>
          <t>VÄSTERNORRLANDS LÄN</t>
        </is>
      </c>
      <c r="E248" t="inlineStr">
        <is>
          <t>SOLLEFTEÅ</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37589-2018</t>
        </is>
      </c>
      <c r="B249" s="1" t="n">
        <v>43334</v>
      </c>
      <c r="C249" s="1" t="n">
        <v>45346</v>
      </c>
      <c r="D249" t="inlineStr">
        <is>
          <t>VÄSTERNORRLANDS LÄN</t>
        </is>
      </c>
      <c r="E249" t="inlineStr">
        <is>
          <t>SOLLEFTEÅ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37875-2018</t>
        </is>
      </c>
      <c r="B250" s="1" t="n">
        <v>43335</v>
      </c>
      <c r="C250" s="1" t="n">
        <v>45346</v>
      </c>
      <c r="D250" t="inlineStr">
        <is>
          <t>VÄSTERNORRLANDS LÄN</t>
        </is>
      </c>
      <c r="E250" t="inlineStr">
        <is>
          <t>SOLLEFTEÅ</t>
        </is>
      </c>
      <c r="G250" t="n">
        <v>4.9</v>
      </c>
      <c r="H250" t="n">
        <v>0</v>
      </c>
      <c r="I250" t="n">
        <v>0</v>
      </c>
      <c r="J250" t="n">
        <v>0</v>
      </c>
      <c r="K250" t="n">
        <v>0</v>
      </c>
      <c r="L250" t="n">
        <v>0</v>
      </c>
      <c r="M250" t="n">
        <v>0</v>
      </c>
      <c r="N250" t="n">
        <v>0</v>
      </c>
      <c r="O250" t="n">
        <v>0</v>
      </c>
      <c r="P250" t="n">
        <v>0</v>
      </c>
      <c r="Q250" t="n">
        <v>0</v>
      </c>
      <c r="R250" s="2" t="inlineStr"/>
    </row>
    <row r="251" ht="15" customHeight="1">
      <c r="A251" t="inlineStr">
        <is>
          <t>A 40310-2018</t>
        </is>
      </c>
      <c r="B251" s="1" t="n">
        <v>43343</v>
      </c>
      <c r="C251" s="1" t="n">
        <v>45346</v>
      </c>
      <c r="D251" t="inlineStr">
        <is>
          <t>VÄSTERNORRLANDS LÄN</t>
        </is>
      </c>
      <c r="E251" t="inlineStr">
        <is>
          <t>SOLLEFTEÅ</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40433-2018</t>
        </is>
      </c>
      <c r="B252" s="1" t="n">
        <v>43346</v>
      </c>
      <c r="C252" s="1" t="n">
        <v>45346</v>
      </c>
      <c r="D252" t="inlineStr">
        <is>
          <t>VÄSTERNORRLANDS LÄN</t>
        </is>
      </c>
      <c r="E252" t="inlineStr">
        <is>
          <t>SOLLEFTEÅ</t>
        </is>
      </c>
      <c r="G252" t="n">
        <v>4.1</v>
      </c>
      <c r="H252" t="n">
        <v>0</v>
      </c>
      <c r="I252" t="n">
        <v>0</v>
      </c>
      <c r="J252" t="n">
        <v>0</v>
      </c>
      <c r="K252" t="n">
        <v>0</v>
      </c>
      <c r="L252" t="n">
        <v>0</v>
      </c>
      <c r="M252" t="n">
        <v>0</v>
      </c>
      <c r="N252" t="n">
        <v>0</v>
      </c>
      <c r="O252" t="n">
        <v>0</v>
      </c>
      <c r="P252" t="n">
        <v>0</v>
      </c>
      <c r="Q252" t="n">
        <v>0</v>
      </c>
      <c r="R252" s="2" t="inlineStr"/>
    </row>
    <row r="253" ht="15" customHeight="1">
      <c r="A253" t="inlineStr">
        <is>
          <t>A 40683-2018</t>
        </is>
      </c>
      <c r="B253" s="1" t="n">
        <v>43346</v>
      </c>
      <c r="C253" s="1" t="n">
        <v>45346</v>
      </c>
      <c r="D253" t="inlineStr">
        <is>
          <t>VÄSTERNORRLANDS LÄN</t>
        </is>
      </c>
      <c r="E253" t="inlineStr">
        <is>
          <t>SOLLEFTEÅ</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41185-2018</t>
        </is>
      </c>
      <c r="B254" s="1" t="n">
        <v>43346</v>
      </c>
      <c r="C254" s="1" t="n">
        <v>45346</v>
      </c>
      <c r="D254" t="inlineStr">
        <is>
          <t>VÄSTERNORRLANDS LÄN</t>
        </is>
      </c>
      <c r="E254" t="inlineStr">
        <is>
          <t>SOLLEFTEÅ</t>
        </is>
      </c>
      <c r="G254" t="n">
        <v>3.1</v>
      </c>
      <c r="H254" t="n">
        <v>0</v>
      </c>
      <c r="I254" t="n">
        <v>0</v>
      </c>
      <c r="J254" t="n">
        <v>0</v>
      </c>
      <c r="K254" t="n">
        <v>0</v>
      </c>
      <c r="L254" t="n">
        <v>0</v>
      </c>
      <c r="M254" t="n">
        <v>0</v>
      </c>
      <c r="N254" t="n">
        <v>0</v>
      </c>
      <c r="O254" t="n">
        <v>0</v>
      </c>
      <c r="P254" t="n">
        <v>0</v>
      </c>
      <c r="Q254" t="n">
        <v>0</v>
      </c>
      <c r="R254" s="2" t="inlineStr"/>
    </row>
    <row r="255" ht="15" customHeight="1">
      <c r="A255" t="inlineStr">
        <is>
          <t>A 41661-2018</t>
        </is>
      </c>
      <c r="B255" s="1" t="n">
        <v>43349</v>
      </c>
      <c r="C255" s="1" t="n">
        <v>45346</v>
      </c>
      <c r="D255" t="inlineStr">
        <is>
          <t>VÄSTERNORRLANDS LÄN</t>
        </is>
      </c>
      <c r="E255" t="inlineStr">
        <is>
          <t>SOLLEFTEÅ</t>
        </is>
      </c>
      <c r="G255" t="n">
        <v>0.7</v>
      </c>
      <c r="H255" t="n">
        <v>0</v>
      </c>
      <c r="I255" t="n">
        <v>0</v>
      </c>
      <c r="J255" t="n">
        <v>0</v>
      </c>
      <c r="K255" t="n">
        <v>0</v>
      </c>
      <c r="L255" t="n">
        <v>0</v>
      </c>
      <c r="M255" t="n">
        <v>0</v>
      </c>
      <c r="N255" t="n">
        <v>0</v>
      </c>
      <c r="O255" t="n">
        <v>0</v>
      </c>
      <c r="P255" t="n">
        <v>0</v>
      </c>
      <c r="Q255" t="n">
        <v>0</v>
      </c>
      <c r="R255" s="2" t="inlineStr"/>
    </row>
    <row r="256" ht="15" customHeight="1">
      <c r="A256" t="inlineStr">
        <is>
          <t>A 43215-2018</t>
        </is>
      </c>
      <c r="B256" s="1" t="n">
        <v>43353</v>
      </c>
      <c r="C256" s="1" t="n">
        <v>45346</v>
      </c>
      <c r="D256" t="inlineStr">
        <is>
          <t>VÄSTERNORRLANDS LÄN</t>
        </is>
      </c>
      <c r="E256" t="inlineStr">
        <is>
          <t>SOLLEFTEÅ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45786-2018</t>
        </is>
      </c>
      <c r="B257" s="1" t="n">
        <v>43362</v>
      </c>
      <c r="C257" s="1" t="n">
        <v>45346</v>
      </c>
      <c r="D257" t="inlineStr">
        <is>
          <t>VÄSTERNORRLANDS LÄN</t>
        </is>
      </c>
      <c r="E257" t="inlineStr">
        <is>
          <t>SOLLEFTEÅ</t>
        </is>
      </c>
      <c r="G257" t="n">
        <v>6.1</v>
      </c>
      <c r="H257" t="n">
        <v>0</v>
      </c>
      <c r="I257" t="n">
        <v>0</v>
      </c>
      <c r="J257" t="n">
        <v>0</v>
      </c>
      <c r="K257" t="n">
        <v>0</v>
      </c>
      <c r="L257" t="n">
        <v>0</v>
      </c>
      <c r="M257" t="n">
        <v>0</v>
      </c>
      <c r="N257" t="n">
        <v>0</v>
      </c>
      <c r="O257" t="n">
        <v>0</v>
      </c>
      <c r="P257" t="n">
        <v>0</v>
      </c>
      <c r="Q257" t="n">
        <v>0</v>
      </c>
      <c r="R257" s="2" t="inlineStr"/>
    </row>
    <row r="258" ht="15" customHeight="1">
      <c r="A258" t="inlineStr">
        <is>
          <t>A 50423-2018</t>
        </is>
      </c>
      <c r="B258" s="1" t="n">
        <v>43378</v>
      </c>
      <c r="C258" s="1" t="n">
        <v>45346</v>
      </c>
      <c r="D258" t="inlineStr">
        <is>
          <t>VÄSTERNORRLANDS LÄN</t>
        </is>
      </c>
      <c r="E258" t="inlineStr">
        <is>
          <t>SOLLEFTEÅ</t>
        </is>
      </c>
      <c r="F258" t="inlineStr">
        <is>
          <t>SCA</t>
        </is>
      </c>
      <c r="G258" t="n">
        <v>6.4</v>
      </c>
      <c r="H258" t="n">
        <v>0</v>
      </c>
      <c r="I258" t="n">
        <v>0</v>
      </c>
      <c r="J258" t="n">
        <v>0</v>
      </c>
      <c r="K258" t="n">
        <v>0</v>
      </c>
      <c r="L258" t="n">
        <v>0</v>
      </c>
      <c r="M258" t="n">
        <v>0</v>
      </c>
      <c r="N258" t="n">
        <v>0</v>
      </c>
      <c r="O258" t="n">
        <v>0</v>
      </c>
      <c r="P258" t="n">
        <v>0</v>
      </c>
      <c r="Q258" t="n">
        <v>0</v>
      </c>
      <c r="R258" s="2" t="inlineStr"/>
    </row>
    <row r="259" ht="15" customHeight="1">
      <c r="A259" t="inlineStr">
        <is>
          <t>A 50996-2018</t>
        </is>
      </c>
      <c r="B259" s="1" t="n">
        <v>43378</v>
      </c>
      <c r="C259" s="1" t="n">
        <v>45346</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52458-2018</t>
        </is>
      </c>
      <c r="B260" s="1" t="n">
        <v>43383</v>
      </c>
      <c r="C260" s="1" t="n">
        <v>45346</v>
      </c>
      <c r="D260" t="inlineStr">
        <is>
          <t>VÄSTERNORRLANDS LÄN</t>
        </is>
      </c>
      <c r="E260" t="inlineStr">
        <is>
          <t>SOLLEFTEÅ</t>
        </is>
      </c>
      <c r="G260" t="n">
        <v>7.6</v>
      </c>
      <c r="H260" t="n">
        <v>0</v>
      </c>
      <c r="I260" t="n">
        <v>0</v>
      </c>
      <c r="J260" t="n">
        <v>0</v>
      </c>
      <c r="K260" t="n">
        <v>0</v>
      </c>
      <c r="L260" t="n">
        <v>0</v>
      </c>
      <c r="M260" t="n">
        <v>0</v>
      </c>
      <c r="N260" t="n">
        <v>0</v>
      </c>
      <c r="O260" t="n">
        <v>0</v>
      </c>
      <c r="P260" t="n">
        <v>0</v>
      </c>
      <c r="Q260" t="n">
        <v>0</v>
      </c>
      <c r="R260" s="2" t="inlineStr"/>
    </row>
    <row r="261" ht="15" customHeight="1">
      <c r="A261" t="inlineStr">
        <is>
          <t>A 52745-2018</t>
        </is>
      </c>
      <c r="B261" s="1" t="n">
        <v>43384</v>
      </c>
      <c r="C261" s="1" t="n">
        <v>45346</v>
      </c>
      <c r="D261" t="inlineStr">
        <is>
          <t>VÄSTERNORRLANDS LÄN</t>
        </is>
      </c>
      <c r="E261" t="inlineStr">
        <is>
          <t>SOLLEFTEÅ</t>
        </is>
      </c>
      <c r="G261" t="n">
        <v>4.7</v>
      </c>
      <c r="H261" t="n">
        <v>0</v>
      </c>
      <c r="I261" t="n">
        <v>0</v>
      </c>
      <c r="J261" t="n">
        <v>0</v>
      </c>
      <c r="K261" t="n">
        <v>0</v>
      </c>
      <c r="L261" t="n">
        <v>0</v>
      </c>
      <c r="M261" t="n">
        <v>0</v>
      </c>
      <c r="N261" t="n">
        <v>0</v>
      </c>
      <c r="O261" t="n">
        <v>0</v>
      </c>
      <c r="P261" t="n">
        <v>0</v>
      </c>
      <c r="Q261" t="n">
        <v>0</v>
      </c>
      <c r="R261" s="2" t="inlineStr"/>
    </row>
    <row r="262" ht="15" customHeight="1">
      <c r="A262" t="inlineStr">
        <is>
          <t>A 53595-2018</t>
        </is>
      </c>
      <c r="B262" s="1" t="n">
        <v>43388</v>
      </c>
      <c r="C262" s="1" t="n">
        <v>45346</v>
      </c>
      <c r="D262" t="inlineStr">
        <is>
          <t>VÄSTERNORRLANDS LÄN</t>
        </is>
      </c>
      <c r="E262" t="inlineStr">
        <is>
          <t>SOLLEFTEÅ</t>
        </is>
      </c>
      <c r="G262" t="n">
        <v>4.5</v>
      </c>
      <c r="H262" t="n">
        <v>0</v>
      </c>
      <c r="I262" t="n">
        <v>0</v>
      </c>
      <c r="J262" t="n">
        <v>0</v>
      </c>
      <c r="K262" t="n">
        <v>0</v>
      </c>
      <c r="L262" t="n">
        <v>0</v>
      </c>
      <c r="M262" t="n">
        <v>0</v>
      </c>
      <c r="N262" t="n">
        <v>0</v>
      </c>
      <c r="O262" t="n">
        <v>0</v>
      </c>
      <c r="P262" t="n">
        <v>0</v>
      </c>
      <c r="Q262" t="n">
        <v>0</v>
      </c>
      <c r="R262" s="2" t="inlineStr"/>
    </row>
    <row r="263" ht="15" customHeight="1">
      <c r="A263" t="inlineStr">
        <is>
          <t>A 54076-2018</t>
        </is>
      </c>
      <c r="B263" s="1" t="n">
        <v>43388</v>
      </c>
      <c r="C263" s="1" t="n">
        <v>45346</v>
      </c>
      <c r="D263" t="inlineStr">
        <is>
          <t>VÄSTERNORRLANDS LÄN</t>
        </is>
      </c>
      <c r="E263" t="inlineStr">
        <is>
          <t>SOLLEFTEÅ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56189-2018</t>
        </is>
      </c>
      <c r="B264" s="1" t="n">
        <v>43389</v>
      </c>
      <c r="C264" s="1" t="n">
        <v>45346</v>
      </c>
      <c r="D264" t="inlineStr">
        <is>
          <t>VÄSTERNORRLANDS LÄN</t>
        </is>
      </c>
      <c r="E264" t="inlineStr">
        <is>
          <t>SOLLEFTEÅ</t>
        </is>
      </c>
      <c r="G264" t="n">
        <v>1.2</v>
      </c>
      <c r="H264" t="n">
        <v>0</v>
      </c>
      <c r="I264" t="n">
        <v>0</v>
      </c>
      <c r="J264" t="n">
        <v>0</v>
      </c>
      <c r="K264" t="n">
        <v>0</v>
      </c>
      <c r="L264" t="n">
        <v>0</v>
      </c>
      <c r="M264" t="n">
        <v>0</v>
      </c>
      <c r="N264" t="n">
        <v>0</v>
      </c>
      <c r="O264" t="n">
        <v>0</v>
      </c>
      <c r="P264" t="n">
        <v>0</v>
      </c>
      <c r="Q264" t="n">
        <v>0</v>
      </c>
      <c r="R264" s="2" t="inlineStr"/>
    </row>
    <row r="265" ht="15" customHeight="1">
      <c r="A265" t="inlineStr">
        <is>
          <t>A 54667-2018</t>
        </is>
      </c>
      <c r="B265" s="1" t="n">
        <v>43389</v>
      </c>
      <c r="C265" s="1" t="n">
        <v>45346</v>
      </c>
      <c r="D265" t="inlineStr">
        <is>
          <t>VÄSTERNORRLANDS LÄN</t>
        </is>
      </c>
      <c r="E265" t="inlineStr">
        <is>
          <t>SOLLEFTEÅ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53746-2018</t>
        </is>
      </c>
      <c r="B266" s="1" t="n">
        <v>43391</v>
      </c>
      <c r="C266" s="1" t="n">
        <v>45346</v>
      </c>
      <c r="D266" t="inlineStr">
        <is>
          <t>VÄSTERNORRLANDS LÄN</t>
        </is>
      </c>
      <c r="E266" t="inlineStr">
        <is>
          <t>SOLLEFTEÅ</t>
        </is>
      </c>
      <c r="G266" t="n">
        <v>1</v>
      </c>
      <c r="H266" t="n">
        <v>0</v>
      </c>
      <c r="I266" t="n">
        <v>0</v>
      </c>
      <c r="J266" t="n">
        <v>0</v>
      </c>
      <c r="K266" t="n">
        <v>0</v>
      </c>
      <c r="L266" t="n">
        <v>0</v>
      </c>
      <c r="M266" t="n">
        <v>0</v>
      </c>
      <c r="N266" t="n">
        <v>0</v>
      </c>
      <c r="O266" t="n">
        <v>0</v>
      </c>
      <c r="P266" t="n">
        <v>0</v>
      </c>
      <c r="Q266" t="n">
        <v>0</v>
      </c>
      <c r="R266" s="2" t="inlineStr"/>
    </row>
    <row r="267" ht="15" customHeight="1">
      <c r="A267" t="inlineStr">
        <is>
          <t>A 54226-2018</t>
        </is>
      </c>
      <c r="B267" s="1" t="n">
        <v>43392</v>
      </c>
      <c r="C267" s="1" t="n">
        <v>45346</v>
      </c>
      <c r="D267" t="inlineStr">
        <is>
          <t>VÄSTERNORRLANDS LÄN</t>
        </is>
      </c>
      <c r="E267" t="inlineStr">
        <is>
          <t>SOLLEFTEÅ</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55996-2018</t>
        </is>
      </c>
      <c r="B268" s="1" t="n">
        <v>43392</v>
      </c>
      <c r="C268" s="1" t="n">
        <v>45346</v>
      </c>
      <c r="D268" t="inlineStr">
        <is>
          <t>VÄSTERNORRLANDS LÄN</t>
        </is>
      </c>
      <c r="E268" t="inlineStr">
        <is>
          <t>SOLLEFTEÅ</t>
        </is>
      </c>
      <c r="G268" t="n">
        <v>2</v>
      </c>
      <c r="H268" t="n">
        <v>0</v>
      </c>
      <c r="I268" t="n">
        <v>0</v>
      </c>
      <c r="J268" t="n">
        <v>0</v>
      </c>
      <c r="K268" t="n">
        <v>0</v>
      </c>
      <c r="L268" t="n">
        <v>0</v>
      </c>
      <c r="M268" t="n">
        <v>0</v>
      </c>
      <c r="N268" t="n">
        <v>0</v>
      </c>
      <c r="O268" t="n">
        <v>0</v>
      </c>
      <c r="P268" t="n">
        <v>0</v>
      </c>
      <c r="Q268" t="n">
        <v>0</v>
      </c>
      <c r="R268" s="2" t="inlineStr"/>
    </row>
    <row r="269" ht="15" customHeight="1">
      <c r="A269" t="inlineStr">
        <is>
          <t>A 56610-2018</t>
        </is>
      </c>
      <c r="B269" s="1" t="n">
        <v>43395</v>
      </c>
      <c r="C269" s="1" t="n">
        <v>45346</v>
      </c>
      <c r="D269" t="inlineStr">
        <is>
          <t>VÄSTERNORRLANDS LÄN</t>
        </is>
      </c>
      <c r="E269" t="inlineStr">
        <is>
          <t>SOLLEFTEÅ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56666-2018</t>
        </is>
      </c>
      <c r="B270" s="1" t="n">
        <v>43395</v>
      </c>
      <c r="C270" s="1" t="n">
        <v>45346</v>
      </c>
      <c r="D270" t="inlineStr">
        <is>
          <t>VÄSTERNORRLANDS LÄN</t>
        </is>
      </c>
      <c r="E270" t="inlineStr">
        <is>
          <t>SOLLEFTEÅ</t>
        </is>
      </c>
      <c r="G270" t="n">
        <v>6</v>
      </c>
      <c r="H270" t="n">
        <v>0</v>
      </c>
      <c r="I270" t="n">
        <v>0</v>
      </c>
      <c r="J270" t="n">
        <v>0</v>
      </c>
      <c r="K270" t="n">
        <v>0</v>
      </c>
      <c r="L270" t="n">
        <v>0</v>
      </c>
      <c r="M270" t="n">
        <v>0</v>
      </c>
      <c r="N270" t="n">
        <v>0</v>
      </c>
      <c r="O270" t="n">
        <v>0</v>
      </c>
      <c r="P270" t="n">
        <v>0</v>
      </c>
      <c r="Q270" t="n">
        <v>0</v>
      </c>
      <c r="R270" s="2" t="inlineStr"/>
    </row>
    <row r="271" ht="15" customHeight="1">
      <c r="A271" t="inlineStr">
        <is>
          <t>A 56629-2018</t>
        </is>
      </c>
      <c r="B271" s="1" t="n">
        <v>43395</v>
      </c>
      <c r="C271" s="1" t="n">
        <v>45346</v>
      </c>
      <c r="D271" t="inlineStr">
        <is>
          <t>VÄSTERNORRLANDS LÄN</t>
        </is>
      </c>
      <c r="E271" t="inlineStr">
        <is>
          <t>SOLLEFTEÅ</t>
        </is>
      </c>
      <c r="G271" t="n">
        <v>10.6</v>
      </c>
      <c r="H271" t="n">
        <v>0</v>
      </c>
      <c r="I271" t="n">
        <v>0</v>
      </c>
      <c r="J271" t="n">
        <v>0</v>
      </c>
      <c r="K271" t="n">
        <v>0</v>
      </c>
      <c r="L271" t="n">
        <v>0</v>
      </c>
      <c r="M271" t="n">
        <v>0</v>
      </c>
      <c r="N271" t="n">
        <v>0</v>
      </c>
      <c r="O271" t="n">
        <v>0</v>
      </c>
      <c r="P271" t="n">
        <v>0</v>
      </c>
      <c r="Q271" t="n">
        <v>0</v>
      </c>
      <c r="R271" s="2" t="inlineStr"/>
    </row>
    <row r="272" ht="15" customHeight="1">
      <c r="A272" t="inlineStr">
        <is>
          <t>A 56139-2018</t>
        </is>
      </c>
      <c r="B272" s="1" t="n">
        <v>43398</v>
      </c>
      <c r="C272" s="1" t="n">
        <v>45346</v>
      </c>
      <c r="D272" t="inlineStr">
        <is>
          <t>VÄSTERNORRLANDS LÄN</t>
        </is>
      </c>
      <c r="E272" t="inlineStr">
        <is>
          <t>SOLLEFTEÅ</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58020-2018</t>
        </is>
      </c>
      <c r="B273" s="1" t="n">
        <v>43398</v>
      </c>
      <c r="C273" s="1" t="n">
        <v>45346</v>
      </c>
      <c r="D273" t="inlineStr">
        <is>
          <t>VÄSTERNORRLANDS LÄN</t>
        </is>
      </c>
      <c r="E273" t="inlineStr">
        <is>
          <t>SOLLEFTEÅ</t>
        </is>
      </c>
      <c r="G273" t="n">
        <v>6.5</v>
      </c>
      <c r="H273" t="n">
        <v>0</v>
      </c>
      <c r="I273" t="n">
        <v>0</v>
      </c>
      <c r="J273" t="n">
        <v>0</v>
      </c>
      <c r="K273" t="n">
        <v>0</v>
      </c>
      <c r="L273" t="n">
        <v>0</v>
      </c>
      <c r="M273" t="n">
        <v>0</v>
      </c>
      <c r="N273" t="n">
        <v>0</v>
      </c>
      <c r="O273" t="n">
        <v>0</v>
      </c>
      <c r="P273" t="n">
        <v>0</v>
      </c>
      <c r="Q273" t="n">
        <v>0</v>
      </c>
      <c r="R273" s="2" t="inlineStr"/>
    </row>
    <row r="274" ht="15" customHeight="1">
      <c r="A274" t="inlineStr">
        <is>
          <t>A 58397-2018</t>
        </is>
      </c>
      <c r="B274" s="1" t="n">
        <v>43399</v>
      </c>
      <c r="C274" s="1" t="n">
        <v>45346</v>
      </c>
      <c r="D274" t="inlineStr">
        <is>
          <t>VÄSTERNORRLANDS LÄN</t>
        </is>
      </c>
      <c r="E274" t="inlineStr">
        <is>
          <t>SOLLEFTEÅ</t>
        </is>
      </c>
      <c r="G274" t="n">
        <v>1</v>
      </c>
      <c r="H274" t="n">
        <v>0</v>
      </c>
      <c r="I274" t="n">
        <v>0</v>
      </c>
      <c r="J274" t="n">
        <v>0</v>
      </c>
      <c r="K274" t="n">
        <v>0</v>
      </c>
      <c r="L274" t="n">
        <v>0</v>
      </c>
      <c r="M274" t="n">
        <v>0</v>
      </c>
      <c r="N274" t="n">
        <v>0</v>
      </c>
      <c r="O274" t="n">
        <v>0</v>
      </c>
      <c r="P274" t="n">
        <v>0</v>
      </c>
      <c r="Q274" t="n">
        <v>0</v>
      </c>
      <c r="R274" s="2" t="inlineStr"/>
    </row>
    <row r="275" ht="15" customHeight="1">
      <c r="A275" t="inlineStr">
        <is>
          <t>A 56500-2018</t>
        </is>
      </c>
      <c r="B275" s="1" t="n">
        <v>43399</v>
      </c>
      <c r="C275" s="1" t="n">
        <v>45346</v>
      </c>
      <c r="D275" t="inlineStr">
        <is>
          <t>VÄSTERNORRLANDS LÄN</t>
        </is>
      </c>
      <c r="E275" t="inlineStr">
        <is>
          <t>SOLLEFTEÅ</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59371-2018</t>
        </is>
      </c>
      <c r="B276" s="1" t="n">
        <v>43404</v>
      </c>
      <c r="C276" s="1" t="n">
        <v>45346</v>
      </c>
      <c r="D276" t="inlineStr">
        <is>
          <t>VÄSTERNORRLANDS LÄN</t>
        </is>
      </c>
      <c r="E276" t="inlineStr">
        <is>
          <t>SOLLEFTEÅ</t>
        </is>
      </c>
      <c r="G276" t="n">
        <v>2.5</v>
      </c>
      <c r="H276" t="n">
        <v>0</v>
      </c>
      <c r="I276" t="n">
        <v>0</v>
      </c>
      <c r="J276" t="n">
        <v>0</v>
      </c>
      <c r="K276" t="n">
        <v>0</v>
      </c>
      <c r="L276" t="n">
        <v>0</v>
      </c>
      <c r="M276" t="n">
        <v>0</v>
      </c>
      <c r="N276" t="n">
        <v>0</v>
      </c>
      <c r="O276" t="n">
        <v>0</v>
      </c>
      <c r="P276" t="n">
        <v>0</v>
      </c>
      <c r="Q276" t="n">
        <v>0</v>
      </c>
      <c r="R276" s="2" t="inlineStr"/>
    </row>
    <row r="277" ht="15" customHeight="1">
      <c r="A277" t="inlineStr">
        <is>
          <t>A 57954-2018</t>
        </is>
      </c>
      <c r="B277" s="1" t="n">
        <v>43405</v>
      </c>
      <c r="C277" s="1" t="n">
        <v>45346</v>
      </c>
      <c r="D277" t="inlineStr">
        <is>
          <t>VÄSTERNORRLANDS LÄN</t>
        </is>
      </c>
      <c r="E277" t="inlineStr">
        <is>
          <t>SOLLEFTEÅ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57747-2018</t>
        </is>
      </c>
      <c r="B278" s="1" t="n">
        <v>43405</v>
      </c>
      <c r="C278" s="1" t="n">
        <v>45346</v>
      </c>
      <c r="D278" t="inlineStr">
        <is>
          <t>VÄSTERNORRLANDS LÄN</t>
        </is>
      </c>
      <c r="E278" t="inlineStr">
        <is>
          <t>SOLLEFTEÅ</t>
        </is>
      </c>
      <c r="G278" t="n">
        <v>2.4</v>
      </c>
      <c r="H278" t="n">
        <v>0</v>
      </c>
      <c r="I278" t="n">
        <v>0</v>
      </c>
      <c r="J278" t="n">
        <v>0</v>
      </c>
      <c r="K278" t="n">
        <v>0</v>
      </c>
      <c r="L278" t="n">
        <v>0</v>
      </c>
      <c r="M278" t="n">
        <v>0</v>
      </c>
      <c r="N278" t="n">
        <v>0</v>
      </c>
      <c r="O278" t="n">
        <v>0</v>
      </c>
      <c r="P278" t="n">
        <v>0</v>
      </c>
      <c r="Q278" t="n">
        <v>0</v>
      </c>
      <c r="R278" s="2" t="inlineStr"/>
    </row>
    <row r="279" ht="15" customHeight="1">
      <c r="A279" t="inlineStr">
        <is>
          <t>A 57956-2018</t>
        </is>
      </c>
      <c r="B279" s="1" t="n">
        <v>43405</v>
      </c>
      <c r="C279" s="1" t="n">
        <v>45346</v>
      </c>
      <c r="D279" t="inlineStr">
        <is>
          <t>VÄSTERNORRLANDS LÄN</t>
        </is>
      </c>
      <c r="E279" t="inlineStr">
        <is>
          <t>SOLLEFTEÅ</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60057-2018</t>
        </is>
      </c>
      <c r="B280" s="1" t="n">
        <v>43412</v>
      </c>
      <c r="C280" s="1" t="n">
        <v>45346</v>
      </c>
      <c r="D280" t="inlineStr">
        <is>
          <t>VÄSTERNORRLANDS LÄN</t>
        </is>
      </c>
      <c r="E280" t="inlineStr">
        <is>
          <t>SOLLEFTEÅ</t>
        </is>
      </c>
      <c r="F280" t="inlineStr">
        <is>
          <t>Holmen skog AB</t>
        </is>
      </c>
      <c r="G280" t="n">
        <v>1.3</v>
      </c>
      <c r="H280" t="n">
        <v>0</v>
      </c>
      <c r="I280" t="n">
        <v>0</v>
      </c>
      <c r="J280" t="n">
        <v>0</v>
      </c>
      <c r="K280" t="n">
        <v>0</v>
      </c>
      <c r="L280" t="n">
        <v>0</v>
      </c>
      <c r="M280" t="n">
        <v>0</v>
      </c>
      <c r="N280" t="n">
        <v>0</v>
      </c>
      <c r="O280" t="n">
        <v>0</v>
      </c>
      <c r="P280" t="n">
        <v>0</v>
      </c>
      <c r="Q280" t="n">
        <v>0</v>
      </c>
      <c r="R280" s="2" t="inlineStr"/>
    </row>
    <row r="281" ht="15" customHeight="1">
      <c r="A281" t="inlineStr">
        <is>
          <t>A 60206-2018</t>
        </is>
      </c>
      <c r="B281" s="1" t="n">
        <v>43412</v>
      </c>
      <c r="C281" s="1" t="n">
        <v>45346</v>
      </c>
      <c r="D281" t="inlineStr">
        <is>
          <t>VÄSTERNORRLANDS LÄN</t>
        </is>
      </c>
      <c r="E281" t="inlineStr">
        <is>
          <t>SOLLEFTEÅ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62604-2018</t>
        </is>
      </c>
      <c r="B282" s="1" t="n">
        <v>43416</v>
      </c>
      <c r="C282" s="1" t="n">
        <v>45346</v>
      </c>
      <c r="D282" t="inlineStr">
        <is>
          <t>VÄSTERNORRLANDS LÄN</t>
        </is>
      </c>
      <c r="E282" t="inlineStr">
        <is>
          <t>SOLLEFTEÅ</t>
        </is>
      </c>
      <c r="G282" t="n">
        <v>2.5</v>
      </c>
      <c r="H282" t="n">
        <v>0</v>
      </c>
      <c r="I282" t="n">
        <v>0</v>
      </c>
      <c r="J282" t="n">
        <v>0</v>
      </c>
      <c r="K282" t="n">
        <v>0</v>
      </c>
      <c r="L282" t="n">
        <v>0</v>
      </c>
      <c r="M282" t="n">
        <v>0</v>
      </c>
      <c r="N282" t="n">
        <v>0</v>
      </c>
      <c r="O282" t="n">
        <v>0</v>
      </c>
      <c r="P282" t="n">
        <v>0</v>
      </c>
      <c r="Q282" t="n">
        <v>0</v>
      </c>
      <c r="R282" s="2" t="inlineStr"/>
    </row>
    <row r="283" ht="15" customHeight="1">
      <c r="A283" t="inlineStr">
        <is>
          <t>A 62571-2018</t>
        </is>
      </c>
      <c r="B283" s="1" t="n">
        <v>43416</v>
      </c>
      <c r="C283" s="1" t="n">
        <v>45346</v>
      </c>
      <c r="D283" t="inlineStr">
        <is>
          <t>VÄSTERNORRLANDS LÄN</t>
        </is>
      </c>
      <c r="E283" t="inlineStr">
        <is>
          <t>SOLLEFTEÅ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59894-2018</t>
        </is>
      </c>
      <c r="B284" s="1" t="n">
        <v>43419</v>
      </c>
      <c r="C284" s="1" t="n">
        <v>45346</v>
      </c>
      <c r="D284" t="inlineStr">
        <is>
          <t>VÄSTERNORRLANDS LÄN</t>
        </is>
      </c>
      <c r="E284" t="inlineStr">
        <is>
          <t>SOLLEFTEÅ</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59621-2018</t>
        </is>
      </c>
      <c r="B285" s="1" t="n">
        <v>43419</v>
      </c>
      <c r="C285" s="1" t="n">
        <v>45346</v>
      </c>
      <c r="D285" t="inlineStr">
        <is>
          <t>VÄSTERNORRLANDS LÄN</t>
        </is>
      </c>
      <c r="E285" t="inlineStr">
        <is>
          <t>SOLLEFTEÅ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59615-2018</t>
        </is>
      </c>
      <c r="B286" s="1" t="n">
        <v>43419</v>
      </c>
      <c r="C286" s="1" t="n">
        <v>45346</v>
      </c>
      <c r="D286" t="inlineStr">
        <is>
          <t>VÄSTERNORRLANDS LÄN</t>
        </is>
      </c>
      <c r="E286" t="inlineStr">
        <is>
          <t>SOLLEFTEÅ</t>
        </is>
      </c>
      <c r="G286" t="n">
        <v>2</v>
      </c>
      <c r="H286" t="n">
        <v>0</v>
      </c>
      <c r="I286" t="n">
        <v>0</v>
      </c>
      <c r="J286" t="n">
        <v>0</v>
      </c>
      <c r="K286" t="n">
        <v>0</v>
      </c>
      <c r="L286" t="n">
        <v>0</v>
      </c>
      <c r="M286" t="n">
        <v>0</v>
      </c>
      <c r="N286" t="n">
        <v>0</v>
      </c>
      <c r="O286" t="n">
        <v>0</v>
      </c>
      <c r="P286" t="n">
        <v>0</v>
      </c>
      <c r="Q286" t="n">
        <v>0</v>
      </c>
      <c r="R286" s="2" t="inlineStr"/>
    </row>
    <row r="287" ht="15" customHeight="1">
      <c r="A287" t="inlineStr">
        <is>
          <t>A 60505-2018</t>
        </is>
      </c>
      <c r="B287" s="1" t="n">
        <v>43420</v>
      </c>
      <c r="C287" s="1" t="n">
        <v>45346</v>
      </c>
      <c r="D287" t="inlineStr">
        <is>
          <t>VÄSTERNORRLANDS LÄN</t>
        </is>
      </c>
      <c r="E287" t="inlineStr">
        <is>
          <t>SOLLEFTEÅ</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60507-2018</t>
        </is>
      </c>
      <c r="B288" s="1" t="n">
        <v>43420</v>
      </c>
      <c r="C288" s="1" t="n">
        <v>45346</v>
      </c>
      <c r="D288" t="inlineStr">
        <is>
          <t>VÄSTERNORRLANDS LÄN</t>
        </is>
      </c>
      <c r="E288" t="inlineStr">
        <is>
          <t>SOLLEFTEÅ</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65627-2018</t>
        </is>
      </c>
      <c r="B289" s="1" t="n">
        <v>43425</v>
      </c>
      <c r="C289" s="1" t="n">
        <v>45346</v>
      </c>
      <c r="D289" t="inlineStr">
        <is>
          <t>VÄSTERNORRLANDS LÄN</t>
        </is>
      </c>
      <c r="E289" t="inlineStr">
        <is>
          <t>SOLLEFTEÅ</t>
        </is>
      </c>
      <c r="G289" t="n">
        <v>8.5</v>
      </c>
      <c r="H289" t="n">
        <v>0</v>
      </c>
      <c r="I289" t="n">
        <v>0</v>
      </c>
      <c r="J289" t="n">
        <v>0</v>
      </c>
      <c r="K289" t="n">
        <v>0</v>
      </c>
      <c r="L289" t="n">
        <v>0</v>
      </c>
      <c r="M289" t="n">
        <v>0</v>
      </c>
      <c r="N289" t="n">
        <v>0</v>
      </c>
      <c r="O289" t="n">
        <v>0</v>
      </c>
      <c r="P289" t="n">
        <v>0</v>
      </c>
      <c r="Q289" t="n">
        <v>0</v>
      </c>
      <c r="R289" s="2" t="inlineStr"/>
    </row>
    <row r="290" ht="15" customHeight="1">
      <c r="A290" t="inlineStr">
        <is>
          <t>A 66224-2018</t>
        </is>
      </c>
      <c r="B290" s="1" t="n">
        <v>43426</v>
      </c>
      <c r="C290" s="1" t="n">
        <v>45346</v>
      </c>
      <c r="D290" t="inlineStr">
        <is>
          <t>VÄSTERNORRLANDS LÄN</t>
        </is>
      </c>
      <c r="E290" t="inlineStr">
        <is>
          <t>SOLLEFTEÅ</t>
        </is>
      </c>
      <c r="G290" t="n">
        <v>1.5</v>
      </c>
      <c r="H290" t="n">
        <v>0</v>
      </c>
      <c r="I290" t="n">
        <v>0</v>
      </c>
      <c r="J290" t="n">
        <v>0</v>
      </c>
      <c r="K290" t="n">
        <v>0</v>
      </c>
      <c r="L290" t="n">
        <v>0</v>
      </c>
      <c r="M290" t="n">
        <v>0</v>
      </c>
      <c r="N290" t="n">
        <v>0</v>
      </c>
      <c r="O290" t="n">
        <v>0</v>
      </c>
      <c r="P290" t="n">
        <v>0</v>
      </c>
      <c r="Q290" t="n">
        <v>0</v>
      </c>
      <c r="R290" s="2" t="inlineStr"/>
    </row>
    <row r="291" ht="15" customHeight="1">
      <c r="A291" t="inlineStr">
        <is>
          <t>A 63618-2018</t>
        </is>
      </c>
      <c r="B291" s="1" t="n">
        <v>43427</v>
      </c>
      <c r="C291" s="1" t="n">
        <v>45346</v>
      </c>
      <c r="D291" t="inlineStr">
        <is>
          <t>VÄSTERNORRLANDS LÄN</t>
        </is>
      </c>
      <c r="E291" t="inlineStr">
        <is>
          <t>SOLLEFTEÅ</t>
        </is>
      </c>
      <c r="F291" t="inlineStr">
        <is>
          <t>SCA</t>
        </is>
      </c>
      <c r="G291" t="n">
        <v>6</v>
      </c>
      <c r="H291" t="n">
        <v>0</v>
      </c>
      <c r="I291" t="n">
        <v>0</v>
      </c>
      <c r="J291" t="n">
        <v>0</v>
      </c>
      <c r="K291" t="n">
        <v>0</v>
      </c>
      <c r="L291" t="n">
        <v>0</v>
      </c>
      <c r="M291" t="n">
        <v>0</v>
      </c>
      <c r="N291" t="n">
        <v>0</v>
      </c>
      <c r="O291" t="n">
        <v>0</v>
      </c>
      <c r="P291" t="n">
        <v>0</v>
      </c>
      <c r="Q291" t="n">
        <v>0</v>
      </c>
      <c r="R291" s="2" t="inlineStr"/>
    </row>
    <row r="292" ht="15" customHeight="1">
      <c r="A292" t="inlineStr">
        <is>
          <t>A 63664-2018</t>
        </is>
      </c>
      <c r="B292" s="1" t="n">
        <v>43427</v>
      </c>
      <c r="C292" s="1" t="n">
        <v>45346</v>
      </c>
      <c r="D292" t="inlineStr">
        <is>
          <t>VÄSTERNORRLANDS LÄN</t>
        </is>
      </c>
      <c r="E292" t="inlineStr">
        <is>
          <t>SOLLEFTEÅ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63391-2018</t>
        </is>
      </c>
      <c r="B293" s="1" t="n">
        <v>43427</v>
      </c>
      <c r="C293" s="1" t="n">
        <v>45346</v>
      </c>
      <c r="D293" t="inlineStr">
        <is>
          <t>VÄSTERNORRLANDS LÄN</t>
        </is>
      </c>
      <c r="E293" t="inlineStr">
        <is>
          <t>SOLLEFTEÅ</t>
        </is>
      </c>
      <c r="G293" t="n">
        <v>9</v>
      </c>
      <c r="H293" t="n">
        <v>0</v>
      </c>
      <c r="I293" t="n">
        <v>0</v>
      </c>
      <c r="J293" t="n">
        <v>0</v>
      </c>
      <c r="K293" t="n">
        <v>0</v>
      </c>
      <c r="L293" t="n">
        <v>0</v>
      </c>
      <c r="M293" t="n">
        <v>0</v>
      </c>
      <c r="N293" t="n">
        <v>0</v>
      </c>
      <c r="O293" t="n">
        <v>0</v>
      </c>
      <c r="P293" t="n">
        <v>0</v>
      </c>
      <c r="Q293" t="n">
        <v>0</v>
      </c>
      <c r="R293" s="2" t="inlineStr"/>
    </row>
    <row r="294" ht="15" customHeight="1">
      <c r="A294" t="inlineStr">
        <is>
          <t>A 64084-2018</t>
        </is>
      </c>
      <c r="B294" s="1" t="n">
        <v>43430</v>
      </c>
      <c r="C294" s="1" t="n">
        <v>45346</v>
      </c>
      <c r="D294" t="inlineStr">
        <is>
          <t>VÄSTERNORRLANDS LÄN</t>
        </is>
      </c>
      <c r="E294" t="inlineStr">
        <is>
          <t>SOLLEFTEÅ</t>
        </is>
      </c>
      <c r="G294" t="n">
        <v>1.7</v>
      </c>
      <c r="H294" t="n">
        <v>0</v>
      </c>
      <c r="I294" t="n">
        <v>0</v>
      </c>
      <c r="J294" t="n">
        <v>0</v>
      </c>
      <c r="K294" t="n">
        <v>0</v>
      </c>
      <c r="L294" t="n">
        <v>0</v>
      </c>
      <c r="M294" t="n">
        <v>0</v>
      </c>
      <c r="N294" t="n">
        <v>0</v>
      </c>
      <c r="O294" t="n">
        <v>0</v>
      </c>
      <c r="P294" t="n">
        <v>0</v>
      </c>
      <c r="Q294" t="n">
        <v>0</v>
      </c>
      <c r="R294" s="2" t="inlineStr"/>
    </row>
    <row r="295" ht="15" customHeight="1">
      <c r="A295" t="inlineStr">
        <is>
          <t>A 67309-2018</t>
        </is>
      </c>
      <c r="B295" s="1" t="n">
        <v>43432</v>
      </c>
      <c r="C295" s="1" t="n">
        <v>45346</v>
      </c>
      <c r="D295" t="inlineStr">
        <is>
          <t>VÄSTERNORRLANDS LÄN</t>
        </is>
      </c>
      <c r="E295" t="inlineStr">
        <is>
          <t>SOLLEFTEÅ</t>
        </is>
      </c>
      <c r="G295" t="n">
        <v>4.1</v>
      </c>
      <c r="H295" t="n">
        <v>0</v>
      </c>
      <c r="I295" t="n">
        <v>0</v>
      </c>
      <c r="J295" t="n">
        <v>0</v>
      </c>
      <c r="K295" t="n">
        <v>0</v>
      </c>
      <c r="L295" t="n">
        <v>0</v>
      </c>
      <c r="M295" t="n">
        <v>0</v>
      </c>
      <c r="N295" t="n">
        <v>0</v>
      </c>
      <c r="O295" t="n">
        <v>0</v>
      </c>
      <c r="P295" t="n">
        <v>0</v>
      </c>
      <c r="Q295" t="n">
        <v>0</v>
      </c>
      <c r="R295" s="2" t="inlineStr"/>
    </row>
    <row r="296" ht="15" customHeight="1">
      <c r="A296" t="inlineStr">
        <is>
          <t>A 67325-2018</t>
        </is>
      </c>
      <c r="B296" s="1" t="n">
        <v>43432</v>
      </c>
      <c r="C296" s="1" t="n">
        <v>45346</v>
      </c>
      <c r="D296" t="inlineStr">
        <is>
          <t>VÄSTERNORRLANDS LÄN</t>
        </is>
      </c>
      <c r="E296" t="inlineStr">
        <is>
          <t>SOLLEFTEÅ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66193-2018</t>
        </is>
      </c>
      <c r="B297" s="1" t="n">
        <v>43434</v>
      </c>
      <c r="C297" s="1" t="n">
        <v>45346</v>
      </c>
      <c r="D297" t="inlineStr">
        <is>
          <t>VÄSTERNORRLANDS LÄN</t>
        </is>
      </c>
      <c r="E297" t="inlineStr">
        <is>
          <t>SOLLEFTEÅ</t>
        </is>
      </c>
      <c r="F297" t="inlineStr">
        <is>
          <t>SCA</t>
        </is>
      </c>
      <c r="G297" t="n">
        <v>9.5</v>
      </c>
      <c r="H297" t="n">
        <v>0</v>
      </c>
      <c r="I297" t="n">
        <v>0</v>
      </c>
      <c r="J297" t="n">
        <v>0</v>
      </c>
      <c r="K297" t="n">
        <v>0</v>
      </c>
      <c r="L297" t="n">
        <v>0</v>
      </c>
      <c r="M297" t="n">
        <v>0</v>
      </c>
      <c r="N297" t="n">
        <v>0</v>
      </c>
      <c r="O297" t="n">
        <v>0</v>
      </c>
      <c r="P297" t="n">
        <v>0</v>
      </c>
      <c r="Q297" t="n">
        <v>0</v>
      </c>
      <c r="R297" s="2" t="inlineStr"/>
    </row>
    <row r="298" ht="15" customHeight="1">
      <c r="A298" t="inlineStr">
        <is>
          <t>A 66449-2018</t>
        </is>
      </c>
      <c r="B298" s="1" t="n">
        <v>43437</v>
      </c>
      <c r="C298" s="1" t="n">
        <v>45346</v>
      </c>
      <c r="D298" t="inlineStr">
        <is>
          <t>VÄSTERNORRLANDS LÄN</t>
        </is>
      </c>
      <c r="E298" t="inlineStr">
        <is>
          <t>SOLLEFTEÅ</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68205-2018</t>
        </is>
      </c>
      <c r="B299" s="1" t="n">
        <v>43437</v>
      </c>
      <c r="C299" s="1" t="n">
        <v>45346</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68153-2018</t>
        </is>
      </c>
      <c r="B300" s="1" t="n">
        <v>43437</v>
      </c>
      <c r="C300" s="1" t="n">
        <v>45346</v>
      </c>
      <c r="D300" t="inlineStr">
        <is>
          <t>VÄSTERNORRLANDS LÄN</t>
        </is>
      </c>
      <c r="E300" t="inlineStr">
        <is>
          <t>SOLLEFTEÅ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66761-2018</t>
        </is>
      </c>
      <c r="B301" s="1" t="n">
        <v>43437</v>
      </c>
      <c r="C301" s="1" t="n">
        <v>45346</v>
      </c>
      <c r="D301" t="inlineStr">
        <is>
          <t>VÄSTERNORRLANDS LÄN</t>
        </is>
      </c>
      <c r="E301" t="inlineStr">
        <is>
          <t>SOLLEFTEÅ</t>
        </is>
      </c>
      <c r="F301" t="inlineStr">
        <is>
          <t>Holmen skog AB</t>
        </is>
      </c>
      <c r="G301" t="n">
        <v>10.3</v>
      </c>
      <c r="H301" t="n">
        <v>0</v>
      </c>
      <c r="I301" t="n">
        <v>0</v>
      </c>
      <c r="J301" t="n">
        <v>0</v>
      </c>
      <c r="K301" t="n">
        <v>0</v>
      </c>
      <c r="L301" t="n">
        <v>0</v>
      </c>
      <c r="M301" t="n">
        <v>0</v>
      </c>
      <c r="N301" t="n">
        <v>0</v>
      </c>
      <c r="O301" t="n">
        <v>0</v>
      </c>
      <c r="P301" t="n">
        <v>0</v>
      </c>
      <c r="Q301" t="n">
        <v>0</v>
      </c>
      <c r="R301" s="2" t="inlineStr"/>
    </row>
    <row r="302" ht="15" customHeight="1">
      <c r="A302" t="inlineStr">
        <is>
          <t>A 68195-2018</t>
        </is>
      </c>
      <c r="B302" s="1" t="n">
        <v>43437</v>
      </c>
      <c r="C302" s="1" t="n">
        <v>45346</v>
      </c>
      <c r="D302" t="inlineStr">
        <is>
          <t>VÄSTERNORRLANDS LÄN</t>
        </is>
      </c>
      <c r="E302" t="inlineStr">
        <is>
          <t>SOLLEFTEÅ</t>
        </is>
      </c>
      <c r="G302" t="n">
        <v>6.5</v>
      </c>
      <c r="H302" t="n">
        <v>0</v>
      </c>
      <c r="I302" t="n">
        <v>0</v>
      </c>
      <c r="J302" t="n">
        <v>0</v>
      </c>
      <c r="K302" t="n">
        <v>0</v>
      </c>
      <c r="L302" t="n">
        <v>0</v>
      </c>
      <c r="M302" t="n">
        <v>0</v>
      </c>
      <c r="N302" t="n">
        <v>0</v>
      </c>
      <c r="O302" t="n">
        <v>0</v>
      </c>
      <c r="P302" t="n">
        <v>0</v>
      </c>
      <c r="Q302" t="n">
        <v>0</v>
      </c>
      <c r="R302" s="2" t="inlineStr"/>
    </row>
    <row r="303" ht="15" customHeight="1">
      <c r="A303" t="inlineStr">
        <is>
          <t>A 67572-2018</t>
        </is>
      </c>
      <c r="B303" s="1" t="n">
        <v>43439</v>
      </c>
      <c r="C303" s="1" t="n">
        <v>45346</v>
      </c>
      <c r="D303" t="inlineStr">
        <is>
          <t>VÄSTERNORRLANDS LÄN</t>
        </is>
      </c>
      <c r="E303" t="inlineStr">
        <is>
          <t>SOLLEFTEÅ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68665-2018</t>
        </is>
      </c>
      <c r="B304" s="1" t="n">
        <v>43444</v>
      </c>
      <c r="C304" s="1" t="n">
        <v>45346</v>
      </c>
      <c r="D304" t="inlineStr">
        <is>
          <t>VÄSTERNORRLANDS LÄN</t>
        </is>
      </c>
      <c r="E304" t="inlineStr">
        <is>
          <t>SOLLEFTEÅ</t>
        </is>
      </c>
      <c r="G304" t="n">
        <v>3.3</v>
      </c>
      <c r="H304" t="n">
        <v>0</v>
      </c>
      <c r="I304" t="n">
        <v>0</v>
      </c>
      <c r="J304" t="n">
        <v>0</v>
      </c>
      <c r="K304" t="n">
        <v>0</v>
      </c>
      <c r="L304" t="n">
        <v>0</v>
      </c>
      <c r="M304" t="n">
        <v>0</v>
      </c>
      <c r="N304" t="n">
        <v>0</v>
      </c>
      <c r="O304" t="n">
        <v>0</v>
      </c>
      <c r="P304" t="n">
        <v>0</v>
      </c>
      <c r="Q304" t="n">
        <v>0</v>
      </c>
      <c r="R304" s="2" t="inlineStr"/>
    </row>
    <row r="305" ht="15" customHeight="1">
      <c r="A305" t="inlineStr">
        <is>
          <t>A 70365-2018</t>
        </is>
      </c>
      <c r="B305" s="1" t="n">
        <v>43446</v>
      </c>
      <c r="C305" s="1" t="n">
        <v>45346</v>
      </c>
      <c r="D305" t="inlineStr">
        <is>
          <t>VÄSTERNORRLANDS LÄN</t>
        </is>
      </c>
      <c r="E305" t="inlineStr">
        <is>
          <t>SOLLEFTEÅ</t>
        </is>
      </c>
      <c r="G305" t="n">
        <v>9</v>
      </c>
      <c r="H305" t="n">
        <v>0</v>
      </c>
      <c r="I305" t="n">
        <v>0</v>
      </c>
      <c r="J305" t="n">
        <v>0</v>
      </c>
      <c r="K305" t="n">
        <v>0</v>
      </c>
      <c r="L305" t="n">
        <v>0</v>
      </c>
      <c r="M305" t="n">
        <v>0</v>
      </c>
      <c r="N305" t="n">
        <v>0</v>
      </c>
      <c r="O305" t="n">
        <v>0</v>
      </c>
      <c r="P305" t="n">
        <v>0</v>
      </c>
      <c r="Q305" t="n">
        <v>0</v>
      </c>
      <c r="R305" s="2" t="inlineStr"/>
    </row>
    <row r="306" ht="15" customHeight="1">
      <c r="A306" t="inlineStr">
        <is>
          <t>A 70368-2018</t>
        </is>
      </c>
      <c r="B306" s="1" t="n">
        <v>43446</v>
      </c>
      <c r="C306" s="1" t="n">
        <v>45346</v>
      </c>
      <c r="D306" t="inlineStr">
        <is>
          <t>VÄSTERNORRLANDS LÄN</t>
        </is>
      </c>
      <c r="E306" t="inlineStr">
        <is>
          <t>SOLLEFTEÅ</t>
        </is>
      </c>
      <c r="G306" t="n">
        <v>1.7</v>
      </c>
      <c r="H306" t="n">
        <v>0</v>
      </c>
      <c r="I306" t="n">
        <v>0</v>
      </c>
      <c r="J306" t="n">
        <v>0</v>
      </c>
      <c r="K306" t="n">
        <v>0</v>
      </c>
      <c r="L306" t="n">
        <v>0</v>
      </c>
      <c r="M306" t="n">
        <v>0</v>
      </c>
      <c r="N306" t="n">
        <v>0</v>
      </c>
      <c r="O306" t="n">
        <v>0</v>
      </c>
      <c r="P306" t="n">
        <v>0</v>
      </c>
      <c r="Q306" t="n">
        <v>0</v>
      </c>
      <c r="R306" s="2" t="inlineStr"/>
    </row>
    <row r="307" ht="15" customHeight="1">
      <c r="A307" t="inlineStr">
        <is>
          <t>A 70581-2018</t>
        </is>
      </c>
      <c r="B307" s="1" t="n">
        <v>43447</v>
      </c>
      <c r="C307" s="1" t="n">
        <v>45346</v>
      </c>
      <c r="D307" t="inlineStr">
        <is>
          <t>VÄSTERNORRLANDS LÄN</t>
        </is>
      </c>
      <c r="E307" t="inlineStr">
        <is>
          <t>SOLLEFTEÅ</t>
        </is>
      </c>
      <c r="G307" t="n">
        <v>1</v>
      </c>
      <c r="H307" t="n">
        <v>0</v>
      </c>
      <c r="I307" t="n">
        <v>0</v>
      </c>
      <c r="J307" t="n">
        <v>0</v>
      </c>
      <c r="K307" t="n">
        <v>0</v>
      </c>
      <c r="L307" t="n">
        <v>0</v>
      </c>
      <c r="M307" t="n">
        <v>0</v>
      </c>
      <c r="N307" t="n">
        <v>0</v>
      </c>
      <c r="O307" t="n">
        <v>0</v>
      </c>
      <c r="P307" t="n">
        <v>0</v>
      </c>
      <c r="Q307" t="n">
        <v>0</v>
      </c>
      <c r="R307" s="2" t="inlineStr"/>
    </row>
    <row r="308" ht="15" customHeight="1">
      <c r="A308" t="inlineStr">
        <is>
          <t>A 69970-2018</t>
        </is>
      </c>
      <c r="B308" s="1" t="n">
        <v>43447</v>
      </c>
      <c r="C308" s="1" t="n">
        <v>45346</v>
      </c>
      <c r="D308" t="inlineStr">
        <is>
          <t>VÄSTERNORRLANDS LÄN</t>
        </is>
      </c>
      <c r="E308" t="inlineStr">
        <is>
          <t>SOLLEFTEÅ</t>
        </is>
      </c>
      <c r="G308" t="n">
        <v>1.5</v>
      </c>
      <c r="H308" t="n">
        <v>0</v>
      </c>
      <c r="I308" t="n">
        <v>0</v>
      </c>
      <c r="J308" t="n">
        <v>0</v>
      </c>
      <c r="K308" t="n">
        <v>0</v>
      </c>
      <c r="L308" t="n">
        <v>0</v>
      </c>
      <c r="M308" t="n">
        <v>0</v>
      </c>
      <c r="N308" t="n">
        <v>0</v>
      </c>
      <c r="O308" t="n">
        <v>0</v>
      </c>
      <c r="P308" t="n">
        <v>0</v>
      </c>
      <c r="Q308" t="n">
        <v>0</v>
      </c>
      <c r="R308" s="2" t="inlineStr"/>
    </row>
    <row r="309" ht="15" customHeight="1">
      <c r="A309" t="inlineStr">
        <is>
          <t>A 70429-2018</t>
        </is>
      </c>
      <c r="B309" s="1" t="n">
        <v>43451</v>
      </c>
      <c r="C309" s="1" t="n">
        <v>45346</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71366-2018</t>
        </is>
      </c>
      <c r="B310" s="1" t="n">
        <v>43453</v>
      </c>
      <c r="C310" s="1" t="n">
        <v>45346</v>
      </c>
      <c r="D310" t="inlineStr">
        <is>
          <t>VÄSTERNORRLANDS LÄN</t>
        </is>
      </c>
      <c r="E310" t="inlineStr">
        <is>
          <t>SOLLEFTEÅ</t>
        </is>
      </c>
      <c r="G310" t="n">
        <v>11.7</v>
      </c>
      <c r="H310" t="n">
        <v>0</v>
      </c>
      <c r="I310" t="n">
        <v>0</v>
      </c>
      <c r="J310" t="n">
        <v>0</v>
      </c>
      <c r="K310" t="n">
        <v>0</v>
      </c>
      <c r="L310" t="n">
        <v>0</v>
      </c>
      <c r="M310" t="n">
        <v>0</v>
      </c>
      <c r="N310" t="n">
        <v>0</v>
      </c>
      <c r="O310" t="n">
        <v>0</v>
      </c>
      <c r="P310" t="n">
        <v>0</v>
      </c>
      <c r="Q310" t="n">
        <v>0</v>
      </c>
      <c r="R310" s="2" t="inlineStr"/>
    </row>
    <row r="311" ht="15" customHeight="1">
      <c r="A311" t="inlineStr">
        <is>
          <t>A 71359-2018</t>
        </is>
      </c>
      <c r="B311" s="1" t="n">
        <v>43453</v>
      </c>
      <c r="C311" s="1" t="n">
        <v>45346</v>
      </c>
      <c r="D311" t="inlineStr">
        <is>
          <t>VÄSTERNORRLANDS LÄN</t>
        </is>
      </c>
      <c r="E311" t="inlineStr">
        <is>
          <t>SOLLEFTEÅ</t>
        </is>
      </c>
      <c r="G311" t="n">
        <v>13.6</v>
      </c>
      <c r="H311" t="n">
        <v>0</v>
      </c>
      <c r="I311" t="n">
        <v>0</v>
      </c>
      <c r="J311" t="n">
        <v>0</v>
      </c>
      <c r="K311" t="n">
        <v>0</v>
      </c>
      <c r="L311" t="n">
        <v>0</v>
      </c>
      <c r="M311" t="n">
        <v>0</v>
      </c>
      <c r="N311" t="n">
        <v>0</v>
      </c>
      <c r="O311" t="n">
        <v>0</v>
      </c>
      <c r="P311" t="n">
        <v>0</v>
      </c>
      <c r="Q311" t="n">
        <v>0</v>
      </c>
      <c r="R311" s="2" t="inlineStr"/>
    </row>
    <row r="312" ht="15" customHeight="1">
      <c r="A312" t="inlineStr">
        <is>
          <t>A 71384-2018</t>
        </is>
      </c>
      <c r="B312" s="1" t="n">
        <v>43453</v>
      </c>
      <c r="C312" s="1" t="n">
        <v>45346</v>
      </c>
      <c r="D312" t="inlineStr">
        <is>
          <t>VÄSTERNORRLANDS LÄN</t>
        </is>
      </c>
      <c r="E312" t="inlineStr">
        <is>
          <t>SOLLEFTEÅ</t>
        </is>
      </c>
      <c r="G312" t="n">
        <v>3.7</v>
      </c>
      <c r="H312" t="n">
        <v>0</v>
      </c>
      <c r="I312" t="n">
        <v>0</v>
      </c>
      <c r="J312" t="n">
        <v>0</v>
      </c>
      <c r="K312" t="n">
        <v>0</v>
      </c>
      <c r="L312" t="n">
        <v>0</v>
      </c>
      <c r="M312" t="n">
        <v>0</v>
      </c>
      <c r="N312" t="n">
        <v>0</v>
      </c>
      <c r="O312" t="n">
        <v>0</v>
      </c>
      <c r="P312" t="n">
        <v>0</v>
      </c>
      <c r="Q312" t="n">
        <v>0</v>
      </c>
      <c r="R312" s="2" t="inlineStr"/>
    </row>
    <row r="313" ht="15" customHeight="1">
      <c r="A313" t="inlineStr">
        <is>
          <t>A 71419-2018</t>
        </is>
      </c>
      <c r="B313" s="1" t="n">
        <v>43453</v>
      </c>
      <c r="C313" s="1" t="n">
        <v>45346</v>
      </c>
      <c r="D313" t="inlineStr">
        <is>
          <t>VÄSTERNORRLANDS LÄN</t>
        </is>
      </c>
      <c r="E313" t="inlineStr">
        <is>
          <t>SOLLEFTEÅ</t>
        </is>
      </c>
      <c r="G313" t="n">
        <v>1.1</v>
      </c>
      <c r="H313" t="n">
        <v>0</v>
      </c>
      <c r="I313" t="n">
        <v>0</v>
      </c>
      <c r="J313" t="n">
        <v>0</v>
      </c>
      <c r="K313" t="n">
        <v>0</v>
      </c>
      <c r="L313" t="n">
        <v>0</v>
      </c>
      <c r="M313" t="n">
        <v>0</v>
      </c>
      <c r="N313" t="n">
        <v>0</v>
      </c>
      <c r="O313" t="n">
        <v>0</v>
      </c>
      <c r="P313" t="n">
        <v>0</v>
      </c>
      <c r="Q313" t="n">
        <v>0</v>
      </c>
      <c r="R313" s="2" t="inlineStr"/>
    </row>
    <row r="314" ht="15" customHeight="1">
      <c r="A314" t="inlineStr">
        <is>
          <t>A 71868-2018</t>
        </is>
      </c>
      <c r="B314" s="1" t="n">
        <v>43454</v>
      </c>
      <c r="C314" s="1" t="n">
        <v>45346</v>
      </c>
      <c r="D314" t="inlineStr">
        <is>
          <t>VÄSTERNORRLANDS LÄN</t>
        </is>
      </c>
      <c r="E314" t="inlineStr">
        <is>
          <t>SOLLEFTEÅ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71866-2018</t>
        </is>
      </c>
      <c r="B315" s="1" t="n">
        <v>43454</v>
      </c>
      <c r="C315" s="1" t="n">
        <v>45346</v>
      </c>
      <c r="D315" t="inlineStr">
        <is>
          <t>VÄSTERNORRLANDS LÄN</t>
        </is>
      </c>
      <c r="E315" t="inlineStr">
        <is>
          <t>SOLLEFTEÅ</t>
        </is>
      </c>
      <c r="G315" t="n">
        <v>1.6</v>
      </c>
      <c r="H315" t="n">
        <v>0</v>
      </c>
      <c r="I315" t="n">
        <v>0</v>
      </c>
      <c r="J315" t="n">
        <v>0</v>
      </c>
      <c r="K315" t="n">
        <v>0</v>
      </c>
      <c r="L315" t="n">
        <v>0</v>
      </c>
      <c r="M315" t="n">
        <v>0</v>
      </c>
      <c r="N315" t="n">
        <v>0</v>
      </c>
      <c r="O315" t="n">
        <v>0</v>
      </c>
      <c r="P315" t="n">
        <v>0</v>
      </c>
      <c r="Q315" t="n">
        <v>0</v>
      </c>
      <c r="R315" s="2" t="inlineStr"/>
    </row>
    <row r="316" ht="15" customHeight="1">
      <c r="A316" t="inlineStr">
        <is>
          <t>A 72286-2018</t>
        </is>
      </c>
      <c r="B316" s="1" t="n">
        <v>43455</v>
      </c>
      <c r="C316" s="1" t="n">
        <v>45346</v>
      </c>
      <c r="D316" t="inlineStr">
        <is>
          <t>VÄSTERNORRLANDS LÄN</t>
        </is>
      </c>
      <c r="E316" t="inlineStr">
        <is>
          <t>SOLLEFTEÅ</t>
        </is>
      </c>
      <c r="G316" t="n">
        <v>2.6</v>
      </c>
      <c r="H316" t="n">
        <v>0</v>
      </c>
      <c r="I316" t="n">
        <v>0</v>
      </c>
      <c r="J316" t="n">
        <v>0</v>
      </c>
      <c r="K316" t="n">
        <v>0</v>
      </c>
      <c r="L316" t="n">
        <v>0</v>
      </c>
      <c r="M316" t="n">
        <v>0</v>
      </c>
      <c r="N316" t="n">
        <v>0</v>
      </c>
      <c r="O316" t="n">
        <v>0</v>
      </c>
      <c r="P316" t="n">
        <v>0</v>
      </c>
      <c r="Q316" t="n">
        <v>0</v>
      </c>
      <c r="R316" s="2" t="inlineStr"/>
    </row>
    <row r="317" ht="15" customHeight="1">
      <c r="A317" t="inlineStr">
        <is>
          <t>A 72483-2018</t>
        </is>
      </c>
      <c r="B317" s="1" t="n">
        <v>43461</v>
      </c>
      <c r="C317" s="1" t="n">
        <v>45346</v>
      </c>
      <c r="D317" t="inlineStr">
        <is>
          <t>VÄSTERNORRLANDS LÄN</t>
        </is>
      </c>
      <c r="E317" t="inlineStr">
        <is>
          <t>SOLLEFTEÅ</t>
        </is>
      </c>
      <c r="F317" t="inlineStr">
        <is>
          <t>SCA</t>
        </is>
      </c>
      <c r="G317" t="n">
        <v>9</v>
      </c>
      <c r="H317" t="n">
        <v>0</v>
      </c>
      <c r="I317" t="n">
        <v>0</v>
      </c>
      <c r="J317" t="n">
        <v>0</v>
      </c>
      <c r="K317" t="n">
        <v>0</v>
      </c>
      <c r="L317" t="n">
        <v>0</v>
      </c>
      <c r="M317" t="n">
        <v>0</v>
      </c>
      <c r="N317" t="n">
        <v>0</v>
      </c>
      <c r="O317" t="n">
        <v>0</v>
      </c>
      <c r="P317" t="n">
        <v>0</v>
      </c>
      <c r="Q317" t="n">
        <v>0</v>
      </c>
      <c r="R317" s="2" t="inlineStr"/>
    </row>
    <row r="318" ht="15" customHeight="1">
      <c r="A318" t="inlineStr">
        <is>
          <t>A 2421-2019</t>
        </is>
      </c>
      <c r="B318" s="1" t="n">
        <v>43468</v>
      </c>
      <c r="C318" s="1" t="n">
        <v>45346</v>
      </c>
      <c r="D318" t="inlineStr">
        <is>
          <t>VÄSTERNORRLANDS LÄN</t>
        </is>
      </c>
      <c r="E318" t="inlineStr">
        <is>
          <t>SOLLEFTEÅ</t>
        </is>
      </c>
      <c r="G318" t="n">
        <v>6.7</v>
      </c>
      <c r="H318" t="n">
        <v>0</v>
      </c>
      <c r="I318" t="n">
        <v>0</v>
      </c>
      <c r="J318" t="n">
        <v>0</v>
      </c>
      <c r="K318" t="n">
        <v>0</v>
      </c>
      <c r="L318" t="n">
        <v>0</v>
      </c>
      <c r="M318" t="n">
        <v>0</v>
      </c>
      <c r="N318" t="n">
        <v>0</v>
      </c>
      <c r="O318" t="n">
        <v>0</v>
      </c>
      <c r="P318" t="n">
        <v>0</v>
      </c>
      <c r="Q318" t="n">
        <v>0</v>
      </c>
      <c r="R318" s="2" t="inlineStr"/>
    </row>
    <row r="319" ht="15" customHeight="1">
      <c r="A319" t="inlineStr">
        <is>
          <t>A 543-2019</t>
        </is>
      </c>
      <c r="B319" s="1" t="n">
        <v>43469</v>
      </c>
      <c r="C319" s="1" t="n">
        <v>45346</v>
      </c>
      <c r="D319" t="inlineStr">
        <is>
          <t>VÄSTERNORRLANDS LÄN</t>
        </is>
      </c>
      <c r="E319" t="inlineStr">
        <is>
          <t>SOLLEFTEÅ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552-2019</t>
        </is>
      </c>
      <c r="B320" s="1" t="n">
        <v>43469</v>
      </c>
      <c r="C320" s="1" t="n">
        <v>45346</v>
      </c>
      <c r="D320" t="inlineStr">
        <is>
          <t>VÄSTERNORRLANDS LÄN</t>
        </is>
      </c>
      <c r="E320" t="inlineStr">
        <is>
          <t>SOLLEFTEÅ</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565-2019</t>
        </is>
      </c>
      <c r="B321" s="1" t="n">
        <v>43469</v>
      </c>
      <c r="C321" s="1" t="n">
        <v>45346</v>
      </c>
      <c r="D321" t="inlineStr">
        <is>
          <t>VÄSTERNORRLANDS LÄN</t>
        </is>
      </c>
      <c r="E321" t="inlineStr">
        <is>
          <t>SOLLEFTEÅ</t>
        </is>
      </c>
      <c r="G321" t="n">
        <v>7</v>
      </c>
      <c r="H321" t="n">
        <v>0</v>
      </c>
      <c r="I321" t="n">
        <v>0</v>
      </c>
      <c r="J321" t="n">
        <v>0</v>
      </c>
      <c r="K321" t="n">
        <v>0</v>
      </c>
      <c r="L321" t="n">
        <v>0</v>
      </c>
      <c r="M321" t="n">
        <v>0</v>
      </c>
      <c r="N321" t="n">
        <v>0</v>
      </c>
      <c r="O321" t="n">
        <v>0</v>
      </c>
      <c r="P321" t="n">
        <v>0</v>
      </c>
      <c r="Q321" t="n">
        <v>0</v>
      </c>
      <c r="R321" s="2" t="inlineStr"/>
    </row>
    <row r="322" ht="15" customHeight="1">
      <c r="A322" t="inlineStr">
        <is>
          <t>A 3110-2019</t>
        </is>
      </c>
      <c r="B322" s="1" t="n">
        <v>43479</v>
      </c>
      <c r="C322" s="1" t="n">
        <v>45346</v>
      </c>
      <c r="D322" t="inlineStr">
        <is>
          <t>VÄSTERNORRLANDS LÄN</t>
        </is>
      </c>
      <c r="E322" t="inlineStr">
        <is>
          <t>SOLLEFTEÅ</t>
        </is>
      </c>
      <c r="G322" t="n">
        <v>3.5</v>
      </c>
      <c r="H322" t="n">
        <v>0</v>
      </c>
      <c r="I322" t="n">
        <v>0</v>
      </c>
      <c r="J322" t="n">
        <v>0</v>
      </c>
      <c r="K322" t="n">
        <v>0</v>
      </c>
      <c r="L322" t="n">
        <v>0</v>
      </c>
      <c r="M322" t="n">
        <v>0</v>
      </c>
      <c r="N322" t="n">
        <v>0</v>
      </c>
      <c r="O322" t="n">
        <v>0</v>
      </c>
      <c r="P322" t="n">
        <v>0</v>
      </c>
      <c r="Q322" t="n">
        <v>0</v>
      </c>
      <c r="R322" s="2" t="inlineStr"/>
    </row>
    <row r="323" ht="15" customHeight="1">
      <c r="A323" t="inlineStr">
        <is>
          <t>A 4336-2019</t>
        </is>
      </c>
      <c r="B323" s="1" t="n">
        <v>43479</v>
      </c>
      <c r="C323" s="1" t="n">
        <v>45346</v>
      </c>
      <c r="D323" t="inlineStr">
        <is>
          <t>VÄSTERNORRLANDS LÄN</t>
        </is>
      </c>
      <c r="E323" t="inlineStr">
        <is>
          <t>SOLLEFTEÅ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3162-2019</t>
        </is>
      </c>
      <c r="B324" s="1" t="n">
        <v>43480</v>
      </c>
      <c r="C324" s="1" t="n">
        <v>45346</v>
      </c>
      <c r="D324" t="inlineStr">
        <is>
          <t>VÄSTERNORRLANDS LÄN</t>
        </is>
      </c>
      <c r="E324" t="inlineStr">
        <is>
          <t>SOLLEFTEÅ</t>
        </is>
      </c>
      <c r="G324" t="n">
        <v>3.9</v>
      </c>
      <c r="H324" t="n">
        <v>0</v>
      </c>
      <c r="I324" t="n">
        <v>0</v>
      </c>
      <c r="J324" t="n">
        <v>0</v>
      </c>
      <c r="K324" t="n">
        <v>0</v>
      </c>
      <c r="L324" t="n">
        <v>0</v>
      </c>
      <c r="M324" t="n">
        <v>0</v>
      </c>
      <c r="N324" t="n">
        <v>0</v>
      </c>
      <c r="O324" t="n">
        <v>0</v>
      </c>
      <c r="P324" t="n">
        <v>0</v>
      </c>
      <c r="Q324" t="n">
        <v>0</v>
      </c>
      <c r="R324" s="2" t="inlineStr"/>
    </row>
    <row r="325" ht="15" customHeight="1">
      <c r="A325" t="inlineStr">
        <is>
          <t>A 3157-2019</t>
        </is>
      </c>
      <c r="B325" s="1" t="n">
        <v>43480</v>
      </c>
      <c r="C325" s="1" t="n">
        <v>45346</v>
      </c>
      <c r="D325" t="inlineStr">
        <is>
          <t>VÄSTERNORRLANDS LÄN</t>
        </is>
      </c>
      <c r="E325" t="inlineStr">
        <is>
          <t>SOLLEFTEÅ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5065-2019</t>
        </is>
      </c>
      <c r="B326" s="1" t="n">
        <v>43480</v>
      </c>
      <c r="C326" s="1" t="n">
        <v>45346</v>
      </c>
      <c r="D326" t="inlineStr">
        <is>
          <t>VÄSTERNORRLANDS LÄN</t>
        </is>
      </c>
      <c r="E326" t="inlineStr">
        <is>
          <t>SOLLEFTEÅ</t>
        </is>
      </c>
      <c r="G326" t="n">
        <v>3</v>
      </c>
      <c r="H326" t="n">
        <v>0</v>
      </c>
      <c r="I326" t="n">
        <v>0</v>
      </c>
      <c r="J326" t="n">
        <v>0</v>
      </c>
      <c r="K326" t="n">
        <v>0</v>
      </c>
      <c r="L326" t="n">
        <v>0</v>
      </c>
      <c r="M326" t="n">
        <v>0</v>
      </c>
      <c r="N326" t="n">
        <v>0</v>
      </c>
      <c r="O326" t="n">
        <v>0</v>
      </c>
      <c r="P326" t="n">
        <v>0</v>
      </c>
      <c r="Q326" t="n">
        <v>0</v>
      </c>
      <c r="R326" s="2" t="inlineStr"/>
    </row>
    <row r="327" ht="15" customHeight="1">
      <c r="A327" t="inlineStr">
        <is>
          <t>A 3781-2019</t>
        </is>
      </c>
      <c r="B327" s="1" t="n">
        <v>43481</v>
      </c>
      <c r="C327" s="1" t="n">
        <v>45346</v>
      </c>
      <c r="D327" t="inlineStr">
        <is>
          <t>VÄSTERNORRLANDS LÄN</t>
        </is>
      </c>
      <c r="E327" t="inlineStr">
        <is>
          <t>SOLLEFTEÅ</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5193-2019</t>
        </is>
      </c>
      <c r="B328" s="1" t="n">
        <v>43481</v>
      </c>
      <c r="C328" s="1" t="n">
        <v>45346</v>
      </c>
      <c r="D328" t="inlineStr">
        <is>
          <t>VÄSTERNORRLANDS LÄN</t>
        </is>
      </c>
      <c r="E328" t="inlineStr">
        <is>
          <t>SOLLEFTEÅ</t>
        </is>
      </c>
      <c r="G328" t="n">
        <v>11.3</v>
      </c>
      <c r="H328" t="n">
        <v>0</v>
      </c>
      <c r="I328" t="n">
        <v>0</v>
      </c>
      <c r="J328" t="n">
        <v>0</v>
      </c>
      <c r="K328" t="n">
        <v>0</v>
      </c>
      <c r="L328" t="n">
        <v>0</v>
      </c>
      <c r="M328" t="n">
        <v>0</v>
      </c>
      <c r="N328" t="n">
        <v>0</v>
      </c>
      <c r="O328" t="n">
        <v>0</v>
      </c>
      <c r="P328" t="n">
        <v>0</v>
      </c>
      <c r="Q328" t="n">
        <v>0</v>
      </c>
      <c r="R328" s="2" t="inlineStr"/>
    </row>
    <row r="329" ht="15" customHeight="1">
      <c r="A329" t="inlineStr">
        <is>
          <t>A 3780-2019</t>
        </is>
      </c>
      <c r="B329" s="1" t="n">
        <v>43481</v>
      </c>
      <c r="C329" s="1" t="n">
        <v>45346</v>
      </c>
      <c r="D329" t="inlineStr">
        <is>
          <t>VÄSTERNORRLANDS LÄN</t>
        </is>
      </c>
      <c r="E329" t="inlineStr">
        <is>
          <t>SOLLEFTEÅ</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3952-2019</t>
        </is>
      </c>
      <c r="B330" s="1" t="n">
        <v>43482</v>
      </c>
      <c r="C330" s="1" t="n">
        <v>45346</v>
      </c>
      <c r="D330" t="inlineStr">
        <is>
          <t>VÄSTERNORRLANDS LÄN</t>
        </is>
      </c>
      <c r="E330" t="inlineStr">
        <is>
          <t>SOLLEFTEÅ</t>
        </is>
      </c>
      <c r="G330" t="n">
        <v>4</v>
      </c>
      <c r="H330" t="n">
        <v>0</v>
      </c>
      <c r="I330" t="n">
        <v>0</v>
      </c>
      <c r="J330" t="n">
        <v>0</v>
      </c>
      <c r="K330" t="n">
        <v>0</v>
      </c>
      <c r="L330" t="n">
        <v>0</v>
      </c>
      <c r="M330" t="n">
        <v>0</v>
      </c>
      <c r="N330" t="n">
        <v>0</v>
      </c>
      <c r="O330" t="n">
        <v>0</v>
      </c>
      <c r="P330" t="n">
        <v>0</v>
      </c>
      <c r="Q330" t="n">
        <v>0</v>
      </c>
      <c r="R330" s="2" t="inlineStr"/>
    </row>
    <row r="331" ht="15" customHeight="1">
      <c r="A331" t="inlineStr">
        <is>
          <t>A 5050-2019</t>
        </is>
      </c>
      <c r="B331" s="1" t="n">
        <v>43487</v>
      </c>
      <c r="C331" s="1" t="n">
        <v>45346</v>
      </c>
      <c r="D331" t="inlineStr">
        <is>
          <t>VÄSTERNORRLANDS LÄN</t>
        </is>
      </c>
      <c r="E331" t="inlineStr">
        <is>
          <t>SOLLEFTEÅ</t>
        </is>
      </c>
      <c r="F331" t="inlineStr">
        <is>
          <t>Kyrkan</t>
        </is>
      </c>
      <c r="G331" t="n">
        <v>17.3</v>
      </c>
      <c r="H331" t="n">
        <v>0</v>
      </c>
      <c r="I331" t="n">
        <v>0</v>
      </c>
      <c r="J331" t="n">
        <v>0</v>
      </c>
      <c r="K331" t="n">
        <v>0</v>
      </c>
      <c r="L331" t="n">
        <v>0</v>
      </c>
      <c r="M331" t="n">
        <v>0</v>
      </c>
      <c r="N331" t="n">
        <v>0</v>
      </c>
      <c r="O331" t="n">
        <v>0</v>
      </c>
      <c r="P331" t="n">
        <v>0</v>
      </c>
      <c r="Q331" t="n">
        <v>0</v>
      </c>
      <c r="R331" s="2" t="inlineStr"/>
    </row>
    <row r="332" ht="15" customHeight="1">
      <c r="A332" t="inlineStr">
        <is>
          <t>A 7159-2019</t>
        </is>
      </c>
      <c r="B332" s="1" t="n">
        <v>43489</v>
      </c>
      <c r="C332" s="1" t="n">
        <v>45346</v>
      </c>
      <c r="D332" t="inlineStr">
        <is>
          <t>VÄSTERNORRLANDS LÄN</t>
        </is>
      </c>
      <c r="E332" t="inlineStr">
        <is>
          <t>SOLLEFTEÅ</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5923-2019</t>
        </is>
      </c>
      <c r="B333" s="1" t="n">
        <v>43490</v>
      </c>
      <c r="C333" s="1" t="n">
        <v>45346</v>
      </c>
      <c r="D333" t="inlineStr">
        <is>
          <t>VÄSTERNORRLANDS LÄN</t>
        </is>
      </c>
      <c r="E333" t="inlineStr">
        <is>
          <t>SOLLEFTEÅ</t>
        </is>
      </c>
      <c r="G333" t="n">
        <v>6.8</v>
      </c>
      <c r="H333" t="n">
        <v>0</v>
      </c>
      <c r="I333" t="n">
        <v>0</v>
      </c>
      <c r="J333" t="n">
        <v>0</v>
      </c>
      <c r="K333" t="n">
        <v>0</v>
      </c>
      <c r="L333" t="n">
        <v>0</v>
      </c>
      <c r="M333" t="n">
        <v>0</v>
      </c>
      <c r="N333" t="n">
        <v>0</v>
      </c>
      <c r="O333" t="n">
        <v>0</v>
      </c>
      <c r="P333" t="n">
        <v>0</v>
      </c>
      <c r="Q333" t="n">
        <v>0</v>
      </c>
      <c r="R333" s="2" t="inlineStr"/>
    </row>
    <row r="334" ht="15" customHeight="1">
      <c r="A334" t="inlineStr">
        <is>
          <t>A 7792-2019</t>
        </is>
      </c>
      <c r="B334" s="1" t="n">
        <v>43494</v>
      </c>
      <c r="C334" s="1" t="n">
        <v>45346</v>
      </c>
      <c r="D334" t="inlineStr">
        <is>
          <t>VÄSTERNORRLANDS LÄN</t>
        </is>
      </c>
      <c r="E334" t="inlineStr">
        <is>
          <t>SOLLEFTEÅ</t>
        </is>
      </c>
      <c r="G334" t="n">
        <v>2.5</v>
      </c>
      <c r="H334" t="n">
        <v>0</v>
      </c>
      <c r="I334" t="n">
        <v>0</v>
      </c>
      <c r="J334" t="n">
        <v>0</v>
      </c>
      <c r="K334" t="n">
        <v>0</v>
      </c>
      <c r="L334" t="n">
        <v>0</v>
      </c>
      <c r="M334" t="n">
        <v>0</v>
      </c>
      <c r="N334" t="n">
        <v>0</v>
      </c>
      <c r="O334" t="n">
        <v>0</v>
      </c>
      <c r="P334" t="n">
        <v>0</v>
      </c>
      <c r="Q334" t="n">
        <v>0</v>
      </c>
      <c r="R334" s="2" t="inlineStr"/>
    </row>
    <row r="335" ht="15" customHeight="1">
      <c r="A335" t="inlineStr">
        <is>
          <t>A 7878-2019</t>
        </is>
      </c>
      <c r="B335" s="1" t="n">
        <v>43500</v>
      </c>
      <c r="C335" s="1" t="n">
        <v>45346</v>
      </c>
      <c r="D335" t="inlineStr">
        <is>
          <t>VÄSTERNORRLANDS LÄN</t>
        </is>
      </c>
      <c r="E335" t="inlineStr">
        <is>
          <t>SOLLEFTEÅ</t>
        </is>
      </c>
      <c r="G335" t="n">
        <v>4</v>
      </c>
      <c r="H335" t="n">
        <v>0</v>
      </c>
      <c r="I335" t="n">
        <v>0</v>
      </c>
      <c r="J335" t="n">
        <v>0</v>
      </c>
      <c r="K335" t="n">
        <v>0</v>
      </c>
      <c r="L335" t="n">
        <v>0</v>
      </c>
      <c r="M335" t="n">
        <v>0</v>
      </c>
      <c r="N335" t="n">
        <v>0</v>
      </c>
      <c r="O335" t="n">
        <v>0</v>
      </c>
      <c r="P335" t="n">
        <v>0</v>
      </c>
      <c r="Q335" t="n">
        <v>0</v>
      </c>
      <c r="R335" s="2" t="inlineStr"/>
    </row>
    <row r="336" ht="15" customHeight="1">
      <c r="A336" t="inlineStr">
        <is>
          <t>A 8020-2019</t>
        </is>
      </c>
      <c r="B336" s="1" t="n">
        <v>43501</v>
      </c>
      <c r="C336" s="1" t="n">
        <v>45346</v>
      </c>
      <c r="D336" t="inlineStr">
        <is>
          <t>VÄSTERNORRLANDS LÄN</t>
        </is>
      </c>
      <c r="E336" t="inlineStr">
        <is>
          <t>SOLLEFTEÅ</t>
        </is>
      </c>
      <c r="G336" t="n">
        <v>9</v>
      </c>
      <c r="H336" t="n">
        <v>0</v>
      </c>
      <c r="I336" t="n">
        <v>0</v>
      </c>
      <c r="J336" t="n">
        <v>0</v>
      </c>
      <c r="K336" t="n">
        <v>0</v>
      </c>
      <c r="L336" t="n">
        <v>0</v>
      </c>
      <c r="M336" t="n">
        <v>0</v>
      </c>
      <c r="N336" t="n">
        <v>0</v>
      </c>
      <c r="O336" t="n">
        <v>0</v>
      </c>
      <c r="P336" t="n">
        <v>0</v>
      </c>
      <c r="Q336" t="n">
        <v>0</v>
      </c>
      <c r="R336" s="2" t="inlineStr"/>
    </row>
    <row r="337" ht="15" customHeight="1">
      <c r="A337" t="inlineStr">
        <is>
          <t>A 7970-2019</t>
        </is>
      </c>
      <c r="B337" s="1" t="n">
        <v>43501</v>
      </c>
      <c r="C337" s="1" t="n">
        <v>45346</v>
      </c>
      <c r="D337" t="inlineStr">
        <is>
          <t>VÄSTERNORRLANDS LÄN</t>
        </is>
      </c>
      <c r="E337" t="inlineStr">
        <is>
          <t>SOLLEFTEÅ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9051-2019</t>
        </is>
      </c>
      <c r="B338" s="1" t="n">
        <v>43504</v>
      </c>
      <c r="C338" s="1" t="n">
        <v>45346</v>
      </c>
      <c r="D338" t="inlineStr">
        <is>
          <t>VÄSTERNORRLANDS LÄN</t>
        </is>
      </c>
      <c r="E338" t="inlineStr">
        <is>
          <t>SOLLEFTEÅ</t>
        </is>
      </c>
      <c r="G338" t="n">
        <v>4.3</v>
      </c>
      <c r="H338" t="n">
        <v>0</v>
      </c>
      <c r="I338" t="n">
        <v>0</v>
      </c>
      <c r="J338" t="n">
        <v>0</v>
      </c>
      <c r="K338" t="n">
        <v>0</v>
      </c>
      <c r="L338" t="n">
        <v>0</v>
      </c>
      <c r="M338" t="n">
        <v>0</v>
      </c>
      <c r="N338" t="n">
        <v>0</v>
      </c>
      <c r="O338" t="n">
        <v>0</v>
      </c>
      <c r="P338" t="n">
        <v>0</v>
      </c>
      <c r="Q338" t="n">
        <v>0</v>
      </c>
      <c r="R338" s="2" t="inlineStr"/>
    </row>
    <row r="339" ht="15" customHeight="1">
      <c r="A339" t="inlineStr">
        <is>
          <t>A 9521-2019</t>
        </is>
      </c>
      <c r="B339" s="1" t="n">
        <v>43507</v>
      </c>
      <c r="C339" s="1" t="n">
        <v>45346</v>
      </c>
      <c r="D339" t="inlineStr">
        <is>
          <t>VÄSTERNORRLANDS LÄN</t>
        </is>
      </c>
      <c r="E339" t="inlineStr">
        <is>
          <t>SOLLEFTEÅ</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9519-2019</t>
        </is>
      </c>
      <c r="B340" s="1" t="n">
        <v>43507</v>
      </c>
      <c r="C340" s="1" t="n">
        <v>45346</v>
      </c>
      <c r="D340" t="inlineStr">
        <is>
          <t>VÄSTERNORRLANDS LÄN</t>
        </is>
      </c>
      <c r="E340" t="inlineStr">
        <is>
          <t>SOLLEFTEÅ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9367-2019</t>
        </is>
      </c>
      <c r="B341" s="1" t="n">
        <v>43507</v>
      </c>
      <c r="C341" s="1" t="n">
        <v>45346</v>
      </c>
      <c r="D341" t="inlineStr">
        <is>
          <t>VÄSTERNORRLANDS LÄN</t>
        </is>
      </c>
      <c r="E341" t="inlineStr">
        <is>
          <t>SOLLEFTEÅ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9610-2019</t>
        </is>
      </c>
      <c r="B342" s="1" t="n">
        <v>43508</v>
      </c>
      <c r="C342" s="1" t="n">
        <v>45346</v>
      </c>
      <c r="D342" t="inlineStr">
        <is>
          <t>VÄSTERNORRLANDS LÄN</t>
        </is>
      </c>
      <c r="E342" t="inlineStr">
        <is>
          <t>SOLLEFTEÅ</t>
        </is>
      </c>
      <c r="G342" t="n">
        <v>7.7</v>
      </c>
      <c r="H342" t="n">
        <v>0</v>
      </c>
      <c r="I342" t="n">
        <v>0</v>
      </c>
      <c r="J342" t="n">
        <v>0</v>
      </c>
      <c r="K342" t="n">
        <v>0</v>
      </c>
      <c r="L342" t="n">
        <v>0</v>
      </c>
      <c r="M342" t="n">
        <v>0</v>
      </c>
      <c r="N342" t="n">
        <v>0</v>
      </c>
      <c r="O342" t="n">
        <v>0</v>
      </c>
      <c r="P342" t="n">
        <v>0</v>
      </c>
      <c r="Q342" t="n">
        <v>0</v>
      </c>
      <c r="R342" s="2" t="inlineStr"/>
    </row>
    <row r="343" ht="15" customHeight="1">
      <c r="A343" t="inlineStr">
        <is>
          <t>A 9727-2019</t>
        </is>
      </c>
      <c r="B343" s="1" t="n">
        <v>43508</v>
      </c>
      <c r="C343" s="1" t="n">
        <v>45346</v>
      </c>
      <c r="D343" t="inlineStr">
        <is>
          <t>VÄSTERNORRLANDS LÄN</t>
        </is>
      </c>
      <c r="E343" t="inlineStr">
        <is>
          <t>SOLLEFTEÅ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11285-2019</t>
        </is>
      </c>
      <c r="B344" s="1" t="n">
        <v>43516</v>
      </c>
      <c r="C344" s="1" t="n">
        <v>45346</v>
      </c>
      <c r="D344" t="inlineStr">
        <is>
          <t>VÄSTERNORRLANDS LÄN</t>
        </is>
      </c>
      <c r="E344" t="inlineStr">
        <is>
          <t>SOLLEFTEÅ</t>
        </is>
      </c>
      <c r="F344" t="inlineStr">
        <is>
          <t>SCA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11283-2019</t>
        </is>
      </c>
      <c r="B345" s="1" t="n">
        <v>43516</v>
      </c>
      <c r="C345" s="1" t="n">
        <v>45346</v>
      </c>
      <c r="D345" t="inlineStr">
        <is>
          <t>VÄSTERNORRLANDS LÄN</t>
        </is>
      </c>
      <c r="E345" t="inlineStr">
        <is>
          <t>SOLLEFTEÅ</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11177-2019</t>
        </is>
      </c>
      <c r="B346" s="1" t="n">
        <v>43516</v>
      </c>
      <c r="C346" s="1" t="n">
        <v>45346</v>
      </c>
      <c r="D346" t="inlineStr">
        <is>
          <t>VÄSTERNORRLANDS LÄN</t>
        </is>
      </c>
      <c r="E346" t="inlineStr">
        <is>
          <t>SOLLEFTEÅ</t>
        </is>
      </c>
      <c r="F346" t="inlineStr">
        <is>
          <t>Kyrkan</t>
        </is>
      </c>
      <c r="G346" t="n">
        <v>5.1</v>
      </c>
      <c r="H346" t="n">
        <v>0</v>
      </c>
      <c r="I346" t="n">
        <v>0</v>
      </c>
      <c r="J346" t="n">
        <v>0</v>
      </c>
      <c r="K346" t="n">
        <v>0</v>
      </c>
      <c r="L346" t="n">
        <v>0</v>
      </c>
      <c r="M346" t="n">
        <v>0</v>
      </c>
      <c r="N346" t="n">
        <v>0</v>
      </c>
      <c r="O346" t="n">
        <v>0</v>
      </c>
      <c r="P346" t="n">
        <v>0</v>
      </c>
      <c r="Q346" t="n">
        <v>0</v>
      </c>
      <c r="R346" s="2" t="inlineStr"/>
    </row>
    <row r="347" ht="15" customHeight="1">
      <c r="A347" t="inlineStr">
        <is>
          <t>A 11341-2019</t>
        </is>
      </c>
      <c r="B347" s="1" t="n">
        <v>43517</v>
      </c>
      <c r="C347" s="1" t="n">
        <v>45346</v>
      </c>
      <c r="D347" t="inlineStr">
        <is>
          <t>VÄSTERNORRLANDS LÄN</t>
        </is>
      </c>
      <c r="E347" t="inlineStr">
        <is>
          <t>SOLLEFTEÅ</t>
        </is>
      </c>
      <c r="G347" t="n">
        <v>7.2</v>
      </c>
      <c r="H347" t="n">
        <v>0</v>
      </c>
      <c r="I347" t="n">
        <v>0</v>
      </c>
      <c r="J347" t="n">
        <v>0</v>
      </c>
      <c r="K347" t="n">
        <v>0</v>
      </c>
      <c r="L347" t="n">
        <v>0</v>
      </c>
      <c r="M347" t="n">
        <v>0</v>
      </c>
      <c r="N347" t="n">
        <v>0</v>
      </c>
      <c r="O347" t="n">
        <v>0</v>
      </c>
      <c r="P347" t="n">
        <v>0</v>
      </c>
      <c r="Q347" t="n">
        <v>0</v>
      </c>
      <c r="R347" s="2" t="inlineStr"/>
    </row>
    <row r="348" ht="15" customHeight="1">
      <c r="A348" t="inlineStr">
        <is>
          <t>A 11766-2019</t>
        </is>
      </c>
      <c r="B348" s="1" t="n">
        <v>43520</v>
      </c>
      <c r="C348" s="1" t="n">
        <v>45346</v>
      </c>
      <c r="D348" t="inlineStr">
        <is>
          <t>VÄSTERNORRLANDS LÄN</t>
        </is>
      </c>
      <c r="E348" t="inlineStr">
        <is>
          <t>SOLLEFTEÅ</t>
        </is>
      </c>
      <c r="G348" t="n">
        <v>7.1</v>
      </c>
      <c r="H348" t="n">
        <v>0</v>
      </c>
      <c r="I348" t="n">
        <v>0</v>
      </c>
      <c r="J348" t="n">
        <v>0</v>
      </c>
      <c r="K348" t="n">
        <v>0</v>
      </c>
      <c r="L348" t="n">
        <v>0</v>
      </c>
      <c r="M348" t="n">
        <v>0</v>
      </c>
      <c r="N348" t="n">
        <v>0</v>
      </c>
      <c r="O348" t="n">
        <v>0</v>
      </c>
      <c r="P348" t="n">
        <v>0</v>
      </c>
      <c r="Q348" t="n">
        <v>0</v>
      </c>
      <c r="R348" s="2" t="inlineStr"/>
    </row>
    <row r="349" ht="15" customHeight="1">
      <c r="A349" t="inlineStr">
        <is>
          <t>A 11759-2019</t>
        </is>
      </c>
      <c r="B349" s="1" t="n">
        <v>43520</v>
      </c>
      <c r="C349" s="1" t="n">
        <v>45346</v>
      </c>
      <c r="D349" t="inlineStr">
        <is>
          <t>VÄSTERNORRLANDS LÄN</t>
        </is>
      </c>
      <c r="E349" t="inlineStr">
        <is>
          <t>SOLLEFTEÅ</t>
        </is>
      </c>
      <c r="G349" t="n">
        <v>0.3</v>
      </c>
      <c r="H349" t="n">
        <v>0</v>
      </c>
      <c r="I349" t="n">
        <v>0</v>
      </c>
      <c r="J349" t="n">
        <v>0</v>
      </c>
      <c r="K349" t="n">
        <v>0</v>
      </c>
      <c r="L349" t="n">
        <v>0</v>
      </c>
      <c r="M349" t="n">
        <v>0</v>
      </c>
      <c r="N349" t="n">
        <v>0</v>
      </c>
      <c r="O349" t="n">
        <v>0</v>
      </c>
      <c r="P349" t="n">
        <v>0</v>
      </c>
      <c r="Q349" t="n">
        <v>0</v>
      </c>
      <c r="R349" s="2" t="inlineStr"/>
    </row>
    <row r="350" ht="15" customHeight="1">
      <c r="A350" t="inlineStr">
        <is>
          <t>A 12510-2019</t>
        </is>
      </c>
      <c r="B350" s="1" t="n">
        <v>43523</v>
      </c>
      <c r="C350" s="1" t="n">
        <v>45346</v>
      </c>
      <c r="D350" t="inlineStr">
        <is>
          <t>VÄSTERNORRLANDS LÄN</t>
        </is>
      </c>
      <c r="E350" t="inlineStr">
        <is>
          <t>SOLLEFTEÅ</t>
        </is>
      </c>
      <c r="G350" t="n">
        <v>1</v>
      </c>
      <c r="H350" t="n">
        <v>0</v>
      </c>
      <c r="I350" t="n">
        <v>0</v>
      </c>
      <c r="J350" t="n">
        <v>0</v>
      </c>
      <c r="K350" t="n">
        <v>0</v>
      </c>
      <c r="L350" t="n">
        <v>0</v>
      </c>
      <c r="M350" t="n">
        <v>0</v>
      </c>
      <c r="N350" t="n">
        <v>0</v>
      </c>
      <c r="O350" t="n">
        <v>0</v>
      </c>
      <c r="P350" t="n">
        <v>0</v>
      </c>
      <c r="Q350" t="n">
        <v>0</v>
      </c>
      <c r="R350" s="2" t="inlineStr"/>
    </row>
    <row r="351" ht="15" customHeight="1">
      <c r="A351" t="inlineStr">
        <is>
          <t>A 12812-2019</t>
        </is>
      </c>
      <c r="B351" s="1" t="n">
        <v>43524</v>
      </c>
      <c r="C351" s="1" t="n">
        <v>45346</v>
      </c>
      <c r="D351" t="inlineStr">
        <is>
          <t>VÄSTERNORRLANDS LÄN</t>
        </is>
      </c>
      <c r="E351" t="inlineStr">
        <is>
          <t>SOLLEFTEÅ</t>
        </is>
      </c>
      <c r="G351" t="n">
        <v>6.4</v>
      </c>
      <c r="H351" t="n">
        <v>0</v>
      </c>
      <c r="I351" t="n">
        <v>0</v>
      </c>
      <c r="J351" t="n">
        <v>0</v>
      </c>
      <c r="K351" t="n">
        <v>0</v>
      </c>
      <c r="L351" t="n">
        <v>0</v>
      </c>
      <c r="M351" t="n">
        <v>0</v>
      </c>
      <c r="N351" t="n">
        <v>0</v>
      </c>
      <c r="O351" t="n">
        <v>0</v>
      </c>
      <c r="P351" t="n">
        <v>0</v>
      </c>
      <c r="Q351" t="n">
        <v>0</v>
      </c>
      <c r="R351" s="2" t="inlineStr"/>
    </row>
    <row r="352" ht="15" customHeight="1">
      <c r="A352" t="inlineStr">
        <is>
          <t>A 12987-2019</t>
        </is>
      </c>
      <c r="B352" s="1" t="n">
        <v>43525</v>
      </c>
      <c r="C352" s="1" t="n">
        <v>45346</v>
      </c>
      <c r="D352" t="inlineStr">
        <is>
          <t>VÄSTERNORRLANDS LÄN</t>
        </is>
      </c>
      <c r="E352" t="inlineStr">
        <is>
          <t>SOLLEFTEÅ</t>
        </is>
      </c>
      <c r="G352" t="n">
        <v>3</v>
      </c>
      <c r="H352" t="n">
        <v>0</v>
      </c>
      <c r="I352" t="n">
        <v>0</v>
      </c>
      <c r="J352" t="n">
        <v>0</v>
      </c>
      <c r="K352" t="n">
        <v>0</v>
      </c>
      <c r="L352" t="n">
        <v>0</v>
      </c>
      <c r="M352" t="n">
        <v>0</v>
      </c>
      <c r="N352" t="n">
        <v>0</v>
      </c>
      <c r="O352" t="n">
        <v>0</v>
      </c>
      <c r="P352" t="n">
        <v>0</v>
      </c>
      <c r="Q352" t="n">
        <v>0</v>
      </c>
      <c r="R352" s="2" t="inlineStr"/>
    </row>
    <row r="353" ht="15" customHeight="1">
      <c r="A353" t="inlineStr">
        <is>
          <t>A 13653-2019</t>
        </is>
      </c>
      <c r="B353" s="1" t="n">
        <v>43530</v>
      </c>
      <c r="C353" s="1" t="n">
        <v>45346</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13711-2019</t>
        </is>
      </c>
      <c r="B354" s="1" t="n">
        <v>43530</v>
      </c>
      <c r="C354" s="1" t="n">
        <v>45346</v>
      </c>
      <c r="D354" t="inlineStr">
        <is>
          <t>VÄSTERNORRLANDS LÄN</t>
        </is>
      </c>
      <c r="E354" t="inlineStr">
        <is>
          <t>SOLLEFTEÅ</t>
        </is>
      </c>
      <c r="G354" t="n">
        <v>5.6</v>
      </c>
      <c r="H354" t="n">
        <v>0</v>
      </c>
      <c r="I354" t="n">
        <v>0</v>
      </c>
      <c r="J354" t="n">
        <v>0</v>
      </c>
      <c r="K354" t="n">
        <v>0</v>
      </c>
      <c r="L354" t="n">
        <v>0</v>
      </c>
      <c r="M354" t="n">
        <v>0</v>
      </c>
      <c r="N354" t="n">
        <v>0</v>
      </c>
      <c r="O354" t="n">
        <v>0</v>
      </c>
      <c r="P354" t="n">
        <v>0</v>
      </c>
      <c r="Q354" t="n">
        <v>0</v>
      </c>
      <c r="R354" s="2" t="inlineStr"/>
    </row>
    <row r="355" ht="15" customHeight="1">
      <c r="A355" t="inlineStr">
        <is>
          <t>A 13801-2019</t>
        </is>
      </c>
      <c r="B355" s="1" t="n">
        <v>43530</v>
      </c>
      <c r="C355" s="1" t="n">
        <v>45346</v>
      </c>
      <c r="D355" t="inlineStr">
        <is>
          <t>VÄSTERNORRLANDS LÄN</t>
        </is>
      </c>
      <c r="E355" t="inlineStr">
        <is>
          <t>SOLLEFTEÅ</t>
        </is>
      </c>
      <c r="G355" t="n">
        <v>1.8</v>
      </c>
      <c r="H355" t="n">
        <v>0</v>
      </c>
      <c r="I355" t="n">
        <v>0</v>
      </c>
      <c r="J355" t="n">
        <v>0</v>
      </c>
      <c r="K355" t="n">
        <v>0</v>
      </c>
      <c r="L355" t="n">
        <v>0</v>
      </c>
      <c r="M355" t="n">
        <v>0</v>
      </c>
      <c r="N355" t="n">
        <v>0</v>
      </c>
      <c r="O355" t="n">
        <v>0</v>
      </c>
      <c r="P355" t="n">
        <v>0</v>
      </c>
      <c r="Q355" t="n">
        <v>0</v>
      </c>
      <c r="R355" s="2" t="inlineStr"/>
    </row>
    <row r="356" ht="15" customHeight="1">
      <c r="A356" t="inlineStr">
        <is>
          <t>A 13648-2019</t>
        </is>
      </c>
      <c r="B356" s="1" t="n">
        <v>43530</v>
      </c>
      <c r="C356" s="1" t="n">
        <v>45346</v>
      </c>
      <c r="D356" t="inlineStr">
        <is>
          <t>VÄSTERNORRLANDS LÄN</t>
        </is>
      </c>
      <c r="E356" t="inlineStr">
        <is>
          <t>SOLLEFTEÅ</t>
        </is>
      </c>
      <c r="G356" t="n">
        <v>4.1</v>
      </c>
      <c r="H356" t="n">
        <v>0</v>
      </c>
      <c r="I356" t="n">
        <v>0</v>
      </c>
      <c r="J356" t="n">
        <v>0</v>
      </c>
      <c r="K356" t="n">
        <v>0</v>
      </c>
      <c r="L356" t="n">
        <v>0</v>
      </c>
      <c r="M356" t="n">
        <v>0</v>
      </c>
      <c r="N356" t="n">
        <v>0</v>
      </c>
      <c r="O356" t="n">
        <v>0</v>
      </c>
      <c r="P356" t="n">
        <v>0</v>
      </c>
      <c r="Q356" t="n">
        <v>0</v>
      </c>
      <c r="R356" s="2" t="inlineStr"/>
    </row>
    <row r="357" ht="15" customHeight="1">
      <c r="A357" t="inlineStr">
        <is>
          <t>A 13800-2019</t>
        </is>
      </c>
      <c r="B357" s="1" t="n">
        <v>43530</v>
      </c>
      <c r="C357" s="1" t="n">
        <v>45346</v>
      </c>
      <c r="D357" t="inlineStr">
        <is>
          <t>VÄSTERNORRLANDS LÄN</t>
        </is>
      </c>
      <c r="E357" t="inlineStr">
        <is>
          <t>SOLLEFTEÅ</t>
        </is>
      </c>
      <c r="G357" t="n">
        <v>7.3</v>
      </c>
      <c r="H357" t="n">
        <v>0</v>
      </c>
      <c r="I357" t="n">
        <v>0</v>
      </c>
      <c r="J357" t="n">
        <v>0</v>
      </c>
      <c r="K357" t="n">
        <v>0</v>
      </c>
      <c r="L357" t="n">
        <v>0</v>
      </c>
      <c r="M357" t="n">
        <v>0</v>
      </c>
      <c r="N357" t="n">
        <v>0</v>
      </c>
      <c r="O357" t="n">
        <v>0</v>
      </c>
      <c r="P357" t="n">
        <v>0</v>
      </c>
      <c r="Q357" t="n">
        <v>0</v>
      </c>
      <c r="R357" s="2" t="inlineStr"/>
    </row>
    <row r="358" ht="15" customHeight="1">
      <c r="A358" t="inlineStr">
        <is>
          <t>A 13914-2019</t>
        </is>
      </c>
      <c r="B358" s="1" t="n">
        <v>43531</v>
      </c>
      <c r="C358" s="1" t="n">
        <v>45346</v>
      </c>
      <c r="D358" t="inlineStr">
        <is>
          <t>VÄSTERNORRLANDS LÄN</t>
        </is>
      </c>
      <c r="E358" t="inlineStr">
        <is>
          <t>SOLLEFTEÅ</t>
        </is>
      </c>
      <c r="G358" t="n">
        <v>4.1</v>
      </c>
      <c r="H358" t="n">
        <v>0</v>
      </c>
      <c r="I358" t="n">
        <v>0</v>
      </c>
      <c r="J358" t="n">
        <v>0</v>
      </c>
      <c r="K358" t="n">
        <v>0</v>
      </c>
      <c r="L358" t="n">
        <v>0</v>
      </c>
      <c r="M358" t="n">
        <v>0</v>
      </c>
      <c r="N358" t="n">
        <v>0</v>
      </c>
      <c r="O358" t="n">
        <v>0</v>
      </c>
      <c r="P358" t="n">
        <v>0</v>
      </c>
      <c r="Q358" t="n">
        <v>0</v>
      </c>
      <c r="R358" s="2" t="inlineStr"/>
    </row>
    <row r="359" ht="15" customHeight="1">
      <c r="A359" t="inlineStr">
        <is>
          <t>A 13912-2019</t>
        </is>
      </c>
      <c r="B359" s="1" t="n">
        <v>43531</v>
      </c>
      <c r="C359" s="1" t="n">
        <v>45346</v>
      </c>
      <c r="D359" t="inlineStr">
        <is>
          <t>VÄSTERNORRLANDS LÄN</t>
        </is>
      </c>
      <c r="E359" t="inlineStr">
        <is>
          <t>SOLLEFTEÅ</t>
        </is>
      </c>
      <c r="G359" t="n">
        <v>6.1</v>
      </c>
      <c r="H359" t="n">
        <v>0</v>
      </c>
      <c r="I359" t="n">
        <v>0</v>
      </c>
      <c r="J359" t="n">
        <v>0</v>
      </c>
      <c r="K359" t="n">
        <v>0</v>
      </c>
      <c r="L359" t="n">
        <v>0</v>
      </c>
      <c r="M359" t="n">
        <v>0</v>
      </c>
      <c r="N359" t="n">
        <v>0</v>
      </c>
      <c r="O359" t="n">
        <v>0</v>
      </c>
      <c r="P359" t="n">
        <v>0</v>
      </c>
      <c r="Q359" t="n">
        <v>0</v>
      </c>
      <c r="R359" s="2" t="inlineStr"/>
    </row>
    <row r="360" ht="15" customHeight="1">
      <c r="A360" t="inlineStr">
        <is>
          <t>A 15272-2019</t>
        </is>
      </c>
      <c r="B360" s="1" t="n">
        <v>43539</v>
      </c>
      <c r="C360" s="1" t="n">
        <v>45346</v>
      </c>
      <c r="D360" t="inlineStr">
        <is>
          <t>VÄSTERNORRLANDS LÄN</t>
        </is>
      </c>
      <c r="E360" t="inlineStr">
        <is>
          <t>SOLLEFTEÅ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15737-2019</t>
        </is>
      </c>
      <c r="B361" s="1" t="n">
        <v>43542</v>
      </c>
      <c r="C361" s="1" t="n">
        <v>45346</v>
      </c>
      <c r="D361" t="inlineStr">
        <is>
          <t>VÄSTERNORRLANDS LÄN</t>
        </is>
      </c>
      <c r="E361" t="inlineStr">
        <is>
          <t>SOLLEFTEÅ</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15897-2019</t>
        </is>
      </c>
      <c r="B362" s="1" t="n">
        <v>43543</v>
      </c>
      <c r="C362" s="1" t="n">
        <v>45346</v>
      </c>
      <c r="D362" t="inlineStr">
        <is>
          <t>VÄSTERNORRLANDS LÄN</t>
        </is>
      </c>
      <c r="E362" t="inlineStr">
        <is>
          <t>SOLLEFTEÅ</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16033-2019</t>
        </is>
      </c>
      <c r="B363" s="1" t="n">
        <v>43543</v>
      </c>
      <c r="C363" s="1" t="n">
        <v>45346</v>
      </c>
      <c r="D363" t="inlineStr">
        <is>
          <t>VÄSTERNORRLANDS LÄN</t>
        </is>
      </c>
      <c r="E363" t="inlineStr">
        <is>
          <t>SOLLEFTEÅ</t>
        </is>
      </c>
      <c r="G363" t="n">
        <v>6.3</v>
      </c>
      <c r="H363" t="n">
        <v>0</v>
      </c>
      <c r="I363" t="n">
        <v>0</v>
      </c>
      <c r="J363" t="n">
        <v>0</v>
      </c>
      <c r="K363" t="n">
        <v>0</v>
      </c>
      <c r="L363" t="n">
        <v>0</v>
      </c>
      <c r="M363" t="n">
        <v>0</v>
      </c>
      <c r="N363" t="n">
        <v>0</v>
      </c>
      <c r="O363" t="n">
        <v>0</v>
      </c>
      <c r="P363" t="n">
        <v>0</v>
      </c>
      <c r="Q363" t="n">
        <v>0</v>
      </c>
      <c r="R363" s="2" t="inlineStr"/>
    </row>
    <row r="364" ht="15" customHeight="1">
      <c r="A364" t="inlineStr">
        <is>
          <t>A 16565-2019</t>
        </is>
      </c>
      <c r="B364" s="1" t="n">
        <v>43546</v>
      </c>
      <c r="C364" s="1" t="n">
        <v>45346</v>
      </c>
      <c r="D364" t="inlineStr">
        <is>
          <t>VÄSTERNORRLANDS LÄN</t>
        </is>
      </c>
      <c r="E364" t="inlineStr">
        <is>
          <t>SOLLEFTEÅ</t>
        </is>
      </c>
      <c r="F364" t="inlineStr">
        <is>
          <t>SCA</t>
        </is>
      </c>
      <c r="G364" t="n">
        <v>13.6</v>
      </c>
      <c r="H364" t="n">
        <v>0</v>
      </c>
      <c r="I364" t="n">
        <v>0</v>
      </c>
      <c r="J364" t="n">
        <v>0</v>
      </c>
      <c r="K364" t="n">
        <v>0</v>
      </c>
      <c r="L364" t="n">
        <v>0</v>
      </c>
      <c r="M364" t="n">
        <v>0</v>
      </c>
      <c r="N364" t="n">
        <v>0</v>
      </c>
      <c r="O364" t="n">
        <v>0</v>
      </c>
      <c r="P364" t="n">
        <v>0</v>
      </c>
      <c r="Q364" t="n">
        <v>0</v>
      </c>
      <c r="R364" s="2" t="inlineStr"/>
    </row>
    <row r="365" ht="15" customHeight="1">
      <c r="A365" t="inlineStr">
        <is>
          <t>A 16552-2019</t>
        </is>
      </c>
      <c r="B365" s="1" t="n">
        <v>43546</v>
      </c>
      <c r="C365" s="1" t="n">
        <v>45346</v>
      </c>
      <c r="D365" t="inlineStr">
        <is>
          <t>VÄSTERNORRLANDS LÄN</t>
        </is>
      </c>
      <c r="E365" t="inlineStr">
        <is>
          <t>SOLLEFTEÅ</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16840-2019</t>
        </is>
      </c>
      <c r="B366" s="1" t="n">
        <v>43549</v>
      </c>
      <c r="C366" s="1" t="n">
        <v>45346</v>
      </c>
      <c r="D366" t="inlineStr">
        <is>
          <t>VÄSTERNORRLANDS LÄN</t>
        </is>
      </c>
      <c r="E366" t="inlineStr">
        <is>
          <t>SOLLEFTEÅ</t>
        </is>
      </c>
      <c r="F366" t="inlineStr">
        <is>
          <t>SCA</t>
        </is>
      </c>
      <c r="G366" t="n">
        <v>31.7</v>
      </c>
      <c r="H366" t="n">
        <v>0</v>
      </c>
      <c r="I366" t="n">
        <v>0</v>
      </c>
      <c r="J366" t="n">
        <v>0</v>
      </c>
      <c r="K366" t="n">
        <v>0</v>
      </c>
      <c r="L366" t="n">
        <v>0</v>
      </c>
      <c r="M366" t="n">
        <v>0</v>
      </c>
      <c r="N366" t="n">
        <v>0</v>
      </c>
      <c r="O366" t="n">
        <v>0</v>
      </c>
      <c r="P366" t="n">
        <v>0</v>
      </c>
      <c r="Q366" t="n">
        <v>0</v>
      </c>
      <c r="R366" s="2" t="inlineStr"/>
    </row>
    <row r="367" ht="15" customHeight="1">
      <c r="A367" t="inlineStr">
        <is>
          <t>A 16833-2019</t>
        </is>
      </c>
      <c r="B367" s="1" t="n">
        <v>43549</v>
      </c>
      <c r="C367" s="1" t="n">
        <v>45346</v>
      </c>
      <c r="D367" t="inlineStr">
        <is>
          <t>VÄSTERNORRLANDS LÄN</t>
        </is>
      </c>
      <c r="E367" t="inlineStr">
        <is>
          <t>SOLLEFTEÅ</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16832-2019</t>
        </is>
      </c>
      <c r="B368" s="1" t="n">
        <v>43549</v>
      </c>
      <c r="C368" s="1" t="n">
        <v>45346</v>
      </c>
      <c r="D368" t="inlineStr">
        <is>
          <t>VÄSTERNORRLANDS LÄN</t>
        </is>
      </c>
      <c r="E368" t="inlineStr">
        <is>
          <t>SOLLEFTEÅ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17670-2019</t>
        </is>
      </c>
      <c r="B369" s="1" t="n">
        <v>43552</v>
      </c>
      <c r="C369" s="1" t="n">
        <v>45346</v>
      </c>
      <c r="D369" t="inlineStr">
        <is>
          <t>VÄSTERNORRLANDS LÄN</t>
        </is>
      </c>
      <c r="E369" t="inlineStr">
        <is>
          <t>SOLLEFTEÅ</t>
        </is>
      </c>
      <c r="G369" t="n">
        <v>6.6</v>
      </c>
      <c r="H369" t="n">
        <v>0</v>
      </c>
      <c r="I369" t="n">
        <v>0</v>
      </c>
      <c r="J369" t="n">
        <v>0</v>
      </c>
      <c r="K369" t="n">
        <v>0</v>
      </c>
      <c r="L369" t="n">
        <v>0</v>
      </c>
      <c r="M369" t="n">
        <v>0</v>
      </c>
      <c r="N369" t="n">
        <v>0</v>
      </c>
      <c r="O369" t="n">
        <v>0</v>
      </c>
      <c r="P369" t="n">
        <v>0</v>
      </c>
      <c r="Q369" t="n">
        <v>0</v>
      </c>
      <c r="R369" s="2" t="inlineStr"/>
    </row>
    <row r="370" ht="15" customHeight="1">
      <c r="A370" t="inlineStr">
        <is>
          <t>A 18277-2019</t>
        </is>
      </c>
      <c r="B370" s="1" t="n">
        <v>43557</v>
      </c>
      <c r="C370" s="1" t="n">
        <v>45346</v>
      </c>
      <c r="D370" t="inlineStr">
        <is>
          <t>VÄSTERNORRLANDS LÄN</t>
        </is>
      </c>
      <c r="E370" t="inlineStr">
        <is>
          <t>SOLLEFTEÅ</t>
        </is>
      </c>
      <c r="G370" t="n">
        <v>6.2</v>
      </c>
      <c r="H370" t="n">
        <v>0</v>
      </c>
      <c r="I370" t="n">
        <v>0</v>
      </c>
      <c r="J370" t="n">
        <v>0</v>
      </c>
      <c r="K370" t="n">
        <v>0</v>
      </c>
      <c r="L370" t="n">
        <v>0</v>
      </c>
      <c r="M370" t="n">
        <v>0</v>
      </c>
      <c r="N370" t="n">
        <v>0</v>
      </c>
      <c r="O370" t="n">
        <v>0</v>
      </c>
      <c r="P370" t="n">
        <v>0</v>
      </c>
      <c r="Q370" t="n">
        <v>0</v>
      </c>
      <c r="R370" s="2" t="inlineStr"/>
    </row>
    <row r="371" ht="15" customHeight="1">
      <c r="A371" t="inlineStr">
        <is>
          <t>A 18578-2019</t>
        </is>
      </c>
      <c r="B371" s="1" t="n">
        <v>43558</v>
      </c>
      <c r="C371" s="1" t="n">
        <v>45346</v>
      </c>
      <c r="D371" t="inlineStr">
        <is>
          <t>VÄSTERNORRLANDS LÄN</t>
        </is>
      </c>
      <c r="E371" t="inlineStr">
        <is>
          <t>SOLLEFTEÅ</t>
        </is>
      </c>
      <c r="G371" t="n">
        <v>1.7</v>
      </c>
      <c r="H371" t="n">
        <v>0</v>
      </c>
      <c r="I371" t="n">
        <v>0</v>
      </c>
      <c r="J371" t="n">
        <v>0</v>
      </c>
      <c r="K371" t="n">
        <v>0</v>
      </c>
      <c r="L371" t="n">
        <v>0</v>
      </c>
      <c r="M371" t="n">
        <v>0</v>
      </c>
      <c r="N371" t="n">
        <v>0</v>
      </c>
      <c r="O371" t="n">
        <v>0</v>
      </c>
      <c r="P371" t="n">
        <v>0</v>
      </c>
      <c r="Q371" t="n">
        <v>0</v>
      </c>
      <c r="R371" s="2" t="inlineStr"/>
    </row>
    <row r="372" ht="15" customHeight="1">
      <c r="A372" t="inlineStr">
        <is>
          <t>A 18452-2019</t>
        </is>
      </c>
      <c r="B372" s="1" t="n">
        <v>43559</v>
      </c>
      <c r="C372" s="1" t="n">
        <v>45346</v>
      </c>
      <c r="D372" t="inlineStr">
        <is>
          <t>VÄSTERNORRLANDS LÄN</t>
        </is>
      </c>
      <c r="E372" t="inlineStr">
        <is>
          <t>SOLLEFTEÅ</t>
        </is>
      </c>
      <c r="G372" t="n">
        <v>2.2</v>
      </c>
      <c r="H372" t="n">
        <v>0</v>
      </c>
      <c r="I372" t="n">
        <v>0</v>
      </c>
      <c r="J372" t="n">
        <v>0</v>
      </c>
      <c r="K372" t="n">
        <v>0</v>
      </c>
      <c r="L372" t="n">
        <v>0</v>
      </c>
      <c r="M372" t="n">
        <v>0</v>
      </c>
      <c r="N372" t="n">
        <v>0</v>
      </c>
      <c r="O372" t="n">
        <v>0</v>
      </c>
      <c r="P372" t="n">
        <v>0</v>
      </c>
      <c r="Q372" t="n">
        <v>0</v>
      </c>
      <c r="R372" s="2" t="inlineStr"/>
    </row>
    <row r="373" ht="15" customHeight="1">
      <c r="A373" t="inlineStr">
        <is>
          <t>A 18925-2019</t>
        </is>
      </c>
      <c r="B373" s="1" t="n">
        <v>43563</v>
      </c>
      <c r="C373" s="1" t="n">
        <v>45346</v>
      </c>
      <c r="D373" t="inlineStr">
        <is>
          <t>VÄSTERNORRLANDS LÄN</t>
        </is>
      </c>
      <c r="E373" t="inlineStr">
        <is>
          <t>SOLLEFTEÅ</t>
        </is>
      </c>
      <c r="G373" t="n">
        <v>1.9</v>
      </c>
      <c r="H373" t="n">
        <v>0</v>
      </c>
      <c r="I373" t="n">
        <v>0</v>
      </c>
      <c r="J373" t="n">
        <v>0</v>
      </c>
      <c r="K373" t="n">
        <v>0</v>
      </c>
      <c r="L373" t="n">
        <v>0</v>
      </c>
      <c r="M373" t="n">
        <v>0</v>
      </c>
      <c r="N373" t="n">
        <v>0</v>
      </c>
      <c r="O373" t="n">
        <v>0</v>
      </c>
      <c r="P373" t="n">
        <v>0</v>
      </c>
      <c r="Q373" t="n">
        <v>0</v>
      </c>
      <c r="R373" s="2" t="inlineStr"/>
    </row>
    <row r="374" ht="15" customHeight="1">
      <c r="A374" t="inlineStr">
        <is>
          <t>A 19123-2019</t>
        </is>
      </c>
      <c r="B374" s="1" t="n">
        <v>43564</v>
      </c>
      <c r="C374" s="1" t="n">
        <v>45346</v>
      </c>
      <c r="D374" t="inlineStr">
        <is>
          <t>VÄSTERNORRLANDS LÄN</t>
        </is>
      </c>
      <c r="E374" t="inlineStr">
        <is>
          <t>SOLLEFTEÅ</t>
        </is>
      </c>
      <c r="G374" t="n">
        <v>9.4</v>
      </c>
      <c r="H374" t="n">
        <v>0</v>
      </c>
      <c r="I374" t="n">
        <v>0</v>
      </c>
      <c r="J374" t="n">
        <v>0</v>
      </c>
      <c r="K374" t="n">
        <v>0</v>
      </c>
      <c r="L374" t="n">
        <v>0</v>
      </c>
      <c r="M374" t="n">
        <v>0</v>
      </c>
      <c r="N374" t="n">
        <v>0</v>
      </c>
      <c r="O374" t="n">
        <v>0</v>
      </c>
      <c r="P374" t="n">
        <v>0</v>
      </c>
      <c r="Q374" t="n">
        <v>0</v>
      </c>
      <c r="R374" s="2" t="inlineStr"/>
    </row>
    <row r="375" ht="15" customHeight="1">
      <c r="A375" t="inlineStr">
        <is>
          <t>A 19219-2019</t>
        </is>
      </c>
      <c r="B375" s="1" t="n">
        <v>43564</v>
      </c>
      <c r="C375" s="1" t="n">
        <v>45346</v>
      </c>
      <c r="D375" t="inlineStr">
        <is>
          <t>VÄSTERNORRLANDS LÄN</t>
        </is>
      </c>
      <c r="E375" t="inlineStr">
        <is>
          <t>SOLLEFTEÅ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19553-2019</t>
        </is>
      </c>
      <c r="B376" s="1" t="n">
        <v>43565</v>
      </c>
      <c r="C376" s="1" t="n">
        <v>45346</v>
      </c>
      <c r="D376" t="inlineStr">
        <is>
          <t>VÄSTERNORRLANDS LÄN</t>
        </is>
      </c>
      <c r="E376" t="inlineStr">
        <is>
          <t>SOLLEFTEÅ</t>
        </is>
      </c>
      <c r="G376" t="n">
        <v>28.1</v>
      </c>
      <c r="H376" t="n">
        <v>0</v>
      </c>
      <c r="I376" t="n">
        <v>0</v>
      </c>
      <c r="J376" t="n">
        <v>0</v>
      </c>
      <c r="K376" t="n">
        <v>0</v>
      </c>
      <c r="L376" t="n">
        <v>0</v>
      </c>
      <c r="M376" t="n">
        <v>0</v>
      </c>
      <c r="N376" t="n">
        <v>0</v>
      </c>
      <c r="O376" t="n">
        <v>0</v>
      </c>
      <c r="P376" t="n">
        <v>0</v>
      </c>
      <c r="Q376" t="n">
        <v>0</v>
      </c>
      <c r="R376" s="2" t="inlineStr"/>
    </row>
    <row r="377" ht="15" customHeight="1">
      <c r="A377" t="inlineStr">
        <is>
          <t>A 19730-2019</t>
        </is>
      </c>
      <c r="B377" s="1" t="n">
        <v>43566</v>
      </c>
      <c r="C377" s="1" t="n">
        <v>45346</v>
      </c>
      <c r="D377" t="inlineStr">
        <is>
          <t>VÄSTERNORRLANDS LÄN</t>
        </is>
      </c>
      <c r="E377" t="inlineStr">
        <is>
          <t>SOLLEFTEÅ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19595-2019</t>
        </is>
      </c>
      <c r="B378" s="1" t="n">
        <v>43566</v>
      </c>
      <c r="C378" s="1" t="n">
        <v>45346</v>
      </c>
      <c r="D378" t="inlineStr">
        <is>
          <t>VÄSTERNORRLANDS LÄN</t>
        </is>
      </c>
      <c r="E378" t="inlineStr">
        <is>
          <t>SOLLEFTEÅ</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19732-2019</t>
        </is>
      </c>
      <c r="B379" s="1" t="n">
        <v>43566</v>
      </c>
      <c r="C379" s="1" t="n">
        <v>45346</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19731-2019</t>
        </is>
      </c>
      <c r="B380" s="1" t="n">
        <v>43566</v>
      </c>
      <c r="C380" s="1" t="n">
        <v>45346</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20201-2019</t>
        </is>
      </c>
      <c r="B381" s="1" t="n">
        <v>43570</v>
      </c>
      <c r="C381" s="1" t="n">
        <v>45346</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20198-2019</t>
        </is>
      </c>
      <c r="B382" s="1" t="n">
        <v>43570</v>
      </c>
      <c r="C382" s="1" t="n">
        <v>45346</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20200-2019</t>
        </is>
      </c>
      <c r="B383" s="1" t="n">
        <v>43570</v>
      </c>
      <c r="C383" s="1" t="n">
        <v>45346</v>
      </c>
      <c r="D383" t="inlineStr">
        <is>
          <t>VÄSTERNORRLANDS LÄN</t>
        </is>
      </c>
      <c r="E383" t="inlineStr">
        <is>
          <t>SOLLEFTEÅ</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20444-2019</t>
        </is>
      </c>
      <c r="B384" s="1" t="n">
        <v>43571</v>
      </c>
      <c r="C384" s="1" t="n">
        <v>45346</v>
      </c>
      <c r="D384" t="inlineStr">
        <is>
          <t>VÄSTERNORRLANDS LÄN</t>
        </is>
      </c>
      <c r="E384" t="inlineStr">
        <is>
          <t>SOLLEFTEÅ</t>
        </is>
      </c>
      <c r="G384" t="n">
        <v>2.9</v>
      </c>
      <c r="H384" t="n">
        <v>0</v>
      </c>
      <c r="I384" t="n">
        <v>0</v>
      </c>
      <c r="J384" t="n">
        <v>0</v>
      </c>
      <c r="K384" t="n">
        <v>0</v>
      </c>
      <c r="L384" t="n">
        <v>0</v>
      </c>
      <c r="M384" t="n">
        <v>0</v>
      </c>
      <c r="N384" t="n">
        <v>0</v>
      </c>
      <c r="O384" t="n">
        <v>0</v>
      </c>
      <c r="P384" t="n">
        <v>0</v>
      </c>
      <c r="Q384" t="n">
        <v>0</v>
      </c>
      <c r="R384" s="2" t="inlineStr"/>
    </row>
    <row r="385" ht="15" customHeight="1">
      <c r="A385" t="inlineStr">
        <is>
          <t>A 20649-2019</t>
        </is>
      </c>
      <c r="B385" s="1" t="n">
        <v>43572</v>
      </c>
      <c r="C385" s="1" t="n">
        <v>45346</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20648-2019</t>
        </is>
      </c>
      <c r="B386" s="1" t="n">
        <v>43572</v>
      </c>
      <c r="C386" s="1" t="n">
        <v>45346</v>
      </c>
      <c r="D386" t="inlineStr">
        <is>
          <t>VÄSTERNORRLANDS LÄN</t>
        </is>
      </c>
      <c r="E386" t="inlineStr">
        <is>
          <t>SOLLEFTEÅ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21119-2019</t>
        </is>
      </c>
      <c r="B387" s="1" t="n">
        <v>43578</v>
      </c>
      <c r="C387" s="1" t="n">
        <v>45346</v>
      </c>
      <c r="D387" t="inlineStr">
        <is>
          <t>VÄSTERNORRLANDS LÄN</t>
        </is>
      </c>
      <c r="E387" t="inlineStr">
        <is>
          <t>SOLLEFTEÅ</t>
        </is>
      </c>
      <c r="F387" t="inlineStr">
        <is>
          <t>SCA</t>
        </is>
      </c>
      <c r="G387" t="n">
        <v>57.7</v>
      </c>
      <c r="H387" t="n">
        <v>0</v>
      </c>
      <c r="I387" t="n">
        <v>0</v>
      </c>
      <c r="J387" t="n">
        <v>0</v>
      </c>
      <c r="K387" t="n">
        <v>0</v>
      </c>
      <c r="L387" t="n">
        <v>0</v>
      </c>
      <c r="M387" t="n">
        <v>0</v>
      </c>
      <c r="N387" t="n">
        <v>0</v>
      </c>
      <c r="O387" t="n">
        <v>0</v>
      </c>
      <c r="P387" t="n">
        <v>0</v>
      </c>
      <c r="Q387" t="n">
        <v>0</v>
      </c>
      <c r="R387" s="2" t="inlineStr"/>
    </row>
    <row r="388" ht="15" customHeight="1">
      <c r="A388" t="inlineStr">
        <is>
          <t>A 21526-2019</t>
        </is>
      </c>
      <c r="B388" s="1" t="n">
        <v>43580</v>
      </c>
      <c r="C388" s="1" t="n">
        <v>45346</v>
      </c>
      <c r="D388" t="inlineStr">
        <is>
          <t>VÄSTERNORRLANDS LÄN</t>
        </is>
      </c>
      <c r="E388" t="inlineStr">
        <is>
          <t>SOLLEFTEÅ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21799-2019</t>
        </is>
      </c>
      <c r="B389" s="1" t="n">
        <v>43581</v>
      </c>
      <c r="C389" s="1" t="n">
        <v>45346</v>
      </c>
      <c r="D389" t="inlineStr">
        <is>
          <t>VÄSTERNORRLANDS LÄN</t>
        </is>
      </c>
      <c r="E389" t="inlineStr">
        <is>
          <t>SOLLEFTEÅ</t>
        </is>
      </c>
      <c r="F389" t="inlineStr">
        <is>
          <t>SCA</t>
        </is>
      </c>
      <c r="G389" t="n">
        <v>14.1</v>
      </c>
      <c r="H389" t="n">
        <v>0</v>
      </c>
      <c r="I389" t="n">
        <v>0</v>
      </c>
      <c r="J389" t="n">
        <v>0</v>
      </c>
      <c r="K389" t="n">
        <v>0</v>
      </c>
      <c r="L389" t="n">
        <v>0</v>
      </c>
      <c r="M389" t="n">
        <v>0</v>
      </c>
      <c r="N389" t="n">
        <v>0</v>
      </c>
      <c r="O389" t="n">
        <v>0</v>
      </c>
      <c r="P389" t="n">
        <v>0</v>
      </c>
      <c r="Q389" t="n">
        <v>0</v>
      </c>
      <c r="R389" s="2" t="inlineStr"/>
    </row>
    <row r="390" ht="15" customHeight="1">
      <c r="A390" t="inlineStr">
        <is>
          <t>A 21788-2019</t>
        </is>
      </c>
      <c r="B390" s="1" t="n">
        <v>43581</v>
      </c>
      <c r="C390" s="1" t="n">
        <v>45346</v>
      </c>
      <c r="D390" t="inlineStr">
        <is>
          <t>VÄSTERNORRLANDS LÄN</t>
        </is>
      </c>
      <c r="E390" t="inlineStr">
        <is>
          <t>SOLLEFTEÅ</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22088-2019</t>
        </is>
      </c>
      <c r="B391" s="1" t="n">
        <v>43584</v>
      </c>
      <c r="C391" s="1" t="n">
        <v>45346</v>
      </c>
      <c r="D391" t="inlineStr">
        <is>
          <t>VÄSTERNORRLANDS LÄN</t>
        </is>
      </c>
      <c r="E391" t="inlineStr">
        <is>
          <t>SOLLEFTEÅ</t>
        </is>
      </c>
      <c r="F391" t="inlineStr">
        <is>
          <t>SCA</t>
        </is>
      </c>
      <c r="G391" t="n">
        <v>37.9</v>
      </c>
      <c r="H391" t="n">
        <v>0</v>
      </c>
      <c r="I391" t="n">
        <v>0</v>
      </c>
      <c r="J391" t="n">
        <v>0</v>
      </c>
      <c r="K391" t="n">
        <v>0</v>
      </c>
      <c r="L391" t="n">
        <v>0</v>
      </c>
      <c r="M391" t="n">
        <v>0</v>
      </c>
      <c r="N391" t="n">
        <v>0</v>
      </c>
      <c r="O391" t="n">
        <v>0</v>
      </c>
      <c r="P391" t="n">
        <v>0</v>
      </c>
      <c r="Q391" t="n">
        <v>0</v>
      </c>
      <c r="R391" s="2" t="inlineStr"/>
    </row>
    <row r="392" ht="15" customHeight="1">
      <c r="A392" t="inlineStr">
        <is>
          <t>A 22283-2019</t>
        </is>
      </c>
      <c r="B392" s="1" t="n">
        <v>43585</v>
      </c>
      <c r="C392" s="1" t="n">
        <v>45346</v>
      </c>
      <c r="D392" t="inlineStr">
        <is>
          <t>VÄSTERNORRLANDS LÄN</t>
        </is>
      </c>
      <c r="E392" t="inlineStr">
        <is>
          <t>SOLLEFTEÅ</t>
        </is>
      </c>
      <c r="F392" t="inlineStr">
        <is>
          <t>SCA</t>
        </is>
      </c>
      <c r="G392" t="n">
        <v>9.1</v>
      </c>
      <c r="H392" t="n">
        <v>0</v>
      </c>
      <c r="I392" t="n">
        <v>0</v>
      </c>
      <c r="J392" t="n">
        <v>0</v>
      </c>
      <c r="K392" t="n">
        <v>0</v>
      </c>
      <c r="L392" t="n">
        <v>0</v>
      </c>
      <c r="M392" t="n">
        <v>0</v>
      </c>
      <c r="N392" t="n">
        <v>0</v>
      </c>
      <c r="O392" t="n">
        <v>0</v>
      </c>
      <c r="P392" t="n">
        <v>0</v>
      </c>
      <c r="Q392" t="n">
        <v>0</v>
      </c>
      <c r="R392" s="2" t="inlineStr"/>
    </row>
    <row r="393" ht="15" customHeight="1">
      <c r="A393" t="inlineStr">
        <is>
          <t>A 22587-2019</t>
        </is>
      </c>
      <c r="B393" s="1" t="n">
        <v>43587</v>
      </c>
      <c r="C393" s="1" t="n">
        <v>45346</v>
      </c>
      <c r="D393" t="inlineStr">
        <is>
          <t>VÄSTERNORRLANDS LÄN</t>
        </is>
      </c>
      <c r="E393" t="inlineStr">
        <is>
          <t>SOLLEFTEÅ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23241-2019</t>
        </is>
      </c>
      <c r="B394" s="1" t="n">
        <v>43591</v>
      </c>
      <c r="C394" s="1" t="n">
        <v>45346</v>
      </c>
      <c r="D394" t="inlineStr">
        <is>
          <t>VÄSTERNORRLANDS LÄN</t>
        </is>
      </c>
      <c r="E394" t="inlineStr">
        <is>
          <t>SOLLEFTEÅ</t>
        </is>
      </c>
      <c r="G394" t="n">
        <v>6.2</v>
      </c>
      <c r="H394" t="n">
        <v>0</v>
      </c>
      <c r="I394" t="n">
        <v>0</v>
      </c>
      <c r="J394" t="n">
        <v>0</v>
      </c>
      <c r="K394" t="n">
        <v>0</v>
      </c>
      <c r="L394" t="n">
        <v>0</v>
      </c>
      <c r="M394" t="n">
        <v>0</v>
      </c>
      <c r="N394" t="n">
        <v>0</v>
      </c>
      <c r="O394" t="n">
        <v>0</v>
      </c>
      <c r="P394" t="n">
        <v>0</v>
      </c>
      <c r="Q394" t="n">
        <v>0</v>
      </c>
      <c r="R394" s="2" t="inlineStr"/>
    </row>
    <row r="395" ht="15" customHeight="1">
      <c r="A395" t="inlineStr">
        <is>
          <t>A 23314-2019</t>
        </is>
      </c>
      <c r="B395" s="1" t="n">
        <v>43591</v>
      </c>
      <c r="C395" s="1" t="n">
        <v>45346</v>
      </c>
      <c r="D395" t="inlineStr">
        <is>
          <t>VÄSTERNORRLANDS LÄN</t>
        </is>
      </c>
      <c r="E395" t="inlineStr">
        <is>
          <t>SOLLEFTEÅ</t>
        </is>
      </c>
      <c r="G395" t="n">
        <v>2.5</v>
      </c>
      <c r="H395" t="n">
        <v>0</v>
      </c>
      <c r="I395" t="n">
        <v>0</v>
      </c>
      <c r="J395" t="n">
        <v>0</v>
      </c>
      <c r="K395" t="n">
        <v>0</v>
      </c>
      <c r="L395" t="n">
        <v>0</v>
      </c>
      <c r="M395" t="n">
        <v>0</v>
      </c>
      <c r="N395" t="n">
        <v>0</v>
      </c>
      <c r="O395" t="n">
        <v>0</v>
      </c>
      <c r="P395" t="n">
        <v>0</v>
      </c>
      <c r="Q395" t="n">
        <v>0</v>
      </c>
      <c r="R395" s="2" t="inlineStr"/>
    </row>
    <row r="396" ht="15" customHeight="1">
      <c r="A396" t="inlineStr">
        <is>
          <t>A 23323-2019</t>
        </is>
      </c>
      <c r="B396" s="1" t="n">
        <v>43591</v>
      </c>
      <c r="C396" s="1" t="n">
        <v>45346</v>
      </c>
      <c r="D396" t="inlineStr">
        <is>
          <t>VÄSTERNORRLANDS LÄN</t>
        </is>
      </c>
      <c r="E396" t="inlineStr">
        <is>
          <t>SOLLEFTEÅ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23246-2019</t>
        </is>
      </c>
      <c r="B397" s="1" t="n">
        <v>43591</v>
      </c>
      <c r="C397" s="1" t="n">
        <v>45346</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24157-2019</t>
        </is>
      </c>
      <c r="B398" s="1" t="n">
        <v>43598</v>
      </c>
      <c r="C398" s="1" t="n">
        <v>45346</v>
      </c>
      <c r="D398" t="inlineStr">
        <is>
          <t>VÄSTERNORRLANDS LÄN</t>
        </is>
      </c>
      <c r="E398" t="inlineStr">
        <is>
          <t>SOLLEFTEÅ</t>
        </is>
      </c>
      <c r="F398" t="inlineStr">
        <is>
          <t>SCA</t>
        </is>
      </c>
      <c r="G398" t="n">
        <v>0.1</v>
      </c>
      <c r="H398" t="n">
        <v>0</v>
      </c>
      <c r="I398" t="n">
        <v>0</v>
      </c>
      <c r="J398" t="n">
        <v>0</v>
      </c>
      <c r="K398" t="n">
        <v>0</v>
      </c>
      <c r="L398" t="n">
        <v>0</v>
      </c>
      <c r="M398" t="n">
        <v>0</v>
      </c>
      <c r="N398" t="n">
        <v>0</v>
      </c>
      <c r="O398" t="n">
        <v>0</v>
      </c>
      <c r="P398" t="n">
        <v>0</v>
      </c>
      <c r="Q398" t="n">
        <v>0</v>
      </c>
      <c r="R398" s="2" t="inlineStr"/>
    </row>
    <row r="399" ht="15" customHeight="1">
      <c r="A399" t="inlineStr">
        <is>
          <t>A 24168-2019</t>
        </is>
      </c>
      <c r="B399" s="1" t="n">
        <v>43598</v>
      </c>
      <c r="C399" s="1" t="n">
        <v>45346</v>
      </c>
      <c r="D399" t="inlineStr">
        <is>
          <t>VÄSTERNORRLANDS LÄN</t>
        </is>
      </c>
      <c r="E399" t="inlineStr">
        <is>
          <t>SOLLEFTEÅ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25334-2019</t>
        </is>
      </c>
      <c r="B400" s="1" t="n">
        <v>43601</v>
      </c>
      <c r="C400" s="1" t="n">
        <v>45346</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25331-2019</t>
        </is>
      </c>
      <c r="B401" s="1" t="n">
        <v>43601</v>
      </c>
      <c r="C401" s="1" t="n">
        <v>45346</v>
      </c>
      <c r="D401" t="inlineStr">
        <is>
          <t>VÄSTERNORRLANDS LÄN</t>
        </is>
      </c>
      <c r="E401" t="inlineStr">
        <is>
          <t>SOLLEFTEÅ</t>
        </is>
      </c>
      <c r="G401" t="n">
        <v>7.2</v>
      </c>
      <c r="H401" t="n">
        <v>0</v>
      </c>
      <c r="I401" t="n">
        <v>0</v>
      </c>
      <c r="J401" t="n">
        <v>0</v>
      </c>
      <c r="K401" t="n">
        <v>0</v>
      </c>
      <c r="L401" t="n">
        <v>0</v>
      </c>
      <c r="M401" t="n">
        <v>0</v>
      </c>
      <c r="N401" t="n">
        <v>0</v>
      </c>
      <c r="O401" t="n">
        <v>0</v>
      </c>
      <c r="P401" t="n">
        <v>0</v>
      </c>
      <c r="Q401" t="n">
        <v>0</v>
      </c>
      <c r="R401" s="2" t="inlineStr"/>
    </row>
    <row r="402" ht="15" customHeight="1">
      <c r="A402" t="inlineStr">
        <is>
          <t>A 25260-2019</t>
        </is>
      </c>
      <c r="B402" s="1" t="n">
        <v>43601</v>
      </c>
      <c r="C402" s="1" t="n">
        <v>45346</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25328-2019</t>
        </is>
      </c>
      <c r="B403" s="1" t="n">
        <v>43601</v>
      </c>
      <c r="C403" s="1" t="n">
        <v>45346</v>
      </c>
      <c r="D403" t="inlineStr">
        <is>
          <t>VÄSTERNORRLANDS LÄN</t>
        </is>
      </c>
      <c r="E403" t="inlineStr">
        <is>
          <t>SOLLEFTEÅ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25014-2019</t>
        </is>
      </c>
      <c r="B404" s="1" t="n">
        <v>43602</v>
      </c>
      <c r="C404" s="1" t="n">
        <v>45346</v>
      </c>
      <c r="D404" t="inlineStr">
        <is>
          <t>VÄSTERNORRLANDS LÄN</t>
        </is>
      </c>
      <c r="E404" t="inlineStr">
        <is>
          <t>SOLLEFTEÅ</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26111-2019</t>
        </is>
      </c>
      <c r="B405" s="1" t="n">
        <v>43605</v>
      </c>
      <c r="C405" s="1" t="n">
        <v>45346</v>
      </c>
      <c r="D405" t="inlineStr">
        <is>
          <t>VÄSTERNORRLANDS LÄN</t>
        </is>
      </c>
      <c r="E405" t="inlineStr">
        <is>
          <t>SOLLEFTEÅ</t>
        </is>
      </c>
      <c r="G405" t="n">
        <v>3.5</v>
      </c>
      <c r="H405" t="n">
        <v>0</v>
      </c>
      <c r="I405" t="n">
        <v>0</v>
      </c>
      <c r="J405" t="n">
        <v>0</v>
      </c>
      <c r="K405" t="n">
        <v>0</v>
      </c>
      <c r="L405" t="n">
        <v>0</v>
      </c>
      <c r="M405" t="n">
        <v>0</v>
      </c>
      <c r="N405" t="n">
        <v>0</v>
      </c>
      <c r="O405" t="n">
        <v>0</v>
      </c>
      <c r="P405" t="n">
        <v>0</v>
      </c>
      <c r="Q405" t="n">
        <v>0</v>
      </c>
      <c r="R405" s="2" t="inlineStr"/>
    </row>
    <row r="406" ht="15" customHeight="1">
      <c r="A406" t="inlineStr">
        <is>
          <t>A 25714-2019</t>
        </is>
      </c>
      <c r="B406" s="1" t="n">
        <v>43607</v>
      </c>
      <c r="C406" s="1" t="n">
        <v>45346</v>
      </c>
      <c r="D406" t="inlineStr">
        <is>
          <t>VÄSTERNORRLANDS LÄN</t>
        </is>
      </c>
      <c r="E406" t="inlineStr">
        <is>
          <t>SOLLEFTEÅ</t>
        </is>
      </c>
      <c r="F406" t="inlineStr">
        <is>
          <t>SCA</t>
        </is>
      </c>
      <c r="G406" t="n">
        <v>28.3</v>
      </c>
      <c r="H406" t="n">
        <v>0</v>
      </c>
      <c r="I406" t="n">
        <v>0</v>
      </c>
      <c r="J406" t="n">
        <v>0</v>
      </c>
      <c r="K406" t="n">
        <v>0</v>
      </c>
      <c r="L406" t="n">
        <v>0</v>
      </c>
      <c r="M406" t="n">
        <v>0</v>
      </c>
      <c r="N406" t="n">
        <v>0</v>
      </c>
      <c r="O406" t="n">
        <v>0</v>
      </c>
      <c r="P406" t="n">
        <v>0</v>
      </c>
      <c r="Q406" t="n">
        <v>0</v>
      </c>
      <c r="R406" s="2" t="inlineStr"/>
    </row>
    <row r="407" ht="15" customHeight="1">
      <c r="A407" t="inlineStr">
        <is>
          <t>A 25979-2019</t>
        </is>
      </c>
      <c r="B407" s="1" t="n">
        <v>43608</v>
      </c>
      <c r="C407" s="1" t="n">
        <v>45346</v>
      </c>
      <c r="D407" t="inlineStr">
        <is>
          <t>VÄSTERNORRLANDS LÄN</t>
        </is>
      </c>
      <c r="E407" t="inlineStr">
        <is>
          <t>SOLLEFTEÅ</t>
        </is>
      </c>
      <c r="F407" t="inlineStr">
        <is>
          <t>SCA</t>
        </is>
      </c>
      <c r="G407" t="n">
        <v>26.1</v>
      </c>
      <c r="H407" t="n">
        <v>0</v>
      </c>
      <c r="I407" t="n">
        <v>0</v>
      </c>
      <c r="J407" t="n">
        <v>0</v>
      </c>
      <c r="K407" t="n">
        <v>0</v>
      </c>
      <c r="L407" t="n">
        <v>0</v>
      </c>
      <c r="M407" t="n">
        <v>0</v>
      </c>
      <c r="N407" t="n">
        <v>0</v>
      </c>
      <c r="O407" t="n">
        <v>0</v>
      </c>
      <c r="P407" t="n">
        <v>0</v>
      </c>
      <c r="Q407" t="n">
        <v>0</v>
      </c>
      <c r="R407" s="2" t="inlineStr"/>
    </row>
    <row r="408" ht="15" customHeight="1">
      <c r="A408" t="inlineStr">
        <is>
          <t>A 25982-2019</t>
        </is>
      </c>
      <c r="B408" s="1" t="n">
        <v>43608</v>
      </c>
      <c r="C408" s="1" t="n">
        <v>45346</v>
      </c>
      <c r="D408" t="inlineStr">
        <is>
          <t>VÄSTERNORRLANDS LÄN</t>
        </is>
      </c>
      <c r="E408" t="inlineStr">
        <is>
          <t>SOLLEFTEÅ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25997-2019</t>
        </is>
      </c>
      <c r="B409" s="1" t="n">
        <v>43608</v>
      </c>
      <c r="C409" s="1" t="n">
        <v>45346</v>
      </c>
      <c r="D409" t="inlineStr">
        <is>
          <t>VÄSTERNORRLANDS LÄN</t>
        </is>
      </c>
      <c r="E409" t="inlineStr">
        <is>
          <t>SOLLEFTEÅ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25959-2019</t>
        </is>
      </c>
      <c r="B410" s="1" t="n">
        <v>43608</v>
      </c>
      <c r="C410" s="1" t="n">
        <v>45346</v>
      </c>
      <c r="D410" t="inlineStr">
        <is>
          <t>VÄSTERNORRLANDS LÄN</t>
        </is>
      </c>
      <c r="E410" t="inlineStr">
        <is>
          <t>SOLLEFTEÅ</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26254-2019</t>
        </is>
      </c>
      <c r="B411" s="1" t="n">
        <v>43609</v>
      </c>
      <c r="C411" s="1" t="n">
        <v>45346</v>
      </c>
      <c r="D411" t="inlineStr">
        <is>
          <t>VÄSTERNORRLANDS LÄN</t>
        </is>
      </c>
      <c r="E411" t="inlineStr">
        <is>
          <t>SOLLEFTEÅ</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26253-2019</t>
        </is>
      </c>
      <c r="B412" s="1" t="n">
        <v>43609</v>
      </c>
      <c r="C412" s="1" t="n">
        <v>45346</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26640-2019</t>
        </is>
      </c>
      <c r="B413" s="1" t="n">
        <v>43612</v>
      </c>
      <c r="C413" s="1" t="n">
        <v>45346</v>
      </c>
      <c r="D413" t="inlineStr">
        <is>
          <t>VÄSTERNORRLANDS LÄN</t>
        </is>
      </c>
      <c r="E413" t="inlineStr">
        <is>
          <t>SOLLEFTEÅ</t>
        </is>
      </c>
      <c r="F413" t="inlineStr">
        <is>
          <t>SCA</t>
        </is>
      </c>
      <c r="G413" t="n">
        <v>10.4</v>
      </c>
      <c r="H413" t="n">
        <v>0</v>
      </c>
      <c r="I413" t="n">
        <v>0</v>
      </c>
      <c r="J413" t="n">
        <v>0</v>
      </c>
      <c r="K413" t="n">
        <v>0</v>
      </c>
      <c r="L413" t="n">
        <v>0</v>
      </c>
      <c r="M413" t="n">
        <v>0</v>
      </c>
      <c r="N413" t="n">
        <v>0</v>
      </c>
      <c r="O413" t="n">
        <v>0</v>
      </c>
      <c r="P413" t="n">
        <v>0</v>
      </c>
      <c r="Q413" t="n">
        <v>0</v>
      </c>
      <c r="R413" s="2" t="inlineStr"/>
    </row>
    <row r="414" ht="15" customHeight="1">
      <c r="A414" t="inlineStr">
        <is>
          <t>A 27597-2019</t>
        </is>
      </c>
      <c r="B414" s="1" t="n">
        <v>43612</v>
      </c>
      <c r="C414" s="1" t="n">
        <v>45346</v>
      </c>
      <c r="D414" t="inlineStr">
        <is>
          <t>VÄSTERNORRLANDS LÄN</t>
        </is>
      </c>
      <c r="E414" t="inlineStr">
        <is>
          <t>SOLLEFTEÅ</t>
        </is>
      </c>
      <c r="G414" t="n">
        <v>5.6</v>
      </c>
      <c r="H414" t="n">
        <v>0</v>
      </c>
      <c r="I414" t="n">
        <v>0</v>
      </c>
      <c r="J414" t="n">
        <v>0</v>
      </c>
      <c r="K414" t="n">
        <v>0</v>
      </c>
      <c r="L414" t="n">
        <v>0</v>
      </c>
      <c r="M414" t="n">
        <v>0</v>
      </c>
      <c r="N414" t="n">
        <v>0</v>
      </c>
      <c r="O414" t="n">
        <v>0</v>
      </c>
      <c r="P414" t="n">
        <v>0</v>
      </c>
      <c r="Q414" t="n">
        <v>0</v>
      </c>
      <c r="R414" s="2" t="inlineStr"/>
    </row>
    <row r="415" ht="15" customHeight="1">
      <c r="A415" t="inlineStr">
        <is>
          <t>A 26945-2019</t>
        </is>
      </c>
      <c r="B415" s="1" t="n">
        <v>43613</v>
      </c>
      <c r="C415" s="1" t="n">
        <v>45346</v>
      </c>
      <c r="D415" t="inlineStr">
        <is>
          <t>VÄSTERNORRLANDS LÄN</t>
        </is>
      </c>
      <c r="E415" t="inlineStr">
        <is>
          <t>SOLLEFTEÅ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26957-2019</t>
        </is>
      </c>
      <c r="B416" s="1" t="n">
        <v>43613</v>
      </c>
      <c r="C416" s="1" t="n">
        <v>45346</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27226-2019</t>
        </is>
      </c>
      <c r="B417" s="1" t="n">
        <v>43614</v>
      </c>
      <c r="C417" s="1" t="n">
        <v>45346</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27979-2019</t>
        </is>
      </c>
      <c r="B418" s="1" t="n">
        <v>43620</v>
      </c>
      <c r="C418" s="1" t="n">
        <v>45346</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28212-2019</t>
        </is>
      </c>
      <c r="B419" s="1" t="n">
        <v>43621</v>
      </c>
      <c r="C419" s="1" t="n">
        <v>45346</v>
      </c>
      <c r="D419" t="inlineStr">
        <is>
          <t>VÄSTERNORRLANDS LÄN</t>
        </is>
      </c>
      <c r="E419" t="inlineStr">
        <is>
          <t>SOLLEFTEÅ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28236-2019</t>
        </is>
      </c>
      <c r="B420" s="1" t="n">
        <v>43621</v>
      </c>
      <c r="C420" s="1" t="n">
        <v>45346</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30383-2019</t>
        </is>
      </c>
      <c r="B421" s="1" t="n">
        <v>43634</v>
      </c>
      <c r="C421" s="1" t="n">
        <v>45346</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30628-2019</t>
        </is>
      </c>
      <c r="B422" s="1" t="n">
        <v>43635</v>
      </c>
      <c r="C422" s="1" t="n">
        <v>45346</v>
      </c>
      <c r="D422" t="inlineStr">
        <is>
          <t>VÄSTERNORRLANDS LÄN</t>
        </is>
      </c>
      <c r="E422" t="inlineStr">
        <is>
          <t>SOLLEFTEÅ</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32202-2019</t>
        </is>
      </c>
      <c r="B423" s="1" t="n">
        <v>43643</v>
      </c>
      <c r="C423" s="1" t="n">
        <v>45346</v>
      </c>
      <c r="D423" t="inlineStr">
        <is>
          <t>VÄSTERNORRLANDS LÄN</t>
        </is>
      </c>
      <c r="E423" t="inlineStr">
        <is>
          <t>SOLLEFTEÅ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32203-2019</t>
        </is>
      </c>
      <c r="B424" s="1" t="n">
        <v>43643</v>
      </c>
      <c r="C424" s="1" t="n">
        <v>45346</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32744-2019</t>
        </is>
      </c>
      <c r="B425" s="1" t="n">
        <v>43647</v>
      </c>
      <c r="C425" s="1" t="n">
        <v>45346</v>
      </c>
      <c r="D425" t="inlineStr">
        <is>
          <t>VÄSTERNORRLANDS LÄN</t>
        </is>
      </c>
      <c r="E425" t="inlineStr">
        <is>
          <t>SOLLEFTEÅ</t>
        </is>
      </c>
      <c r="F425" t="inlineStr">
        <is>
          <t>SCA</t>
        </is>
      </c>
      <c r="G425" t="n">
        <v>33.3</v>
      </c>
      <c r="H425" t="n">
        <v>0</v>
      </c>
      <c r="I425" t="n">
        <v>0</v>
      </c>
      <c r="J425" t="n">
        <v>0</v>
      </c>
      <c r="K425" t="n">
        <v>0</v>
      </c>
      <c r="L425" t="n">
        <v>0</v>
      </c>
      <c r="M425" t="n">
        <v>0</v>
      </c>
      <c r="N425" t="n">
        <v>0</v>
      </c>
      <c r="O425" t="n">
        <v>0</v>
      </c>
      <c r="P425" t="n">
        <v>0</v>
      </c>
      <c r="Q425" t="n">
        <v>0</v>
      </c>
      <c r="R425" s="2" t="inlineStr"/>
    </row>
    <row r="426" ht="15" customHeight="1">
      <c r="A426" t="inlineStr">
        <is>
          <t>A 33217-2019</t>
        </is>
      </c>
      <c r="B426" s="1" t="n">
        <v>43649</v>
      </c>
      <c r="C426" s="1" t="n">
        <v>45346</v>
      </c>
      <c r="D426" t="inlineStr">
        <is>
          <t>VÄSTERNORRLANDS LÄN</t>
        </is>
      </c>
      <c r="E426" t="inlineStr">
        <is>
          <t>SOLLEFTEÅ</t>
        </is>
      </c>
      <c r="G426" t="n">
        <v>29.3</v>
      </c>
      <c r="H426" t="n">
        <v>0</v>
      </c>
      <c r="I426" t="n">
        <v>0</v>
      </c>
      <c r="J426" t="n">
        <v>0</v>
      </c>
      <c r="K426" t="n">
        <v>0</v>
      </c>
      <c r="L426" t="n">
        <v>0</v>
      </c>
      <c r="M426" t="n">
        <v>0</v>
      </c>
      <c r="N426" t="n">
        <v>0</v>
      </c>
      <c r="O426" t="n">
        <v>0</v>
      </c>
      <c r="P426" t="n">
        <v>0</v>
      </c>
      <c r="Q426" t="n">
        <v>0</v>
      </c>
      <c r="R426" s="2" t="inlineStr"/>
    </row>
    <row r="427" ht="15" customHeight="1">
      <c r="A427" t="inlineStr">
        <is>
          <t>A 34886-2019</t>
        </is>
      </c>
      <c r="B427" s="1" t="n">
        <v>43650</v>
      </c>
      <c r="C427" s="1" t="n">
        <v>45346</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33833-2019</t>
        </is>
      </c>
      <c r="B428" s="1" t="n">
        <v>43651</v>
      </c>
      <c r="C428" s="1" t="n">
        <v>45346</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33826-2019</t>
        </is>
      </c>
      <c r="B429" s="1" t="n">
        <v>43651</v>
      </c>
      <c r="C429" s="1" t="n">
        <v>45346</v>
      </c>
      <c r="D429" t="inlineStr">
        <is>
          <t>VÄSTERNORRLANDS LÄN</t>
        </is>
      </c>
      <c r="E429" t="inlineStr">
        <is>
          <t>SOLLEFTEÅ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33852-2019</t>
        </is>
      </c>
      <c r="B430" s="1" t="n">
        <v>43651</v>
      </c>
      <c r="C430" s="1" t="n">
        <v>45346</v>
      </c>
      <c r="D430" t="inlineStr">
        <is>
          <t>VÄSTERNORRLANDS LÄN</t>
        </is>
      </c>
      <c r="E430" t="inlineStr">
        <is>
          <t>SOLLEFTEÅ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33914-2019</t>
        </is>
      </c>
      <c r="B431" s="1" t="n">
        <v>43654</v>
      </c>
      <c r="C431" s="1" t="n">
        <v>45346</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34113-2019</t>
        </is>
      </c>
      <c r="B432" s="1" t="n">
        <v>43654</v>
      </c>
      <c r="C432" s="1" t="n">
        <v>45346</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34311-2019</t>
        </is>
      </c>
      <c r="B433" s="1" t="n">
        <v>43655</v>
      </c>
      <c r="C433" s="1" t="n">
        <v>45346</v>
      </c>
      <c r="D433" t="inlineStr">
        <is>
          <t>VÄSTERNORRLANDS LÄN</t>
        </is>
      </c>
      <c r="E433" t="inlineStr">
        <is>
          <t>SOLLEFTEÅ</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34229-2019</t>
        </is>
      </c>
      <c r="B434" s="1" t="n">
        <v>43655</v>
      </c>
      <c r="C434" s="1" t="n">
        <v>45346</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34302-2019</t>
        </is>
      </c>
      <c r="B435" s="1" t="n">
        <v>43655</v>
      </c>
      <c r="C435" s="1" t="n">
        <v>45346</v>
      </c>
      <c r="D435" t="inlineStr">
        <is>
          <t>VÄSTERNORRLANDS LÄN</t>
        </is>
      </c>
      <c r="E435" t="inlineStr">
        <is>
          <t>SOLLEFTEÅ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34738-2019</t>
        </is>
      </c>
      <c r="B436" s="1" t="n">
        <v>43657</v>
      </c>
      <c r="C436" s="1" t="n">
        <v>45346</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34916-2019</t>
        </is>
      </c>
      <c r="B437" s="1" t="n">
        <v>43658</v>
      </c>
      <c r="C437" s="1" t="n">
        <v>45346</v>
      </c>
      <c r="D437" t="inlineStr">
        <is>
          <t>VÄSTERNORRLANDS LÄN</t>
        </is>
      </c>
      <c r="E437" t="inlineStr">
        <is>
          <t>SOLLEFTEÅ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35320-2019</t>
        </is>
      </c>
      <c r="B438" s="1" t="n">
        <v>43662</v>
      </c>
      <c r="C438" s="1" t="n">
        <v>45346</v>
      </c>
      <c r="D438" t="inlineStr">
        <is>
          <t>VÄSTERNORRLANDS LÄN</t>
        </is>
      </c>
      <c r="E438" t="inlineStr">
        <is>
          <t>SOLLEFTEÅ</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35970-2019</t>
        </is>
      </c>
      <c r="B439" s="1" t="n">
        <v>43665</v>
      </c>
      <c r="C439" s="1" t="n">
        <v>45346</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35969-2019</t>
        </is>
      </c>
      <c r="B440" s="1" t="n">
        <v>43665</v>
      </c>
      <c r="C440" s="1" t="n">
        <v>45346</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36137-2019</t>
        </is>
      </c>
      <c r="B441" s="1" t="n">
        <v>43668</v>
      </c>
      <c r="C441" s="1" t="n">
        <v>45346</v>
      </c>
      <c r="D441" t="inlineStr">
        <is>
          <t>VÄSTERNORRLANDS LÄN</t>
        </is>
      </c>
      <c r="E441" t="inlineStr">
        <is>
          <t>SOLLEFTEÅ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36486-2019</t>
        </is>
      </c>
      <c r="B442" s="1" t="n">
        <v>43668</v>
      </c>
      <c r="C442" s="1" t="n">
        <v>45346</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36293-2019</t>
        </is>
      </c>
      <c r="B443" s="1" t="n">
        <v>43669</v>
      </c>
      <c r="C443" s="1" t="n">
        <v>45346</v>
      </c>
      <c r="D443" t="inlineStr">
        <is>
          <t>VÄSTERNORRLANDS LÄN</t>
        </is>
      </c>
      <c r="E443" t="inlineStr">
        <is>
          <t>SOLLEFTEÅ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36711-2019</t>
        </is>
      </c>
      <c r="B444" s="1" t="n">
        <v>43671</v>
      </c>
      <c r="C444" s="1" t="n">
        <v>45346</v>
      </c>
      <c r="D444" t="inlineStr">
        <is>
          <t>VÄSTERNORRLANDS LÄN</t>
        </is>
      </c>
      <c r="E444" t="inlineStr">
        <is>
          <t>SOLLEFTEÅ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37292-2019</t>
        </is>
      </c>
      <c r="B445" s="1" t="n">
        <v>43677</v>
      </c>
      <c r="C445" s="1" t="n">
        <v>45346</v>
      </c>
      <c r="D445" t="inlineStr">
        <is>
          <t>VÄSTERNORRLANDS LÄN</t>
        </is>
      </c>
      <c r="E445" t="inlineStr">
        <is>
          <t>SOLLEFTEÅ</t>
        </is>
      </c>
      <c r="G445" t="n">
        <v>7.8</v>
      </c>
      <c r="H445" t="n">
        <v>0</v>
      </c>
      <c r="I445" t="n">
        <v>0</v>
      </c>
      <c r="J445" t="n">
        <v>0</v>
      </c>
      <c r="K445" t="n">
        <v>0</v>
      </c>
      <c r="L445" t="n">
        <v>0</v>
      </c>
      <c r="M445" t="n">
        <v>0</v>
      </c>
      <c r="N445" t="n">
        <v>0</v>
      </c>
      <c r="O445" t="n">
        <v>0</v>
      </c>
      <c r="P445" t="n">
        <v>0</v>
      </c>
      <c r="Q445" t="n">
        <v>0</v>
      </c>
      <c r="R445" s="2" t="inlineStr"/>
    </row>
    <row r="446" ht="15" customHeight="1">
      <c r="A446" t="inlineStr">
        <is>
          <t>A 37291-2019</t>
        </is>
      </c>
      <c r="B446" s="1" t="n">
        <v>43677</v>
      </c>
      <c r="C446" s="1" t="n">
        <v>45346</v>
      </c>
      <c r="D446" t="inlineStr">
        <is>
          <t>VÄSTERNORRLANDS LÄN</t>
        </is>
      </c>
      <c r="E446" t="inlineStr">
        <is>
          <t>SOLLEFTEÅ</t>
        </is>
      </c>
      <c r="G446" t="n">
        <v>7.4</v>
      </c>
      <c r="H446" t="n">
        <v>0</v>
      </c>
      <c r="I446" t="n">
        <v>0</v>
      </c>
      <c r="J446" t="n">
        <v>0</v>
      </c>
      <c r="K446" t="n">
        <v>0</v>
      </c>
      <c r="L446" t="n">
        <v>0</v>
      </c>
      <c r="M446" t="n">
        <v>0</v>
      </c>
      <c r="N446" t="n">
        <v>0</v>
      </c>
      <c r="O446" t="n">
        <v>0</v>
      </c>
      <c r="P446" t="n">
        <v>0</v>
      </c>
      <c r="Q446" t="n">
        <v>0</v>
      </c>
      <c r="R446" s="2" t="inlineStr"/>
    </row>
    <row r="447" ht="15" customHeight="1">
      <c r="A447" t="inlineStr">
        <is>
          <t>A 37434-2019</t>
        </is>
      </c>
      <c r="B447" s="1" t="n">
        <v>43678</v>
      </c>
      <c r="C447" s="1" t="n">
        <v>45346</v>
      </c>
      <c r="D447" t="inlineStr">
        <is>
          <t>VÄSTERNORRLANDS LÄN</t>
        </is>
      </c>
      <c r="E447" t="inlineStr">
        <is>
          <t>SOLLEFTEÅ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37652-2019</t>
        </is>
      </c>
      <c r="B448" s="1" t="n">
        <v>43679</v>
      </c>
      <c r="C448" s="1" t="n">
        <v>45346</v>
      </c>
      <c r="D448" t="inlineStr">
        <is>
          <t>VÄSTERNORRLANDS LÄN</t>
        </is>
      </c>
      <c r="E448" t="inlineStr">
        <is>
          <t>SOLLEFTEÅ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37670-2019</t>
        </is>
      </c>
      <c r="B449" s="1" t="n">
        <v>43679</v>
      </c>
      <c r="C449" s="1" t="n">
        <v>45346</v>
      </c>
      <c r="D449" t="inlineStr">
        <is>
          <t>VÄSTERNORRLANDS LÄN</t>
        </is>
      </c>
      <c r="E449" t="inlineStr">
        <is>
          <t>SOLLEFTEÅ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38081-2019</t>
        </is>
      </c>
      <c r="B450" s="1" t="n">
        <v>43682</v>
      </c>
      <c r="C450" s="1" t="n">
        <v>45346</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38074-2019</t>
        </is>
      </c>
      <c r="B451" s="1" t="n">
        <v>43682</v>
      </c>
      <c r="C451" s="1" t="n">
        <v>45346</v>
      </c>
      <c r="D451" t="inlineStr">
        <is>
          <t>VÄSTERNORRLANDS LÄN</t>
        </is>
      </c>
      <c r="E451" t="inlineStr">
        <is>
          <t>SOLLEFTEÅ</t>
        </is>
      </c>
      <c r="G451" t="n">
        <v>4.2</v>
      </c>
      <c r="H451" t="n">
        <v>0</v>
      </c>
      <c r="I451" t="n">
        <v>0</v>
      </c>
      <c r="J451" t="n">
        <v>0</v>
      </c>
      <c r="K451" t="n">
        <v>0</v>
      </c>
      <c r="L451" t="n">
        <v>0</v>
      </c>
      <c r="M451" t="n">
        <v>0</v>
      </c>
      <c r="N451" t="n">
        <v>0</v>
      </c>
      <c r="O451" t="n">
        <v>0</v>
      </c>
      <c r="P451" t="n">
        <v>0</v>
      </c>
      <c r="Q451" t="n">
        <v>0</v>
      </c>
      <c r="R451" s="2" t="inlineStr"/>
    </row>
    <row r="452" ht="15" customHeight="1">
      <c r="A452" t="inlineStr">
        <is>
          <t>A 38080-2019</t>
        </is>
      </c>
      <c r="B452" s="1" t="n">
        <v>43682</v>
      </c>
      <c r="C452" s="1" t="n">
        <v>45346</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38083-2019</t>
        </is>
      </c>
      <c r="B453" s="1" t="n">
        <v>43682</v>
      </c>
      <c r="C453" s="1" t="n">
        <v>45346</v>
      </c>
      <c r="D453" t="inlineStr">
        <is>
          <t>VÄSTERNORRLANDS LÄN</t>
        </is>
      </c>
      <c r="E453" t="inlineStr">
        <is>
          <t>SOLLEFTEÅ</t>
        </is>
      </c>
      <c r="G453" t="n">
        <v>9.6</v>
      </c>
      <c r="H453" t="n">
        <v>0</v>
      </c>
      <c r="I453" t="n">
        <v>0</v>
      </c>
      <c r="J453" t="n">
        <v>0</v>
      </c>
      <c r="K453" t="n">
        <v>0</v>
      </c>
      <c r="L453" t="n">
        <v>0</v>
      </c>
      <c r="M453" t="n">
        <v>0</v>
      </c>
      <c r="N453" t="n">
        <v>0</v>
      </c>
      <c r="O453" t="n">
        <v>0</v>
      </c>
      <c r="P453" t="n">
        <v>0</v>
      </c>
      <c r="Q453" t="n">
        <v>0</v>
      </c>
      <c r="R453" s="2" t="inlineStr"/>
    </row>
    <row r="454" ht="15" customHeight="1">
      <c r="A454" t="inlineStr">
        <is>
          <t>A 38544-2019</t>
        </is>
      </c>
      <c r="B454" s="1" t="n">
        <v>43684</v>
      </c>
      <c r="C454" s="1" t="n">
        <v>45346</v>
      </c>
      <c r="D454" t="inlineStr">
        <is>
          <t>VÄSTERNORRLANDS LÄN</t>
        </is>
      </c>
      <c r="E454" t="inlineStr">
        <is>
          <t>SOLLEFTEÅ</t>
        </is>
      </c>
      <c r="G454" t="n">
        <v>6.6</v>
      </c>
      <c r="H454" t="n">
        <v>0</v>
      </c>
      <c r="I454" t="n">
        <v>0</v>
      </c>
      <c r="J454" t="n">
        <v>0</v>
      </c>
      <c r="K454" t="n">
        <v>0</v>
      </c>
      <c r="L454" t="n">
        <v>0</v>
      </c>
      <c r="M454" t="n">
        <v>0</v>
      </c>
      <c r="N454" t="n">
        <v>0</v>
      </c>
      <c r="O454" t="n">
        <v>0</v>
      </c>
      <c r="P454" t="n">
        <v>0</v>
      </c>
      <c r="Q454" t="n">
        <v>0</v>
      </c>
      <c r="R454" s="2" t="inlineStr"/>
    </row>
    <row r="455" ht="15" customHeight="1">
      <c r="A455" t="inlineStr">
        <is>
          <t>A 38252-2019</t>
        </is>
      </c>
      <c r="B455" s="1" t="n">
        <v>43684</v>
      </c>
      <c r="C455" s="1" t="n">
        <v>45346</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38566-2019</t>
        </is>
      </c>
      <c r="B456" s="1" t="n">
        <v>43685</v>
      </c>
      <c r="C456" s="1" t="n">
        <v>45346</v>
      </c>
      <c r="D456" t="inlineStr">
        <is>
          <t>VÄSTERNORRLANDS LÄN</t>
        </is>
      </c>
      <c r="E456" t="inlineStr">
        <is>
          <t>SOLLEFTEÅ</t>
        </is>
      </c>
      <c r="F456" t="inlineStr">
        <is>
          <t>SCA</t>
        </is>
      </c>
      <c r="G456" t="n">
        <v>15.1</v>
      </c>
      <c r="H456" t="n">
        <v>0</v>
      </c>
      <c r="I456" t="n">
        <v>0</v>
      </c>
      <c r="J456" t="n">
        <v>0</v>
      </c>
      <c r="K456" t="n">
        <v>0</v>
      </c>
      <c r="L456" t="n">
        <v>0</v>
      </c>
      <c r="M456" t="n">
        <v>0</v>
      </c>
      <c r="N456" t="n">
        <v>0</v>
      </c>
      <c r="O456" t="n">
        <v>0</v>
      </c>
      <c r="P456" t="n">
        <v>0</v>
      </c>
      <c r="Q456" t="n">
        <v>0</v>
      </c>
      <c r="R456" s="2" t="inlineStr"/>
    </row>
    <row r="457" ht="15" customHeight="1">
      <c r="A457" t="inlineStr">
        <is>
          <t>A 38762-2019</t>
        </is>
      </c>
      <c r="B457" s="1" t="n">
        <v>43686</v>
      </c>
      <c r="C457" s="1" t="n">
        <v>45346</v>
      </c>
      <c r="D457" t="inlineStr">
        <is>
          <t>VÄSTERNORRLANDS LÄN</t>
        </is>
      </c>
      <c r="E457" t="inlineStr">
        <is>
          <t>SOLLEFTEÅ</t>
        </is>
      </c>
      <c r="G457" t="n">
        <v>7.7</v>
      </c>
      <c r="H457" t="n">
        <v>0</v>
      </c>
      <c r="I457" t="n">
        <v>0</v>
      </c>
      <c r="J457" t="n">
        <v>0</v>
      </c>
      <c r="K457" t="n">
        <v>0</v>
      </c>
      <c r="L457" t="n">
        <v>0</v>
      </c>
      <c r="M457" t="n">
        <v>0</v>
      </c>
      <c r="N457" t="n">
        <v>0</v>
      </c>
      <c r="O457" t="n">
        <v>0</v>
      </c>
      <c r="P457" t="n">
        <v>0</v>
      </c>
      <c r="Q457" t="n">
        <v>0</v>
      </c>
      <c r="R457" s="2" t="inlineStr"/>
    </row>
    <row r="458" ht="15" customHeight="1">
      <c r="A458" t="inlineStr">
        <is>
          <t>A 38763-2019</t>
        </is>
      </c>
      <c r="B458" s="1" t="n">
        <v>43686</v>
      </c>
      <c r="C458" s="1" t="n">
        <v>45346</v>
      </c>
      <c r="D458" t="inlineStr">
        <is>
          <t>VÄSTERNORRLANDS LÄN</t>
        </is>
      </c>
      <c r="E458" t="inlineStr">
        <is>
          <t>SOLLEFTEÅ</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39123-2019</t>
        </is>
      </c>
      <c r="B459" s="1" t="n">
        <v>43689</v>
      </c>
      <c r="C459" s="1" t="n">
        <v>45346</v>
      </c>
      <c r="D459" t="inlineStr">
        <is>
          <t>VÄSTERNORRLANDS LÄN</t>
        </is>
      </c>
      <c r="E459" t="inlineStr">
        <is>
          <t>SOLLEFTEÅ</t>
        </is>
      </c>
      <c r="G459" t="n">
        <v>10.9</v>
      </c>
      <c r="H459" t="n">
        <v>0</v>
      </c>
      <c r="I459" t="n">
        <v>0</v>
      </c>
      <c r="J459" t="n">
        <v>0</v>
      </c>
      <c r="K459" t="n">
        <v>0</v>
      </c>
      <c r="L459" t="n">
        <v>0</v>
      </c>
      <c r="M459" t="n">
        <v>0</v>
      </c>
      <c r="N459" t="n">
        <v>0</v>
      </c>
      <c r="O459" t="n">
        <v>0</v>
      </c>
      <c r="P459" t="n">
        <v>0</v>
      </c>
      <c r="Q459" t="n">
        <v>0</v>
      </c>
      <c r="R459" s="2" t="inlineStr"/>
    </row>
    <row r="460" ht="15" customHeight="1">
      <c r="A460" t="inlineStr">
        <is>
          <t>A 39768-2019</t>
        </is>
      </c>
      <c r="B460" s="1" t="n">
        <v>43689</v>
      </c>
      <c r="C460" s="1" t="n">
        <v>45346</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40764-2019</t>
        </is>
      </c>
      <c r="B461" s="1" t="n">
        <v>43692</v>
      </c>
      <c r="C461" s="1" t="n">
        <v>45346</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40769-2019</t>
        </is>
      </c>
      <c r="B462" s="1" t="n">
        <v>43692</v>
      </c>
      <c r="C462" s="1" t="n">
        <v>45346</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41069-2019</t>
        </is>
      </c>
      <c r="B463" s="1" t="n">
        <v>43693</v>
      </c>
      <c r="C463" s="1" t="n">
        <v>45346</v>
      </c>
      <c r="D463" t="inlineStr">
        <is>
          <t>VÄSTERNORRLANDS LÄN</t>
        </is>
      </c>
      <c r="E463" t="inlineStr">
        <is>
          <t>SOLLEFTEÅ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40512-2019</t>
        </is>
      </c>
      <c r="B464" s="1" t="n">
        <v>43696</v>
      </c>
      <c r="C464" s="1" t="n">
        <v>45346</v>
      </c>
      <c r="D464" t="inlineStr">
        <is>
          <t>VÄSTERNORRLANDS LÄN</t>
        </is>
      </c>
      <c r="E464" t="inlineStr">
        <is>
          <t>SOLLEFTEÅ</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40685-2019</t>
        </is>
      </c>
      <c r="B465" s="1" t="n">
        <v>43696</v>
      </c>
      <c r="C465" s="1" t="n">
        <v>45346</v>
      </c>
      <c r="D465" t="inlineStr">
        <is>
          <t>VÄSTERNORRLANDS LÄN</t>
        </is>
      </c>
      <c r="E465" t="inlineStr">
        <is>
          <t>SOLLEFTEÅ</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40682-2019</t>
        </is>
      </c>
      <c r="B466" s="1" t="n">
        <v>43696</v>
      </c>
      <c r="C466" s="1" t="n">
        <v>45346</v>
      </c>
      <c r="D466" t="inlineStr">
        <is>
          <t>VÄSTERNORRLANDS LÄN</t>
        </is>
      </c>
      <c r="E466" t="inlineStr">
        <is>
          <t>SOLLEFTEÅ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40514-2019</t>
        </is>
      </c>
      <c r="B467" s="1" t="n">
        <v>43696</v>
      </c>
      <c r="C467" s="1" t="n">
        <v>45346</v>
      </c>
      <c r="D467" t="inlineStr">
        <is>
          <t>VÄSTERNORRLANDS LÄN</t>
        </is>
      </c>
      <c r="E467" t="inlineStr">
        <is>
          <t>SOLLEFTEÅ</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40679-2019</t>
        </is>
      </c>
      <c r="B468" s="1" t="n">
        <v>43696</v>
      </c>
      <c r="C468" s="1" t="n">
        <v>45346</v>
      </c>
      <c r="D468" t="inlineStr">
        <is>
          <t>VÄSTERNORRLANDS LÄN</t>
        </is>
      </c>
      <c r="E468" t="inlineStr">
        <is>
          <t>SOLLEFTEÅ</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41786-2019</t>
        </is>
      </c>
      <c r="B469" s="1" t="n">
        <v>43699</v>
      </c>
      <c r="C469" s="1" t="n">
        <v>45346</v>
      </c>
      <c r="D469" t="inlineStr">
        <is>
          <t>VÄSTERNORRLANDS LÄN</t>
        </is>
      </c>
      <c r="E469" t="inlineStr">
        <is>
          <t>SOLLEFTEÅ</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42417-2019</t>
        </is>
      </c>
      <c r="B470" s="1" t="n">
        <v>43703</v>
      </c>
      <c r="C470" s="1" t="n">
        <v>45346</v>
      </c>
      <c r="D470" t="inlineStr">
        <is>
          <t>VÄSTERNORRLANDS LÄN</t>
        </is>
      </c>
      <c r="E470" t="inlineStr">
        <is>
          <t>SOLLEFTEÅ</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42791-2019</t>
        </is>
      </c>
      <c r="B471" s="1" t="n">
        <v>43704</v>
      </c>
      <c r="C471" s="1" t="n">
        <v>45346</v>
      </c>
      <c r="D471" t="inlineStr">
        <is>
          <t>VÄSTERNORRLANDS LÄN</t>
        </is>
      </c>
      <c r="E471" t="inlineStr">
        <is>
          <t>SOLLEFTEÅ</t>
        </is>
      </c>
      <c r="G471" t="n">
        <v>4.1</v>
      </c>
      <c r="H471" t="n">
        <v>0</v>
      </c>
      <c r="I471" t="n">
        <v>0</v>
      </c>
      <c r="J471" t="n">
        <v>0</v>
      </c>
      <c r="K471" t="n">
        <v>0</v>
      </c>
      <c r="L471" t="n">
        <v>0</v>
      </c>
      <c r="M471" t="n">
        <v>0</v>
      </c>
      <c r="N471" t="n">
        <v>0</v>
      </c>
      <c r="O471" t="n">
        <v>0</v>
      </c>
      <c r="P471" t="n">
        <v>0</v>
      </c>
      <c r="Q471" t="n">
        <v>0</v>
      </c>
      <c r="R471" s="2" t="inlineStr"/>
    </row>
    <row r="472" ht="15" customHeight="1">
      <c r="A472" t="inlineStr">
        <is>
          <t>A 42792-2019</t>
        </is>
      </c>
      <c r="B472" s="1" t="n">
        <v>43704</v>
      </c>
      <c r="C472" s="1" t="n">
        <v>45346</v>
      </c>
      <c r="D472" t="inlineStr">
        <is>
          <t>VÄSTERNORRLANDS LÄN</t>
        </is>
      </c>
      <c r="E472" t="inlineStr">
        <is>
          <t>SOLLEFTEÅ</t>
        </is>
      </c>
      <c r="G472" t="n">
        <v>5.7</v>
      </c>
      <c r="H472" t="n">
        <v>0</v>
      </c>
      <c r="I472" t="n">
        <v>0</v>
      </c>
      <c r="J472" t="n">
        <v>0</v>
      </c>
      <c r="K472" t="n">
        <v>0</v>
      </c>
      <c r="L472" t="n">
        <v>0</v>
      </c>
      <c r="M472" t="n">
        <v>0</v>
      </c>
      <c r="N472" t="n">
        <v>0</v>
      </c>
      <c r="O472" t="n">
        <v>0</v>
      </c>
      <c r="P472" t="n">
        <v>0</v>
      </c>
      <c r="Q472" t="n">
        <v>0</v>
      </c>
      <c r="R472" s="2" t="inlineStr"/>
    </row>
    <row r="473" ht="15" customHeight="1">
      <c r="A473" t="inlineStr">
        <is>
          <t>A 43499-2019</t>
        </is>
      </c>
      <c r="B473" s="1" t="n">
        <v>43706</v>
      </c>
      <c r="C473" s="1" t="n">
        <v>45346</v>
      </c>
      <c r="D473" t="inlineStr">
        <is>
          <t>VÄSTERNORRLANDS LÄN</t>
        </is>
      </c>
      <c r="E473" t="inlineStr">
        <is>
          <t>SOLLEFTEÅ</t>
        </is>
      </c>
      <c r="G473" t="n">
        <v>19.3</v>
      </c>
      <c r="H473" t="n">
        <v>0</v>
      </c>
      <c r="I473" t="n">
        <v>0</v>
      </c>
      <c r="J473" t="n">
        <v>0</v>
      </c>
      <c r="K473" t="n">
        <v>0</v>
      </c>
      <c r="L473" t="n">
        <v>0</v>
      </c>
      <c r="M473" t="n">
        <v>0</v>
      </c>
      <c r="N473" t="n">
        <v>0</v>
      </c>
      <c r="O473" t="n">
        <v>0</v>
      </c>
      <c r="P473" t="n">
        <v>0</v>
      </c>
      <c r="Q473" t="n">
        <v>0</v>
      </c>
      <c r="R473" s="2" t="inlineStr"/>
    </row>
    <row r="474" ht="15" customHeight="1">
      <c r="A474" t="inlineStr">
        <is>
          <t>A 45032-2019</t>
        </is>
      </c>
      <c r="B474" s="1" t="n">
        <v>43707</v>
      </c>
      <c r="C474" s="1" t="n">
        <v>45346</v>
      </c>
      <c r="D474" t="inlineStr">
        <is>
          <t>VÄSTERNORRLANDS LÄN</t>
        </is>
      </c>
      <c r="E474" t="inlineStr">
        <is>
          <t>SOLLEFTEÅ</t>
        </is>
      </c>
      <c r="G474" t="n">
        <v>9.4</v>
      </c>
      <c r="H474" t="n">
        <v>0</v>
      </c>
      <c r="I474" t="n">
        <v>0</v>
      </c>
      <c r="J474" t="n">
        <v>0</v>
      </c>
      <c r="K474" t="n">
        <v>0</v>
      </c>
      <c r="L474" t="n">
        <v>0</v>
      </c>
      <c r="M474" t="n">
        <v>0</v>
      </c>
      <c r="N474" t="n">
        <v>0</v>
      </c>
      <c r="O474" t="n">
        <v>0</v>
      </c>
      <c r="P474" t="n">
        <v>0</v>
      </c>
      <c r="Q474" t="n">
        <v>0</v>
      </c>
      <c r="R474" s="2" t="inlineStr"/>
    </row>
    <row r="475" ht="15" customHeight="1">
      <c r="A475" t="inlineStr">
        <is>
          <t>A 44815-2019</t>
        </is>
      </c>
      <c r="B475" s="1" t="n">
        <v>43712</v>
      </c>
      <c r="C475" s="1" t="n">
        <v>45346</v>
      </c>
      <c r="D475" t="inlineStr">
        <is>
          <t>VÄSTERNORRLANDS LÄN</t>
        </is>
      </c>
      <c r="E475" t="inlineStr">
        <is>
          <t>SOLLEFTEÅ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45941-2019</t>
        </is>
      </c>
      <c r="B476" s="1" t="n">
        <v>43712</v>
      </c>
      <c r="C476" s="1" t="n">
        <v>45346</v>
      </c>
      <c r="D476" t="inlineStr">
        <is>
          <t>VÄSTERNORRLANDS LÄN</t>
        </is>
      </c>
      <c r="E476" t="inlineStr">
        <is>
          <t>SOLLEFTEÅ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44888-2019</t>
        </is>
      </c>
      <c r="B477" s="1" t="n">
        <v>43712</v>
      </c>
      <c r="C477" s="1" t="n">
        <v>45346</v>
      </c>
      <c r="D477" t="inlineStr">
        <is>
          <t>VÄSTERNORRLANDS LÄN</t>
        </is>
      </c>
      <c r="E477" t="inlineStr">
        <is>
          <t>SOLLEFTEÅ</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44960-2019</t>
        </is>
      </c>
      <c r="B478" s="1" t="n">
        <v>43713</v>
      </c>
      <c r="C478" s="1" t="n">
        <v>45346</v>
      </c>
      <c r="D478" t="inlineStr">
        <is>
          <t>VÄSTERNORRLANDS LÄN</t>
        </is>
      </c>
      <c r="E478" t="inlineStr">
        <is>
          <t>SOLLEFTEÅ</t>
        </is>
      </c>
      <c r="G478" t="n">
        <v>14.9</v>
      </c>
      <c r="H478" t="n">
        <v>0</v>
      </c>
      <c r="I478" t="n">
        <v>0</v>
      </c>
      <c r="J478" t="n">
        <v>0</v>
      </c>
      <c r="K478" t="n">
        <v>0</v>
      </c>
      <c r="L478" t="n">
        <v>0</v>
      </c>
      <c r="M478" t="n">
        <v>0</v>
      </c>
      <c r="N478" t="n">
        <v>0</v>
      </c>
      <c r="O478" t="n">
        <v>0</v>
      </c>
      <c r="P478" t="n">
        <v>0</v>
      </c>
      <c r="Q478" t="n">
        <v>0</v>
      </c>
      <c r="R478" s="2" t="inlineStr"/>
    </row>
    <row r="479" ht="15" customHeight="1">
      <c r="A479" t="inlineStr">
        <is>
          <t>A 45537-2019</t>
        </is>
      </c>
      <c r="B479" s="1" t="n">
        <v>43714</v>
      </c>
      <c r="C479" s="1" t="n">
        <v>45346</v>
      </c>
      <c r="D479" t="inlineStr">
        <is>
          <t>VÄSTERNORRLANDS LÄN</t>
        </is>
      </c>
      <c r="E479" t="inlineStr">
        <is>
          <t>SOLLEFTEÅ</t>
        </is>
      </c>
      <c r="F479" t="inlineStr">
        <is>
          <t>SCA</t>
        </is>
      </c>
      <c r="G479" t="n">
        <v>35.1</v>
      </c>
      <c r="H479" t="n">
        <v>0</v>
      </c>
      <c r="I479" t="n">
        <v>0</v>
      </c>
      <c r="J479" t="n">
        <v>0</v>
      </c>
      <c r="K479" t="n">
        <v>0</v>
      </c>
      <c r="L479" t="n">
        <v>0</v>
      </c>
      <c r="M479" t="n">
        <v>0</v>
      </c>
      <c r="N479" t="n">
        <v>0</v>
      </c>
      <c r="O479" t="n">
        <v>0</v>
      </c>
      <c r="P479" t="n">
        <v>0</v>
      </c>
      <c r="Q479" t="n">
        <v>0</v>
      </c>
      <c r="R479" s="2" t="inlineStr"/>
    </row>
    <row r="480" ht="15" customHeight="1">
      <c r="A480" t="inlineStr">
        <is>
          <t>A 46345-2019</t>
        </is>
      </c>
      <c r="B480" s="1" t="n">
        <v>43718</v>
      </c>
      <c r="C480" s="1" t="n">
        <v>45346</v>
      </c>
      <c r="D480" t="inlineStr">
        <is>
          <t>VÄSTERNORRLANDS LÄN</t>
        </is>
      </c>
      <c r="E480" t="inlineStr">
        <is>
          <t>SOLLEFTEÅ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46956-2019</t>
        </is>
      </c>
      <c r="B481" s="1" t="n">
        <v>43719</v>
      </c>
      <c r="C481" s="1" t="n">
        <v>45346</v>
      </c>
      <c r="D481" t="inlineStr">
        <is>
          <t>VÄSTERNORRLANDS LÄN</t>
        </is>
      </c>
      <c r="E481" t="inlineStr">
        <is>
          <t>SOLLEFTEÅ</t>
        </is>
      </c>
      <c r="G481" t="n">
        <v>18.1</v>
      </c>
      <c r="H481" t="n">
        <v>0</v>
      </c>
      <c r="I481" t="n">
        <v>0</v>
      </c>
      <c r="J481" t="n">
        <v>0</v>
      </c>
      <c r="K481" t="n">
        <v>0</v>
      </c>
      <c r="L481" t="n">
        <v>0</v>
      </c>
      <c r="M481" t="n">
        <v>0</v>
      </c>
      <c r="N481" t="n">
        <v>0</v>
      </c>
      <c r="O481" t="n">
        <v>0</v>
      </c>
      <c r="P481" t="n">
        <v>0</v>
      </c>
      <c r="Q481" t="n">
        <v>0</v>
      </c>
      <c r="R481" s="2" t="inlineStr"/>
    </row>
    <row r="482" ht="15" customHeight="1">
      <c r="A482" t="inlineStr">
        <is>
          <t>A 47366-2019</t>
        </is>
      </c>
      <c r="B482" s="1" t="n">
        <v>43721</v>
      </c>
      <c r="C482" s="1" t="n">
        <v>45346</v>
      </c>
      <c r="D482" t="inlineStr">
        <is>
          <t>VÄSTERNORRLANDS LÄN</t>
        </is>
      </c>
      <c r="E482" t="inlineStr">
        <is>
          <t>SOLLEFTEÅ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47764-2019</t>
        </is>
      </c>
      <c r="B483" s="1" t="n">
        <v>43724</v>
      </c>
      <c r="C483" s="1" t="n">
        <v>45346</v>
      </c>
      <c r="D483" t="inlineStr">
        <is>
          <t>VÄSTERNORRLANDS LÄN</t>
        </is>
      </c>
      <c r="E483" t="inlineStr">
        <is>
          <t>SOLLEFTEÅ</t>
        </is>
      </c>
      <c r="F483" t="inlineStr">
        <is>
          <t>Kyrkan</t>
        </is>
      </c>
      <c r="G483" t="n">
        <v>4.1</v>
      </c>
      <c r="H483" t="n">
        <v>0</v>
      </c>
      <c r="I483" t="n">
        <v>0</v>
      </c>
      <c r="J483" t="n">
        <v>0</v>
      </c>
      <c r="K483" t="n">
        <v>0</v>
      </c>
      <c r="L483" t="n">
        <v>0</v>
      </c>
      <c r="M483" t="n">
        <v>0</v>
      </c>
      <c r="N483" t="n">
        <v>0</v>
      </c>
      <c r="O483" t="n">
        <v>0</v>
      </c>
      <c r="P483" t="n">
        <v>0</v>
      </c>
      <c r="Q483" t="n">
        <v>0</v>
      </c>
      <c r="R483" s="2" t="inlineStr"/>
    </row>
    <row r="484" ht="15" customHeight="1">
      <c r="A484" t="inlineStr">
        <is>
          <t>A 47768-2019</t>
        </is>
      </c>
      <c r="B484" s="1" t="n">
        <v>43724</v>
      </c>
      <c r="C484" s="1" t="n">
        <v>45346</v>
      </c>
      <c r="D484" t="inlineStr">
        <is>
          <t>VÄSTERNORRLANDS LÄN</t>
        </is>
      </c>
      <c r="E484" t="inlineStr">
        <is>
          <t>SOLLEFTEÅ</t>
        </is>
      </c>
      <c r="F484" t="inlineStr">
        <is>
          <t>Kyrkan</t>
        </is>
      </c>
      <c r="G484" t="n">
        <v>12.1</v>
      </c>
      <c r="H484" t="n">
        <v>0</v>
      </c>
      <c r="I484" t="n">
        <v>0</v>
      </c>
      <c r="J484" t="n">
        <v>0</v>
      </c>
      <c r="K484" t="n">
        <v>0</v>
      </c>
      <c r="L484" t="n">
        <v>0</v>
      </c>
      <c r="M484" t="n">
        <v>0</v>
      </c>
      <c r="N484" t="n">
        <v>0</v>
      </c>
      <c r="O484" t="n">
        <v>0</v>
      </c>
      <c r="P484" t="n">
        <v>0</v>
      </c>
      <c r="Q484" t="n">
        <v>0</v>
      </c>
      <c r="R484" s="2" t="inlineStr"/>
    </row>
    <row r="485" ht="15" customHeight="1">
      <c r="A485" t="inlineStr">
        <is>
          <t>A 49381-2019</t>
        </is>
      </c>
      <c r="B485" s="1" t="n">
        <v>43731</v>
      </c>
      <c r="C485" s="1" t="n">
        <v>45346</v>
      </c>
      <c r="D485" t="inlineStr">
        <is>
          <t>VÄSTERNORRLANDS LÄN</t>
        </is>
      </c>
      <c r="E485" t="inlineStr">
        <is>
          <t>SOLLEFTEÅ</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49380-2019</t>
        </is>
      </c>
      <c r="B486" s="1" t="n">
        <v>43731</v>
      </c>
      <c r="C486" s="1" t="n">
        <v>45346</v>
      </c>
      <c r="D486" t="inlineStr">
        <is>
          <t>VÄSTERNORRLANDS LÄN</t>
        </is>
      </c>
      <c r="E486" t="inlineStr">
        <is>
          <t>SOLLEFTEÅ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49674-2019</t>
        </is>
      </c>
      <c r="B487" s="1" t="n">
        <v>43732</v>
      </c>
      <c r="C487" s="1" t="n">
        <v>45346</v>
      </c>
      <c r="D487" t="inlineStr">
        <is>
          <t>VÄSTERNORRLANDS LÄN</t>
        </is>
      </c>
      <c r="E487" t="inlineStr">
        <is>
          <t>SOLLEFTEÅ</t>
        </is>
      </c>
      <c r="G487" t="n">
        <v>2.2</v>
      </c>
      <c r="H487" t="n">
        <v>0</v>
      </c>
      <c r="I487" t="n">
        <v>0</v>
      </c>
      <c r="J487" t="n">
        <v>0</v>
      </c>
      <c r="K487" t="n">
        <v>0</v>
      </c>
      <c r="L487" t="n">
        <v>0</v>
      </c>
      <c r="M487" t="n">
        <v>0</v>
      </c>
      <c r="N487" t="n">
        <v>0</v>
      </c>
      <c r="O487" t="n">
        <v>0</v>
      </c>
      <c r="P487" t="n">
        <v>0</v>
      </c>
      <c r="Q487" t="n">
        <v>0</v>
      </c>
      <c r="R487" s="2" t="inlineStr"/>
    </row>
    <row r="488" ht="15" customHeight="1">
      <c r="A488" t="inlineStr">
        <is>
          <t>A 50283-2019</t>
        </is>
      </c>
      <c r="B488" s="1" t="n">
        <v>43734</v>
      </c>
      <c r="C488" s="1" t="n">
        <v>45346</v>
      </c>
      <c r="D488" t="inlineStr">
        <is>
          <t>VÄSTERNORRLANDS LÄN</t>
        </is>
      </c>
      <c r="E488" t="inlineStr">
        <is>
          <t>SOLLEFTEÅ</t>
        </is>
      </c>
      <c r="F488" t="inlineStr">
        <is>
          <t>SCA</t>
        </is>
      </c>
      <c r="G488" t="n">
        <v>10.6</v>
      </c>
      <c r="H488" t="n">
        <v>0</v>
      </c>
      <c r="I488" t="n">
        <v>0</v>
      </c>
      <c r="J488" t="n">
        <v>0</v>
      </c>
      <c r="K488" t="n">
        <v>0</v>
      </c>
      <c r="L488" t="n">
        <v>0</v>
      </c>
      <c r="M488" t="n">
        <v>0</v>
      </c>
      <c r="N488" t="n">
        <v>0</v>
      </c>
      <c r="O488" t="n">
        <v>0</v>
      </c>
      <c r="P488" t="n">
        <v>0</v>
      </c>
      <c r="Q488" t="n">
        <v>0</v>
      </c>
      <c r="R488" s="2" t="inlineStr"/>
    </row>
    <row r="489" ht="15" customHeight="1">
      <c r="A489" t="inlineStr">
        <is>
          <t>A 50513-2019</t>
        </is>
      </c>
      <c r="B489" s="1" t="n">
        <v>43735</v>
      </c>
      <c r="C489" s="1" t="n">
        <v>45346</v>
      </c>
      <c r="D489" t="inlineStr">
        <is>
          <t>VÄSTERNORRLANDS LÄN</t>
        </is>
      </c>
      <c r="E489" t="inlineStr">
        <is>
          <t>SOLLEFTEÅ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50668-2019</t>
        </is>
      </c>
      <c r="B490" s="1" t="n">
        <v>43737</v>
      </c>
      <c r="C490" s="1" t="n">
        <v>45346</v>
      </c>
      <c r="D490" t="inlineStr">
        <is>
          <t>VÄSTERNORRLANDS LÄN</t>
        </is>
      </c>
      <c r="E490" t="inlineStr">
        <is>
          <t>SOLLEFTEÅ</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51002-2019</t>
        </is>
      </c>
      <c r="B491" s="1" t="n">
        <v>43738</v>
      </c>
      <c r="C491" s="1" t="n">
        <v>45346</v>
      </c>
      <c r="D491" t="inlineStr">
        <is>
          <t>VÄSTERNORRLANDS LÄN</t>
        </is>
      </c>
      <c r="E491" t="inlineStr">
        <is>
          <t>SOLLEFTEÅ</t>
        </is>
      </c>
      <c r="F491" t="inlineStr">
        <is>
          <t>SCA</t>
        </is>
      </c>
      <c r="G491" t="n">
        <v>7.3</v>
      </c>
      <c r="H491" t="n">
        <v>0</v>
      </c>
      <c r="I491" t="n">
        <v>0</v>
      </c>
      <c r="J491" t="n">
        <v>0</v>
      </c>
      <c r="K491" t="n">
        <v>0</v>
      </c>
      <c r="L491" t="n">
        <v>0</v>
      </c>
      <c r="M491" t="n">
        <v>0</v>
      </c>
      <c r="N491" t="n">
        <v>0</v>
      </c>
      <c r="O491" t="n">
        <v>0</v>
      </c>
      <c r="P491" t="n">
        <v>0</v>
      </c>
      <c r="Q491" t="n">
        <v>0</v>
      </c>
      <c r="R491" s="2" t="inlineStr"/>
    </row>
    <row r="492" ht="15" customHeight="1">
      <c r="A492" t="inlineStr">
        <is>
          <t>A 50999-2019</t>
        </is>
      </c>
      <c r="B492" s="1" t="n">
        <v>43738</v>
      </c>
      <c r="C492" s="1" t="n">
        <v>45346</v>
      </c>
      <c r="D492" t="inlineStr">
        <is>
          <t>VÄSTERNORRLANDS LÄN</t>
        </is>
      </c>
      <c r="E492" t="inlineStr">
        <is>
          <t>SOLLEFTEÅ</t>
        </is>
      </c>
      <c r="F492" t="inlineStr">
        <is>
          <t>SCA</t>
        </is>
      </c>
      <c r="G492" t="n">
        <v>5.6</v>
      </c>
      <c r="H492" t="n">
        <v>0</v>
      </c>
      <c r="I492" t="n">
        <v>0</v>
      </c>
      <c r="J492" t="n">
        <v>0</v>
      </c>
      <c r="K492" t="n">
        <v>0</v>
      </c>
      <c r="L492" t="n">
        <v>0</v>
      </c>
      <c r="M492" t="n">
        <v>0</v>
      </c>
      <c r="N492" t="n">
        <v>0</v>
      </c>
      <c r="O492" t="n">
        <v>0</v>
      </c>
      <c r="P492" t="n">
        <v>0</v>
      </c>
      <c r="Q492" t="n">
        <v>0</v>
      </c>
      <c r="R492" s="2" t="inlineStr"/>
    </row>
    <row r="493" ht="15" customHeight="1">
      <c r="A493" t="inlineStr">
        <is>
          <t>A 51675-2019</t>
        </is>
      </c>
      <c r="B493" s="1" t="n">
        <v>43740</v>
      </c>
      <c r="C493" s="1" t="n">
        <v>45346</v>
      </c>
      <c r="D493" t="inlineStr">
        <is>
          <t>VÄSTERNORRLANDS LÄN</t>
        </is>
      </c>
      <c r="E493" t="inlineStr">
        <is>
          <t>SOLLEFTEÅ</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51671-2019</t>
        </is>
      </c>
      <c r="B494" s="1" t="n">
        <v>43740</v>
      </c>
      <c r="C494" s="1" t="n">
        <v>45346</v>
      </c>
      <c r="D494" t="inlineStr">
        <is>
          <t>VÄSTERNORRLANDS LÄN</t>
        </is>
      </c>
      <c r="E494" t="inlineStr">
        <is>
          <t>SOLLEFTEÅ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51682-2019</t>
        </is>
      </c>
      <c r="B495" s="1" t="n">
        <v>43740</v>
      </c>
      <c r="C495" s="1" t="n">
        <v>45346</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53079-2019</t>
        </is>
      </c>
      <c r="B496" s="1" t="n">
        <v>43740</v>
      </c>
      <c r="C496" s="1" t="n">
        <v>45346</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51673-2019</t>
        </is>
      </c>
      <c r="B497" s="1" t="n">
        <v>43740</v>
      </c>
      <c r="C497" s="1" t="n">
        <v>45346</v>
      </c>
      <c r="D497" t="inlineStr">
        <is>
          <t>VÄSTERNORRLANDS LÄN</t>
        </is>
      </c>
      <c r="E497" t="inlineStr">
        <is>
          <t>SOLLEFTEÅ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53076-2019</t>
        </is>
      </c>
      <c r="B498" s="1" t="n">
        <v>43740</v>
      </c>
      <c r="C498" s="1" t="n">
        <v>45346</v>
      </c>
      <c r="D498" t="inlineStr">
        <is>
          <t>VÄSTERNORRLANDS LÄN</t>
        </is>
      </c>
      <c r="E498" t="inlineStr">
        <is>
          <t>SOLLEFTEÅ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53088-2019</t>
        </is>
      </c>
      <c r="B499" s="1" t="n">
        <v>43740</v>
      </c>
      <c r="C499" s="1" t="n">
        <v>45346</v>
      </c>
      <c r="D499" t="inlineStr">
        <is>
          <t>VÄSTERNORRLANDS LÄN</t>
        </is>
      </c>
      <c r="E499" t="inlineStr">
        <is>
          <t>SOLLEFTEÅ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51665-2019</t>
        </is>
      </c>
      <c r="B500" s="1" t="n">
        <v>43740</v>
      </c>
      <c r="C500" s="1" t="n">
        <v>45346</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51953-2019</t>
        </is>
      </c>
      <c r="B501" s="1" t="n">
        <v>43741</v>
      </c>
      <c r="C501" s="1" t="n">
        <v>45346</v>
      </c>
      <c r="D501" t="inlineStr">
        <is>
          <t>VÄSTERNORRLANDS LÄN</t>
        </is>
      </c>
      <c r="E501" t="inlineStr">
        <is>
          <t>SOLLEFTEÅ</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53677-2019</t>
        </is>
      </c>
      <c r="B502" s="1" t="n">
        <v>43741</v>
      </c>
      <c r="C502" s="1" t="n">
        <v>45346</v>
      </c>
      <c r="D502" t="inlineStr">
        <is>
          <t>VÄSTERNORRLANDS LÄN</t>
        </is>
      </c>
      <c r="E502" t="inlineStr">
        <is>
          <t>SOLLEFTEÅ</t>
        </is>
      </c>
      <c r="G502" t="n">
        <v>1.5</v>
      </c>
      <c r="H502" t="n">
        <v>0</v>
      </c>
      <c r="I502" t="n">
        <v>0</v>
      </c>
      <c r="J502" t="n">
        <v>0</v>
      </c>
      <c r="K502" t="n">
        <v>0</v>
      </c>
      <c r="L502" t="n">
        <v>0</v>
      </c>
      <c r="M502" t="n">
        <v>0</v>
      </c>
      <c r="N502" t="n">
        <v>0</v>
      </c>
      <c r="O502" t="n">
        <v>0</v>
      </c>
      <c r="P502" t="n">
        <v>0</v>
      </c>
      <c r="Q502" t="n">
        <v>0</v>
      </c>
      <c r="R502" s="2" t="inlineStr"/>
    </row>
    <row r="503" ht="15" customHeight="1">
      <c r="A503" t="inlineStr">
        <is>
          <t>A 51952-2019</t>
        </is>
      </c>
      <c r="B503" s="1" t="n">
        <v>43741</v>
      </c>
      <c r="C503" s="1" t="n">
        <v>45346</v>
      </c>
      <c r="D503" t="inlineStr">
        <is>
          <t>VÄSTERNORRLANDS LÄN</t>
        </is>
      </c>
      <c r="E503" t="inlineStr">
        <is>
          <t>SOLLEFTEÅ</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52568-2019</t>
        </is>
      </c>
      <c r="B504" s="1" t="n">
        <v>43745</v>
      </c>
      <c r="C504" s="1" t="n">
        <v>45346</v>
      </c>
      <c r="D504" t="inlineStr">
        <is>
          <t>VÄSTERNORRLANDS LÄN</t>
        </is>
      </c>
      <c r="E504" t="inlineStr">
        <is>
          <t>SOLLEFTEÅ</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52569-2019</t>
        </is>
      </c>
      <c r="B505" s="1" t="n">
        <v>43745</v>
      </c>
      <c r="C505" s="1" t="n">
        <v>45346</v>
      </c>
      <c r="D505" t="inlineStr">
        <is>
          <t>VÄSTERNORRLANDS LÄN</t>
        </is>
      </c>
      <c r="E505" t="inlineStr">
        <is>
          <t>SOLLEFTEÅ</t>
        </is>
      </c>
      <c r="G505" t="n">
        <v>7.1</v>
      </c>
      <c r="H505" t="n">
        <v>0</v>
      </c>
      <c r="I505" t="n">
        <v>0</v>
      </c>
      <c r="J505" t="n">
        <v>0</v>
      </c>
      <c r="K505" t="n">
        <v>0</v>
      </c>
      <c r="L505" t="n">
        <v>0</v>
      </c>
      <c r="M505" t="n">
        <v>0</v>
      </c>
      <c r="N505" t="n">
        <v>0</v>
      </c>
      <c r="O505" t="n">
        <v>0</v>
      </c>
      <c r="P505" t="n">
        <v>0</v>
      </c>
      <c r="Q505" t="n">
        <v>0</v>
      </c>
      <c r="R505" s="2" t="inlineStr"/>
    </row>
    <row r="506" ht="15" customHeight="1">
      <c r="A506" t="inlineStr">
        <is>
          <t>A 52922-2019</t>
        </is>
      </c>
      <c r="B506" s="1" t="n">
        <v>43746</v>
      </c>
      <c r="C506" s="1" t="n">
        <v>45346</v>
      </c>
      <c r="D506" t="inlineStr">
        <is>
          <t>VÄSTERNORRLANDS LÄN</t>
        </is>
      </c>
      <c r="E506" t="inlineStr">
        <is>
          <t>SOLLEFTEÅ</t>
        </is>
      </c>
      <c r="G506" t="n">
        <v>6.5</v>
      </c>
      <c r="H506" t="n">
        <v>0</v>
      </c>
      <c r="I506" t="n">
        <v>0</v>
      </c>
      <c r="J506" t="n">
        <v>0</v>
      </c>
      <c r="K506" t="n">
        <v>0</v>
      </c>
      <c r="L506" t="n">
        <v>0</v>
      </c>
      <c r="M506" t="n">
        <v>0</v>
      </c>
      <c r="N506" t="n">
        <v>0</v>
      </c>
      <c r="O506" t="n">
        <v>0</v>
      </c>
      <c r="P506" t="n">
        <v>0</v>
      </c>
      <c r="Q506" t="n">
        <v>0</v>
      </c>
      <c r="R506" s="2" t="inlineStr"/>
    </row>
    <row r="507" ht="15" customHeight="1">
      <c r="A507" t="inlineStr">
        <is>
          <t>A 53161-2019</t>
        </is>
      </c>
      <c r="B507" s="1" t="n">
        <v>43747</v>
      </c>
      <c r="C507" s="1" t="n">
        <v>45346</v>
      </c>
      <c r="D507" t="inlineStr">
        <is>
          <t>VÄSTERNORRLANDS LÄN</t>
        </is>
      </c>
      <c r="E507" t="inlineStr">
        <is>
          <t>SOLLEFTEÅ</t>
        </is>
      </c>
      <c r="F507" t="inlineStr">
        <is>
          <t>Kommuner</t>
        </is>
      </c>
      <c r="G507" t="n">
        <v>0.4</v>
      </c>
      <c r="H507" t="n">
        <v>0</v>
      </c>
      <c r="I507" t="n">
        <v>0</v>
      </c>
      <c r="J507" t="n">
        <v>0</v>
      </c>
      <c r="K507" t="n">
        <v>0</v>
      </c>
      <c r="L507" t="n">
        <v>0</v>
      </c>
      <c r="M507" t="n">
        <v>0</v>
      </c>
      <c r="N507" t="n">
        <v>0</v>
      </c>
      <c r="O507" t="n">
        <v>0</v>
      </c>
      <c r="P507" t="n">
        <v>0</v>
      </c>
      <c r="Q507" t="n">
        <v>0</v>
      </c>
      <c r="R507" s="2" t="inlineStr"/>
    </row>
    <row r="508" ht="15" customHeight="1">
      <c r="A508" t="inlineStr">
        <is>
          <t>A 55623-2019</t>
        </is>
      </c>
      <c r="B508" s="1" t="n">
        <v>43755</v>
      </c>
      <c r="C508" s="1" t="n">
        <v>45346</v>
      </c>
      <c r="D508" t="inlineStr">
        <is>
          <t>VÄSTERNORRLANDS LÄN</t>
        </is>
      </c>
      <c r="E508" t="inlineStr">
        <is>
          <t>SOLLEFTEÅ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55925-2019</t>
        </is>
      </c>
      <c r="B509" s="1" t="n">
        <v>43755</v>
      </c>
      <c r="C509" s="1" t="n">
        <v>45346</v>
      </c>
      <c r="D509" t="inlineStr">
        <is>
          <t>VÄSTERNORRLANDS LÄN</t>
        </is>
      </c>
      <c r="E509" t="inlineStr">
        <is>
          <t>SOLLEFTEÅ</t>
        </is>
      </c>
      <c r="G509" t="n">
        <v>6.4</v>
      </c>
      <c r="H509" t="n">
        <v>0</v>
      </c>
      <c r="I509" t="n">
        <v>0</v>
      </c>
      <c r="J509" t="n">
        <v>0</v>
      </c>
      <c r="K509" t="n">
        <v>0</v>
      </c>
      <c r="L509" t="n">
        <v>0</v>
      </c>
      <c r="M509" t="n">
        <v>0</v>
      </c>
      <c r="N509" t="n">
        <v>0</v>
      </c>
      <c r="O509" t="n">
        <v>0</v>
      </c>
      <c r="P509" t="n">
        <v>0</v>
      </c>
      <c r="Q509" t="n">
        <v>0</v>
      </c>
      <c r="R509" s="2" t="inlineStr"/>
    </row>
    <row r="510" ht="15" customHeight="1">
      <c r="A510" t="inlineStr">
        <is>
          <t>A 55628-2019</t>
        </is>
      </c>
      <c r="B510" s="1" t="n">
        <v>43755</v>
      </c>
      <c r="C510" s="1" t="n">
        <v>45346</v>
      </c>
      <c r="D510" t="inlineStr">
        <is>
          <t>VÄSTERNORRLANDS LÄN</t>
        </is>
      </c>
      <c r="E510" t="inlineStr">
        <is>
          <t>SOLLEFTEÅ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55625-2019</t>
        </is>
      </c>
      <c r="B511" s="1" t="n">
        <v>43755</v>
      </c>
      <c r="C511" s="1" t="n">
        <v>45346</v>
      </c>
      <c r="D511" t="inlineStr">
        <is>
          <t>VÄSTERNORRLANDS LÄN</t>
        </is>
      </c>
      <c r="E511" t="inlineStr">
        <is>
          <t>SOLLEFTEÅ</t>
        </is>
      </c>
      <c r="G511" t="n">
        <v>2.2</v>
      </c>
      <c r="H511" t="n">
        <v>0</v>
      </c>
      <c r="I511" t="n">
        <v>0</v>
      </c>
      <c r="J511" t="n">
        <v>0</v>
      </c>
      <c r="K511" t="n">
        <v>0</v>
      </c>
      <c r="L511" t="n">
        <v>0</v>
      </c>
      <c r="M511" t="n">
        <v>0</v>
      </c>
      <c r="N511" t="n">
        <v>0</v>
      </c>
      <c r="O511" t="n">
        <v>0</v>
      </c>
      <c r="P511" t="n">
        <v>0</v>
      </c>
      <c r="Q511" t="n">
        <v>0</v>
      </c>
      <c r="R511" s="2" t="inlineStr"/>
    </row>
    <row r="512" ht="15" customHeight="1">
      <c r="A512" t="inlineStr">
        <is>
          <t>A 57365-2019</t>
        </is>
      </c>
      <c r="B512" s="1" t="n">
        <v>43760</v>
      </c>
      <c r="C512" s="1" t="n">
        <v>45346</v>
      </c>
      <c r="D512" t="inlineStr">
        <is>
          <t>VÄSTERNORRLANDS LÄN</t>
        </is>
      </c>
      <c r="E512" t="inlineStr">
        <is>
          <t>SOLLEFTEÅ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57575-2019</t>
        </is>
      </c>
      <c r="B513" s="1" t="n">
        <v>43761</v>
      </c>
      <c r="C513" s="1" t="n">
        <v>45346</v>
      </c>
      <c r="D513" t="inlineStr">
        <is>
          <t>VÄSTERNORRLANDS LÄN</t>
        </is>
      </c>
      <c r="E513" t="inlineStr">
        <is>
          <t>SOLLEFTEÅ</t>
        </is>
      </c>
      <c r="G513" t="n">
        <v>14.4</v>
      </c>
      <c r="H513" t="n">
        <v>0</v>
      </c>
      <c r="I513" t="n">
        <v>0</v>
      </c>
      <c r="J513" t="n">
        <v>0</v>
      </c>
      <c r="K513" t="n">
        <v>0</v>
      </c>
      <c r="L513" t="n">
        <v>0</v>
      </c>
      <c r="M513" t="n">
        <v>0</v>
      </c>
      <c r="N513" t="n">
        <v>0</v>
      </c>
      <c r="O513" t="n">
        <v>0</v>
      </c>
      <c r="P513" t="n">
        <v>0</v>
      </c>
      <c r="Q513" t="n">
        <v>0</v>
      </c>
      <c r="R513" s="2" t="inlineStr"/>
    </row>
    <row r="514" ht="15" customHeight="1">
      <c r="A514" t="inlineStr">
        <is>
          <t>A 56252-2019</t>
        </is>
      </c>
      <c r="B514" s="1" t="n">
        <v>43762</v>
      </c>
      <c r="C514" s="1" t="n">
        <v>45346</v>
      </c>
      <c r="D514" t="inlineStr">
        <is>
          <t>VÄSTERNORRLANDS LÄN</t>
        </is>
      </c>
      <c r="E514" t="inlineStr">
        <is>
          <t>SOLLEFTEÅ</t>
        </is>
      </c>
      <c r="F514" t="inlineStr">
        <is>
          <t>Kyrkan</t>
        </is>
      </c>
      <c r="G514" t="n">
        <v>1.1</v>
      </c>
      <c r="H514" t="n">
        <v>0</v>
      </c>
      <c r="I514" t="n">
        <v>0</v>
      </c>
      <c r="J514" t="n">
        <v>0</v>
      </c>
      <c r="K514" t="n">
        <v>0</v>
      </c>
      <c r="L514" t="n">
        <v>0</v>
      </c>
      <c r="M514" t="n">
        <v>0</v>
      </c>
      <c r="N514" t="n">
        <v>0</v>
      </c>
      <c r="O514" t="n">
        <v>0</v>
      </c>
      <c r="P514" t="n">
        <v>0</v>
      </c>
      <c r="Q514" t="n">
        <v>0</v>
      </c>
      <c r="R514" s="2" t="inlineStr"/>
    </row>
    <row r="515" ht="15" customHeight="1">
      <c r="A515" t="inlineStr">
        <is>
          <t>A 56493-2019</t>
        </is>
      </c>
      <c r="B515" s="1" t="n">
        <v>43762</v>
      </c>
      <c r="C515" s="1" t="n">
        <v>45346</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56492-2019</t>
        </is>
      </c>
      <c r="B516" s="1" t="n">
        <v>43762</v>
      </c>
      <c r="C516" s="1" t="n">
        <v>45346</v>
      </c>
      <c r="D516" t="inlineStr">
        <is>
          <t>VÄSTERNORRLANDS LÄN</t>
        </is>
      </c>
      <c r="E516" t="inlineStr">
        <is>
          <t>SOLLEFTEÅ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56803-2019</t>
        </is>
      </c>
      <c r="B517" s="1" t="n">
        <v>43763</v>
      </c>
      <c r="C517" s="1" t="n">
        <v>45346</v>
      </c>
      <c r="D517" t="inlineStr">
        <is>
          <t>VÄSTERNORRLANDS LÄN</t>
        </is>
      </c>
      <c r="E517" t="inlineStr">
        <is>
          <t>SOLLEFTEÅ</t>
        </is>
      </c>
      <c r="F517" t="inlineStr">
        <is>
          <t>SCA</t>
        </is>
      </c>
      <c r="G517" t="n">
        <v>5.2</v>
      </c>
      <c r="H517" t="n">
        <v>0</v>
      </c>
      <c r="I517" t="n">
        <v>0</v>
      </c>
      <c r="J517" t="n">
        <v>0</v>
      </c>
      <c r="K517" t="n">
        <v>0</v>
      </c>
      <c r="L517" t="n">
        <v>0</v>
      </c>
      <c r="M517" t="n">
        <v>0</v>
      </c>
      <c r="N517" t="n">
        <v>0</v>
      </c>
      <c r="O517" t="n">
        <v>0</v>
      </c>
      <c r="P517" t="n">
        <v>0</v>
      </c>
      <c r="Q517" t="n">
        <v>0</v>
      </c>
      <c r="R517" s="2" t="inlineStr"/>
    </row>
    <row r="518" ht="15" customHeight="1">
      <c r="A518" t="inlineStr">
        <is>
          <t>A 56874-2019</t>
        </is>
      </c>
      <c r="B518" s="1" t="n">
        <v>43766</v>
      </c>
      <c r="C518" s="1" t="n">
        <v>45346</v>
      </c>
      <c r="D518" t="inlineStr">
        <is>
          <t>VÄSTERNORRLANDS LÄN</t>
        </is>
      </c>
      <c r="E518" t="inlineStr">
        <is>
          <t>SOLLEFTEÅ</t>
        </is>
      </c>
      <c r="G518" t="n">
        <v>6.1</v>
      </c>
      <c r="H518" t="n">
        <v>0</v>
      </c>
      <c r="I518" t="n">
        <v>0</v>
      </c>
      <c r="J518" t="n">
        <v>0</v>
      </c>
      <c r="K518" t="n">
        <v>0</v>
      </c>
      <c r="L518" t="n">
        <v>0</v>
      </c>
      <c r="M518" t="n">
        <v>0</v>
      </c>
      <c r="N518" t="n">
        <v>0</v>
      </c>
      <c r="O518" t="n">
        <v>0</v>
      </c>
      <c r="P518" t="n">
        <v>0</v>
      </c>
      <c r="Q518" t="n">
        <v>0</v>
      </c>
      <c r="R518" s="2" t="inlineStr"/>
    </row>
    <row r="519" ht="15" customHeight="1">
      <c r="A519" t="inlineStr">
        <is>
          <t>A 56985-2019</t>
        </is>
      </c>
      <c r="B519" s="1" t="n">
        <v>43766</v>
      </c>
      <c r="C519" s="1" t="n">
        <v>45346</v>
      </c>
      <c r="D519" t="inlineStr">
        <is>
          <t>VÄSTERNORRLANDS LÄN</t>
        </is>
      </c>
      <c r="E519" t="inlineStr">
        <is>
          <t>SOLLEFTEÅ</t>
        </is>
      </c>
      <c r="G519" t="n">
        <v>4.9</v>
      </c>
      <c r="H519" t="n">
        <v>0</v>
      </c>
      <c r="I519" t="n">
        <v>0</v>
      </c>
      <c r="J519" t="n">
        <v>0</v>
      </c>
      <c r="K519" t="n">
        <v>0</v>
      </c>
      <c r="L519" t="n">
        <v>0</v>
      </c>
      <c r="M519" t="n">
        <v>0</v>
      </c>
      <c r="N519" t="n">
        <v>0</v>
      </c>
      <c r="O519" t="n">
        <v>0</v>
      </c>
      <c r="P519" t="n">
        <v>0</v>
      </c>
      <c r="Q519" t="n">
        <v>0</v>
      </c>
      <c r="R519" s="2" t="inlineStr"/>
    </row>
    <row r="520" ht="15" customHeight="1">
      <c r="A520" t="inlineStr">
        <is>
          <t>A 57041-2019</t>
        </is>
      </c>
      <c r="B520" s="1" t="n">
        <v>43766</v>
      </c>
      <c r="C520" s="1" t="n">
        <v>45346</v>
      </c>
      <c r="D520" t="inlineStr">
        <is>
          <t>VÄSTERNORRLANDS LÄN</t>
        </is>
      </c>
      <c r="E520" t="inlineStr">
        <is>
          <t>SOLLEFTEÅ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57188-2019</t>
        </is>
      </c>
      <c r="B521" s="1" t="n">
        <v>43766</v>
      </c>
      <c r="C521" s="1" t="n">
        <v>45346</v>
      </c>
      <c r="D521" t="inlineStr">
        <is>
          <t>VÄSTERNORRLANDS LÄN</t>
        </is>
      </c>
      <c r="E521" t="inlineStr">
        <is>
          <t>SOLLEFTEÅ</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57882-2019</t>
        </is>
      </c>
      <c r="B522" s="1" t="n">
        <v>43768</v>
      </c>
      <c r="C522" s="1" t="n">
        <v>45346</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57884-2019</t>
        </is>
      </c>
      <c r="B523" s="1" t="n">
        <v>43768</v>
      </c>
      <c r="C523" s="1" t="n">
        <v>45346</v>
      </c>
      <c r="D523" t="inlineStr">
        <is>
          <t>VÄSTERNORRLANDS LÄN</t>
        </is>
      </c>
      <c r="E523" t="inlineStr">
        <is>
          <t>SOLLEFTEÅ</t>
        </is>
      </c>
      <c r="F523" t="inlineStr">
        <is>
          <t>SCA</t>
        </is>
      </c>
      <c r="G523" t="n">
        <v>14.7</v>
      </c>
      <c r="H523" t="n">
        <v>0</v>
      </c>
      <c r="I523" t="n">
        <v>0</v>
      </c>
      <c r="J523" t="n">
        <v>0</v>
      </c>
      <c r="K523" t="n">
        <v>0</v>
      </c>
      <c r="L523" t="n">
        <v>0</v>
      </c>
      <c r="M523" t="n">
        <v>0</v>
      </c>
      <c r="N523" t="n">
        <v>0</v>
      </c>
      <c r="O523" t="n">
        <v>0</v>
      </c>
      <c r="P523" t="n">
        <v>0</v>
      </c>
      <c r="Q523" t="n">
        <v>0</v>
      </c>
      <c r="R523" s="2" t="inlineStr"/>
    </row>
    <row r="524" ht="15" customHeight="1">
      <c r="A524" t="inlineStr">
        <is>
          <t>A 57883-2019</t>
        </is>
      </c>
      <c r="B524" s="1" t="n">
        <v>43768</v>
      </c>
      <c r="C524" s="1" t="n">
        <v>45346</v>
      </c>
      <c r="D524" t="inlineStr">
        <is>
          <t>VÄSTERNORRLANDS LÄN</t>
        </is>
      </c>
      <c r="E524" t="inlineStr">
        <is>
          <t>SOLLEFTEÅ</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58170-2019</t>
        </is>
      </c>
      <c r="B525" s="1" t="n">
        <v>43769</v>
      </c>
      <c r="C525" s="1" t="n">
        <v>45346</v>
      </c>
      <c r="D525" t="inlineStr">
        <is>
          <t>VÄSTERNORRLANDS LÄN</t>
        </is>
      </c>
      <c r="E525" t="inlineStr">
        <is>
          <t>SOLLEFTEÅ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58267-2019</t>
        </is>
      </c>
      <c r="B526" s="1" t="n">
        <v>43770</v>
      </c>
      <c r="C526" s="1" t="n">
        <v>45346</v>
      </c>
      <c r="D526" t="inlineStr">
        <is>
          <t>VÄSTERNORRLANDS LÄN</t>
        </is>
      </c>
      <c r="E526" t="inlineStr">
        <is>
          <t>SOLLEFTEÅ</t>
        </is>
      </c>
      <c r="G526" t="n">
        <v>4.6</v>
      </c>
      <c r="H526" t="n">
        <v>0</v>
      </c>
      <c r="I526" t="n">
        <v>0</v>
      </c>
      <c r="J526" t="n">
        <v>0</v>
      </c>
      <c r="K526" t="n">
        <v>0</v>
      </c>
      <c r="L526" t="n">
        <v>0</v>
      </c>
      <c r="M526" t="n">
        <v>0</v>
      </c>
      <c r="N526" t="n">
        <v>0</v>
      </c>
      <c r="O526" t="n">
        <v>0</v>
      </c>
      <c r="P526" t="n">
        <v>0</v>
      </c>
      <c r="Q526" t="n">
        <v>0</v>
      </c>
      <c r="R526" s="2" t="inlineStr"/>
    </row>
    <row r="527" ht="15" customHeight="1">
      <c r="A527" t="inlineStr">
        <is>
          <t>A 59460-2019</t>
        </is>
      </c>
      <c r="B527" s="1" t="n">
        <v>43776</v>
      </c>
      <c r="C527" s="1" t="n">
        <v>45346</v>
      </c>
      <c r="D527" t="inlineStr">
        <is>
          <t>VÄSTERNORRLANDS LÄN</t>
        </is>
      </c>
      <c r="E527" t="inlineStr">
        <is>
          <t>SOLLEFTEÅ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60491-2019</t>
        </is>
      </c>
      <c r="B528" s="1" t="n">
        <v>43780</v>
      </c>
      <c r="C528" s="1" t="n">
        <v>45346</v>
      </c>
      <c r="D528" t="inlineStr">
        <is>
          <t>VÄSTERNORRLANDS LÄN</t>
        </is>
      </c>
      <c r="E528" t="inlineStr">
        <is>
          <t>SOLLEFTEÅ</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61428-2019</t>
        </is>
      </c>
      <c r="B529" s="1" t="n">
        <v>43780</v>
      </c>
      <c r="C529" s="1" t="n">
        <v>45346</v>
      </c>
      <c r="D529" t="inlineStr">
        <is>
          <t>VÄSTERNORRLANDS LÄN</t>
        </is>
      </c>
      <c r="E529" t="inlineStr">
        <is>
          <t>SOLLEFTEÅ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60531-2019</t>
        </is>
      </c>
      <c r="B530" s="1" t="n">
        <v>43781</v>
      </c>
      <c r="C530" s="1" t="n">
        <v>45346</v>
      </c>
      <c r="D530" t="inlineStr">
        <is>
          <t>VÄSTERNORRLANDS LÄN</t>
        </is>
      </c>
      <c r="E530" t="inlineStr">
        <is>
          <t>SOLLEFTEÅ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60538-2019</t>
        </is>
      </c>
      <c r="B531" s="1" t="n">
        <v>43781</v>
      </c>
      <c r="C531" s="1" t="n">
        <v>45346</v>
      </c>
      <c r="D531" t="inlineStr">
        <is>
          <t>VÄSTERNORRLANDS LÄN</t>
        </is>
      </c>
      <c r="E531" t="inlineStr">
        <is>
          <t>SOLLEFTEÅ</t>
        </is>
      </c>
      <c r="G531" t="n">
        <v>4.6</v>
      </c>
      <c r="H531" t="n">
        <v>0</v>
      </c>
      <c r="I531" t="n">
        <v>0</v>
      </c>
      <c r="J531" t="n">
        <v>0</v>
      </c>
      <c r="K531" t="n">
        <v>0</v>
      </c>
      <c r="L531" t="n">
        <v>0</v>
      </c>
      <c r="M531" t="n">
        <v>0</v>
      </c>
      <c r="N531" t="n">
        <v>0</v>
      </c>
      <c r="O531" t="n">
        <v>0</v>
      </c>
      <c r="P531" t="n">
        <v>0</v>
      </c>
      <c r="Q531" t="n">
        <v>0</v>
      </c>
      <c r="R531" s="2" t="inlineStr"/>
    </row>
    <row r="532" ht="15" customHeight="1">
      <c r="A532" t="inlineStr">
        <is>
          <t>A 60905-2019</t>
        </is>
      </c>
      <c r="B532" s="1" t="n">
        <v>43781</v>
      </c>
      <c r="C532" s="1" t="n">
        <v>45346</v>
      </c>
      <c r="D532" t="inlineStr">
        <is>
          <t>VÄSTERNORRLANDS LÄN</t>
        </is>
      </c>
      <c r="E532" t="inlineStr">
        <is>
          <t>SOLLEFTEÅ</t>
        </is>
      </c>
      <c r="G532" t="n">
        <v>0.4</v>
      </c>
      <c r="H532" t="n">
        <v>0</v>
      </c>
      <c r="I532" t="n">
        <v>0</v>
      </c>
      <c r="J532" t="n">
        <v>0</v>
      </c>
      <c r="K532" t="n">
        <v>0</v>
      </c>
      <c r="L532" t="n">
        <v>0</v>
      </c>
      <c r="M532" t="n">
        <v>0</v>
      </c>
      <c r="N532" t="n">
        <v>0</v>
      </c>
      <c r="O532" t="n">
        <v>0</v>
      </c>
      <c r="P532" t="n">
        <v>0</v>
      </c>
      <c r="Q532" t="n">
        <v>0</v>
      </c>
      <c r="R532" s="2" t="inlineStr"/>
    </row>
    <row r="533" ht="15" customHeight="1">
      <c r="A533" t="inlineStr">
        <is>
          <t>A 61978-2019</t>
        </is>
      </c>
      <c r="B533" s="1" t="n">
        <v>43781</v>
      </c>
      <c r="C533" s="1" t="n">
        <v>45346</v>
      </c>
      <c r="D533" t="inlineStr">
        <is>
          <t>VÄSTERNORRLANDS LÄN</t>
        </is>
      </c>
      <c r="E533" t="inlineStr">
        <is>
          <t>SOLLEFTEÅ</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63450-2019</t>
        </is>
      </c>
      <c r="B534" s="1" t="n">
        <v>43788</v>
      </c>
      <c r="C534" s="1" t="n">
        <v>45346</v>
      </c>
      <c r="D534" t="inlineStr">
        <is>
          <t>VÄSTERNORRLANDS LÄN</t>
        </is>
      </c>
      <c r="E534" t="inlineStr">
        <is>
          <t>SOLLEFTEÅ</t>
        </is>
      </c>
      <c r="G534" t="n">
        <v>8.6</v>
      </c>
      <c r="H534" t="n">
        <v>0</v>
      </c>
      <c r="I534" t="n">
        <v>0</v>
      </c>
      <c r="J534" t="n">
        <v>0</v>
      </c>
      <c r="K534" t="n">
        <v>0</v>
      </c>
      <c r="L534" t="n">
        <v>0</v>
      </c>
      <c r="M534" t="n">
        <v>0</v>
      </c>
      <c r="N534" t="n">
        <v>0</v>
      </c>
      <c r="O534" t="n">
        <v>0</v>
      </c>
      <c r="P534" t="n">
        <v>0</v>
      </c>
      <c r="Q534" t="n">
        <v>0</v>
      </c>
      <c r="R534" s="2" t="inlineStr"/>
    </row>
    <row r="535" ht="15" customHeight="1">
      <c r="A535" t="inlineStr">
        <is>
          <t>A 62500-2019</t>
        </is>
      </c>
      <c r="B535" s="1" t="n">
        <v>43788</v>
      </c>
      <c r="C535" s="1" t="n">
        <v>45346</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64197-2019</t>
        </is>
      </c>
      <c r="B536" s="1" t="n">
        <v>43791</v>
      </c>
      <c r="C536" s="1" t="n">
        <v>45346</v>
      </c>
      <c r="D536" t="inlineStr">
        <is>
          <t>VÄSTERNORRLANDS LÄN</t>
        </is>
      </c>
      <c r="E536" t="inlineStr">
        <is>
          <t>SOLLEFTEÅ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63552-2019</t>
        </is>
      </c>
      <c r="B537" s="1" t="n">
        <v>43794</v>
      </c>
      <c r="C537" s="1" t="n">
        <v>45346</v>
      </c>
      <c r="D537" t="inlineStr">
        <is>
          <t>VÄSTERNORRLANDS LÄN</t>
        </is>
      </c>
      <c r="E537" t="inlineStr">
        <is>
          <t>SOLLEFTEÅ</t>
        </is>
      </c>
      <c r="G537" t="n">
        <v>7.2</v>
      </c>
      <c r="H537" t="n">
        <v>0</v>
      </c>
      <c r="I537" t="n">
        <v>0</v>
      </c>
      <c r="J537" t="n">
        <v>0</v>
      </c>
      <c r="K537" t="n">
        <v>0</v>
      </c>
      <c r="L537" t="n">
        <v>0</v>
      </c>
      <c r="M537" t="n">
        <v>0</v>
      </c>
      <c r="N537" t="n">
        <v>0</v>
      </c>
      <c r="O537" t="n">
        <v>0</v>
      </c>
      <c r="P537" t="n">
        <v>0</v>
      </c>
      <c r="Q537" t="n">
        <v>0</v>
      </c>
      <c r="R537" s="2" t="inlineStr"/>
    </row>
    <row r="538" ht="15" customHeight="1">
      <c r="A538" t="inlineStr">
        <is>
          <t>A 63752-2019</t>
        </is>
      </c>
      <c r="B538" s="1" t="n">
        <v>43795</v>
      </c>
      <c r="C538" s="1" t="n">
        <v>45346</v>
      </c>
      <c r="D538" t="inlineStr">
        <is>
          <t>VÄSTERNORRLANDS LÄN</t>
        </is>
      </c>
      <c r="E538" t="inlineStr">
        <is>
          <t>SOLLEFTEÅ</t>
        </is>
      </c>
      <c r="G538" t="n">
        <v>4.2</v>
      </c>
      <c r="H538" t="n">
        <v>0</v>
      </c>
      <c r="I538" t="n">
        <v>0</v>
      </c>
      <c r="J538" t="n">
        <v>0</v>
      </c>
      <c r="K538" t="n">
        <v>0</v>
      </c>
      <c r="L538" t="n">
        <v>0</v>
      </c>
      <c r="M538" t="n">
        <v>0</v>
      </c>
      <c r="N538" t="n">
        <v>0</v>
      </c>
      <c r="O538" t="n">
        <v>0</v>
      </c>
      <c r="P538" t="n">
        <v>0</v>
      </c>
      <c r="Q538" t="n">
        <v>0</v>
      </c>
      <c r="R538" s="2" t="inlineStr"/>
    </row>
    <row r="539" ht="15" customHeight="1">
      <c r="A539" t="inlineStr">
        <is>
          <t>A 65218-2019</t>
        </is>
      </c>
      <c r="B539" s="1" t="n">
        <v>43797</v>
      </c>
      <c r="C539" s="1" t="n">
        <v>45346</v>
      </c>
      <c r="D539" t="inlineStr">
        <is>
          <t>VÄSTERNORRLANDS LÄN</t>
        </is>
      </c>
      <c r="E539" t="inlineStr">
        <is>
          <t>SOLLEFTEÅ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65029-2019</t>
        </is>
      </c>
      <c r="B540" s="1" t="n">
        <v>43801</v>
      </c>
      <c r="C540" s="1" t="n">
        <v>45346</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65332-2019</t>
        </is>
      </c>
      <c r="B541" s="1" t="n">
        <v>43802</v>
      </c>
      <c r="C541" s="1" t="n">
        <v>45346</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66321-2019</t>
        </is>
      </c>
      <c r="B542" s="1" t="n">
        <v>43802</v>
      </c>
      <c r="C542" s="1" t="n">
        <v>45346</v>
      </c>
      <c r="D542" t="inlineStr">
        <is>
          <t>VÄSTERNORRLANDS LÄN</t>
        </is>
      </c>
      <c r="E542" t="inlineStr">
        <is>
          <t>SOLLEFTEÅ</t>
        </is>
      </c>
      <c r="G542" t="n">
        <v>6.4</v>
      </c>
      <c r="H542" t="n">
        <v>0</v>
      </c>
      <c r="I542" t="n">
        <v>0</v>
      </c>
      <c r="J542" t="n">
        <v>0</v>
      </c>
      <c r="K542" t="n">
        <v>0</v>
      </c>
      <c r="L542" t="n">
        <v>0</v>
      </c>
      <c r="M542" t="n">
        <v>0</v>
      </c>
      <c r="N542" t="n">
        <v>0</v>
      </c>
      <c r="O542" t="n">
        <v>0</v>
      </c>
      <c r="P542" t="n">
        <v>0</v>
      </c>
      <c r="Q542" t="n">
        <v>0</v>
      </c>
      <c r="R542" s="2" t="inlineStr"/>
    </row>
    <row r="543" ht="15" customHeight="1">
      <c r="A543" t="inlineStr">
        <is>
          <t>A 65319-2019</t>
        </is>
      </c>
      <c r="B543" s="1" t="n">
        <v>43802</v>
      </c>
      <c r="C543" s="1" t="n">
        <v>45346</v>
      </c>
      <c r="D543" t="inlineStr">
        <is>
          <t>VÄSTERNORRLANDS LÄN</t>
        </is>
      </c>
      <c r="E543" t="inlineStr">
        <is>
          <t>SOLLEFTEÅ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65327-2019</t>
        </is>
      </c>
      <c r="B544" s="1" t="n">
        <v>43802</v>
      </c>
      <c r="C544" s="1" t="n">
        <v>45346</v>
      </c>
      <c r="D544" t="inlineStr">
        <is>
          <t>VÄSTERNORRLANDS LÄN</t>
        </is>
      </c>
      <c r="E544" t="inlineStr">
        <is>
          <t>SOLLEFTEÅ</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66391-2019</t>
        </is>
      </c>
      <c r="B545" s="1" t="n">
        <v>43808</v>
      </c>
      <c r="C545" s="1" t="n">
        <v>45346</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67805-2019</t>
        </is>
      </c>
      <c r="B546" s="1" t="n">
        <v>43815</v>
      </c>
      <c r="C546" s="1" t="n">
        <v>45346</v>
      </c>
      <c r="D546" t="inlineStr">
        <is>
          <t>VÄSTERNORRLANDS LÄN</t>
        </is>
      </c>
      <c r="E546" t="inlineStr">
        <is>
          <t>SOLLEFTEÅ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67815-2019</t>
        </is>
      </c>
      <c r="B547" s="1" t="n">
        <v>43815</v>
      </c>
      <c r="C547" s="1" t="n">
        <v>45346</v>
      </c>
      <c r="D547" t="inlineStr">
        <is>
          <t>VÄSTERNORRLANDS LÄN</t>
        </is>
      </c>
      <c r="E547" t="inlineStr">
        <is>
          <t>SOLLEFTEÅ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1627-2020</t>
        </is>
      </c>
      <c r="B548" s="1" t="n">
        <v>43829</v>
      </c>
      <c r="C548" s="1" t="n">
        <v>45346</v>
      </c>
      <c r="D548" t="inlineStr">
        <is>
          <t>VÄSTERNORRLANDS LÄN</t>
        </is>
      </c>
      <c r="E548" t="inlineStr">
        <is>
          <t>SOLLEFTEÅ</t>
        </is>
      </c>
      <c r="G548" t="n">
        <v>9</v>
      </c>
      <c r="H548" t="n">
        <v>0</v>
      </c>
      <c r="I548" t="n">
        <v>0</v>
      </c>
      <c r="J548" t="n">
        <v>0</v>
      </c>
      <c r="K548" t="n">
        <v>0</v>
      </c>
      <c r="L548" t="n">
        <v>0</v>
      </c>
      <c r="M548" t="n">
        <v>0</v>
      </c>
      <c r="N548" t="n">
        <v>0</v>
      </c>
      <c r="O548" t="n">
        <v>0</v>
      </c>
      <c r="P548" t="n">
        <v>0</v>
      </c>
      <c r="Q548" t="n">
        <v>0</v>
      </c>
      <c r="R548" s="2" t="inlineStr"/>
    </row>
    <row r="549" ht="15" customHeight="1">
      <c r="A549" t="inlineStr">
        <is>
          <t>A 127-2020</t>
        </is>
      </c>
      <c r="B549" s="1" t="n">
        <v>43832</v>
      </c>
      <c r="C549" s="1" t="n">
        <v>45346</v>
      </c>
      <c r="D549" t="inlineStr">
        <is>
          <t>VÄSTERNORRLANDS LÄN</t>
        </is>
      </c>
      <c r="E549" t="inlineStr">
        <is>
          <t>SOLLEFTEÅ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125-2020</t>
        </is>
      </c>
      <c r="B550" s="1" t="n">
        <v>43832</v>
      </c>
      <c r="C550" s="1" t="n">
        <v>45346</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126-2020</t>
        </is>
      </c>
      <c r="B551" s="1" t="n">
        <v>43832</v>
      </c>
      <c r="C551" s="1" t="n">
        <v>45346</v>
      </c>
      <c r="D551" t="inlineStr">
        <is>
          <t>VÄSTERNORRLANDS LÄN</t>
        </is>
      </c>
      <c r="E551" t="inlineStr">
        <is>
          <t>SOLLEFTEÅ</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538-2020</t>
        </is>
      </c>
      <c r="B552" s="1" t="n">
        <v>43837</v>
      </c>
      <c r="C552" s="1" t="n">
        <v>45346</v>
      </c>
      <c r="D552" t="inlineStr">
        <is>
          <t>VÄSTERNORRLANDS LÄN</t>
        </is>
      </c>
      <c r="E552" t="inlineStr">
        <is>
          <t>SOLLEFTEÅ</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1263-2020</t>
        </is>
      </c>
      <c r="B553" s="1" t="n">
        <v>43840</v>
      </c>
      <c r="C553" s="1" t="n">
        <v>45346</v>
      </c>
      <c r="D553" t="inlineStr">
        <is>
          <t>VÄSTERNORRLANDS LÄN</t>
        </is>
      </c>
      <c r="E553" t="inlineStr">
        <is>
          <t>SOLLEFTEÅ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1262-2020</t>
        </is>
      </c>
      <c r="B554" s="1" t="n">
        <v>43840</v>
      </c>
      <c r="C554" s="1" t="n">
        <v>45346</v>
      </c>
      <c r="D554" t="inlineStr">
        <is>
          <t>VÄSTERNORRLANDS LÄN</t>
        </is>
      </c>
      <c r="E554" t="inlineStr">
        <is>
          <t>SOLLEFTEÅ</t>
        </is>
      </c>
      <c r="F554" t="inlineStr">
        <is>
          <t>SCA</t>
        </is>
      </c>
      <c r="G554" t="n">
        <v>3.8</v>
      </c>
      <c r="H554" t="n">
        <v>0</v>
      </c>
      <c r="I554" t="n">
        <v>0</v>
      </c>
      <c r="J554" t="n">
        <v>0</v>
      </c>
      <c r="K554" t="n">
        <v>0</v>
      </c>
      <c r="L554" t="n">
        <v>0</v>
      </c>
      <c r="M554" t="n">
        <v>0</v>
      </c>
      <c r="N554" t="n">
        <v>0</v>
      </c>
      <c r="O554" t="n">
        <v>0</v>
      </c>
      <c r="P554" t="n">
        <v>0</v>
      </c>
      <c r="Q554" t="n">
        <v>0</v>
      </c>
      <c r="R554" s="2" t="inlineStr"/>
    </row>
    <row r="555" ht="15" customHeight="1">
      <c r="A555" t="inlineStr">
        <is>
          <t>A 1213-2020</t>
        </is>
      </c>
      <c r="B555" s="1" t="n">
        <v>43840</v>
      </c>
      <c r="C555" s="1" t="n">
        <v>45346</v>
      </c>
      <c r="D555" t="inlineStr">
        <is>
          <t>VÄSTERNORRLANDS LÄN</t>
        </is>
      </c>
      <c r="E555" t="inlineStr">
        <is>
          <t>SOLLEFTEÅ</t>
        </is>
      </c>
      <c r="F555" t="inlineStr">
        <is>
          <t>Kyrkan</t>
        </is>
      </c>
      <c r="G555" t="n">
        <v>13.9</v>
      </c>
      <c r="H555" t="n">
        <v>0</v>
      </c>
      <c r="I555" t="n">
        <v>0</v>
      </c>
      <c r="J555" t="n">
        <v>0</v>
      </c>
      <c r="K555" t="n">
        <v>0</v>
      </c>
      <c r="L555" t="n">
        <v>0</v>
      </c>
      <c r="M555" t="n">
        <v>0</v>
      </c>
      <c r="N555" t="n">
        <v>0</v>
      </c>
      <c r="O555" t="n">
        <v>0</v>
      </c>
      <c r="P555" t="n">
        <v>0</v>
      </c>
      <c r="Q555" t="n">
        <v>0</v>
      </c>
      <c r="R555" s="2" t="inlineStr"/>
    </row>
    <row r="556" ht="15" customHeight="1">
      <c r="A556" t="inlineStr">
        <is>
          <t>A 1568-2020</t>
        </is>
      </c>
      <c r="B556" s="1" t="n">
        <v>43844</v>
      </c>
      <c r="C556" s="1" t="n">
        <v>45346</v>
      </c>
      <c r="D556" t="inlineStr">
        <is>
          <t>VÄSTERNORRLANDS LÄN</t>
        </is>
      </c>
      <c r="E556" t="inlineStr">
        <is>
          <t>SOLLEFTEÅ</t>
        </is>
      </c>
      <c r="G556" t="n">
        <v>3.4</v>
      </c>
      <c r="H556" t="n">
        <v>0</v>
      </c>
      <c r="I556" t="n">
        <v>0</v>
      </c>
      <c r="J556" t="n">
        <v>0</v>
      </c>
      <c r="K556" t="n">
        <v>0</v>
      </c>
      <c r="L556" t="n">
        <v>0</v>
      </c>
      <c r="M556" t="n">
        <v>0</v>
      </c>
      <c r="N556" t="n">
        <v>0</v>
      </c>
      <c r="O556" t="n">
        <v>0</v>
      </c>
      <c r="P556" t="n">
        <v>0</v>
      </c>
      <c r="Q556" t="n">
        <v>0</v>
      </c>
      <c r="R556" s="2" t="inlineStr"/>
    </row>
    <row r="557" ht="15" customHeight="1">
      <c r="A557" t="inlineStr">
        <is>
          <t>A 2897-2020</t>
        </is>
      </c>
      <c r="B557" s="1" t="n">
        <v>43850</v>
      </c>
      <c r="C557" s="1" t="n">
        <v>45346</v>
      </c>
      <c r="D557" t="inlineStr">
        <is>
          <t>VÄSTERNORRLANDS LÄN</t>
        </is>
      </c>
      <c r="E557" t="inlineStr">
        <is>
          <t>SOLLEFTEÅ</t>
        </is>
      </c>
      <c r="G557" t="n">
        <v>7.6</v>
      </c>
      <c r="H557" t="n">
        <v>0</v>
      </c>
      <c r="I557" t="n">
        <v>0</v>
      </c>
      <c r="J557" t="n">
        <v>0</v>
      </c>
      <c r="K557" t="n">
        <v>0</v>
      </c>
      <c r="L557" t="n">
        <v>0</v>
      </c>
      <c r="M557" t="n">
        <v>0</v>
      </c>
      <c r="N557" t="n">
        <v>0</v>
      </c>
      <c r="O557" t="n">
        <v>0</v>
      </c>
      <c r="P557" t="n">
        <v>0</v>
      </c>
      <c r="Q557" t="n">
        <v>0</v>
      </c>
      <c r="R557" s="2" t="inlineStr"/>
    </row>
    <row r="558" ht="15" customHeight="1">
      <c r="A558" t="inlineStr">
        <is>
          <t>A 3230-2020</t>
        </is>
      </c>
      <c r="B558" s="1" t="n">
        <v>43851</v>
      </c>
      <c r="C558" s="1" t="n">
        <v>45346</v>
      </c>
      <c r="D558" t="inlineStr">
        <is>
          <t>VÄSTERNORRLANDS LÄN</t>
        </is>
      </c>
      <c r="E558" t="inlineStr">
        <is>
          <t>SOLLEFTEÅ</t>
        </is>
      </c>
      <c r="F558" t="inlineStr">
        <is>
          <t>Övriga statliga verk och myndigheter</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4363-2020</t>
        </is>
      </c>
      <c r="B559" s="1" t="n">
        <v>43857</v>
      </c>
      <c r="C559" s="1" t="n">
        <v>45346</v>
      </c>
      <c r="D559" t="inlineStr">
        <is>
          <t>VÄSTERNORRLANDS LÄN</t>
        </is>
      </c>
      <c r="E559" t="inlineStr">
        <is>
          <t>SOLLEFTEÅ</t>
        </is>
      </c>
      <c r="G559" t="n">
        <v>6.4</v>
      </c>
      <c r="H559" t="n">
        <v>0</v>
      </c>
      <c r="I559" t="n">
        <v>0</v>
      </c>
      <c r="J559" t="n">
        <v>0</v>
      </c>
      <c r="K559" t="n">
        <v>0</v>
      </c>
      <c r="L559" t="n">
        <v>0</v>
      </c>
      <c r="M559" t="n">
        <v>0</v>
      </c>
      <c r="N559" t="n">
        <v>0</v>
      </c>
      <c r="O559" t="n">
        <v>0</v>
      </c>
      <c r="P559" t="n">
        <v>0</v>
      </c>
      <c r="Q559" t="n">
        <v>0</v>
      </c>
      <c r="R559" s="2" t="inlineStr"/>
    </row>
    <row r="560" ht="15" customHeight="1">
      <c r="A560" t="inlineStr">
        <is>
          <t>A 5248-2020</t>
        </is>
      </c>
      <c r="B560" s="1" t="n">
        <v>43857</v>
      </c>
      <c r="C560" s="1" t="n">
        <v>45346</v>
      </c>
      <c r="D560" t="inlineStr">
        <is>
          <t>VÄSTERNORRLANDS LÄN</t>
        </is>
      </c>
      <c r="E560" t="inlineStr">
        <is>
          <t>SOLLEFTEÅ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5635-2020</t>
        </is>
      </c>
      <c r="B561" s="1" t="n">
        <v>43860</v>
      </c>
      <c r="C561" s="1" t="n">
        <v>45346</v>
      </c>
      <c r="D561" t="inlineStr">
        <is>
          <t>VÄSTERNORRLANDS LÄN</t>
        </is>
      </c>
      <c r="E561" t="inlineStr">
        <is>
          <t>SOLLEFTEÅ</t>
        </is>
      </c>
      <c r="G561" t="n">
        <v>1.5</v>
      </c>
      <c r="H561" t="n">
        <v>0</v>
      </c>
      <c r="I561" t="n">
        <v>0</v>
      </c>
      <c r="J561" t="n">
        <v>0</v>
      </c>
      <c r="K561" t="n">
        <v>0</v>
      </c>
      <c r="L561" t="n">
        <v>0</v>
      </c>
      <c r="M561" t="n">
        <v>0</v>
      </c>
      <c r="N561" t="n">
        <v>0</v>
      </c>
      <c r="O561" t="n">
        <v>0</v>
      </c>
      <c r="P561" t="n">
        <v>0</v>
      </c>
      <c r="Q561" t="n">
        <v>0</v>
      </c>
      <c r="R561" s="2" t="inlineStr"/>
    </row>
    <row r="562" ht="15" customHeight="1">
      <c r="A562" t="inlineStr">
        <is>
          <t>A 5662-2020</t>
        </is>
      </c>
      <c r="B562" s="1" t="n">
        <v>43861</v>
      </c>
      <c r="C562" s="1" t="n">
        <v>45346</v>
      </c>
      <c r="D562" t="inlineStr">
        <is>
          <t>VÄSTERNORRLANDS LÄN</t>
        </is>
      </c>
      <c r="E562" t="inlineStr">
        <is>
          <t>SOLLEFTEÅ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5714-2020</t>
        </is>
      </c>
      <c r="B563" s="1" t="n">
        <v>43861</v>
      </c>
      <c r="C563" s="1" t="n">
        <v>45346</v>
      </c>
      <c r="D563" t="inlineStr">
        <is>
          <t>VÄSTERNORRLANDS LÄN</t>
        </is>
      </c>
      <c r="E563" t="inlineStr">
        <is>
          <t>SOLLEFTEÅ</t>
        </is>
      </c>
      <c r="G563" t="n">
        <v>3</v>
      </c>
      <c r="H563" t="n">
        <v>0</v>
      </c>
      <c r="I563" t="n">
        <v>0</v>
      </c>
      <c r="J563" t="n">
        <v>0</v>
      </c>
      <c r="K563" t="n">
        <v>0</v>
      </c>
      <c r="L563" t="n">
        <v>0</v>
      </c>
      <c r="M563" t="n">
        <v>0</v>
      </c>
      <c r="N563" t="n">
        <v>0</v>
      </c>
      <c r="O563" t="n">
        <v>0</v>
      </c>
      <c r="P563" t="n">
        <v>0</v>
      </c>
      <c r="Q563" t="n">
        <v>0</v>
      </c>
      <c r="R563" s="2" t="inlineStr"/>
    </row>
    <row r="564" ht="15" customHeight="1">
      <c r="A564" t="inlineStr">
        <is>
          <t>A 5908-2020</t>
        </is>
      </c>
      <c r="B564" s="1" t="n">
        <v>43861</v>
      </c>
      <c r="C564" s="1" t="n">
        <v>45346</v>
      </c>
      <c r="D564" t="inlineStr">
        <is>
          <t>VÄSTERNORRLANDS LÄN</t>
        </is>
      </c>
      <c r="E564" t="inlineStr">
        <is>
          <t>SOLLEFTEÅ</t>
        </is>
      </c>
      <c r="G564" t="n">
        <v>4.6</v>
      </c>
      <c r="H564" t="n">
        <v>0</v>
      </c>
      <c r="I564" t="n">
        <v>0</v>
      </c>
      <c r="J564" t="n">
        <v>0</v>
      </c>
      <c r="K564" t="n">
        <v>0</v>
      </c>
      <c r="L564" t="n">
        <v>0</v>
      </c>
      <c r="M564" t="n">
        <v>0</v>
      </c>
      <c r="N564" t="n">
        <v>0</v>
      </c>
      <c r="O564" t="n">
        <v>0</v>
      </c>
      <c r="P564" t="n">
        <v>0</v>
      </c>
      <c r="Q564" t="n">
        <v>0</v>
      </c>
      <c r="R564" s="2" t="inlineStr"/>
    </row>
    <row r="565" ht="15" customHeight="1">
      <c r="A565" t="inlineStr">
        <is>
          <t>A 8363-2020</t>
        </is>
      </c>
      <c r="B565" s="1" t="n">
        <v>43875</v>
      </c>
      <c r="C565" s="1" t="n">
        <v>45346</v>
      </c>
      <c r="D565" t="inlineStr">
        <is>
          <t>VÄSTERNORRLANDS LÄN</t>
        </is>
      </c>
      <c r="E565" t="inlineStr">
        <is>
          <t>SOLLEFTEÅ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8935-2020</t>
        </is>
      </c>
      <c r="B566" s="1" t="n">
        <v>43878</v>
      </c>
      <c r="C566" s="1" t="n">
        <v>45346</v>
      </c>
      <c r="D566" t="inlineStr">
        <is>
          <t>VÄSTERNORRLANDS LÄN</t>
        </is>
      </c>
      <c r="E566" t="inlineStr">
        <is>
          <t>SOLLEFTEÅ</t>
        </is>
      </c>
      <c r="G566" t="n">
        <v>3.9</v>
      </c>
      <c r="H566" t="n">
        <v>0</v>
      </c>
      <c r="I566" t="n">
        <v>0</v>
      </c>
      <c r="J566" t="n">
        <v>0</v>
      </c>
      <c r="K566" t="n">
        <v>0</v>
      </c>
      <c r="L566" t="n">
        <v>0</v>
      </c>
      <c r="M566" t="n">
        <v>0</v>
      </c>
      <c r="N566" t="n">
        <v>0</v>
      </c>
      <c r="O566" t="n">
        <v>0</v>
      </c>
      <c r="P566" t="n">
        <v>0</v>
      </c>
      <c r="Q566" t="n">
        <v>0</v>
      </c>
      <c r="R566" s="2" t="inlineStr"/>
    </row>
    <row r="567" ht="15" customHeight="1">
      <c r="A567" t="inlineStr">
        <is>
          <t>A 10631-2020</t>
        </is>
      </c>
      <c r="B567" s="1" t="n">
        <v>43887</v>
      </c>
      <c r="C567" s="1" t="n">
        <v>45346</v>
      </c>
      <c r="D567" t="inlineStr">
        <is>
          <t>VÄSTERNORRLANDS LÄN</t>
        </is>
      </c>
      <c r="E567" t="inlineStr">
        <is>
          <t>SOLLEFTEÅ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10846-2020</t>
        </is>
      </c>
      <c r="B568" s="1" t="n">
        <v>43888</v>
      </c>
      <c r="C568" s="1" t="n">
        <v>45346</v>
      </c>
      <c r="D568" t="inlineStr">
        <is>
          <t>VÄSTERNORRLANDS LÄN</t>
        </is>
      </c>
      <c r="E568" t="inlineStr">
        <is>
          <t>SOLLEFTEÅ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11685-2020</t>
        </is>
      </c>
      <c r="B569" s="1" t="n">
        <v>43893</v>
      </c>
      <c r="C569" s="1" t="n">
        <v>45346</v>
      </c>
      <c r="D569" t="inlineStr">
        <is>
          <t>VÄSTERNORRLANDS LÄN</t>
        </is>
      </c>
      <c r="E569" t="inlineStr">
        <is>
          <t>SOLLEFTEÅ</t>
        </is>
      </c>
      <c r="F569" t="inlineStr">
        <is>
          <t>SCA</t>
        </is>
      </c>
      <c r="G569" t="n">
        <v>10.3</v>
      </c>
      <c r="H569" t="n">
        <v>0</v>
      </c>
      <c r="I569" t="n">
        <v>0</v>
      </c>
      <c r="J569" t="n">
        <v>0</v>
      </c>
      <c r="K569" t="n">
        <v>0</v>
      </c>
      <c r="L569" t="n">
        <v>0</v>
      </c>
      <c r="M569" t="n">
        <v>0</v>
      </c>
      <c r="N569" t="n">
        <v>0</v>
      </c>
      <c r="O569" t="n">
        <v>0</v>
      </c>
      <c r="P569" t="n">
        <v>0</v>
      </c>
      <c r="Q569" t="n">
        <v>0</v>
      </c>
      <c r="R569" s="2" t="inlineStr"/>
    </row>
    <row r="570" ht="15" customHeight="1">
      <c r="A570" t="inlineStr">
        <is>
          <t>A 12819-2020</t>
        </is>
      </c>
      <c r="B570" s="1" t="n">
        <v>43893</v>
      </c>
      <c r="C570" s="1" t="n">
        <v>45346</v>
      </c>
      <c r="D570" t="inlineStr">
        <is>
          <t>VÄSTERNORRLANDS LÄN</t>
        </is>
      </c>
      <c r="E570" t="inlineStr">
        <is>
          <t>SOLLEFTEÅ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12526-2020</t>
        </is>
      </c>
      <c r="B571" s="1" t="n">
        <v>43896</v>
      </c>
      <c r="C571" s="1" t="n">
        <v>45346</v>
      </c>
      <c r="D571" t="inlineStr">
        <is>
          <t>VÄSTERNORRLANDS LÄN</t>
        </is>
      </c>
      <c r="E571" t="inlineStr">
        <is>
          <t>SOLLEFTEÅ</t>
        </is>
      </c>
      <c r="F571" t="inlineStr">
        <is>
          <t>SCA</t>
        </is>
      </c>
      <c r="G571" t="n">
        <v>14.7</v>
      </c>
      <c r="H571" t="n">
        <v>0</v>
      </c>
      <c r="I571" t="n">
        <v>0</v>
      </c>
      <c r="J571" t="n">
        <v>0</v>
      </c>
      <c r="K571" t="n">
        <v>0</v>
      </c>
      <c r="L571" t="n">
        <v>0</v>
      </c>
      <c r="M571" t="n">
        <v>0</v>
      </c>
      <c r="N571" t="n">
        <v>0</v>
      </c>
      <c r="O571" t="n">
        <v>0</v>
      </c>
      <c r="P571" t="n">
        <v>0</v>
      </c>
      <c r="Q571" t="n">
        <v>0</v>
      </c>
      <c r="R571" s="2" t="inlineStr"/>
    </row>
    <row r="572" ht="15" customHeight="1">
      <c r="A572" t="inlineStr">
        <is>
          <t>A 12525-2020</t>
        </is>
      </c>
      <c r="B572" s="1" t="n">
        <v>43896</v>
      </c>
      <c r="C572" s="1" t="n">
        <v>45346</v>
      </c>
      <c r="D572" t="inlineStr">
        <is>
          <t>VÄSTERNORRLANDS LÄN</t>
        </is>
      </c>
      <c r="E572" t="inlineStr">
        <is>
          <t>SOLLEFTEÅ</t>
        </is>
      </c>
      <c r="F572" t="inlineStr">
        <is>
          <t>SCA</t>
        </is>
      </c>
      <c r="G572" t="n">
        <v>28.7</v>
      </c>
      <c r="H572" t="n">
        <v>0</v>
      </c>
      <c r="I572" t="n">
        <v>0</v>
      </c>
      <c r="J572" t="n">
        <v>0</v>
      </c>
      <c r="K572" t="n">
        <v>0</v>
      </c>
      <c r="L572" t="n">
        <v>0</v>
      </c>
      <c r="M572" t="n">
        <v>0</v>
      </c>
      <c r="N572" t="n">
        <v>0</v>
      </c>
      <c r="O572" t="n">
        <v>0</v>
      </c>
      <c r="P572" t="n">
        <v>0</v>
      </c>
      <c r="Q572" t="n">
        <v>0</v>
      </c>
      <c r="R572" s="2" t="inlineStr"/>
    </row>
    <row r="573" ht="15" customHeight="1">
      <c r="A573" t="inlineStr">
        <is>
          <t>A 13023-2020</t>
        </is>
      </c>
      <c r="B573" s="1" t="n">
        <v>43900</v>
      </c>
      <c r="C573" s="1" t="n">
        <v>45346</v>
      </c>
      <c r="D573" t="inlineStr">
        <is>
          <t>VÄSTERNORRLANDS LÄN</t>
        </is>
      </c>
      <c r="E573" t="inlineStr">
        <is>
          <t>SOLLEFTEÅ</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13567-2020</t>
        </is>
      </c>
      <c r="B574" s="1" t="n">
        <v>43902</v>
      </c>
      <c r="C574" s="1" t="n">
        <v>45346</v>
      </c>
      <c r="D574" t="inlineStr">
        <is>
          <t>VÄSTERNORRLANDS LÄN</t>
        </is>
      </c>
      <c r="E574" t="inlineStr">
        <is>
          <t>SOLLEFTEÅ</t>
        </is>
      </c>
      <c r="F574" t="inlineStr">
        <is>
          <t>SCA</t>
        </is>
      </c>
      <c r="G574" t="n">
        <v>15.9</v>
      </c>
      <c r="H574" t="n">
        <v>0</v>
      </c>
      <c r="I574" t="n">
        <v>0</v>
      </c>
      <c r="J574" t="n">
        <v>0</v>
      </c>
      <c r="K574" t="n">
        <v>0</v>
      </c>
      <c r="L574" t="n">
        <v>0</v>
      </c>
      <c r="M574" t="n">
        <v>0</v>
      </c>
      <c r="N574" t="n">
        <v>0</v>
      </c>
      <c r="O574" t="n">
        <v>0</v>
      </c>
      <c r="P574" t="n">
        <v>0</v>
      </c>
      <c r="Q574" t="n">
        <v>0</v>
      </c>
      <c r="R574" s="2" t="inlineStr"/>
    </row>
    <row r="575" ht="15" customHeight="1">
      <c r="A575" t="inlineStr">
        <is>
          <t>A 13577-2020</t>
        </is>
      </c>
      <c r="B575" s="1" t="n">
        <v>43902</v>
      </c>
      <c r="C575" s="1" t="n">
        <v>45346</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13565-2020</t>
        </is>
      </c>
      <c r="B576" s="1" t="n">
        <v>43902</v>
      </c>
      <c r="C576" s="1" t="n">
        <v>45346</v>
      </c>
      <c r="D576" t="inlineStr">
        <is>
          <t>VÄSTERNORRLANDS LÄN</t>
        </is>
      </c>
      <c r="E576" t="inlineStr">
        <is>
          <t>SOLLEFTEÅ</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13575-2020</t>
        </is>
      </c>
      <c r="B577" s="1" t="n">
        <v>43902</v>
      </c>
      <c r="C577" s="1" t="n">
        <v>45346</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13561-2020</t>
        </is>
      </c>
      <c r="B578" s="1" t="n">
        <v>43902</v>
      </c>
      <c r="C578" s="1" t="n">
        <v>45346</v>
      </c>
      <c r="D578" t="inlineStr">
        <is>
          <t>VÄSTERNORRLANDS LÄN</t>
        </is>
      </c>
      <c r="E578" t="inlineStr">
        <is>
          <t>SOLLEFTEÅ</t>
        </is>
      </c>
      <c r="F578" t="inlineStr">
        <is>
          <t>SCA</t>
        </is>
      </c>
      <c r="G578" t="n">
        <v>7.8</v>
      </c>
      <c r="H578" t="n">
        <v>0</v>
      </c>
      <c r="I578" t="n">
        <v>0</v>
      </c>
      <c r="J578" t="n">
        <v>0</v>
      </c>
      <c r="K578" t="n">
        <v>0</v>
      </c>
      <c r="L578" t="n">
        <v>0</v>
      </c>
      <c r="M578" t="n">
        <v>0</v>
      </c>
      <c r="N578" t="n">
        <v>0</v>
      </c>
      <c r="O578" t="n">
        <v>0</v>
      </c>
      <c r="P578" t="n">
        <v>0</v>
      </c>
      <c r="Q578" t="n">
        <v>0</v>
      </c>
      <c r="R578" s="2" t="inlineStr"/>
    </row>
    <row r="579" ht="15" customHeight="1">
      <c r="A579" t="inlineStr">
        <is>
          <t>A 13564-2020</t>
        </is>
      </c>
      <c r="B579" s="1" t="n">
        <v>43902</v>
      </c>
      <c r="C579" s="1" t="n">
        <v>45346</v>
      </c>
      <c r="D579" t="inlineStr">
        <is>
          <t>VÄSTERNORRLANDS LÄN</t>
        </is>
      </c>
      <c r="E579" t="inlineStr">
        <is>
          <t>SOLLEFTEÅ</t>
        </is>
      </c>
      <c r="F579" t="inlineStr">
        <is>
          <t>SCA</t>
        </is>
      </c>
      <c r="G579" t="n">
        <v>26.1</v>
      </c>
      <c r="H579" t="n">
        <v>0</v>
      </c>
      <c r="I579" t="n">
        <v>0</v>
      </c>
      <c r="J579" t="n">
        <v>0</v>
      </c>
      <c r="K579" t="n">
        <v>0</v>
      </c>
      <c r="L579" t="n">
        <v>0</v>
      </c>
      <c r="M579" t="n">
        <v>0</v>
      </c>
      <c r="N579" t="n">
        <v>0</v>
      </c>
      <c r="O579" t="n">
        <v>0</v>
      </c>
      <c r="P579" t="n">
        <v>0</v>
      </c>
      <c r="Q579" t="n">
        <v>0</v>
      </c>
      <c r="R579" s="2" t="inlineStr"/>
    </row>
    <row r="580" ht="15" customHeight="1">
      <c r="A580" t="inlineStr">
        <is>
          <t>A 13798-2020</t>
        </is>
      </c>
      <c r="B580" s="1" t="n">
        <v>43903</v>
      </c>
      <c r="C580" s="1" t="n">
        <v>45346</v>
      </c>
      <c r="D580" t="inlineStr">
        <is>
          <t>VÄSTERNORRLANDS LÄN</t>
        </is>
      </c>
      <c r="E580" t="inlineStr">
        <is>
          <t>SOLLEFTEÅ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13864-2020</t>
        </is>
      </c>
      <c r="B581" s="1" t="n">
        <v>43906</v>
      </c>
      <c r="C581" s="1" t="n">
        <v>45346</v>
      </c>
      <c r="D581" t="inlineStr">
        <is>
          <t>VÄSTERNORRLANDS LÄN</t>
        </is>
      </c>
      <c r="E581" t="inlineStr">
        <is>
          <t>SOLLEFTEÅ</t>
        </is>
      </c>
      <c r="G581" t="n">
        <v>0.4</v>
      </c>
      <c r="H581" t="n">
        <v>0</v>
      </c>
      <c r="I581" t="n">
        <v>0</v>
      </c>
      <c r="J581" t="n">
        <v>0</v>
      </c>
      <c r="K581" t="n">
        <v>0</v>
      </c>
      <c r="L581" t="n">
        <v>0</v>
      </c>
      <c r="M581" t="n">
        <v>0</v>
      </c>
      <c r="N581" t="n">
        <v>0</v>
      </c>
      <c r="O581" t="n">
        <v>0</v>
      </c>
      <c r="P581" t="n">
        <v>0</v>
      </c>
      <c r="Q581" t="n">
        <v>0</v>
      </c>
      <c r="R581" s="2" t="inlineStr"/>
    </row>
    <row r="582" ht="15" customHeight="1">
      <c r="A582" t="inlineStr">
        <is>
          <t>A 14859-2020</t>
        </is>
      </c>
      <c r="B582" s="1" t="n">
        <v>43909</v>
      </c>
      <c r="C582" s="1" t="n">
        <v>45346</v>
      </c>
      <c r="D582" t="inlineStr">
        <is>
          <t>VÄSTERNORRLANDS LÄN</t>
        </is>
      </c>
      <c r="E582" t="inlineStr">
        <is>
          <t>SOLLEFTEÅ</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18515-2020</t>
        </is>
      </c>
      <c r="B583" s="1" t="n">
        <v>43927</v>
      </c>
      <c r="C583" s="1" t="n">
        <v>45346</v>
      </c>
      <c r="D583" t="inlineStr">
        <is>
          <t>VÄSTERNORRLANDS LÄN</t>
        </is>
      </c>
      <c r="E583" t="inlineStr">
        <is>
          <t>SOLLEFTEÅ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18402-2020</t>
        </is>
      </c>
      <c r="B584" s="1" t="n">
        <v>43928</v>
      </c>
      <c r="C584" s="1" t="n">
        <v>45346</v>
      </c>
      <c r="D584" t="inlineStr">
        <is>
          <t>VÄSTERNORRLANDS LÄN</t>
        </is>
      </c>
      <c r="E584" t="inlineStr">
        <is>
          <t>SOLLEFTEÅ</t>
        </is>
      </c>
      <c r="F584" t="inlineStr">
        <is>
          <t>Kyrkan</t>
        </is>
      </c>
      <c r="G584" t="n">
        <v>2.2</v>
      </c>
      <c r="H584" t="n">
        <v>0</v>
      </c>
      <c r="I584" t="n">
        <v>0</v>
      </c>
      <c r="J584" t="n">
        <v>0</v>
      </c>
      <c r="K584" t="n">
        <v>0</v>
      </c>
      <c r="L584" t="n">
        <v>0</v>
      </c>
      <c r="M584" t="n">
        <v>0</v>
      </c>
      <c r="N584" t="n">
        <v>0</v>
      </c>
      <c r="O584" t="n">
        <v>0</v>
      </c>
      <c r="P584" t="n">
        <v>0</v>
      </c>
      <c r="Q584" t="n">
        <v>0</v>
      </c>
      <c r="R584" s="2" t="inlineStr"/>
    </row>
    <row r="585" ht="15" customHeight="1">
      <c r="A585" t="inlineStr">
        <is>
          <t>A 20164-2020</t>
        </is>
      </c>
      <c r="B585" s="1" t="n">
        <v>43944</v>
      </c>
      <c r="C585" s="1" t="n">
        <v>45346</v>
      </c>
      <c r="D585" t="inlineStr">
        <is>
          <t>VÄSTERNORRLANDS LÄN</t>
        </is>
      </c>
      <c r="E585" t="inlineStr">
        <is>
          <t>SOLLEFTEÅ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20419-2020</t>
        </is>
      </c>
      <c r="B586" s="1" t="n">
        <v>43945</v>
      </c>
      <c r="C586" s="1" t="n">
        <v>45346</v>
      </c>
      <c r="D586" t="inlineStr">
        <is>
          <t>VÄSTERNORRLANDS LÄN</t>
        </is>
      </c>
      <c r="E586" t="inlineStr">
        <is>
          <t>SOLLEFTEÅ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20861-2020</t>
        </is>
      </c>
      <c r="B587" s="1" t="n">
        <v>43948</v>
      </c>
      <c r="C587" s="1" t="n">
        <v>45346</v>
      </c>
      <c r="D587" t="inlineStr">
        <is>
          <t>VÄSTERNORRLANDS LÄN</t>
        </is>
      </c>
      <c r="E587" t="inlineStr">
        <is>
          <t>SOLLEFTEÅ</t>
        </is>
      </c>
      <c r="G587" t="n">
        <v>2.9</v>
      </c>
      <c r="H587" t="n">
        <v>0</v>
      </c>
      <c r="I587" t="n">
        <v>0</v>
      </c>
      <c r="J587" t="n">
        <v>0</v>
      </c>
      <c r="K587" t="n">
        <v>0</v>
      </c>
      <c r="L587" t="n">
        <v>0</v>
      </c>
      <c r="M587" t="n">
        <v>0</v>
      </c>
      <c r="N587" t="n">
        <v>0</v>
      </c>
      <c r="O587" t="n">
        <v>0</v>
      </c>
      <c r="P587" t="n">
        <v>0</v>
      </c>
      <c r="Q587" t="n">
        <v>0</v>
      </c>
      <c r="R587" s="2" t="inlineStr"/>
    </row>
    <row r="588" ht="15" customHeight="1">
      <c r="A588" t="inlineStr">
        <is>
          <t>A 21022-2020</t>
        </is>
      </c>
      <c r="B588" s="1" t="n">
        <v>43950</v>
      </c>
      <c r="C588" s="1" t="n">
        <v>45346</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21097-2020</t>
        </is>
      </c>
      <c r="B589" s="1" t="n">
        <v>43950</v>
      </c>
      <c r="C589" s="1" t="n">
        <v>45346</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21020-2020</t>
        </is>
      </c>
      <c r="B590" s="1" t="n">
        <v>43950</v>
      </c>
      <c r="C590" s="1" t="n">
        <v>45346</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22371-2020</t>
        </is>
      </c>
      <c r="B591" s="1" t="n">
        <v>43957</v>
      </c>
      <c r="C591" s="1" t="n">
        <v>45346</v>
      </c>
      <c r="D591" t="inlineStr">
        <is>
          <t>VÄSTERNORRLANDS LÄN</t>
        </is>
      </c>
      <c r="E591" t="inlineStr">
        <is>
          <t>SOLLEFTEÅ</t>
        </is>
      </c>
      <c r="G591" t="n">
        <v>0.7</v>
      </c>
      <c r="H591" t="n">
        <v>0</v>
      </c>
      <c r="I591" t="n">
        <v>0</v>
      </c>
      <c r="J591" t="n">
        <v>0</v>
      </c>
      <c r="K591" t="n">
        <v>0</v>
      </c>
      <c r="L591" t="n">
        <v>0</v>
      </c>
      <c r="M591" t="n">
        <v>0</v>
      </c>
      <c r="N591" t="n">
        <v>0</v>
      </c>
      <c r="O591" t="n">
        <v>0</v>
      </c>
      <c r="P591" t="n">
        <v>0</v>
      </c>
      <c r="Q591" t="n">
        <v>0</v>
      </c>
      <c r="R591" s="2" t="inlineStr"/>
    </row>
    <row r="592" ht="15" customHeight="1">
      <c r="A592" t="inlineStr">
        <is>
          <t>A 22731-2020</t>
        </is>
      </c>
      <c r="B592" s="1" t="n">
        <v>43962</v>
      </c>
      <c r="C592" s="1" t="n">
        <v>45346</v>
      </c>
      <c r="D592" t="inlineStr">
        <is>
          <t>VÄSTERNORRLANDS LÄN</t>
        </is>
      </c>
      <c r="E592" t="inlineStr">
        <is>
          <t>SOLLEFTEÅ</t>
        </is>
      </c>
      <c r="G592" t="n">
        <v>16.8</v>
      </c>
      <c r="H592" t="n">
        <v>0</v>
      </c>
      <c r="I592" t="n">
        <v>0</v>
      </c>
      <c r="J592" t="n">
        <v>0</v>
      </c>
      <c r="K592" t="n">
        <v>0</v>
      </c>
      <c r="L592" t="n">
        <v>0</v>
      </c>
      <c r="M592" t="n">
        <v>0</v>
      </c>
      <c r="N592" t="n">
        <v>0</v>
      </c>
      <c r="O592" t="n">
        <v>0</v>
      </c>
      <c r="P592" t="n">
        <v>0</v>
      </c>
      <c r="Q592" t="n">
        <v>0</v>
      </c>
      <c r="R592" s="2" t="inlineStr"/>
    </row>
    <row r="593" ht="15" customHeight="1">
      <c r="A593" t="inlineStr">
        <is>
          <t>A 21607-2020</t>
        </is>
      </c>
      <c r="B593" s="1" t="n">
        <v>43963</v>
      </c>
      <c r="C593" s="1" t="n">
        <v>45346</v>
      </c>
      <c r="D593" t="inlineStr">
        <is>
          <t>VÄSTERNORRLANDS LÄN</t>
        </is>
      </c>
      <c r="E593" t="inlineStr">
        <is>
          <t>SOLLEFTEÅ</t>
        </is>
      </c>
      <c r="G593" t="n">
        <v>3.6</v>
      </c>
      <c r="H593" t="n">
        <v>0</v>
      </c>
      <c r="I593" t="n">
        <v>0</v>
      </c>
      <c r="J593" t="n">
        <v>0</v>
      </c>
      <c r="K593" t="n">
        <v>0</v>
      </c>
      <c r="L593" t="n">
        <v>0</v>
      </c>
      <c r="M593" t="n">
        <v>0</v>
      </c>
      <c r="N593" t="n">
        <v>0</v>
      </c>
      <c r="O593" t="n">
        <v>0</v>
      </c>
      <c r="P593" t="n">
        <v>0</v>
      </c>
      <c r="Q593" t="n">
        <v>0</v>
      </c>
      <c r="R593" s="2" t="inlineStr"/>
    </row>
    <row r="594" ht="15" customHeight="1">
      <c r="A594" t="inlineStr">
        <is>
          <t>A 22561-2020</t>
        </is>
      </c>
      <c r="B594" s="1" t="n">
        <v>43963</v>
      </c>
      <c r="C594" s="1" t="n">
        <v>45346</v>
      </c>
      <c r="D594" t="inlineStr">
        <is>
          <t>VÄSTERNORRLANDS LÄN</t>
        </is>
      </c>
      <c r="E594" t="inlineStr">
        <is>
          <t>SOLLEFTEÅ</t>
        </is>
      </c>
      <c r="G594" t="n">
        <v>8.6</v>
      </c>
      <c r="H594" t="n">
        <v>0</v>
      </c>
      <c r="I594" t="n">
        <v>0</v>
      </c>
      <c r="J594" t="n">
        <v>0</v>
      </c>
      <c r="K594" t="n">
        <v>0</v>
      </c>
      <c r="L594" t="n">
        <v>0</v>
      </c>
      <c r="M594" t="n">
        <v>0</v>
      </c>
      <c r="N594" t="n">
        <v>0</v>
      </c>
      <c r="O594" t="n">
        <v>0</v>
      </c>
      <c r="P594" t="n">
        <v>0</v>
      </c>
      <c r="Q594" t="n">
        <v>0</v>
      </c>
      <c r="R594" s="2" t="inlineStr"/>
    </row>
    <row r="595" ht="15" customHeight="1">
      <c r="A595" t="inlineStr">
        <is>
          <t>A 23231-2020</t>
        </is>
      </c>
      <c r="B595" s="1" t="n">
        <v>43966</v>
      </c>
      <c r="C595" s="1" t="n">
        <v>45346</v>
      </c>
      <c r="D595" t="inlineStr">
        <is>
          <t>VÄSTERNORRLANDS LÄN</t>
        </is>
      </c>
      <c r="E595" t="inlineStr">
        <is>
          <t>SOLLEFTEÅ</t>
        </is>
      </c>
      <c r="G595" t="n">
        <v>2</v>
      </c>
      <c r="H595" t="n">
        <v>0</v>
      </c>
      <c r="I595" t="n">
        <v>0</v>
      </c>
      <c r="J595" t="n">
        <v>0</v>
      </c>
      <c r="K595" t="n">
        <v>0</v>
      </c>
      <c r="L595" t="n">
        <v>0</v>
      </c>
      <c r="M595" t="n">
        <v>0</v>
      </c>
      <c r="N595" t="n">
        <v>0</v>
      </c>
      <c r="O595" t="n">
        <v>0</v>
      </c>
      <c r="P595" t="n">
        <v>0</v>
      </c>
      <c r="Q595" t="n">
        <v>0</v>
      </c>
      <c r="R595" s="2" t="inlineStr"/>
    </row>
    <row r="596" ht="15" customHeight="1">
      <c r="A596" t="inlineStr">
        <is>
          <t>A 23638-2020</t>
        </is>
      </c>
      <c r="B596" s="1" t="n">
        <v>43969</v>
      </c>
      <c r="C596" s="1" t="n">
        <v>45346</v>
      </c>
      <c r="D596" t="inlineStr">
        <is>
          <t>VÄSTERNORRLANDS LÄN</t>
        </is>
      </c>
      <c r="E596" t="inlineStr">
        <is>
          <t>SOLLEFTEÅ</t>
        </is>
      </c>
      <c r="G596" t="n">
        <v>8.9</v>
      </c>
      <c r="H596" t="n">
        <v>0</v>
      </c>
      <c r="I596" t="n">
        <v>0</v>
      </c>
      <c r="J596" t="n">
        <v>0</v>
      </c>
      <c r="K596" t="n">
        <v>0</v>
      </c>
      <c r="L596" t="n">
        <v>0</v>
      </c>
      <c r="M596" t="n">
        <v>0</v>
      </c>
      <c r="N596" t="n">
        <v>0</v>
      </c>
      <c r="O596" t="n">
        <v>0</v>
      </c>
      <c r="P596" t="n">
        <v>0</v>
      </c>
      <c r="Q596" t="n">
        <v>0</v>
      </c>
      <c r="R596" s="2" t="inlineStr"/>
    </row>
    <row r="597" ht="15" customHeight="1">
      <c r="A597" t="inlineStr">
        <is>
          <t>A 24060-2020</t>
        </is>
      </c>
      <c r="B597" s="1" t="n">
        <v>43971</v>
      </c>
      <c r="C597" s="1" t="n">
        <v>45346</v>
      </c>
      <c r="D597" t="inlineStr">
        <is>
          <t>VÄSTERNORRLANDS LÄN</t>
        </is>
      </c>
      <c r="E597" t="inlineStr">
        <is>
          <t>SOLLEFTEÅ</t>
        </is>
      </c>
      <c r="G597" t="n">
        <v>16.3</v>
      </c>
      <c r="H597" t="n">
        <v>0</v>
      </c>
      <c r="I597" t="n">
        <v>0</v>
      </c>
      <c r="J597" t="n">
        <v>0</v>
      </c>
      <c r="K597" t="n">
        <v>0</v>
      </c>
      <c r="L597" t="n">
        <v>0</v>
      </c>
      <c r="M597" t="n">
        <v>0</v>
      </c>
      <c r="N597" t="n">
        <v>0</v>
      </c>
      <c r="O597" t="n">
        <v>0</v>
      </c>
      <c r="P597" t="n">
        <v>0</v>
      </c>
      <c r="Q597" t="n">
        <v>0</v>
      </c>
      <c r="R597" s="2" t="inlineStr"/>
    </row>
    <row r="598" ht="15" customHeight="1">
      <c r="A598" t="inlineStr">
        <is>
          <t>A 24062-2020</t>
        </is>
      </c>
      <c r="B598" s="1" t="n">
        <v>43971</v>
      </c>
      <c r="C598" s="1" t="n">
        <v>45346</v>
      </c>
      <c r="D598" t="inlineStr">
        <is>
          <t>VÄSTERNORRLANDS LÄN</t>
        </is>
      </c>
      <c r="E598" t="inlineStr">
        <is>
          <t>SOLLEFTEÅ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24061-2020</t>
        </is>
      </c>
      <c r="B599" s="1" t="n">
        <v>43971</v>
      </c>
      <c r="C599" s="1" t="n">
        <v>45346</v>
      </c>
      <c r="D599" t="inlineStr">
        <is>
          <t>VÄSTERNORRLANDS LÄN</t>
        </is>
      </c>
      <c r="E599" t="inlineStr">
        <is>
          <t>SOLLEFTEÅ</t>
        </is>
      </c>
      <c r="G599" t="n">
        <v>5.7</v>
      </c>
      <c r="H599" t="n">
        <v>0</v>
      </c>
      <c r="I599" t="n">
        <v>0</v>
      </c>
      <c r="J599" t="n">
        <v>0</v>
      </c>
      <c r="K599" t="n">
        <v>0</v>
      </c>
      <c r="L599" t="n">
        <v>0</v>
      </c>
      <c r="M599" t="n">
        <v>0</v>
      </c>
      <c r="N599" t="n">
        <v>0</v>
      </c>
      <c r="O599" t="n">
        <v>0</v>
      </c>
      <c r="P599" t="n">
        <v>0</v>
      </c>
      <c r="Q599" t="n">
        <v>0</v>
      </c>
      <c r="R599" s="2" t="inlineStr"/>
    </row>
    <row r="600" ht="15" customHeight="1">
      <c r="A600" t="inlineStr">
        <is>
          <t>A 25100-2020</t>
        </is>
      </c>
      <c r="B600" s="1" t="n">
        <v>43979</v>
      </c>
      <c r="C600" s="1" t="n">
        <v>45346</v>
      </c>
      <c r="D600" t="inlineStr">
        <is>
          <t>VÄSTERNORRLANDS LÄN</t>
        </is>
      </c>
      <c r="E600" t="inlineStr">
        <is>
          <t>SOLLEFTEÅ</t>
        </is>
      </c>
      <c r="G600" t="n">
        <v>4.7</v>
      </c>
      <c r="H600" t="n">
        <v>0</v>
      </c>
      <c r="I600" t="n">
        <v>0</v>
      </c>
      <c r="J600" t="n">
        <v>0</v>
      </c>
      <c r="K600" t="n">
        <v>0</v>
      </c>
      <c r="L600" t="n">
        <v>0</v>
      </c>
      <c r="M600" t="n">
        <v>0</v>
      </c>
      <c r="N600" t="n">
        <v>0</v>
      </c>
      <c r="O600" t="n">
        <v>0</v>
      </c>
      <c r="P600" t="n">
        <v>0</v>
      </c>
      <c r="Q600" t="n">
        <v>0</v>
      </c>
      <c r="R600" s="2" t="inlineStr"/>
    </row>
    <row r="601" ht="15" customHeight="1">
      <c r="A601" t="inlineStr">
        <is>
          <t>A 26189-2020</t>
        </is>
      </c>
      <c r="B601" s="1" t="n">
        <v>43985</v>
      </c>
      <c r="C601" s="1" t="n">
        <v>45346</v>
      </c>
      <c r="D601" t="inlineStr">
        <is>
          <t>VÄSTERNORRLANDS LÄN</t>
        </is>
      </c>
      <c r="E601" t="inlineStr">
        <is>
          <t>SOLLEFTEÅ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26249-2020</t>
        </is>
      </c>
      <c r="B602" s="1" t="n">
        <v>43986</v>
      </c>
      <c r="C602" s="1" t="n">
        <v>45346</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27199-2020</t>
        </is>
      </c>
      <c r="B603" s="1" t="n">
        <v>43991</v>
      </c>
      <c r="C603" s="1" t="n">
        <v>45346</v>
      </c>
      <c r="D603" t="inlineStr">
        <is>
          <t>VÄSTERNORRLANDS LÄN</t>
        </is>
      </c>
      <c r="E603" t="inlineStr">
        <is>
          <t>SOLLEFTEÅ</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27177-2020</t>
        </is>
      </c>
      <c r="B604" s="1" t="n">
        <v>43991</v>
      </c>
      <c r="C604" s="1" t="n">
        <v>45346</v>
      </c>
      <c r="D604" t="inlineStr">
        <is>
          <t>VÄSTERNORRLANDS LÄN</t>
        </is>
      </c>
      <c r="E604" t="inlineStr">
        <is>
          <t>SOLLEFTEÅ</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27209-2020</t>
        </is>
      </c>
      <c r="B605" s="1" t="n">
        <v>43991</v>
      </c>
      <c r="C605" s="1" t="n">
        <v>45346</v>
      </c>
      <c r="D605" t="inlineStr">
        <is>
          <t>VÄSTERNORRLANDS LÄN</t>
        </is>
      </c>
      <c r="E605" t="inlineStr">
        <is>
          <t>SOLLEFTEÅ</t>
        </is>
      </c>
      <c r="F605" t="inlineStr">
        <is>
          <t>SCA</t>
        </is>
      </c>
      <c r="G605" t="n">
        <v>15.7</v>
      </c>
      <c r="H605" t="n">
        <v>0</v>
      </c>
      <c r="I605" t="n">
        <v>0</v>
      </c>
      <c r="J605" t="n">
        <v>0</v>
      </c>
      <c r="K605" t="n">
        <v>0</v>
      </c>
      <c r="L605" t="n">
        <v>0</v>
      </c>
      <c r="M605" t="n">
        <v>0</v>
      </c>
      <c r="N605" t="n">
        <v>0</v>
      </c>
      <c r="O605" t="n">
        <v>0</v>
      </c>
      <c r="P605" t="n">
        <v>0</v>
      </c>
      <c r="Q605" t="n">
        <v>0</v>
      </c>
      <c r="R605" s="2" t="inlineStr"/>
    </row>
    <row r="606" ht="15" customHeight="1">
      <c r="A606" t="inlineStr">
        <is>
          <t>A 28489-2020</t>
        </is>
      </c>
      <c r="B606" s="1" t="n">
        <v>43998</v>
      </c>
      <c r="C606" s="1" t="n">
        <v>45346</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28486-2020</t>
        </is>
      </c>
      <c r="B607" s="1" t="n">
        <v>43999</v>
      </c>
      <c r="C607" s="1" t="n">
        <v>45346</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29648-2020</t>
        </is>
      </c>
      <c r="B608" s="1" t="n">
        <v>44004</v>
      </c>
      <c r="C608" s="1" t="n">
        <v>45346</v>
      </c>
      <c r="D608" t="inlineStr">
        <is>
          <t>VÄSTERNORRLANDS LÄN</t>
        </is>
      </c>
      <c r="E608" t="inlineStr">
        <is>
          <t>SOLLEFTEÅ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29503-2020</t>
        </is>
      </c>
      <c r="B609" s="1" t="n">
        <v>44005</v>
      </c>
      <c r="C609" s="1" t="n">
        <v>45346</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29825-2020</t>
        </is>
      </c>
      <c r="B610" s="1" t="n">
        <v>44005</v>
      </c>
      <c r="C610" s="1" t="n">
        <v>45346</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29801-2020</t>
        </is>
      </c>
      <c r="B611" s="1" t="n">
        <v>44005</v>
      </c>
      <c r="C611" s="1" t="n">
        <v>45346</v>
      </c>
      <c r="D611" t="inlineStr">
        <is>
          <t>VÄSTERNORRLANDS LÄN</t>
        </is>
      </c>
      <c r="E611" t="inlineStr">
        <is>
          <t>SOLLEFTEÅ</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30492-2020</t>
        </is>
      </c>
      <c r="B612" s="1" t="n">
        <v>44007</v>
      </c>
      <c r="C612" s="1" t="n">
        <v>45346</v>
      </c>
      <c r="D612" t="inlineStr">
        <is>
          <t>VÄSTERNORRLANDS LÄN</t>
        </is>
      </c>
      <c r="E612" t="inlineStr">
        <is>
          <t>SOLLEFTEÅ</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30484-2020</t>
        </is>
      </c>
      <c r="B613" s="1" t="n">
        <v>44007</v>
      </c>
      <c r="C613" s="1" t="n">
        <v>45346</v>
      </c>
      <c r="D613" t="inlineStr">
        <is>
          <t>VÄSTERNORRLANDS LÄN</t>
        </is>
      </c>
      <c r="E613" t="inlineStr">
        <is>
          <t>SOLLEFTEÅ</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30753-2020</t>
        </is>
      </c>
      <c r="B614" s="1" t="n">
        <v>44008</v>
      </c>
      <c r="C614" s="1" t="n">
        <v>45346</v>
      </c>
      <c r="D614" t="inlineStr">
        <is>
          <t>VÄSTERNORRLANDS LÄN</t>
        </is>
      </c>
      <c r="E614" t="inlineStr">
        <is>
          <t>SOLLEFTEÅ</t>
        </is>
      </c>
      <c r="F614" t="inlineStr">
        <is>
          <t>SCA</t>
        </is>
      </c>
      <c r="G614" t="n">
        <v>10.7</v>
      </c>
      <c r="H614" t="n">
        <v>0</v>
      </c>
      <c r="I614" t="n">
        <v>0</v>
      </c>
      <c r="J614" t="n">
        <v>0</v>
      </c>
      <c r="K614" t="n">
        <v>0</v>
      </c>
      <c r="L614" t="n">
        <v>0</v>
      </c>
      <c r="M614" t="n">
        <v>0</v>
      </c>
      <c r="N614" t="n">
        <v>0</v>
      </c>
      <c r="O614" t="n">
        <v>0</v>
      </c>
      <c r="P614" t="n">
        <v>0</v>
      </c>
      <c r="Q614" t="n">
        <v>0</v>
      </c>
      <c r="R614" s="2" t="inlineStr"/>
    </row>
    <row r="615" ht="15" customHeight="1">
      <c r="A615" t="inlineStr">
        <is>
          <t>A 30747-2020</t>
        </is>
      </c>
      <c r="B615" s="1" t="n">
        <v>44008</v>
      </c>
      <c r="C615" s="1" t="n">
        <v>45346</v>
      </c>
      <c r="D615" t="inlineStr">
        <is>
          <t>VÄSTERNORRLANDS LÄN</t>
        </is>
      </c>
      <c r="E615" t="inlineStr">
        <is>
          <t>SOLLEFTEÅ</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30802-2020</t>
        </is>
      </c>
      <c r="B616" s="1" t="n">
        <v>44011</v>
      </c>
      <c r="C616" s="1" t="n">
        <v>45346</v>
      </c>
      <c r="D616" t="inlineStr">
        <is>
          <t>VÄSTERNORRLANDS LÄN</t>
        </is>
      </c>
      <c r="E616" t="inlineStr">
        <is>
          <t>SOLLEFTEÅ</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31313-2020</t>
        </is>
      </c>
      <c r="B617" s="1" t="n">
        <v>44012</v>
      </c>
      <c r="C617" s="1" t="n">
        <v>45346</v>
      </c>
      <c r="D617" t="inlineStr">
        <is>
          <t>VÄSTERNORRLANDS LÄN</t>
        </is>
      </c>
      <c r="E617" t="inlineStr">
        <is>
          <t>SOLLEFTEÅ</t>
        </is>
      </c>
      <c r="F617" t="inlineStr">
        <is>
          <t>SCA</t>
        </is>
      </c>
      <c r="G617" t="n">
        <v>6.9</v>
      </c>
      <c r="H617" t="n">
        <v>0</v>
      </c>
      <c r="I617" t="n">
        <v>0</v>
      </c>
      <c r="J617" t="n">
        <v>0</v>
      </c>
      <c r="K617" t="n">
        <v>0</v>
      </c>
      <c r="L617" t="n">
        <v>0</v>
      </c>
      <c r="M617" t="n">
        <v>0</v>
      </c>
      <c r="N617" t="n">
        <v>0</v>
      </c>
      <c r="O617" t="n">
        <v>0</v>
      </c>
      <c r="P617" t="n">
        <v>0</v>
      </c>
      <c r="Q617" t="n">
        <v>0</v>
      </c>
      <c r="R617" s="2" t="inlineStr"/>
    </row>
    <row r="618" ht="15" customHeight="1">
      <c r="A618" t="inlineStr">
        <is>
          <t>A 32013-2020</t>
        </is>
      </c>
      <c r="B618" s="1" t="n">
        <v>44015</v>
      </c>
      <c r="C618" s="1" t="n">
        <v>45346</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32325-2020</t>
        </is>
      </c>
      <c r="B619" s="1" t="n">
        <v>44016</v>
      </c>
      <c r="C619" s="1" t="n">
        <v>45346</v>
      </c>
      <c r="D619" t="inlineStr">
        <is>
          <t>VÄSTERNORRLANDS LÄN</t>
        </is>
      </c>
      <c r="E619" t="inlineStr">
        <is>
          <t>SOLLEFTEÅ</t>
        </is>
      </c>
      <c r="G619" t="n">
        <v>1.5</v>
      </c>
      <c r="H619" t="n">
        <v>0</v>
      </c>
      <c r="I619" t="n">
        <v>0</v>
      </c>
      <c r="J619" t="n">
        <v>0</v>
      </c>
      <c r="K619" t="n">
        <v>0</v>
      </c>
      <c r="L619" t="n">
        <v>0</v>
      </c>
      <c r="M619" t="n">
        <v>0</v>
      </c>
      <c r="N619" t="n">
        <v>0</v>
      </c>
      <c r="O619" t="n">
        <v>0</v>
      </c>
      <c r="P619" t="n">
        <v>0</v>
      </c>
      <c r="Q619" t="n">
        <v>0</v>
      </c>
      <c r="R619" s="2" t="inlineStr"/>
    </row>
    <row r="620" ht="15" customHeight="1">
      <c r="A620" t="inlineStr">
        <is>
          <t>A 32461-2020</t>
        </is>
      </c>
      <c r="B620" s="1" t="n">
        <v>44015</v>
      </c>
      <c r="C620" s="1" t="n">
        <v>45346</v>
      </c>
      <c r="D620" t="inlineStr">
        <is>
          <t>VÄSTERNORRLANDS LÄN</t>
        </is>
      </c>
      <c r="E620" t="inlineStr">
        <is>
          <t>SOLLEFTEÅ</t>
        </is>
      </c>
      <c r="G620" t="n">
        <v>3.7</v>
      </c>
      <c r="H620" t="n">
        <v>0</v>
      </c>
      <c r="I620" t="n">
        <v>0</v>
      </c>
      <c r="J620" t="n">
        <v>0</v>
      </c>
      <c r="K620" t="n">
        <v>0</v>
      </c>
      <c r="L620" t="n">
        <v>0</v>
      </c>
      <c r="M620" t="n">
        <v>0</v>
      </c>
      <c r="N620" t="n">
        <v>0</v>
      </c>
      <c r="O620" t="n">
        <v>0</v>
      </c>
      <c r="P620" t="n">
        <v>0</v>
      </c>
      <c r="Q620" t="n">
        <v>0</v>
      </c>
      <c r="R620" s="2" t="inlineStr"/>
    </row>
    <row r="621" ht="15" customHeight="1">
      <c r="A621" t="inlineStr">
        <is>
          <t>A 32318-2020</t>
        </is>
      </c>
      <c r="B621" s="1" t="n">
        <v>44015</v>
      </c>
      <c r="C621" s="1" t="n">
        <v>45346</v>
      </c>
      <c r="D621" t="inlineStr">
        <is>
          <t>VÄSTERNORRLANDS LÄN</t>
        </is>
      </c>
      <c r="E621" t="inlineStr">
        <is>
          <t>SOLLEFTEÅ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32919-2020</t>
        </is>
      </c>
      <c r="B622" s="1" t="n">
        <v>44018</v>
      </c>
      <c r="C622" s="1" t="n">
        <v>45346</v>
      </c>
      <c r="D622" t="inlineStr">
        <is>
          <t>VÄSTERNORRLANDS LÄN</t>
        </is>
      </c>
      <c r="E622" t="inlineStr">
        <is>
          <t>SOLLEFTEÅ</t>
        </is>
      </c>
      <c r="G622" t="n">
        <v>5.5</v>
      </c>
      <c r="H622" t="n">
        <v>0</v>
      </c>
      <c r="I622" t="n">
        <v>0</v>
      </c>
      <c r="J622" t="n">
        <v>0</v>
      </c>
      <c r="K622" t="n">
        <v>0</v>
      </c>
      <c r="L622" t="n">
        <v>0</v>
      </c>
      <c r="M622" t="n">
        <v>0</v>
      </c>
      <c r="N622" t="n">
        <v>0</v>
      </c>
      <c r="O622" t="n">
        <v>0</v>
      </c>
      <c r="P622" t="n">
        <v>0</v>
      </c>
      <c r="Q622" t="n">
        <v>0</v>
      </c>
      <c r="R622" s="2" t="inlineStr"/>
    </row>
    <row r="623" ht="15" customHeight="1">
      <c r="A623" t="inlineStr">
        <is>
          <t>A 32929-2020</t>
        </is>
      </c>
      <c r="B623" s="1" t="n">
        <v>44018</v>
      </c>
      <c r="C623" s="1" t="n">
        <v>45346</v>
      </c>
      <c r="D623" t="inlineStr">
        <is>
          <t>VÄSTERNORRLANDS LÄN</t>
        </is>
      </c>
      <c r="E623" t="inlineStr">
        <is>
          <t>SOLLEFTEÅ</t>
        </is>
      </c>
      <c r="G623" t="n">
        <v>2.3</v>
      </c>
      <c r="H623" t="n">
        <v>0</v>
      </c>
      <c r="I623" t="n">
        <v>0</v>
      </c>
      <c r="J623" t="n">
        <v>0</v>
      </c>
      <c r="K623" t="n">
        <v>0</v>
      </c>
      <c r="L623" t="n">
        <v>0</v>
      </c>
      <c r="M623" t="n">
        <v>0</v>
      </c>
      <c r="N623" t="n">
        <v>0</v>
      </c>
      <c r="O623" t="n">
        <v>0</v>
      </c>
      <c r="P623" t="n">
        <v>0</v>
      </c>
      <c r="Q623" t="n">
        <v>0</v>
      </c>
      <c r="R623" s="2" t="inlineStr"/>
    </row>
    <row r="624" ht="15" customHeight="1">
      <c r="A624" t="inlineStr">
        <is>
          <t>A 32924-2020</t>
        </is>
      </c>
      <c r="B624" s="1" t="n">
        <v>44018</v>
      </c>
      <c r="C624" s="1" t="n">
        <v>45346</v>
      </c>
      <c r="D624" t="inlineStr">
        <is>
          <t>VÄSTERNORRLANDS LÄN</t>
        </is>
      </c>
      <c r="E624" t="inlineStr">
        <is>
          <t>SOLLEFTEÅ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32742-2020</t>
        </is>
      </c>
      <c r="B625" s="1" t="n">
        <v>44019</v>
      </c>
      <c r="C625" s="1" t="n">
        <v>45346</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33013-2020</t>
        </is>
      </c>
      <c r="B626" s="1" t="n">
        <v>44020</v>
      </c>
      <c r="C626" s="1" t="n">
        <v>45346</v>
      </c>
      <c r="D626" t="inlineStr">
        <is>
          <t>VÄSTERNORRLANDS LÄN</t>
        </is>
      </c>
      <c r="E626" t="inlineStr">
        <is>
          <t>SOLLEFTEÅ</t>
        </is>
      </c>
      <c r="F626" t="inlineStr">
        <is>
          <t>SCA</t>
        </is>
      </c>
      <c r="G626" t="n">
        <v>6.6</v>
      </c>
      <c r="H626" t="n">
        <v>0</v>
      </c>
      <c r="I626" t="n">
        <v>0</v>
      </c>
      <c r="J626" t="n">
        <v>0</v>
      </c>
      <c r="K626" t="n">
        <v>0</v>
      </c>
      <c r="L626" t="n">
        <v>0</v>
      </c>
      <c r="M626" t="n">
        <v>0</v>
      </c>
      <c r="N626" t="n">
        <v>0</v>
      </c>
      <c r="O626" t="n">
        <v>0</v>
      </c>
      <c r="P626" t="n">
        <v>0</v>
      </c>
      <c r="Q626" t="n">
        <v>0</v>
      </c>
      <c r="R626" s="2" t="inlineStr"/>
    </row>
    <row r="627" ht="15" customHeight="1">
      <c r="A627" t="inlineStr">
        <is>
          <t>A 33009-2020</t>
        </is>
      </c>
      <c r="B627" s="1" t="n">
        <v>44020</v>
      </c>
      <c r="C627" s="1" t="n">
        <v>45346</v>
      </c>
      <c r="D627" t="inlineStr">
        <is>
          <t>VÄSTERNORRLANDS LÄN</t>
        </is>
      </c>
      <c r="E627" t="inlineStr">
        <is>
          <t>SOLLEFTEÅ</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33014-2020</t>
        </is>
      </c>
      <c r="B628" s="1" t="n">
        <v>44021</v>
      </c>
      <c r="C628" s="1" t="n">
        <v>45346</v>
      </c>
      <c r="D628" t="inlineStr">
        <is>
          <t>VÄSTERNORRLANDS LÄN</t>
        </is>
      </c>
      <c r="E628" t="inlineStr">
        <is>
          <t>SOLLEFTEÅ</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33010-2020</t>
        </is>
      </c>
      <c r="B629" s="1" t="n">
        <v>44020</v>
      </c>
      <c r="C629" s="1" t="n">
        <v>45346</v>
      </c>
      <c r="D629" t="inlineStr">
        <is>
          <t>VÄSTERNORRLANDS LÄN</t>
        </is>
      </c>
      <c r="E629" t="inlineStr">
        <is>
          <t>SOLLEFTEÅ</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33200-2020</t>
        </is>
      </c>
      <c r="B630" s="1" t="n">
        <v>44021</v>
      </c>
      <c r="C630" s="1" t="n">
        <v>45346</v>
      </c>
      <c r="D630" t="inlineStr">
        <is>
          <t>VÄSTERNORRLANDS LÄN</t>
        </is>
      </c>
      <c r="E630" t="inlineStr">
        <is>
          <t>SOLLEFTEÅ</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33209-2020</t>
        </is>
      </c>
      <c r="B631" s="1" t="n">
        <v>44021</v>
      </c>
      <c r="C631" s="1" t="n">
        <v>45346</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33211-2020</t>
        </is>
      </c>
      <c r="B632" s="1" t="n">
        <v>44021</v>
      </c>
      <c r="C632" s="1" t="n">
        <v>45346</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33212-2020</t>
        </is>
      </c>
      <c r="B633" s="1" t="n">
        <v>44021</v>
      </c>
      <c r="C633" s="1" t="n">
        <v>45346</v>
      </c>
      <c r="D633" t="inlineStr">
        <is>
          <t>VÄSTERNORRLANDS LÄN</t>
        </is>
      </c>
      <c r="E633" t="inlineStr">
        <is>
          <t>SOLLEFTEÅ</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33208-2020</t>
        </is>
      </c>
      <c r="B634" s="1" t="n">
        <v>44021</v>
      </c>
      <c r="C634" s="1" t="n">
        <v>45346</v>
      </c>
      <c r="D634" t="inlineStr">
        <is>
          <t>VÄSTERNORRLANDS LÄN</t>
        </is>
      </c>
      <c r="E634" t="inlineStr">
        <is>
          <t>SOLLEFTEÅ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33440-2020</t>
        </is>
      </c>
      <c r="B635" s="1" t="n">
        <v>44022</v>
      </c>
      <c r="C635" s="1" t="n">
        <v>45346</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33458-2020</t>
        </is>
      </c>
      <c r="B636" s="1" t="n">
        <v>44022</v>
      </c>
      <c r="C636" s="1" t="n">
        <v>45346</v>
      </c>
      <c r="D636" t="inlineStr">
        <is>
          <t>VÄSTERNORRLANDS LÄN</t>
        </is>
      </c>
      <c r="E636" t="inlineStr">
        <is>
          <t>SOLLEFTEÅ</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33445-2020</t>
        </is>
      </c>
      <c r="B637" s="1" t="n">
        <v>44022</v>
      </c>
      <c r="C637" s="1" t="n">
        <v>45346</v>
      </c>
      <c r="D637" t="inlineStr">
        <is>
          <t>VÄSTERNORRLANDS LÄN</t>
        </is>
      </c>
      <c r="E637" t="inlineStr">
        <is>
          <t>SOLLEFTEÅ</t>
        </is>
      </c>
      <c r="G637" t="n">
        <v>4.5</v>
      </c>
      <c r="H637" t="n">
        <v>0</v>
      </c>
      <c r="I637" t="n">
        <v>0</v>
      </c>
      <c r="J637" t="n">
        <v>0</v>
      </c>
      <c r="K637" t="n">
        <v>0</v>
      </c>
      <c r="L637" t="n">
        <v>0</v>
      </c>
      <c r="M637" t="n">
        <v>0</v>
      </c>
      <c r="N637" t="n">
        <v>0</v>
      </c>
      <c r="O637" t="n">
        <v>0</v>
      </c>
      <c r="P637" t="n">
        <v>0</v>
      </c>
      <c r="Q637" t="n">
        <v>0</v>
      </c>
      <c r="R637" s="2" t="inlineStr"/>
    </row>
    <row r="638" ht="15" customHeight="1">
      <c r="A638" t="inlineStr">
        <is>
          <t>A 33492-2020</t>
        </is>
      </c>
      <c r="B638" s="1" t="n">
        <v>44024</v>
      </c>
      <c r="C638" s="1" t="n">
        <v>45346</v>
      </c>
      <c r="D638" t="inlineStr">
        <is>
          <t>VÄSTERNORRLANDS LÄN</t>
        </is>
      </c>
      <c r="E638" t="inlineStr">
        <is>
          <t>SOLLEFTEÅ</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33640-2020</t>
        </is>
      </c>
      <c r="B639" s="1" t="n">
        <v>44025</v>
      </c>
      <c r="C639" s="1" t="n">
        <v>45346</v>
      </c>
      <c r="D639" t="inlineStr">
        <is>
          <t>VÄSTERNORRLANDS LÄN</t>
        </is>
      </c>
      <c r="E639" t="inlineStr">
        <is>
          <t>SOLLEFTEÅ</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33641-2020</t>
        </is>
      </c>
      <c r="B640" s="1" t="n">
        <v>44025</v>
      </c>
      <c r="C640" s="1" t="n">
        <v>45346</v>
      </c>
      <c r="D640" t="inlineStr">
        <is>
          <t>VÄSTERNORRLANDS LÄN</t>
        </is>
      </c>
      <c r="E640" t="inlineStr">
        <is>
          <t>SOLLEFTEÅ</t>
        </is>
      </c>
      <c r="F640" t="inlineStr">
        <is>
          <t>SCA</t>
        </is>
      </c>
      <c r="G640" t="n">
        <v>8.1</v>
      </c>
      <c r="H640" t="n">
        <v>0</v>
      </c>
      <c r="I640" t="n">
        <v>0</v>
      </c>
      <c r="J640" t="n">
        <v>0</v>
      </c>
      <c r="K640" t="n">
        <v>0</v>
      </c>
      <c r="L640" t="n">
        <v>0</v>
      </c>
      <c r="M640" t="n">
        <v>0</v>
      </c>
      <c r="N640" t="n">
        <v>0</v>
      </c>
      <c r="O640" t="n">
        <v>0</v>
      </c>
      <c r="P640" t="n">
        <v>0</v>
      </c>
      <c r="Q640" t="n">
        <v>0</v>
      </c>
      <c r="R640" s="2" t="inlineStr"/>
    </row>
    <row r="641" ht="15" customHeight="1">
      <c r="A641" t="inlineStr">
        <is>
          <t>A 33628-2020</t>
        </is>
      </c>
      <c r="B641" s="1" t="n">
        <v>44025</v>
      </c>
      <c r="C641" s="1" t="n">
        <v>45346</v>
      </c>
      <c r="D641" t="inlineStr">
        <is>
          <t>VÄSTERNORRLANDS LÄN</t>
        </is>
      </c>
      <c r="E641" t="inlineStr">
        <is>
          <t>SOLLEFTEÅ</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33784-2020</t>
        </is>
      </c>
      <c r="B642" s="1" t="n">
        <v>44026</v>
      </c>
      <c r="C642" s="1" t="n">
        <v>45346</v>
      </c>
      <c r="D642" t="inlineStr">
        <is>
          <t>VÄSTERNORRLANDS LÄN</t>
        </is>
      </c>
      <c r="E642" t="inlineStr">
        <is>
          <t>SOLLEFTEÅ</t>
        </is>
      </c>
      <c r="F642" t="inlineStr">
        <is>
          <t>SCA</t>
        </is>
      </c>
      <c r="G642" t="n">
        <v>10.6</v>
      </c>
      <c r="H642" t="n">
        <v>0</v>
      </c>
      <c r="I642" t="n">
        <v>0</v>
      </c>
      <c r="J642" t="n">
        <v>0</v>
      </c>
      <c r="K642" t="n">
        <v>0</v>
      </c>
      <c r="L642" t="n">
        <v>0</v>
      </c>
      <c r="M642" t="n">
        <v>0</v>
      </c>
      <c r="N642" t="n">
        <v>0</v>
      </c>
      <c r="O642" t="n">
        <v>0</v>
      </c>
      <c r="P642" t="n">
        <v>0</v>
      </c>
      <c r="Q642" t="n">
        <v>0</v>
      </c>
      <c r="R642" s="2" t="inlineStr"/>
    </row>
    <row r="643" ht="15" customHeight="1">
      <c r="A643" t="inlineStr">
        <is>
          <t>A 33782-2020</t>
        </is>
      </c>
      <c r="B643" s="1" t="n">
        <v>44026</v>
      </c>
      <c r="C643" s="1" t="n">
        <v>45346</v>
      </c>
      <c r="D643" t="inlineStr">
        <is>
          <t>VÄSTERNORRLANDS LÄN</t>
        </is>
      </c>
      <c r="E643" t="inlineStr">
        <is>
          <t>SOLLEFTEÅ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33950-2020</t>
        </is>
      </c>
      <c r="B644" s="1" t="n">
        <v>44027</v>
      </c>
      <c r="C644" s="1" t="n">
        <v>45346</v>
      </c>
      <c r="D644" t="inlineStr">
        <is>
          <t>VÄSTERNORRLANDS LÄN</t>
        </is>
      </c>
      <c r="E644" t="inlineStr">
        <is>
          <t>SOLLEFTEÅ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34120-2020</t>
        </is>
      </c>
      <c r="B645" s="1" t="n">
        <v>44029</v>
      </c>
      <c r="C645" s="1" t="n">
        <v>45346</v>
      </c>
      <c r="D645" t="inlineStr">
        <is>
          <t>VÄSTERNORRLANDS LÄN</t>
        </is>
      </c>
      <c r="E645" t="inlineStr">
        <is>
          <t>SOLLEFTEÅ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34474-2020</t>
        </is>
      </c>
      <c r="B646" s="1" t="n">
        <v>44032</v>
      </c>
      <c r="C646" s="1" t="n">
        <v>45346</v>
      </c>
      <c r="D646" t="inlineStr">
        <is>
          <t>VÄSTERNORRLANDS LÄN</t>
        </is>
      </c>
      <c r="E646" t="inlineStr">
        <is>
          <t>SOLLEFTEÅ</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34585-2020</t>
        </is>
      </c>
      <c r="B647" s="1" t="n">
        <v>44033</v>
      </c>
      <c r="C647" s="1" t="n">
        <v>45346</v>
      </c>
      <c r="D647" t="inlineStr">
        <is>
          <t>VÄSTERNORRLANDS LÄN</t>
        </is>
      </c>
      <c r="E647" t="inlineStr">
        <is>
          <t>SOLLEFTEÅ</t>
        </is>
      </c>
      <c r="F647" t="inlineStr">
        <is>
          <t>SCA</t>
        </is>
      </c>
      <c r="G647" t="n">
        <v>10</v>
      </c>
      <c r="H647" t="n">
        <v>0</v>
      </c>
      <c r="I647" t="n">
        <v>0</v>
      </c>
      <c r="J647" t="n">
        <v>0</v>
      </c>
      <c r="K647" t="n">
        <v>0</v>
      </c>
      <c r="L647" t="n">
        <v>0</v>
      </c>
      <c r="M647" t="n">
        <v>0</v>
      </c>
      <c r="N647" t="n">
        <v>0</v>
      </c>
      <c r="O647" t="n">
        <v>0</v>
      </c>
      <c r="P647" t="n">
        <v>0</v>
      </c>
      <c r="Q647" t="n">
        <v>0</v>
      </c>
      <c r="R647" s="2" t="inlineStr"/>
    </row>
    <row r="648" ht="15" customHeight="1">
      <c r="A648" t="inlineStr">
        <is>
          <t>A 34669-2020</t>
        </is>
      </c>
      <c r="B648" s="1" t="n">
        <v>44034</v>
      </c>
      <c r="C648" s="1" t="n">
        <v>45346</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34800-2020</t>
        </is>
      </c>
      <c r="B649" s="1" t="n">
        <v>44035</v>
      </c>
      <c r="C649" s="1" t="n">
        <v>45346</v>
      </c>
      <c r="D649" t="inlineStr">
        <is>
          <t>VÄSTERNORRLANDS LÄN</t>
        </is>
      </c>
      <c r="E649" t="inlineStr">
        <is>
          <t>SOLLEFTEÅ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34921-2020</t>
        </is>
      </c>
      <c r="B650" s="1" t="n">
        <v>44036</v>
      </c>
      <c r="C650" s="1" t="n">
        <v>45346</v>
      </c>
      <c r="D650" t="inlineStr">
        <is>
          <t>VÄSTERNORRLANDS LÄN</t>
        </is>
      </c>
      <c r="E650" t="inlineStr">
        <is>
          <t>SOLLEFTEÅ</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34923-2020</t>
        </is>
      </c>
      <c r="B651" s="1" t="n">
        <v>44037</v>
      </c>
      <c r="C651" s="1" t="n">
        <v>45346</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34922-2020</t>
        </is>
      </c>
      <c r="B652" s="1" t="n">
        <v>44036</v>
      </c>
      <c r="C652" s="1" t="n">
        <v>45346</v>
      </c>
      <c r="D652" t="inlineStr">
        <is>
          <t>VÄSTERNORRLANDS LÄN</t>
        </is>
      </c>
      <c r="E652" t="inlineStr">
        <is>
          <t>SOLLEFTEÅ</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35220-2020</t>
        </is>
      </c>
      <c r="B653" s="1" t="n">
        <v>44041</v>
      </c>
      <c r="C653" s="1" t="n">
        <v>45346</v>
      </c>
      <c r="D653" t="inlineStr">
        <is>
          <t>VÄSTERNORRLANDS LÄN</t>
        </is>
      </c>
      <c r="E653" t="inlineStr">
        <is>
          <t>SOLLEFTEÅ</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35372-2020</t>
        </is>
      </c>
      <c r="B654" s="1" t="n">
        <v>44041</v>
      </c>
      <c r="C654" s="1" t="n">
        <v>45346</v>
      </c>
      <c r="D654" t="inlineStr">
        <is>
          <t>VÄSTERNORRLANDS LÄN</t>
        </is>
      </c>
      <c r="E654" t="inlineStr">
        <is>
          <t>SOLLEFTEÅ</t>
        </is>
      </c>
      <c r="F654" t="inlineStr">
        <is>
          <t>SCA</t>
        </is>
      </c>
      <c r="G654" t="n">
        <v>12.3</v>
      </c>
      <c r="H654" t="n">
        <v>0</v>
      </c>
      <c r="I654" t="n">
        <v>0</v>
      </c>
      <c r="J654" t="n">
        <v>0</v>
      </c>
      <c r="K654" t="n">
        <v>0</v>
      </c>
      <c r="L654" t="n">
        <v>0</v>
      </c>
      <c r="M654" t="n">
        <v>0</v>
      </c>
      <c r="N654" t="n">
        <v>0</v>
      </c>
      <c r="O654" t="n">
        <v>0</v>
      </c>
      <c r="P654" t="n">
        <v>0</v>
      </c>
      <c r="Q654" t="n">
        <v>0</v>
      </c>
      <c r="R654" s="2" t="inlineStr"/>
    </row>
    <row r="655" ht="15" customHeight="1">
      <c r="A655" t="inlineStr">
        <is>
          <t>A 35361-2020</t>
        </is>
      </c>
      <c r="B655" s="1" t="n">
        <v>44041</v>
      </c>
      <c r="C655" s="1" t="n">
        <v>45346</v>
      </c>
      <c r="D655" t="inlineStr">
        <is>
          <t>VÄSTERNORRLANDS LÄN</t>
        </is>
      </c>
      <c r="E655" t="inlineStr">
        <is>
          <t>SOLLEFTEÅ</t>
        </is>
      </c>
      <c r="F655" t="inlineStr">
        <is>
          <t>SCA</t>
        </is>
      </c>
      <c r="G655" t="n">
        <v>13.6</v>
      </c>
      <c r="H655" t="n">
        <v>0</v>
      </c>
      <c r="I655" t="n">
        <v>0</v>
      </c>
      <c r="J655" t="n">
        <v>0</v>
      </c>
      <c r="K655" t="n">
        <v>0</v>
      </c>
      <c r="L655" t="n">
        <v>0</v>
      </c>
      <c r="M655" t="n">
        <v>0</v>
      </c>
      <c r="N655" t="n">
        <v>0</v>
      </c>
      <c r="O655" t="n">
        <v>0</v>
      </c>
      <c r="P655" t="n">
        <v>0</v>
      </c>
      <c r="Q655" t="n">
        <v>0</v>
      </c>
      <c r="R655" s="2" t="inlineStr"/>
    </row>
    <row r="656" ht="15" customHeight="1">
      <c r="A656" t="inlineStr">
        <is>
          <t>A 36789-2020</t>
        </is>
      </c>
      <c r="B656" s="1" t="n">
        <v>44048</v>
      </c>
      <c r="C656" s="1" t="n">
        <v>45346</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36660-2020</t>
        </is>
      </c>
      <c r="B657" s="1" t="n">
        <v>44050</v>
      </c>
      <c r="C657" s="1" t="n">
        <v>45346</v>
      </c>
      <c r="D657" t="inlineStr">
        <is>
          <t>VÄSTERNORRLANDS LÄN</t>
        </is>
      </c>
      <c r="E657" t="inlineStr">
        <is>
          <t>SOLLEFTEÅ</t>
        </is>
      </c>
      <c r="G657" t="n">
        <v>18.2</v>
      </c>
      <c r="H657" t="n">
        <v>0</v>
      </c>
      <c r="I657" t="n">
        <v>0</v>
      </c>
      <c r="J657" t="n">
        <v>0</v>
      </c>
      <c r="K657" t="n">
        <v>0</v>
      </c>
      <c r="L657" t="n">
        <v>0</v>
      </c>
      <c r="M657" t="n">
        <v>0</v>
      </c>
      <c r="N657" t="n">
        <v>0</v>
      </c>
      <c r="O657" t="n">
        <v>0</v>
      </c>
      <c r="P657" t="n">
        <v>0</v>
      </c>
      <c r="Q657" t="n">
        <v>0</v>
      </c>
      <c r="R657" s="2" t="inlineStr"/>
    </row>
    <row r="658" ht="15" customHeight="1">
      <c r="A658" t="inlineStr">
        <is>
          <t>A 36811-2020</t>
        </is>
      </c>
      <c r="B658" s="1" t="n">
        <v>44053</v>
      </c>
      <c r="C658" s="1" t="n">
        <v>45346</v>
      </c>
      <c r="D658" t="inlineStr">
        <is>
          <t>VÄSTERNORRLANDS LÄN</t>
        </is>
      </c>
      <c r="E658" t="inlineStr">
        <is>
          <t>SOLLEFTEÅ</t>
        </is>
      </c>
      <c r="G658" t="n">
        <v>4.7</v>
      </c>
      <c r="H658" t="n">
        <v>0</v>
      </c>
      <c r="I658" t="n">
        <v>0</v>
      </c>
      <c r="J658" t="n">
        <v>0</v>
      </c>
      <c r="K658" t="n">
        <v>0</v>
      </c>
      <c r="L658" t="n">
        <v>0</v>
      </c>
      <c r="M658" t="n">
        <v>0</v>
      </c>
      <c r="N658" t="n">
        <v>0</v>
      </c>
      <c r="O658" t="n">
        <v>0</v>
      </c>
      <c r="P658" t="n">
        <v>0</v>
      </c>
      <c r="Q658" t="n">
        <v>0</v>
      </c>
      <c r="R658" s="2" t="inlineStr"/>
    </row>
    <row r="659" ht="15" customHeight="1">
      <c r="A659" t="inlineStr">
        <is>
          <t>A 37710-2020</t>
        </is>
      </c>
      <c r="B659" s="1" t="n">
        <v>44056</v>
      </c>
      <c r="C659" s="1" t="n">
        <v>45346</v>
      </c>
      <c r="D659" t="inlineStr">
        <is>
          <t>VÄSTERNORRLANDS LÄN</t>
        </is>
      </c>
      <c r="E659" t="inlineStr">
        <is>
          <t>SOLLEFTEÅ</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38482-2020</t>
        </is>
      </c>
      <c r="B660" s="1" t="n">
        <v>44060</v>
      </c>
      <c r="C660" s="1" t="n">
        <v>45346</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38517-2020</t>
        </is>
      </c>
      <c r="B661" s="1" t="n">
        <v>44060</v>
      </c>
      <c r="C661" s="1" t="n">
        <v>45346</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39007-2020</t>
        </is>
      </c>
      <c r="B662" s="1" t="n">
        <v>44062</v>
      </c>
      <c r="C662" s="1" t="n">
        <v>45346</v>
      </c>
      <c r="D662" t="inlineStr">
        <is>
          <t>VÄSTERNORRLANDS LÄN</t>
        </is>
      </c>
      <c r="E662" t="inlineStr">
        <is>
          <t>SOLLEFTEÅ</t>
        </is>
      </c>
      <c r="F662" t="inlineStr">
        <is>
          <t>Kyrkan</t>
        </is>
      </c>
      <c r="G662" t="n">
        <v>5</v>
      </c>
      <c r="H662" t="n">
        <v>0</v>
      </c>
      <c r="I662" t="n">
        <v>0</v>
      </c>
      <c r="J662" t="n">
        <v>0</v>
      </c>
      <c r="K662" t="n">
        <v>0</v>
      </c>
      <c r="L662" t="n">
        <v>0</v>
      </c>
      <c r="M662" t="n">
        <v>0</v>
      </c>
      <c r="N662" t="n">
        <v>0</v>
      </c>
      <c r="O662" t="n">
        <v>0</v>
      </c>
      <c r="P662" t="n">
        <v>0</v>
      </c>
      <c r="Q662" t="n">
        <v>0</v>
      </c>
      <c r="R662" s="2" t="inlineStr"/>
    </row>
    <row r="663" ht="15" customHeight="1">
      <c r="A663" t="inlineStr">
        <is>
          <t>A 39077-2020</t>
        </is>
      </c>
      <c r="B663" s="1" t="n">
        <v>44062</v>
      </c>
      <c r="C663" s="1" t="n">
        <v>45346</v>
      </c>
      <c r="D663" t="inlineStr">
        <is>
          <t>VÄSTERNORRLANDS LÄN</t>
        </is>
      </c>
      <c r="E663" t="inlineStr">
        <is>
          <t>SOLLEFTEÅ</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39016-2020</t>
        </is>
      </c>
      <c r="B664" s="1" t="n">
        <v>44062</v>
      </c>
      <c r="C664" s="1" t="n">
        <v>45346</v>
      </c>
      <c r="D664" t="inlineStr">
        <is>
          <t>VÄSTERNORRLANDS LÄN</t>
        </is>
      </c>
      <c r="E664" t="inlineStr">
        <is>
          <t>SOLLEFTEÅ</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39148-2020</t>
        </is>
      </c>
      <c r="B665" s="1" t="n">
        <v>44063</v>
      </c>
      <c r="C665" s="1" t="n">
        <v>45346</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39409-2020</t>
        </is>
      </c>
      <c r="B666" s="1" t="n">
        <v>44064</v>
      </c>
      <c r="C666" s="1" t="n">
        <v>45346</v>
      </c>
      <c r="D666" t="inlineStr">
        <is>
          <t>VÄSTERNORRLANDS LÄN</t>
        </is>
      </c>
      <c r="E666" t="inlineStr">
        <is>
          <t>SOLLEFTEÅ</t>
        </is>
      </c>
      <c r="F666" t="inlineStr">
        <is>
          <t>Holmen skog AB</t>
        </is>
      </c>
      <c r="G666" t="n">
        <v>7.8</v>
      </c>
      <c r="H666" t="n">
        <v>0</v>
      </c>
      <c r="I666" t="n">
        <v>0</v>
      </c>
      <c r="J666" t="n">
        <v>0</v>
      </c>
      <c r="K666" t="n">
        <v>0</v>
      </c>
      <c r="L666" t="n">
        <v>0</v>
      </c>
      <c r="M666" t="n">
        <v>0</v>
      </c>
      <c r="N666" t="n">
        <v>0</v>
      </c>
      <c r="O666" t="n">
        <v>0</v>
      </c>
      <c r="P666" t="n">
        <v>0</v>
      </c>
      <c r="Q666" t="n">
        <v>0</v>
      </c>
      <c r="R666" s="2" t="inlineStr"/>
    </row>
    <row r="667" ht="15" customHeight="1">
      <c r="A667" t="inlineStr">
        <is>
          <t>A 39479-2020</t>
        </is>
      </c>
      <c r="B667" s="1" t="n">
        <v>44064</v>
      </c>
      <c r="C667" s="1" t="n">
        <v>45346</v>
      </c>
      <c r="D667" t="inlineStr">
        <is>
          <t>VÄSTERNORRLANDS LÄN</t>
        </is>
      </c>
      <c r="E667" t="inlineStr">
        <is>
          <t>SOLLEFTEÅ</t>
        </is>
      </c>
      <c r="G667" t="n">
        <v>17.8</v>
      </c>
      <c r="H667" t="n">
        <v>0</v>
      </c>
      <c r="I667" t="n">
        <v>0</v>
      </c>
      <c r="J667" t="n">
        <v>0</v>
      </c>
      <c r="K667" t="n">
        <v>0</v>
      </c>
      <c r="L667" t="n">
        <v>0</v>
      </c>
      <c r="M667" t="n">
        <v>0</v>
      </c>
      <c r="N667" t="n">
        <v>0</v>
      </c>
      <c r="O667" t="n">
        <v>0</v>
      </c>
      <c r="P667" t="n">
        <v>0</v>
      </c>
      <c r="Q667" t="n">
        <v>0</v>
      </c>
      <c r="R667" s="2" t="inlineStr"/>
    </row>
    <row r="668" ht="15" customHeight="1">
      <c r="A668" t="inlineStr">
        <is>
          <t>A 40180-2020</t>
        </is>
      </c>
      <c r="B668" s="1" t="n">
        <v>44064</v>
      </c>
      <c r="C668" s="1" t="n">
        <v>45346</v>
      </c>
      <c r="D668" t="inlineStr">
        <is>
          <t>VÄSTERNORRLANDS LÄN</t>
        </is>
      </c>
      <c r="E668" t="inlineStr">
        <is>
          <t>SOLLEFTEÅ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39681-2020</t>
        </is>
      </c>
      <c r="B669" s="1" t="n">
        <v>44065</v>
      </c>
      <c r="C669" s="1" t="n">
        <v>45346</v>
      </c>
      <c r="D669" t="inlineStr">
        <is>
          <t>VÄSTERNORRLANDS LÄN</t>
        </is>
      </c>
      <c r="E669" t="inlineStr">
        <is>
          <t>SOLLEFTEÅ</t>
        </is>
      </c>
      <c r="F669" t="inlineStr">
        <is>
          <t>SCA</t>
        </is>
      </c>
      <c r="G669" t="n">
        <v>19.7</v>
      </c>
      <c r="H669" t="n">
        <v>0</v>
      </c>
      <c r="I669" t="n">
        <v>0</v>
      </c>
      <c r="J669" t="n">
        <v>0</v>
      </c>
      <c r="K669" t="n">
        <v>0</v>
      </c>
      <c r="L669" t="n">
        <v>0</v>
      </c>
      <c r="M669" t="n">
        <v>0</v>
      </c>
      <c r="N669" t="n">
        <v>0</v>
      </c>
      <c r="O669" t="n">
        <v>0</v>
      </c>
      <c r="P669" t="n">
        <v>0</v>
      </c>
      <c r="Q669" t="n">
        <v>0</v>
      </c>
      <c r="R669" s="2" t="inlineStr"/>
    </row>
    <row r="670" ht="15" customHeight="1">
      <c r="A670" t="inlineStr">
        <is>
          <t>A 40476-2020</t>
        </is>
      </c>
      <c r="B670" s="1" t="n">
        <v>44067</v>
      </c>
      <c r="C670" s="1" t="n">
        <v>45346</v>
      </c>
      <c r="D670" t="inlineStr">
        <is>
          <t>VÄSTERNORRLANDS LÄN</t>
        </is>
      </c>
      <c r="E670" t="inlineStr">
        <is>
          <t>SOLLEFTEÅ</t>
        </is>
      </c>
      <c r="G670" t="n">
        <v>8</v>
      </c>
      <c r="H670" t="n">
        <v>0</v>
      </c>
      <c r="I670" t="n">
        <v>0</v>
      </c>
      <c r="J670" t="n">
        <v>0</v>
      </c>
      <c r="K670" t="n">
        <v>0</v>
      </c>
      <c r="L670" t="n">
        <v>0</v>
      </c>
      <c r="M670" t="n">
        <v>0</v>
      </c>
      <c r="N670" t="n">
        <v>0</v>
      </c>
      <c r="O670" t="n">
        <v>0</v>
      </c>
      <c r="P670" t="n">
        <v>0</v>
      </c>
      <c r="Q670" t="n">
        <v>0</v>
      </c>
      <c r="R670" s="2" t="inlineStr"/>
    </row>
    <row r="671" ht="15" customHeight="1">
      <c r="A671" t="inlineStr">
        <is>
          <t>A 40697-2020</t>
        </is>
      </c>
      <c r="B671" s="1" t="n">
        <v>44067</v>
      </c>
      <c r="C671" s="1" t="n">
        <v>45346</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40682-2020</t>
        </is>
      </c>
      <c r="B672" s="1" t="n">
        <v>44067</v>
      </c>
      <c r="C672" s="1" t="n">
        <v>45346</v>
      </c>
      <c r="D672" t="inlineStr">
        <is>
          <t>VÄSTERNORRLANDS LÄN</t>
        </is>
      </c>
      <c r="E672" t="inlineStr">
        <is>
          <t>SOLLEFTEÅ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40735-2020</t>
        </is>
      </c>
      <c r="B673" s="1" t="n">
        <v>44069</v>
      </c>
      <c r="C673" s="1" t="n">
        <v>45346</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40747-2020</t>
        </is>
      </c>
      <c r="B674" s="1" t="n">
        <v>44069</v>
      </c>
      <c r="C674" s="1" t="n">
        <v>45346</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42196-2020</t>
        </is>
      </c>
      <c r="B675" s="1" t="n">
        <v>44076</v>
      </c>
      <c r="C675" s="1" t="n">
        <v>45346</v>
      </c>
      <c r="D675" t="inlineStr">
        <is>
          <t>VÄSTERNORRLANDS LÄN</t>
        </is>
      </c>
      <c r="E675" t="inlineStr">
        <is>
          <t>SOLLEFTEÅ</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43300-2020</t>
        </is>
      </c>
      <c r="B676" s="1" t="n">
        <v>44076</v>
      </c>
      <c r="C676" s="1" t="n">
        <v>45346</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43160-2020</t>
        </is>
      </c>
      <c r="B677" s="1" t="n">
        <v>44076</v>
      </c>
      <c r="C677" s="1" t="n">
        <v>45346</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42846-2020</t>
        </is>
      </c>
      <c r="B678" s="1" t="n">
        <v>44078</v>
      </c>
      <c r="C678" s="1" t="n">
        <v>45346</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43107-2020</t>
        </is>
      </c>
      <c r="B679" s="1" t="n">
        <v>44078</v>
      </c>
      <c r="C679" s="1" t="n">
        <v>45346</v>
      </c>
      <c r="D679" t="inlineStr">
        <is>
          <t>VÄSTERNORRLANDS LÄN</t>
        </is>
      </c>
      <c r="E679" t="inlineStr">
        <is>
          <t>SOLLEFTEÅ</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43438-2020</t>
        </is>
      </c>
      <c r="B680" s="1" t="n">
        <v>44081</v>
      </c>
      <c r="C680" s="1" t="n">
        <v>45346</v>
      </c>
      <c r="D680" t="inlineStr">
        <is>
          <t>VÄSTERNORRLANDS LÄN</t>
        </is>
      </c>
      <c r="E680" t="inlineStr">
        <is>
          <t>SOLLEFTEÅ</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43820-2020</t>
        </is>
      </c>
      <c r="B681" s="1" t="n">
        <v>44082</v>
      </c>
      <c r="C681" s="1" t="n">
        <v>45346</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45147-2020</t>
        </is>
      </c>
      <c r="B682" s="1" t="n">
        <v>44084</v>
      </c>
      <c r="C682" s="1" t="n">
        <v>45346</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44681-2020</t>
        </is>
      </c>
      <c r="B683" s="1" t="n">
        <v>44085</v>
      </c>
      <c r="C683" s="1" t="n">
        <v>45346</v>
      </c>
      <c r="D683" t="inlineStr">
        <is>
          <t>VÄSTERNORRLANDS LÄN</t>
        </is>
      </c>
      <c r="E683" t="inlineStr">
        <is>
          <t>SOLLEFTEÅ</t>
        </is>
      </c>
      <c r="G683" t="n">
        <v>7.8</v>
      </c>
      <c r="H683" t="n">
        <v>0</v>
      </c>
      <c r="I683" t="n">
        <v>0</v>
      </c>
      <c r="J683" t="n">
        <v>0</v>
      </c>
      <c r="K683" t="n">
        <v>0</v>
      </c>
      <c r="L683" t="n">
        <v>0</v>
      </c>
      <c r="M683" t="n">
        <v>0</v>
      </c>
      <c r="N683" t="n">
        <v>0</v>
      </c>
      <c r="O683" t="n">
        <v>0</v>
      </c>
      <c r="P683" t="n">
        <v>0</v>
      </c>
      <c r="Q683" t="n">
        <v>0</v>
      </c>
      <c r="R683" s="2" t="inlineStr"/>
    </row>
    <row r="684" ht="15" customHeight="1">
      <c r="A684" t="inlineStr">
        <is>
          <t>A 45250-2020</t>
        </is>
      </c>
      <c r="B684" s="1" t="n">
        <v>44088</v>
      </c>
      <c r="C684" s="1" t="n">
        <v>45346</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45251-2020</t>
        </is>
      </c>
      <c r="B685" s="1" t="n">
        <v>44088</v>
      </c>
      <c r="C685" s="1" t="n">
        <v>45346</v>
      </c>
      <c r="D685" t="inlineStr">
        <is>
          <t>VÄSTERNORRLANDS LÄN</t>
        </is>
      </c>
      <c r="E685" t="inlineStr">
        <is>
          <t>SOLLEFTEÅ</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45549-2020</t>
        </is>
      </c>
      <c r="B686" s="1" t="n">
        <v>44090</v>
      </c>
      <c r="C686" s="1" t="n">
        <v>45346</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45542-2020</t>
        </is>
      </c>
      <c r="B687" s="1" t="n">
        <v>44089</v>
      </c>
      <c r="C687" s="1" t="n">
        <v>45346</v>
      </c>
      <c r="D687" t="inlineStr">
        <is>
          <t>VÄSTERNORRLANDS LÄN</t>
        </is>
      </c>
      <c r="E687" t="inlineStr">
        <is>
          <t>SOLLEFTEÅ</t>
        </is>
      </c>
      <c r="G687" t="n">
        <v>0.3</v>
      </c>
      <c r="H687" t="n">
        <v>0</v>
      </c>
      <c r="I687" t="n">
        <v>0</v>
      </c>
      <c r="J687" t="n">
        <v>0</v>
      </c>
      <c r="K687" t="n">
        <v>0</v>
      </c>
      <c r="L687" t="n">
        <v>0</v>
      </c>
      <c r="M687" t="n">
        <v>0</v>
      </c>
      <c r="N687" t="n">
        <v>0</v>
      </c>
      <c r="O687" t="n">
        <v>0</v>
      </c>
      <c r="P687" t="n">
        <v>0</v>
      </c>
      <c r="Q687" t="n">
        <v>0</v>
      </c>
      <c r="R687" s="2" t="inlineStr"/>
    </row>
    <row r="688" ht="15" customHeight="1">
      <c r="A688" t="inlineStr">
        <is>
          <t>A 45551-2020</t>
        </is>
      </c>
      <c r="B688" s="1" t="n">
        <v>44089</v>
      </c>
      <c r="C688" s="1" t="n">
        <v>45346</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46715-2020</t>
        </is>
      </c>
      <c r="B689" s="1" t="n">
        <v>44095</v>
      </c>
      <c r="C689" s="1" t="n">
        <v>45346</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47827-2020</t>
        </is>
      </c>
      <c r="B690" s="1" t="n">
        <v>44098</v>
      </c>
      <c r="C690" s="1" t="n">
        <v>45346</v>
      </c>
      <c r="D690" t="inlineStr">
        <is>
          <t>VÄSTERNORRLANDS LÄN</t>
        </is>
      </c>
      <c r="E690" t="inlineStr">
        <is>
          <t>SOLLEFTEÅ</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47859-2020</t>
        </is>
      </c>
      <c r="B691" s="1" t="n">
        <v>44099</v>
      </c>
      <c r="C691" s="1" t="n">
        <v>45346</v>
      </c>
      <c r="D691" t="inlineStr">
        <is>
          <t>VÄSTERNORRLANDS LÄN</t>
        </is>
      </c>
      <c r="E691" t="inlineStr">
        <is>
          <t>SOLLEFTEÅ</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48052-2020</t>
        </is>
      </c>
      <c r="B692" s="1" t="n">
        <v>44100</v>
      </c>
      <c r="C692" s="1" t="n">
        <v>45346</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48240-2020</t>
        </is>
      </c>
      <c r="B693" s="1" t="n">
        <v>44102</v>
      </c>
      <c r="C693" s="1" t="n">
        <v>45346</v>
      </c>
      <c r="D693" t="inlineStr">
        <is>
          <t>VÄSTERNORRLANDS LÄN</t>
        </is>
      </c>
      <c r="E693" t="inlineStr">
        <is>
          <t>SOLLEFTEÅ</t>
        </is>
      </c>
      <c r="G693" t="n">
        <v>0.5</v>
      </c>
      <c r="H693" t="n">
        <v>0</v>
      </c>
      <c r="I693" t="n">
        <v>0</v>
      </c>
      <c r="J693" t="n">
        <v>0</v>
      </c>
      <c r="K693" t="n">
        <v>0</v>
      </c>
      <c r="L693" t="n">
        <v>0</v>
      </c>
      <c r="M693" t="n">
        <v>0</v>
      </c>
      <c r="N693" t="n">
        <v>0</v>
      </c>
      <c r="O693" t="n">
        <v>0</v>
      </c>
      <c r="P693" t="n">
        <v>0</v>
      </c>
      <c r="Q693" t="n">
        <v>0</v>
      </c>
      <c r="R693" s="2" t="inlineStr"/>
    </row>
    <row r="694" ht="15" customHeight="1">
      <c r="A694" t="inlineStr">
        <is>
          <t>A 48477-2020</t>
        </is>
      </c>
      <c r="B694" s="1" t="n">
        <v>44102</v>
      </c>
      <c r="C694" s="1" t="n">
        <v>45346</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48468-2020</t>
        </is>
      </c>
      <c r="B695" s="1" t="n">
        <v>44102</v>
      </c>
      <c r="C695" s="1" t="n">
        <v>45346</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48470-2020</t>
        </is>
      </c>
      <c r="B696" s="1" t="n">
        <v>44102</v>
      </c>
      <c r="C696" s="1" t="n">
        <v>45346</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48475-2020</t>
        </is>
      </c>
      <c r="B697" s="1" t="n">
        <v>44103</v>
      </c>
      <c r="C697" s="1" t="n">
        <v>45346</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48802-2020</t>
        </is>
      </c>
      <c r="B698" s="1" t="n">
        <v>44103</v>
      </c>
      <c r="C698" s="1" t="n">
        <v>45346</v>
      </c>
      <c r="D698" t="inlineStr">
        <is>
          <t>VÄSTERNORRLANDS LÄN</t>
        </is>
      </c>
      <c r="E698" t="inlineStr">
        <is>
          <t>SOLLEFTEÅ</t>
        </is>
      </c>
      <c r="F698" t="inlineStr">
        <is>
          <t>SCA</t>
        </is>
      </c>
      <c r="G698" t="n">
        <v>10.9</v>
      </c>
      <c r="H698" t="n">
        <v>0</v>
      </c>
      <c r="I698" t="n">
        <v>0</v>
      </c>
      <c r="J698" t="n">
        <v>0</v>
      </c>
      <c r="K698" t="n">
        <v>0</v>
      </c>
      <c r="L698" t="n">
        <v>0</v>
      </c>
      <c r="M698" t="n">
        <v>0</v>
      </c>
      <c r="N698" t="n">
        <v>0</v>
      </c>
      <c r="O698" t="n">
        <v>0</v>
      </c>
      <c r="P698" t="n">
        <v>0</v>
      </c>
      <c r="Q698" t="n">
        <v>0</v>
      </c>
      <c r="R698" s="2" t="inlineStr"/>
    </row>
    <row r="699" ht="15" customHeight="1">
      <c r="A699" t="inlineStr">
        <is>
          <t>A 49629-2020</t>
        </is>
      </c>
      <c r="B699" s="1" t="n">
        <v>44103</v>
      </c>
      <c r="C699" s="1" t="n">
        <v>45346</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49165-2020</t>
        </is>
      </c>
      <c r="B700" s="1" t="n">
        <v>44105</v>
      </c>
      <c r="C700" s="1" t="n">
        <v>45346</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49507-2020</t>
        </is>
      </c>
      <c r="B701" s="1" t="n">
        <v>44105</v>
      </c>
      <c r="C701" s="1" t="n">
        <v>45346</v>
      </c>
      <c r="D701" t="inlineStr">
        <is>
          <t>VÄSTERNORRLANDS LÄN</t>
        </is>
      </c>
      <c r="E701" t="inlineStr">
        <is>
          <t>SOLLEFTEÅ</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49508-2020</t>
        </is>
      </c>
      <c r="B702" s="1" t="n">
        <v>44105</v>
      </c>
      <c r="C702" s="1" t="n">
        <v>45346</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49837-2020</t>
        </is>
      </c>
      <c r="B703" s="1" t="n">
        <v>44106</v>
      </c>
      <c r="C703" s="1" t="n">
        <v>45346</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50647-2020</t>
        </is>
      </c>
      <c r="B704" s="1" t="n">
        <v>44111</v>
      </c>
      <c r="C704" s="1" t="n">
        <v>45346</v>
      </c>
      <c r="D704" t="inlineStr">
        <is>
          <t>VÄSTERNORRLANDS LÄN</t>
        </is>
      </c>
      <c r="E704" t="inlineStr">
        <is>
          <t>SOLLEFTEÅ</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51018-2020</t>
        </is>
      </c>
      <c r="B705" s="1" t="n">
        <v>44111</v>
      </c>
      <c r="C705" s="1" t="n">
        <v>45346</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51011-2020</t>
        </is>
      </c>
      <c r="B706" s="1" t="n">
        <v>44111</v>
      </c>
      <c r="C706" s="1" t="n">
        <v>45346</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51534-2020</t>
        </is>
      </c>
      <c r="B707" s="1" t="n">
        <v>44113</v>
      </c>
      <c r="C707" s="1" t="n">
        <v>45346</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52035-2020</t>
        </is>
      </c>
      <c r="B708" s="1" t="n">
        <v>44117</v>
      </c>
      <c r="C708" s="1" t="n">
        <v>45346</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52189-2020</t>
        </is>
      </c>
      <c r="B709" s="1" t="n">
        <v>44117</v>
      </c>
      <c r="C709" s="1" t="n">
        <v>45346</v>
      </c>
      <c r="D709" t="inlineStr">
        <is>
          <t>VÄSTERNORRLANDS LÄN</t>
        </is>
      </c>
      <c r="E709" t="inlineStr">
        <is>
          <t>SOLLEFTEÅ</t>
        </is>
      </c>
      <c r="G709" t="n">
        <v>2.2</v>
      </c>
      <c r="H709" t="n">
        <v>0</v>
      </c>
      <c r="I709" t="n">
        <v>0</v>
      </c>
      <c r="J709" t="n">
        <v>0</v>
      </c>
      <c r="K709" t="n">
        <v>0</v>
      </c>
      <c r="L709" t="n">
        <v>0</v>
      </c>
      <c r="M709" t="n">
        <v>0</v>
      </c>
      <c r="N709" t="n">
        <v>0</v>
      </c>
      <c r="O709" t="n">
        <v>0</v>
      </c>
      <c r="P709" t="n">
        <v>0</v>
      </c>
      <c r="Q709" t="n">
        <v>0</v>
      </c>
      <c r="R709" s="2" t="inlineStr"/>
    </row>
    <row r="710" ht="15" customHeight="1">
      <c r="A710" t="inlineStr">
        <is>
          <t>A 52199-2020</t>
        </is>
      </c>
      <c r="B710" s="1" t="n">
        <v>44117</v>
      </c>
      <c r="C710" s="1" t="n">
        <v>45346</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52406-2020</t>
        </is>
      </c>
      <c r="B711" s="1" t="n">
        <v>44118</v>
      </c>
      <c r="C711" s="1" t="n">
        <v>45346</v>
      </c>
      <c r="D711" t="inlineStr">
        <is>
          <t>VÄSTERNORRLANDS LÄN</t>
        </is>
      </c>
      <c r="E711" t="inlineStr">
        <is>
          <t>SOLLEFTEÅ</t>
        </is>
      </c>
      <c r="G711" t="n">
        <v>2.8</v>
      </c>
      <c r="H711" t="n">
        <v>0</v>
      </c>
      <c r="I711" t="n">
        <v>0</v>
      </c>
      <c r="J711" t="n">
        <v>0</v>
      </c>
      <c r="K711" t="n">
        <v>0</v>
      </c>
      <c r="L711" t="n">
        <v>0</v>
      </c>
      <c r="M711" t="n">
        <v>0</v>
      </c>
      <c r="N711" t="n">
        <v>0</v>
      </c>
      <c r="O711" t="n">
        <v>0</v>
      </c>
      <c r="P711" t="n">
        <v>0</v>
      </c>
      <c r="Q711" t="n">
        <v>0</v>
      </c>
      <c r="R711" s="2" t="inlineStr"/>
    </row>
    <row r="712" ht="15" customHeight="1">
      <c r="A712" t="inlineStr">
        <is>
          <t>A 52983-2020</t>
        </is>
      </c>
      <c r="B712" s="1" t="n">
        <v>44119</v>
      </c>
      <c r="C712" s="1" t="n">
        <v>45346</v>
      </c>
      <c r="D712" t="inlineStr">
        <is>
          <t>VÄSTERNORRLANDS LÄN</t>
        </is>
      </c>
      <c r="E712" t="inlineStr">
        <is>
          <t>SOLLEFTEÅ</t>
        </is>
      </c>
      <c r="G712" t="n">
        <v>3.8</v>
      </c>
      <c r="H712" t="n">
        <v>0</v>
      </c>
      <c r="I712" t="n">
        <v>0</v>
      </c>
      <c r="J712" t="n">
        <v>0</v>
      </c>
      <c r="K712" t="n">
        <v>0</v>
      </c>
      <c r="L712" t="n">
        <v>0</v>
      </c>
      <c r="M712" t="n">
        <v>0</v>
      </c>
      <c r="N712" t="n">
        <v>0</v>
      </c>
      <c r="O712" t="n">
        <v>0</v>
      </c>
      <c r="P712" t="n">
        <v>0</v>
      </c>
      <c r="Q712" t="n">
        <v>0</v>
      </c>
      <c r="R712" s="2" t="inlineStr"/>
    </row>
    <row r="713" ht="15" customHeight="1">
      <c r="A713" t="inlineStr">
        <is>
          <t>A 52936-2020</t>
        </is>
      </c>
      <c r="B713" s="1" t="n">
        <v>44120</v>
      </c>
      <c r="C713" s="1" t="n">
        <v>45346</v>
      </c>
      <c r="D713" t="inlineStr">
        <is>
          <t>VÄSTERNORRLANDS LÄN</t>
        </is>
      </c>
      <c r="E713" t="inlineStr">
        <is>
          <t>SOLLEFTEÅ</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53828-2020</t>
        </is>
      </c>
      <c r="B714" s="1" t="n">
        <v>44124</v>
      </c>
      <c r="C714" s="1" t="n">
        <v>45346</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54463-2020</t>
        </is>
      </c>
      <c r="B715" s="1" t="n">
        <v>44125</v>
      </c>
      <c r="C715" s="1" t="n">
        <v>45346</v>
      </c>
      <c r="D715" t="inlineStr">
        <is>
          <t>VÄSTERNORRLANDS LÄN</t>
        </is>
      </c>
      <c r="E715" t="inlineStr">
        <is>
          <t>SOLLEFTEÅ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53866-2020</t>
        </is>
      </c>
      <c r="B716" s="1" t="n">
        <v>44125</v>
      </c>
      <c r="C716" s="1" t="n">
        <v>45346</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54567-2020</t>
        </is>
      </c>
      <c r="B717" s="1" t="n">
        <v>44126</v>
      </c>
      <c r="C717" s="1" t="n">
        <v>45346</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54568-2020</t>
        </is>
      </c>
      <c r="B718" s="1" t="n">
        <v>44126</v>
      </c>
      <c r="C718" s="1" t="n">
        <v>45346</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54572-2020</t>
        </is>
      </c>
      <c r="B719" s="1" t="n">
        <v>44126</v>
      </c>
      <c r="C719" s="1" t="n">
        <v>45346</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54576-2020</t>
        </is>
      </c>
      <c r="B720" s="1" t="n">
        <v>44126</v>
      </c>
      <c r="C720" s="1" t="n">
        <v>45346</v>
      </c>
      <c r="D720" t="inlineStr">
        <is>
          <t>VÄSTERNORRLANDS LÄN</t>
        </is>
      </c>
      <c r="E720" t="inlineStr">
        <is>
          <t>SOLLEFTEÅ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54571-2020</t>
        </is>
      </c>
      <c r="B721" s="1" t="n">
        <v>44126</v>
      </c>
      <c r="C721" s="1" t="n">
        <v>45346</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54569-2020</t>
        </is>
      </c>
      <c r="B722" s="1" t="n">
        <v>44126</v>
      </c>
      <c r="C722" s="1" t="n">
        <v>45346</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54566-2020</t>
        </is>
      </c>
      <c r="B723" s="1" t="n">
        <v>44126</v>
      </c>
      <c r="C723" s="1" t="n">
        <v>45346</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54570-2020</t>
        </is>
      </c>
      <c r="B724" s="1" t="n">
        <v>44126</v>
      </c>
      <c r="C724" s="1" t="n">
        <v>45346</v>
      </c>
      <c r="D724" t="inlineStr">
        <is>
          <t>VÄSTERNORRLANDS LÄN</t>
        </is>
      </c>
      <c r="E724" t="inlineStr">
        <is>
          <t>SOLLEFTEÅ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54573-2020</t>
        </is>
      </c>
      <c r="B725" s="1" t="n">
        <v>44126</v>
      </c>
      <c r="C725" s="1" t="n">
        <v>45346</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55337-2020</t>
        </is>
      </c>
      <c r="B726" s="1" t="n">
        <v>44130</v>
      </c>
      <c r="C726" s="1" t="n">
        <v>45346</v>
      </c>
      <c r="D726" t="inlineStr">
        <is>
          <t>VÄSTERNORRLANDS LÄN</t>
        </is>
      </c>
      <c r="E726" t="inlineStr">
        <is>
          <t>SOLLEFTEÅ</t>
        </is>
      </c>
      <c r="G726" t="n">
        <v>21.1</v>
      </c>
      <c r="H726" t="n">
        <v>0</v>
      </c>
      <c r="I726" t="n">
        <v>0</v>
      </c>
      <c r="J726" t="n">
        <v>0</v>
      </c>
      <c r="K726" t="n">
        <v>0</v>
      </c>
      <c r="L726" t="n">
        <v>0</v>
      </c>
      <c r="M726" t="n">
        <v>0</v>
      </c>
      <c r="N726" t="n">
        <v>0</v>
      </c>
      <c r="O726" t="n">
        <v>0</v>
      </c>
      <c r="P726" t="n">
        <v>0</v>
      </c>
      <c r="Q726" t="n">
        <v>0</v>
      </c>
      <c r="R726" s="2" t="inlineStr"/>
    </row>
    <row r="727" ht="15" customHeight="1">
      <c r="A727" t="inlineStr">
        <is>
          <t>A 55489-2020</t>
        </is>
      </c>
      <c r="B727" s="1" t="n">
        <v>44131</v>
      </c>
      <c r="C727" s="1" t="n">
        <v>45346</v>
      </c>
      <c r="D727" t="inlineStr">
        <is>
          <t>VÄSTERNORRLANDS LÄN</t>
        </is>
      </c>
      <c r="E727" t="inlineStr">
        <is>
          <t>SOLLEFTEÅ</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58380-2020</t>
        </is>
      </c>
      <c r="B728" s="1" t="n">
        <v>44145</v>
      </c>
      <c r="C728" s="1" t="n">
        <v>45346</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58381-2020</t>
        </is>
      </c>
      <c r="B729" s="1" t="n">
        <v>44145</v>
      </c>
      <c r="C729" s="1" t="n">
        <v>45346</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59334-2020</t>
        </is>
      </c>
      <c r="B730" s="1" t="n">
        <v>44147</v>
      </c>
      <c r="C730" s="1" t="n">
        <v>45346</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59950-2020</t>
        </is>
      </c>
      <c r="B731" s="1" t="n">
        <v>44151</v>
      </c>
      <c r="C731" s="1" t="n">
        <v>45346</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59953-2020</t>
        </is>
      </c>
      <c r="B732" s="1" t="n">
        <v>44151</v>
      </c>
      <c r="C732" s="1" t="n">
        <v>45346</v>
      </c>
      <c r="D732" t="inlineStr">
        <is>
          <t>VÄSTERNORRLANDS LÄN</t>
        </is>
      </c>
      <c r="E732" t="inlineStr">
        <is>
          <t>SOLLEFTEÅ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60091-2020</t>
        </is>
      </c>
      <c r="B733" s="1" t="n">
        <v>44151</v>
      </c>
      <c r="C733" s="1" t="n">
        <v>45346</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61127-2020</t>
        </is>
      </c>
      <c r="B734" s="1" t="n">
        <v>44154</v>
      </c>
      <c r="C734" s="1" t="n">
        <v>45346</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61130-2020</t>
        </is>
      </c>
      <c r="B735" s="1" t="n">
        <v>44154</v>
      </c>
      <c r="C735" s="1" t="n">
        <v>45346</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61894-2020</t>
        </is>
      </c>
      <c r="B736" s="1" t="n">
        <v>44155</v>
      </c>
      <c r="C736" s="1" t="n">
        <v>45346</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61943-2020</t>
        </is>
      </c>
      <c r="B737" s="1" t="n">
        <v>44155</v>
      </c>
      <c r="C737" s="1" t="n">
        <v>45346</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62666-2020</t>
        </is>
      </c>
      <c r="B738" s="1" t="n">
        <v>44161</v>
      </c>
      <c r="C738" s="1" t="n">
        <v>45346</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62881-2020</t>
        </is>
      </c>
      <c r="B739" s="1" t="n">
        <v>44161</v>
      </c>
      <c r="C739" s="1" t="n">
        <v>45346</v>
      </c>
      <c r="D739" t="inlineStr">
        <is>
          <t>VÄSTERNORRLANDS LÄN</t>
        </is>
      </c>
      <c r="E739" t="inlineStr">
        <is>
          <t>SOLLEFTEÅ</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62883-2020</t>
        </is>
      </c>
      <c r="B740" s="1" t="n">
        <v>44161</v>
      </c>
      <c r="C740" s="1" t="n">
        <v>45346</v>
      </c>
      <c r="D740" t="inlineStr">
        <is>
          <t>VÄSTERNORRLANDS LÄN</t>
        </is>
      </c>
      <c r="E740" t="inlineStr">
        <is>
          <t>SOLLEFTEÅ</t>
        </is>
      </c>
      <c r="F740" t="inlineStr">
        <is>
          <t>SCA</t>
        </is>
      </c>
      <c r="G740" t="n">
        <v>8.5</v>
      </c>
      <c r="H740" t="n">
        <v>0</v>
      </c>
      <c r="I740" t="n">
        <v>0</v>
      </c>
      <c r="J740" t="n">
        <v>0</v>
      </c>
      <c r="K740" t="n">
        <v>0</v>
      </c>
      <c r="L740" t="n">
        <v>0</v>
      </c>
      <c r="M740" t="n">
        <v>0</v>
      </c>
      <c r="N740" t="n">
        <v>0</v>
      </c>
      <c r="O740" t="n">
        <v>0</v>
      </c>
      <c r="P740" t="n">
        <v>0</v>
      </c>
      <c r="Q740" t="n">
        <v>0</v>
      </c>
      <c r="R740" s="2" t="inlineStr"/>
    </row>
    <row r="741" ht="15" customHeight="1">
      <c r="A741" t="inlineStr">
        <is>
          <t>A 63190-2020</t>
        </is>
      </c>
      <c r="B741" s="1" t="n">
        <v>44162</v>
      </c>
      <c r="C741" s="1" t="n">
        <v>45346</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63210-2020</t>
        </is>
      </c>
      <c r="B742" s="1" t="n">
        <v>44163</v>
      </c>
      <c r="C742" s="1" t="n">
        <v>45346</v>
      </c>
      <c r="D742" t="inlineStr">
        <is>
          <t>VÄSTERNORRLANDS LÄN</t>
        </is>
      </c>
      <c r="E742" t="inlineStr">
        <is>
          <t>SOLLEFTEÅ</t>
        </is>
      </c>
      <c r="G742" t="n">
        <v>1.8</v>
      </c>
      <c r="H742" t="n">
        <v>0</v>
      </c>
      <c r="I742" t="n">
        <v>0</v>
      </c>
      <c r="J742" t="n">
        <v>0</v>
      </c>
      <c r="K742" t="n">
        <v>0</v>
      </c>
      <c r="L742" t="n">
        <v>0</v>
      </c>
      <c r="M742" t="n">
        <v>0</v>
      </c>
      <c r="N742" t="n">
        <v>0</v>
      </c>
      <c r="O742" t="n">
        <v>0</v>
      </c>
      <c r="P742" t="n">
        <v>0</v>
      </c>
      <c r="Q742" t="n">
        <v>0</v>
      </c>
      <c r="R742" s="2" t="inlineStr"/>
    </row>
    <row r="743" ht="15" customHeight="1">
      <c r="A743" t="inlineStr">
        <is>
          <t>A 65401-2020</t>
        </is>
      </c>
      <c r="B743" s="1" t="n">
        <v>44169</v>
      </c>
      <c r="C743" s="1" t="n">
        <v>45346</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65407-2020</t>
        </is>
      </c>
      <c r="B744" s="1" t="n">
        <v>44169</v>
      </c>
      <c r="C744" s="1" t="n">
        <v>45346</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65403-2020</t>
        </is>
      </c>
      <c r="B745" s="1" t="n">
        <v>44169</v>
      </c>
      <c r="C745" s="1" t="n">
        <v>45346</v>
      </c>
      <c r="D745" t="inlineStr">
        <is>
          <t>VÄSTERNORRLANDS LÄN</t>
        </is>
      </c>
      <c r="E745" t="inlineStr">
        <is>
          <t>SOLLEFTEÅ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67063-2020</t>
        </is>
      </c>
      <c r="B746" s="1" t="n">
        <v>44176</v>
      </c>
      <c r="C746" s="1" t="n">
        <v>45346</v>
      </c>
      <c r="D746" t="inlineStr">
        <is>
          <t>VÄSTERNORRLANDS LÄN</t>
        </is>
      </c>
      <c r="E746" t="inlineStr">
        <is>
          <t>SOLLEFTEÅ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66845-2020</t>
        </is>
      </c>
      <c r="B747" s="1" t="n">
        <v>44179</v>
      </c>
      <c r="C747" s="1" t="n">
        <v>45346</v>
      </c>
      <c r="D747" t="inlineStr">
        <is>
          <t>VÄSTERNORRLANDS LÄN</t>
        </is>
      </c>
      <c r="E747" t="inlineStr">
        <is>
          <t>SOLLEFTEÅ</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66844-2020</t>
        </is>
      </c>
      <c r="B748" s="1" t="n">
        <v>44179</v>
      </c>
      <c r="C748" s="1" t="n">
        <v>45346</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66850-2020</t>
        </is>
      </c>
      <c r="B749" s="1" t="n">
        <v>44179</v>
      </c>
      <c r="C749" s="1" t="n">
        <v>45346</v>
      </c>
      <c r="D749" t="inlineStr">
        <is>
          <t>VÄSTERNORRLANDS LÄN</t>
        </is>
      </c>
      <c r="E749" t="inlineStr">
        <is>
          <t>SOLLEFTEÅ</t>
        </is>
      </c>
      <c r="G749" t="n">
        <v>3</v>
      </c>
      <c r="H749" t="n">
        <v>0</v>
      </c>
      <c r="I749" t="n">
        <v>0</v>
      </c>
      <c r="J749" t="n">
        <v>0</v>
      </c>
      <c r="K749" t="n">
        <v>0</v>
      </c>
      <c r="L749" t="n">
        <v>0</v>
      </c>
      <c r="M749" t="n">
        <v>0</v>
      </c>
      <c r="N749" t="n">
        <v>0</v>
      </c>
      <c r="O749" t="n">
        <v>0</v>
      </c>
      <c r="P749" t="n">
        <v>0</v>
      </c>
      <c r="Q749" t="n">
        <v>0</v>
      </c>
      <c r="R749" s="2" t="inlineStr"/>
    </row>
    <row r="750" ht="15" customHeight="1">
      <c r="A750" t="inlineStr">
        <is>
          <t>A 66851-2020</t>
        </is>
      </c>
      <c r="B750" s="1" t="n">
        <v>44179</v>
      </c>
      <c r="C750" s="1" t="n">
        <v>45346</v>
      </c>
      <c r="D750" t="inlineStr">
        <is>
          <t>VÄSTERNORRLANDS LÄN</t>
        </is>
      </c>
      <c r="E750" t="inlineStr">
        <is>
          <t>SOLLEFTEÅ</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66853-2020</t>
        </is>
      </c>
      <c r="B751" s="1" t="n">
        <v>44179</v>
      </c>
      <c r="C751" s="1" t="n">
        <v>45346</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67602-2020</t>
        </is>
      </c>
      <c r="B752" s="1" t="n">
        <v>44181</v>
      </c>
      <c r="C752" s="1" t="n">
        <v>45346</v>
      </c>
      <c r="D752" t="inlineStr">
        <is>
          <t>VÄSTERNORRLANDS LÄN</t>
        </is>
      </c>
      <c r="E752" t="inlineStr">
        <is>
          <t>SOLLEFTEÅ</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68016-2020</t>
        </is>
      </c>
      <c r="B753" s="1" t="n">
        <v>44182</v>
      </c>
      <c r="C753" s="1" t="n">
        <v>45346</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68026-2020</t>
        </is>
      </c>
      <c r="B754" s="1" t="n">
        <v>44182</v>
      </c>
      <c r="C754" s="1" t="n">
        <v>45346</v>
      </c>
      <c r="D754" t="inlineStr">
        <is>
          <t>VÄSTERNORRLANDS LÄN</t>
        </is>
      </c>
      <c r="E754" t="inlineStr">
        <is>
          <t>SOLLEFTEÅ</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68022-2020</t>
        </is>
      </c>
      <c r="B755" s="1" t="n">
        <v>44182</v>
      </c>
      <c r="C755" s="1" t="n">
        <v>45346</v>
      </c>
      <c r="D755" t="inlineStr">
        <is>
          <t>VÄSTERNORRLANDS LÄN</t>
        </is>
      </c>
      <c r="E755" t="inlineStr">
        <is>
          <t>SOLLEFTEÅ</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68031-2020</t>
        </is>
      </c>
      <c r="B756" s="1" t="n">
        <v>44182</v>
      </c>
      <c r="C756" s="1" t="n">
        <v>45346</v>
      </c>
      <c r="D756" t="inlineStr">
        <is>
          <t>VÄSTERNORRLANDS LÄN</t>
        </is>
      </c>
      <c r="E756" t="inlineStr">
        <is>
          <t>SOLLEFTEÅ</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68036-2020</t>
        </is>
      </c>
      <c r="B757" s="1" t="n">
        <v>44182</v>
      </c>
      <c r="C757" s="1" t="n">
        <v>45346</v>
      </c>
      <c r="D757" t="inlineStr">
        <is>
          <t>VÄSTERNORRLANDS LÄN</t>
        </is>
      </c>
      <c r="E757" t="inlineStr">
        <is>
          <t>SOLLEFTEÅ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68020-2020</t>
        </is>
      </c>
      <c r="B758" s="1" t="n">
        <v>44182</v>
      </c>
      <c r="C758" s="1" t="n">
        <v>45346</v>
      </c>
      <c r="D758" t="inlineStr">
        <is>
          <t>VÄSTERNORRLANDS LÄN</t>
        </is>
      </c>
      <c r="E758" t="inlineStr">
        <is>
          <t>SOLLEFTEÅ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68030-2020</t>
        </is>
      </c>
      <c r="B759" s="1" t="n">
        <v>44182</v>
      </c>
      <c r="C759" s="1" t="n">
        <v>45346</v>
      </c>
      <c r="D759" t="inlineStr">
        <is>
          <t>VÄSTERNORRLANDS LÄN</t>
        </is>
      </c>
      <c r="E759" t="inlineStr">
        <is>
          <t>SOLLEFTEÅ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68034-2020</t>
        </is>
      </c>
      <c r="B760" s="1" t="n">
        <v>44182</v>
      </c>
      <c r="C760" s="1" t="n">
        <v>45346</v>
      </c>
      <c r="D760" t="inlineStr">
        <is>
          <t>VÄSTERNORRLANDS LÄN</t>
        </is>
      </c>
      <c r="E760" t="inlineStr">
        <is>
          <t>SOLLEFTEÅ</t>
        </is>
      </c>
      <c r="F760" t="inlineStr">
        <is>
          <t>SCA</t>
        </is>
      </c>
      <c r="G760" t="n">
        <v>17.1</v>
      </c>
      <c r="H760" t="n">
        <v>0</v>
      </c>
      <c r="I760" t="n">
        <v>0</v>
      </c>
      <c r="J760" t="n">
        <v>0</v>
      </c>
      <c r="K760" t="n">
        <v>0</v>
      </c>
      <c r="L760" t="n">
        <v>0</v>
      </c>
      <c r="M760" t="n">
        <v>0</v>
      </c>
      <c r="N760" t="n">
        <v>0</v>
      </c>
      <c r="O760" t="n">
        <v>0</v>
      </c>
      <c r="P760" t="n">
        <v>0</v>
      </c>
      <c r="Q760" t="n">
        <v>0</v>
      </c>
      <c r="R760" s="2" t="inlineStr"/>
    </row>
    <row r="761" ht="15" customHeight="1">
      <c r="A761" t="inlineStr">
        <is>
          <t>A 68033-2020</t>
        </is>
      </c>
      <c r="B761" s="1" t="n">
        <v>44182</v>
      </c>
      <c r="C761" s="1" t="n">
        <v>45346</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68015-2020</t>
        </is>
      </c>
      <c r="B762" s="1" t="n">
        <v>44182</v>
      </c>
      <c r="C762" s="1" t="n">
        <v>45346</v>
      </c>
      <c r="D762" t="inlineStr">
        <is>
          <t>VÄSTERNORRLANDS LÄN</t>
        </is>
      </c>
      <c r="E762" t="inlineStr">
        <is>
          <t>SOLLEFTEÅ</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68025-2020</t>
        </is>
      </c>
      <c r="B763" s="1" t="n">
        <v>44182</v>
      </c>
      <c r="C763" s="1" t="n">
        <v>45346</v>
      </c>
      <c r="D763" t="inlineStr">
        <is>
          <t>VÄSTERNORRLANDS LÄN</t>
        </is>
      </c>
      <c r="E763" t="inlineStr">
        <is>
          <t>SOLLEFTEÅ</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68032-2020</t>
        </is>
      </c>
      <c r="B764" s="1" t="n">
        <v>44182</v>
      </c>
      <c r="C764" s="1" t="n">
        <v>45346</v>
      </c>
      <c r="D764" t="inlineStr">
        <is>
          <t>VÄSTERNORRLANDS LÄN</t>
        </is>
      </c>
      <c r="E764" t="inlineStr">
        <is>
          <t>SOLLEFTEÅ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68037-2020</t>
        </is>
      </c>
      <c r="B765" s="1" t="n">
        <v>44182</v>
      </c>
      <c r="C765" s="1" t="n">
        <v>45346</v>
      </c>
      <c r="D765" t="inlineStr">
        <is>
          <t>VÄSTERNORRLANDS LÄN</t>
        </is>
      </c>
      <c r="E765" t="inlineStr">
        <is>
          <t>SOLLEFTEÅ</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68292-2020</t>
        </is>
      </c>
      <c r="B766" s="1" t="n">
        <v>44183</v>
      </c>
      <c r="C766" s="1" t="n">
        <v>45346</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68570-2020</t>
        </is>
      </c>
      <c r="B767" s="1" t="n">
        <v>44186</v>
      </c>
      <c r="C767" s="1" t="n">
        <v>45346</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68652-2020</t>
        </is>
      </c>
      <c r="B768" s="1" t="n">
        <v>44186</v>
      </c>
      <c r="C768" s="1" t="n">
        <v>45346</v>
      </c>
      <c r="D768" t="inlineStr">
        <is>
          <t>VÄSTERNORRLANDS LÄN</t>
        </is>
      </c>
      <c r="E768" t="inlineStr">
        <is>
          <t>SOLLEFTEÅ</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68647-2020</t>
        </is>
      </c>
      <c r="B769" s="1" t="n">
        <v>44186</v>
      </c>
      <c r="C769" s="1" t="n">
        <v>45346</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68648-2020</t>
        </is>
      </c>
      <c r="B770" s="1" t="n">
        <v>44186</v>
      </c>
      <c r="C770" s="1" t="n">
        <v>45346</v>
      </c>
      <c r="D770" t="inlineStr">
        <is>
          <t>VÄSTERNORRLANDS LÄN</t>
        </is>
      </c>
      <c r="E770" t="inlineStr">
        <is>
          <t>SOLLEFTEÅ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68656-2020</t>
        </is>
      </c>
      <c r="B771" s="1" t="n">
        <v>44186</v>
      </c>
      <c r="C771" s="1" t="n">
        <v>45346</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69436-2020</t>
        </is>
      </c>
      <c r="B772" s="1" t="n">
        <v>44193</v>
      </c>
      <c r="C772" s="1" t="n">
        <v>45346</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272-2021</t>
        </is>
      </c>
      <c r="B773" s="1" t="n">
        <v>44200</v>
      </c>
      <c r="C773" s="1" t="n">
        <v>45346</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691-2021</t>
        </is>
      </c>
      <c r="B774" s="1" t="n">
        <v>44203</v>
      </c>
      <c r="C774" s="1" t="n">
        <v>45346</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1858-2021</t>
        </is>
      </c>
      <c r="B775" s="1" t="n">
        <v>44210</v>
      </c>
      <c r="C775" s="1" t="n">
        <v>45346</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2077-2021</t>
        </is>
      </c>
      <c r="B776" s="1" t="n">
        <v>44210</v>
      </c>
      <c r="C776" s="1" t="n">
        <v>45346</v>
      </c>
      <c r="D776" t="inlineStr">
        <is>
          <t>VÄSTERNORRLANDS LÄN</t>
        </is>
      </c>
      <c r="E776" t="inlineStr">
        <is>
          <t>SOLLEFTEÅ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2487-2021</t>
        </is>
      </c>
      <c r="B777" s="1" t="n">
        <v>44211</v>
      </c>
      <c r="C777" s="1" t="n">
        <v>45346</v>
      </c>
      <c r="D777" t="inlineStr">
        <is>
          <t>VÄSTERNORRLANDS LÄN</t>
        </is>
      </c>
      <c r="E777" t="inlineStr">
        <is>
          <t>SOLLEFTEÅ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3441-2021</t>
        </is>
      </c>
      <c r="B778" s="1" t="n">
        <v>44218</v>
      </c>
      <c r="C778" s="1" t="n">
        <v>45346</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4127-2021</t>
        </is>
      </c>
      <c r="B779" s="1" t="n">
        <v>44222</v>
      </c>
      <c r="C779" s="1" t="n">
        <v>45346</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5989-2021</t>
        </is>
      </c>
      <c r="B780" s="1" t="n">
        <v>44231</v>
      </c>
      <c r="C780" s="1" t="n">
        <v>45346</v>
      </c>
      <c r="D780" t="inlineStr">
        <is>
          <t>VÄSTERNORRLANDS LÄN</t>
        </is>
      </c>
      <c r="E780" t="inlineStr">
        <is>
          <t>SOLLEFTEÅ</t>
        </is>
      </c>
      <c r="G780" t="n">
        <v>0.9</v>
      </c>
      <c r="H780" t="n">
        <v>0</v>
      </c>
      <c r="I780" t="n">
        <v>0</v>
      </c>
      <c r="J780" t="n">
        <v>0</v>
      </c>
      <c r="K780" t="n">
        <v>0</v>
      </c>
      <c r="L780" t="n">
        <v>0</v>
      </c>
      <c r="M780" t="n">
        <v>0</v>
      </c>
      <c r="N780" t="n">
        <v>0</v>
      </c>
      <c r="O780" t="n">
        <v>0</v>
      </c>
      <c r="P780" t="n">
        <v>0</v>
      </c>
      <c r="Q780" t="n">
        <v>0</v>
      </c>
      <c r="R780" s="2" t="inlineStr"/>
    </row>
    <row r="781" ht="15" customHeight="1">
      <c r="A781" t="inlineStr">
        <is>
          <t>A 7658-2021</t>
        </is>
      </c>
      <c r="B781" s="1" t="n">
        <v>44242</v>
      </c>
      <c r="C781" s="1" t="n">
        <v>45346</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7659-2021</t>
        </is>
      </c>
      <c r="B782" s="1" t="n">
        <v>44242</v>
      </c>
      <c r="C782" s="1" t="n">
        <v>45346</v>
      </c>
      <c r="D782" t="inlineStr">
        <is>
          <t>VÄSTERNORRLANDS LÄN</t>
        </is>
      </c>
      <c r="E782" t="inlineStr">
        <is>
          <t>SOLLEFTEÅ</t>
        </is>
      </c>
      <c r="G782" t="n">
        <v>8.1</v>
      </c>
      <c r="H782" t="n">
        <v>0</v>
      </c>
      <c r="I782" t="n">
        <v>0</v>
      </c>
      <c r="J782" t="n">
        <v>0</v>
      </c>
      <c r="K782" t="n">
        <v>0</v>
      </c>
      <c r="L782" t="n">
        <v>0</v>
      </c>
      <c r="M782" t="n">
        <v>0</v>
      </c>
      <c r="N782" t="n">
        <v>0</v>
      </c>
      <c r="O782" t="n">
        <v>0</v>
      </c>
      <c r="P782" t="n">
        <v>0</v>
      </c>
      <c r="Q782" t="n">
        <v>0</v>
      </c>
      <c r="R782" s="2" t="inlineStr"/>
    </row>
    <row r="783" ht="15" customHeight="1">
      <c r="A783" t="inlineStr">
        <is>
          <t>A 7889-2021</t>
        </is>
      </c>
      <c r="B783" s="1" t="n">
        <v>44242</v>
      </c>
      <c r="C783" s="1" t="n">
        <v>45346</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8631-2021</t>
        </is>
      </c>
      <c r="B784" s="1" t="n">
        <v>44245</v>
      </c>
      <c r="C784" s="1" t="n">
        <v>45346</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8692-2021</t>
        </is>
      </c>
      <c r="B785" s="1" t="n">
        <v>44246</v>
      </c>
      <c r="C785" s="1" t="n">
        <v>45346</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9461-2021</t>
        </is>
      </c>
      <c r="B786" s="1" t="n">
        <v>44251</v>
      </c>
      <c r="C786" s="1" t="n">
        <v>45346</v>
      </c>
      <c r="D786" t="inlineStr">
        <is>
          <t>VÄSTERNORRLANDS LÄN</t>
        </is>
      </c>
      <c r="E786" t="inlineStr">
        <is>
          <t>SOLLEFTEÅ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9626-2021</t>
        </is>
      </c>
      <c r="B787" s="1" t="n">
        <v>44251</v>
      </c>
      <c r="C787" s="1" t="n">
        <v>45346</v>
      </c>
      <c r="D787" t="inlineStr">
        <is>
          <t>VÄSTERNORRLANDS LÄN</t>
        </is>
      </c>
      <c r="E787" t="inlineStr">
        <is>
          <t>SOLLEFTEÅ</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45346</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45346</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45346</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45346</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45346</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45346</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45346</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15098-2021</t>
        </is>
      </c>
      <c r="B795" s="1" t="n">
        <v>44281</v>
      </c>
      <c r="C795" s="1" t="n">
        <v>45346</v>
      </c>
      <c r="D795" t="inlineStr">
        <is>
          <t>VÄSTERNORRLANDS LÄN</t>
        </is>
      </c>
      <c r="E795" t="inlineStr">
        <is>
          <t>SOLLEFTEÅ</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15461-2021</t>
        </is>
      </c>
      <c r="B796" s="1" t="n">
        <v>44285</v>
      </c>
      <c r="C796" s="1" t="n">
        <v>45346</v>
      </c>
      <c r="D796" t="inlineStr">
        <is>
          <t>VÄSTERNORRLANDS LÄN</t>
        </is>
      </c>
      <c r="E796" t="inlineStr">
        <is>
          <t>SOLLEFTEÅ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15894-2021</t>
        </is>
      </c>
      <c r="B797" s="1" t="n">
        <v>44286</v>
      </c>
      <c r="C797" s="1" t="n">
        <v>45346</v>
      </c>
      <c r="D797" t="inlineStr">
        <is>
          <t>VÄSTERNORRLANDS LÄN</t>
        </is>
      </c>
      <c r="E797" t="inlineStr">
        <is>
          <t>SOLLEFTEÅ</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16700-2021</t>
        </is>
      </c>
      <c r="B798" s="1" t="n">
        <v>44293</v>
      </c>
      <c r="C798" s="1" t="n">
        <v>45346</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16799-2021</t>
        </is>
      </c>
      <c r="B799" s="1" t="n">
        <v>44293</v>
      </c>
      <c r="C799" s="1" t="n">
        <v>45346</v>
      </c>
      <c r="D799" t="inlineStr">
        <is>
          <t>VÄSTERNORRLANDS LÄN</t>
        </is>
      </c>
      <c r="E799" t="inlineStr">
        <is>
          <t>SOLLEFTEÅ</t>
        </is>
      </c>
      <c r="G799" t="n">
        <v>3</v>
      </c>
      <c r="H799" t="n">
        <v>0</v>
      </c>
      <c r="I799" t="n">
        <v>0</v>
      </c>
      <c r="J799" t="n">
        <v>0</v>
      </c>
      <c r="K799" t="n">
        <v>0</v>
      </c>
      <c r="L799" t="n">
        <v>0</v>
      </c>
      <c r="M799" t="n">
        <v>0</v>
      </c>
      <c r="N799" t="n">
        <v>0</v>
      </c>
      <c r="O799" t="n">
        <v>0</v>
      </c>
      <c r="P799" t="n">
        <v>0</v>
      </c>
      <c r="Q799" t="n">
        <v>0</v>
      </c>
      <c r="R799" s="2" t="inlineStr"/>
    </row>
    <row r="800" ht="15" customHeight="1">
      <c r="A800" t="inlineStr">
        <is>
          <t>A 16905-2021</t>
        </is>
      </c>
      <c r="B800" s="1" t="n">
        <v>44294</v>
      </c>
      <c r="C800" s="1" t="n">
        <v>45346</v>
      </c>
      <c r="D800" t="inlineStr">
        <is>
          <t>VÄSTERNORRLANDS LÄN</t>
        </is>
      </c>
      <c r="E800" t="inlineStr">
        <is>
          <t>SOLLEFTEÅ</t>
        </is>
      </c>
      <c r="G800" t="n">
        <v>5</v>
      </c>
      <c r="H800" t="n">
        <v>0</v>
      </c>
      <c r="I800" t="n">
        <v>0</v>
      </c>
      <c r="J800" t="n">
        <v>0</v>
      </c>
      <c r="K800" t="n">
        <v>0</v>
      </c>
      <c r="L800" t="n">
        <v>0</v>
      </c>
      <c r="M800" t="n">
        <v>0</v>
      </c>
      <c r="N800" t="n">
        <v>0</v>
      </c>
      <c r="O800" t="n">
        <v>0</v>
      </c>
      <c r="P800" t="n">
        <v>0</v>
      </c>
      <c r="Q800" t="n">
        <v>0</v>
      </c>
      <c r="R800" s="2" t="inlineStr"/>
    </row>
    <row r="801" ht="15" customHeight="1">
      <c r="A801" t="inlineStr">
        <is>
          <t>A 17604-2021</t>
        </is>
      </c>
      <c r="B801" s="1" t="n">
        <v>44299</v>
      </c>
      <c r="C801" s="1" t="n">
        <v>45346</v>
      </c>
      <c r="D801" t="inlineStr">
        <is>
          <t>VÄSTERNORRLANDS LÄN</t>
        </is>
      </c>
      <c r="E801" t="inlineStr">
        <is>
          <t>SOLLEFTEÅ</t>
        </is>
      </c>
      <c r="G801" t="n">
        <v>1.7</v>
      </c>
      <c r="H801" t="n">
        <v>0</v>
      </c>
      <c r="I801" t="n">
        <v>0</v>
      </c>
      <c r="J801" t="n">
        <v>0</v>
      </c>
      <c r="K801" t="n">
        <v>0</v>
      </c>
      <c r="L801" t="n">
        <v>0</v>
      </c>
      <c r="M801" t="n">
        <v>0</v>
      </c>
      <c r="N801" t="n">
        <v>0</v>
      </c>
      <c r="O801" t="n">
        <v>0</v>
      </c>
      <c r="P801" t="n">
        <v>0</v>
      </c>
      <c r="Q801" t="n">
        <v>0</v>
      </c>
      <c r="R801" s="2" t="inlineStr"/>
    </row>
    <row r="802" ht="15" customHeight="1">
      <c r="A802" t="inlineStr">
        <is>
          <t>A 18459-2021</t>
        </is>
      </c>
      <c r="B802" s="1" t="n">
        <v>44306</v>
      </c>
      <c r="C802" s="1" t="n">
        <v>45346</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18668-2021</t>
        </is>
      </c>
      <c r="B803" s="1" t="n">
        <v>44306</v>
      </c>
      <c r="C803" s="1" t="n">
        <v>45346</v>
      </c>
      <c r="D803" t="inlineStr">
        <is>
          <t>VÄSTERNORRLANDS LÄN</t>
        </is>
      </c>
      <c r="E803" t="inlineStr">
        <is>
          <t>SOLLEFTEÅ</t>
        </is>
      </c>
      <c r="G803" t="n">
        <v>12.7</v>
      </c>
      <c r="H803" t="n">
        <v>0</v>
      </c>
      <c r="I803" t="n">
        <v>0</v>
      </c>
      <c r="J803" t="n">
        <v>0</v>
      </c>
      <c r="K803" t="n">
        <v>0</v>
      </c>
      <c r="L803" t="n">
        <v>0</v>
      </c>
      <c r="M803" t="n">
        <v>0</v>
      </c>
      <c r="N803" t="n">
        <v>0</v>
      </c>
      <c r="O803" t="n">
        <v>0</v>
      </c>
      <c r="P803" t="n">
        <v>0</v>
      </c>
      <c r="Q803" t="n">
        <v>0</v>
      </c>
      <c r="R803" s="2" t="inlineStr"/>
    </row>
    <row r="804" ht="15" customHeight="1">
      <c r="A804" t="inlineStr">
        <is>
          <t>A 18741-2021</t>
        </is>
      </c>
      <c r="B804" s="1" t="n">
        <v>44306</v>
      </c>
      <c r="C804" s="1" t="n">
        <v>45346</v>
      </c>
      <c r="D804" t="inlineStr">
        <is>
          <t>VÄSTERNORRLANDS LÄN</t>
        </is>
      </c>
      <c r="E804" t="inlineStr">
        <is>
          <t>SOLLEFTEÅ</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18662-2021</t>
        </is>
      </c>
      <c r="B805" s="1" t="n">
        <v>44306</v>
      </c>
      <c r="C805" s="1" t="n">
        <v>45346</v>
      </c>
      <c r="D805" t="inlineStr">
        <is>
          <t>VÄSTERNORRLANDS LÄN</t>
        </is>
      </c>
      <c r="E805" t="inlineStr">
        <is>
          <t>SOLLEFTEÅ</t>
        </is>
      </c>
      <c r="G805" t="n">
        <v>0.9</v>
      </c>
      <c r="H805" t="n">
        <v>0</v>
      </c>
      <c r="I805" t="n">
        <v>0</v>
      </c>
      <c r="J805" t="n">
        <v>0</v>
      </c>
      <c r="K805" t="n">
        <v>0</v>
      </c>
      <c r="L805" t="n">
        <v>0</v>
      </c>
      <c r="M805" t="n">
        <v>0</v>
      </c>
      <c r="N805" t="n">
        <v>0</v>
      </c>
      <c r="O805" t="n">
        <v>0</v>
      </c>
      <c r="P805" t="n">
        <v>0</v>
      </c>
      <c r="Q805" t="n">
        <v>0</v>
      </c>
      <c r="R805" s="2" t="inlineStr"/>
    </row>
    <row r="806" ht="15" customHeight="1">
      <c r="A806" t="inlineStr">
        <is>
          <t>A 18766-2021</t>
        </is>
      </c>
      <c r="B806" s="1" t="n">
        <v>44307</v>
      </c>
      <c r="C806" s="1" t="n">
        <v>45346</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18761-2021</t>
        </is>
      </c>
      <c r="B807" s="1" t="n">
        <v>44307</v>
      </c>
      <c r="C807" s="1" t="n">
        <v>45346</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18873-2021</t>
        </is>
      </c>
      <c r="B808" s="1" t="n">
        <v>44308</v>
      </c>
      <c r="C808" s="1" t="n">
        <v>45346</v>
      </c>
      <c r="D808" t="inlineStr">
        <is>
          <t>VÄSTERNORRLANDS LÄN</t>
        </is>
      </c>
      <c r="E808" t="inlineStr">
        <is>
          <t>SOLLEFTEÅ</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18878-2021</t>
        </is>
      </c>
      <c r="B809" s="1" t="n">
        <v>44307</v>
      </c>
      <c r="C809" s="1" t="n">
        <v>45346</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18867-2021</t>
        </is>
      </c>
      <c r="B810" s="1" t="n">
        <v>44307</v>
      </c>
      <c r="C810" s="1" t="n">
        <v>45346</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18882-2021</t>
        </is>
      </c>
      <c r="B811" s="1" t="n">
        <v>44308</v>
      </c>
      <c r="C811" s="1" t="n">
        <v>45346</v>
      </c>
      <c r="D811" t="inlineStr">
        <is>
          <t>VÄSTERNORRLANDS LÄN</t>
        </is>
      </c>
      <c r="E811" t="inlineStr">
        <is>
          <t>SOLLEFTEÅ</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18875-2021</t>
        </is>
      </c>
      <c r="B812" s="1" t="n">
        <v>44307</v>
      </c>
      <c r="C812" s="1" t="n">
        <v>45346</v>
      </c>
      <c r="D812" t="inlineStr">
        <is>
          <t>VÄSTERNORRLANDS LÄN</t>
        </is>
      </c>
      <c r="E812" t="inlineStr">
        <is>
          <t>SOLLEFTEÅ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18866-2021</t>
        </is>
      </c>
      <c r="B813" s="1" t="n">
        <v>44308</v>
      </c>
      <c r="C813" s="1" t="n">
        <v>45346</v>
      </c>
      <c r="D813" t="inlineStr">
        <is>
          <t>VÄSTERNORRLANDS LÄN</t>
        </is>
      </c>
      <c r="E813" t="inlineStr">
        <is>
          <t>SOLLEFTEÅ</t>
        </is>
      </c>
      <c r="F813" t="inlineStr">
        <is>
          <t>SCA</t>
        </is>
      </c>
      <c r="G813" t="n">
        <v>5.5</v>
      </c>
      <c r="H813" t="n">
        <v>0</v>
      </c>
      <c r="I813" t="n">
        <v>0</v>
      </c>
      <c r="J813" t="n">
        <v>0</v>
      </c>
      <c r="K813" t="n">
        <v>0</v>
      </c>
      <c r="L813" t="n">
        <v>0</v>
      </c>
      <c r="M813" t="n">
        <v>0</v>
      </c>
      <c r="N813" t="n">
        <v>0</v>
      </c>
      <c r="O813" t="n">
        <v>0</v>
      </c>
      <c r="P813" t="n">
        <v>0</v>
      </c>
      <c r="Q813" t="n">
        <v>0</v>
      </c>
      <c r="R813" s="2" t="inlineStr"/>
    </row>
    <row r="814" ht="15" customHeight="1">
      <c r="A814" t="inlineStr">
        <is>
          <t>A 18874-2021</t>
        </is>
      </c>
      <c r="B814" s="1" t="n">
        <v>44308</v>
      </c>
      <c r="C814" s="1" t="n">
        <v>45346</v>
      </c>
      <c r="D814" t="inlineStr">
        <is>
          <t>VÄSTERNORRLANDS LÄN</t>
        </is>
      </c>
      <c r="E814" t="inlineStr">
        <is>
          <t>SOLLEFTEÅ</t>
        </is>
      </c>
      <c r="F814" t="inlineStr">
        <is>
          <t>SCA</t>
        </is>
      </c>
      <c r="G814" t="n">
        <v>10.7</v>
      </c>
      <c r="H814" t="n">
        <v>0</v>
      </c>
      <c r="I814" t="n">
        <v>0</v>
      </c>
      <c r="J814" t="n">
        <v>0</v>
      </c>
      <c r="K814" t="n">
        <v>0</v>
      </c>
      <c r="L814" t="n">
        <v>0</v>
      </c>
      <c r="M814" t="n">
        <v>0</v>
      </c>
      <c r="N814" t="n">
        <v>0</v>
      </c>
      <c r="O814" t="n">
        <v>0</v>
      </c>
      <c r="P814" t="n">
        <v>0</v>
      </c>
      <c r="Q814" t="n">
        <v>0</v>
      </c>
      <c r="R814" s="2" t="inlineStr"/>
    </row>
    <row r="815" ht="15" customHeight="1">
      <c r="A815" t="inlineStr">
        <is>
          <t>A 18879-2021</t>
        </is>
      </c>
      <c r="B815" s="1" t="n">
        <v>44307</v>
      </c>
      <c r="C815" s="1" t="n">
        <v>45346</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18868-2021</t>
        </is>
      </c>
      <c r="B816" s="1" t="n">
        <v>44307</v>
      </c>
      <c r="C816" s="1" t="n">
        <v>45346</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18877-2021</t>
        </is>
      </c>
      <c r="B817" s="1" t="n">
        <v>44308</v>
      </c>
      <c r="C817" s="1" t="n">
        <v>45346</v>
      </c>
      <c r="D817" t="inlineStr">
        <is>
          <t>VÄSTERNORRLANDS LÄN</t>
        </is>
      </c>
      <c r="E817" t="inlineStr">
        <is>
          <t>SOLLEFTEÅ</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18889-2021</t>
        </is>
      </c>
      <c r="B818" s="1" t="n">
        <v>44308</v>
      </c>
      <c r="C818" s="1" t="n">
        <v>45346</v>
      </c>
      <c r="D818" t="inlineStr">
        <is>
          <t>VÄSTERNORRLANDS LÄN</t>
        </is>
      </c>
      <c r="E818" t="inlineStr">
        <is>
          <t>SOLLEFTEÅ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19200-2021</t>
        </is>
      </c>
      <c r="B819" s="1" t="n">
        <v>44309</v>
      </c>
      <c r="C819" s="1" t="n">
        <v>45346</v>
      </c>
      <c r="D819" t="inlineStr">
        <is>
          <t>VÄSTERNORRLANDS LÄN</t>
        </is>
      </c>
      <c r="E819" t="inlineStr">
        <is>
          <t>SOLLEFTEÅ</t>
        </is>
      </c>
      <c r="G819" t="n">
        <v>12.7</v>
      </c>
      <c r="H819" t="n">
        <v>0</v>
      </c>
      <c r="I819" t="n">
        <v>0</v>
      </c>
      <c r="J819" t="n">
        <v>0</v>
      </c>
      <c r="K819" t="n">
        <v>0</v>
      </c>
      <c r="L819" t="n">
        <v>0</v>
      </c>
      <c r="M819" t="n">
        <v>0</v>
      </c>
      <c r="N819" t="n">
        <v>0</v>
      </c>
      <c r="O819" t="n">
        <v>0</v>
      </c>
      <c r="P819" t="n">
        <v>0</v>
      </c>
      <c r="Q819" t="n">
        <v>0</v>
      </c>
      <c r="R819" s="2" t="inlineStr"/>
    </row>
    <row r="820" ht="15" customHeight="1">
      <c r="A820" t="inlineStr">
        <is>
          <t>A 19510-2021</t>
        </is>
      </c>
      <c r="B820" s="1" t="n">
        <v>44308</v>
      </c>
      <c r="C820" s="1" t="n">
        <v>45346</v>
      </c>
      <c r="D820" t="inlineStr">
        <is>
          <t>VÄSTERNORRLANDS LÄN</t>
        </is>
      </c>
      <c r="E820" t="inlineStr">
        <is>
          <t>SOLLEFTEÅ</t>
        </is>
      </c>
      <c r="F820" t="inlineStr">
        <is>
          <t>Kyrkan</t>
        </is>
      </c>
      <c r="G820" t="n">
        <v>19.6</v>
      </c>
      <c r="H820" t="n">
        <v>0</v>
      </c>
      <c r="I820" t="n">
        <v>0</v>
      </c>
      <c r="J820" t="n">
        <v>0</v>
      </c>
      <c r="K820" t="n">
        <v>0</v>
      </c>
      <c r="L820" t="n">
        <v>0</v>
      </c>
      <c r="M820" t="n">
        <v>0</v>
      </c>
      <c r="N820" t="n">
        <v>0</v>
      </c>
      <c r="O820" t="n">
        <v>0</v>
      </c>
      <c r="P820" t="n">
        <v>0</v>
      </c>
      <c r="Q820" t="n">
        <v>0</v>
      </c>
      <c r="R820" s="2" t="inlineStr"/>
    </row>
    <row r="821" ht="15" customHeight="1">
      <c r="A821" t="inlineStr">
        <is>
          <t>A 19220-2021</t>
        </is>
      </c>
      <c r="B821" s="1" t="n">
        <v>44309</v>
      </c>
      <c r="C821" s="1" t="n">
        <v>45346</v>
      </c>
      <c r="D821" t="inlineStr">
        <is>
          <t>VÄSTERNORRLANDS LÄN</t>
        </is>
      </c>
      <c r="E821" t="inlineStr">
        <is>
          <t>SOLLEFTEÅ</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19433-2021</t>
        </is>
      </c>
      <c r="B822" s="1" t="n">
        <v>44310</v>
      </c>
      <c r="C822" s="1" t="n">
        <v>45346</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19412-2021</t>
        </is>
      </c>
      <c r="B823" s="1" t="n">
        <v>44310</v>
      </c>
      <c r="C823" s="1" t="n">
        <v>45346</v>
      </c>
      <c r="D823" t="inlineStr">
        <is>
          <t>VÄSTERNORRLANDS LÄN</t>
        </is>
      </c>
      <c r="E823" t="inlineStr">
        <is>
          <t>SOLLEFTEÅ</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19435-2021</t>
        </is>
      </c>
      <c r="B824" s="1" t="n">
        <v>44310</v>
      </c>
      <c r="C824" s="1" t="n">
        <v>45346</v>
      </c>
      <c r="D824" t="inlineStr">
        <is>
          <t>VÄSTERNORRLANDS LÄN</t>
        </is>
      </c>
      <c r="E824" t="inlineStr">
        <is>
          <t>SOLLEFTEÅ</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19516-2021</t>
        </is>
      </c>
      <c r="B825" s="1" t="n">
        <v>44309</v>
      </c>
      <c r="C825" s="1" t="n">
        <v>45346</v>
      </c>
      <c r="D825" t="inlineStr">
        <is>
          <t>VÄSTERNORRLANDS LÄN</t>
        </is>
      </c>
      <c r="E825" t="inlineStr">
        <is>
          <t>SOLLEFTEÅ</t>
        </is>
      </c>
      <c r="G825" t="n">
        <v>15.6</v>
      </c>
      <c r="H825" t="n">
        <v>0</v>
      </c>
      <c r="I825" t="n">
        <v>0</v>
      </c>
      <c r="J825" t="n">
        <v>0</v>
      </c>
      <c r="K825" t="n">
        <v>0</v>
      </c>
      <c r="L825" t="n">
        <v>0</v>
      </c>
      <c r="M825" t="n">
        <v>0</v>
      </c>
      <c r="N825" t="n">
        <v>0</v>
      </c>
      <c r="O825" t="n">
        <v>0</v>
      </c>
      <c r="P825" t="n">
        <v>0</v>
      </c>
      <c r="Q825" t="n">
        <v>0</v>
      </c>
      <c r="R825" s="2" t="inlineStr"/>
    </row>
    <row r="826" ht="15" customHeight="1">
      <c r="A826" t="inlineStr">
        <is>
          <t>A 19830-2021</t>
        </is>
      </c>
      <c r="B826" s="1" t="n">
        <v>44312</v>
      </c>
      <c r="C826" s="1" t="n">
        <v>45346</v>
      </c>
      <c r="D826" t="inlineStr">
        <is>
          <t>VÄSTERNORRLANDS LÄN</t>
        </is>
      </c>
      <c r="E826" t="inlineStr">
        <is>
          <t>SOLLEFTEÅ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19637-2021</t>
        </is>
      </c>
      <c r="B827" s="1" t="n">
        <v>44312</v>
      </c>
      <c r="C827" s="1" t="n">
        <v>45346</v>
      </c>
      <c r="D827" t="inlineStr">
        <is>
          <t>VÄSTERNORRLANDS LÄN</t>
        </is>
      </c>
      <c r="E827" t="inlineStr">
        <is>
          <t>SOLLEFTEÅ</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21341-2021</t>
        </is>
      </c>
      <c r="B828" s="1" t="n">
        <v>44321</v>
      </c>
      <c r="C828" s="1" t="n">
        <v>45346</v>
      </c>
      <c r="D828" t="inlineStr">
        <is>
          <t>VÄSTERNORRLANDS LÄN</t>
        </is>
      </c>
      <c r="E828" t="inlineStr">
        <is>
          <t>SOLLEFTEÅ</t>
        </is>
      </c>
      <c r="G828" t="n">
        <v>4.1</v>
      </c>
      <c r="H828" t="n">
        <v>0</v>
      </c>
      <c r="I828" t="n">
        <v>0</v>
      </c>
      <c r="J828" t="n">
        <v>0</v>
      </c>
      <c r="K828" t="n">
        <v>0</v>
      </c>
      <c r="L828" t="n">
        <v>0</v>
      </c>
      <c r="M828" t="n">
        <v>0</v>
      </c>
      <c r="N828" t="n">
        <v>0</v>
      </c>
      <c r="O828" t="n">
        <v>0</v>
      </c>
      <c r="P828" t="n">
        <v>0</v>
      </c>
      <c r="Q828" t="n">
        <v>0</v>
      </c>
      <c r="R828" s="2" t="inlineStr"/>
    </row>
    <row r="829" ht="15" customHeight="1">
      <c r="A829" t="inlineStr">
        <is>
          <t>A 21360-2021</t>
        </is>
      </c>
      <c r="B829" s="1" t="n">
        <v>44320</v>
      </c>
      <c r="C829" s="1" t="n">
        <v>45346</v>
      </c>
      <c r="D829" t="inlineStr">
        <is>
          <t>VÄSTERNORRLANDS LÄN</t>
        </is>
      </c>
      <c r="E829" t="inlineStr">
        <is>
          <t>SOLLEFTEÅ</t>
        </is>
      </c>
      <c r="G829" t="n">
        <v>6.8</v>
      </c>
      <c r="H829" t="n">
        <v>0</v>
      </c>
      <c r="I829" t="n">
        <v>0</v>
      </c>
      <c r="J829" t="n">
        <v>0</v>
      </c>
      <c r="K829" t="n">
        <v>0</v>
      </c>
      <c r="L829" t="n">
        <v>0</v>
      </c>
      <c r="M829" t="n">
        <v>0</v>
      </c>
      <c r="N829" t="n">
        <v>0</v>
      </c>
      <c r="O829" t="n">
        <v>0</v>
      </c>
      <c r="P829" t="n">
        <v>0</v>
      </c>
      <c r="Q829" t="n">
        <v>0</v>
      </c>
      <c r="R829" s="2" t="inlineStr"/>
    </row>
    <row r="830" ht="15" customHeight="1">
      <c r="A830" t="inlineStr">
        <is>
          <t>A 21350-2021</t>
        </is>
      </c>
      <c r="B830" s="1" t="n">
        <v>44321</v>
      </c>
      <c r="C830" s="1" t="n">
        <v>45346</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21358-2021</t>
        </is>
      </c>
      <c r="B831" s="1" t="n">
        <v>44320</v>
      </c>
      <c r="C831" s="1" t="n">
        <v>45346</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21362-2021</t>
        </is>
      </c>
      <c r="B832" s="1" t="n">
        <v>44321</v>
      </c>
      <c r="C832" s="1" t="n">
        <v>45346</v>
      </c>
      <c r="D832" t="inlineStr">
        <is>
          <t>VÄSTERNORRLANDS LÄN</t>
        </is>
      </c>
      <c r="E832" t="inlineStr">
        <is>
          <t>SOLLEFTEÅ</t>
        </is>
      </c>
      <c r="G832" t="n">
        <v>1</v>
      </c>
      <c r="H832" t="n">
        <v>0</v>
      </c>
      <c r="I832" t="n">
        <v>0</v>
      </c>
      <c r="J832" t="n">
        <v>0</v>
      </c>
      <c r="K832" t="n">
        <v>0</v>
      </c>
      <c r="L832" t="n">
        <v>0</v>
      </c>
      <c r="M832" t="n">
        <v>0</v>
      </c>
      <c r="N832" t="n">
        <v>0</v>
      </c>
      <c r="O832" t="n">
        <v>0</v>
      </c>
      <c r="P832" t="n">
        <v>0</v>
      </c>
      <c r="Q832" t="n">
        <v>0</v>
      </c>
      <c r="R832" s="2" t="inlineStr"/>
    </row>
    <row r="833" ht="15" customHeight="1">
      <c r="A833" t="inlineStr">
        <is>
          <t>A 21532-2021</t>
        </is>
      </c>
      <c r="B833" s="1" t="n">
        <v>44321</v>
      </c>
      <c r="C833" s="1" t="n">
        <v>45346</v>
      </c>
      <c r="D833" t="inlineStr">
        <is>
          <t>VÄSTERNORRLANDS LÄN</t>
        </is>
      </c>
      <c r="E833" t="inlineStr">
        <is>
          <t>SOLLEFTEÅ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21589-2021</t>
        </is>
      </c>
      <c r="B834" s="1" t="n">
        <v>44321</v>
      </c>
      <c r="C834" s="1" t="n">
        <v>45346</v>
      </c>
      <c r="D834" t="inlineStr">
        <is>
          <t>VÄSTERNORRLANDS LÄN</t>
        </is>
      </c>
      <c r="E834" t="inlineStr">
        <is>
          <t>SOLLEFTEÅ</t>
        </is>
      </c>
      <c r="G834" t="n">
        <v>7</v>
      </c>
      <c r="H834" t="n">
        <v>0</v>
      </c>
      <c r="I834" t="n">
        <v>0</v>
      </c>
      <c r="J834" t="n">
        <v>0</v>
      </c>
      <c r="K834" t="n">
        <v>0</v>
      </c>
      <c r="L834" t="n">
        <v>0</v>
      </c>
      <c r="M834" t="n">
        <v>0</v>
      </c>
      <c r="N834" t="n">
        <v>0</v>
      </c>
      <c r="O834" t="n">
        <v>0</v>
      </c>
      <c r="P834" t="n">
        <v>0</v>
      </c>
      <c r="Q834" t="n">
        <v>0</v>
      </c>
      <c r="R834" s="2" t="inlineStr"/>
    </row>
    <row r="835" ht="15" customHeight="1">
      <c r="A835" t="inlineStr">
        <is>
          <t>A 21711-2021</t>
        </is>
      </c>
      <c r="B835" s="1" t="n">
        <v>44322</v>
      </c>
      <c r="C835" s="1" t="n">
        <v>45346</v>
      </c>
      <c r="D835" t="inlineStr">
        <is>
          <t>VÄSTERNORRLANDS LÄN</t>
        </is>
      </c>
      <c r="E835" t="inlineStr">
        <is>
          <t>SOLLEFTEÅ</t>
        </is>
      </c>
      <c r="F835" t="inlineStr">
        <is>
          <t>Kyrkan</t>
        </is>
      </c>
      <c r="G835" t="n">
        <v>22.2</v>
      </c>
      <c r="H835" t="n">
        <v>0</v>
      </c>
      <c r="I835" t="n">
        <v>0</v>
      </c>
      <c r="J835" t="n">
        <v>0</v>
      </c>
      <c r="K835" t="n">
        <v>0</v>
      </c>
      <c r="L835" t="n">
        <v>0</v>
      </c>
      <c r="M835" t="n">
        <v>0</v>
      </c>
      <c r="N835" t="n">
        <v>0</v>
      </c>
      <c r="O835" t="n">
        <v>0</v>
      </c>
      <c r="P835" t="n">
        <v>0</v>
      </c>
      <c r="Q835" t="n">
        <v>0</v>
      </c>
      <c r="R835" s="2" t="inlineStr"/>
    </row>
    <row r="836" ht="15" customHeight="1">
      <c r="A836" t="inlineStr">
        <is>
          <t>A 21924-2021</t>
        </is>
      </c>
      <c r="B836" s="1" t="n">
        <v>44323</v>
      </c>
      <c r="C836" s="1" t="n">
        <v>45346</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22447-2021</t>
        </is>
      </c>
      <c r="B837" s="1" t="n">
        <v>44323</v>
      </c>
      <c r="C837" s="1" t="n">
        <v>45346</v>
      </c>
      <c r="D837" t="inlineStr">
        <is>
          <t>VÄSTERNORRLANDS LÄN</t>
        </is>
      </c>
      <c r="E837" t="inlineStr">
        <is>
          <t>SOLLEFTEÅ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22441-2021</t>
        </is>
      </c>
      <c r="B838" s="1" t="n">
        <v>44323</v>
      </c>
      <c r="C838" s="1" t="n">
        <v>45346</v>
      </c>
      <c r="D838" t="inlineStr">
        <is>
          <t>VÄSTERNORRLANDS LÄN</t>
        </is>
      </c>
      <c r="E838" t="inlineStr">
        <is>
          <t>SOLLEFTEÅ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22224-2021</t>
        </is>
      </c>
      <c r="B839" s="1" t="n">
        <v>44326</v>
      </c>
      <c r="C839" s="1" t="n">
        <v>45346</v>
      </c>
      <c r="D839" t="inlineStr">
        <is>
          <t>VÄSTERNORRLANDS LÄN</t>
        </is>
      </c>
      <c r="E839" t="inlineStr">
        <is>
          <t>SOLLEFTEÅ</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22934-2021</t>
        </is>
      </c>
      <c r="B840" s="1" t="n">
        <v>44328</v>
      </c>
      <c r="C840" s="1" t="n">
        <v>45346</v>
      </c>
      <c r="D840" t="inlineStr">
        <is>
          <t>VÄSTERNORRLANDS LÄN</t>
        </is>
      </c>
      <c r="E840" t="inlineStr">
        <is>
          <t>SOLLEFTEÅ</t>
        </is>
      </c>
      <c r="G840" t="n">
        <v>10</v>
      </c>
      <c r="H840" t="n">
        <v>0</v>
      </c>
      <c r="I840" t="n">
        <v>0</v>
      </c>
      <c r="J840" t="n">
        <v>0</v>
      </c>
      <c r="K840" t="n">
        <v>0</v>
      </c>
      <c r="L840" t="n">
        <v>0</v>
      </c>
      <c r="M840" t="n">
        <v>0</v>
      </c>
      <c r="N840" t="n">
        <v>0</v>
      </c>
      <c r="O840" t="n">
        <v>0</v>
      </c>
      <c r="P840" t="n">
        <v>0</v>
      </c>
      <c r="Q840" t="n">
        <v>0</v>
      </c>
      <c r="R840" s="2" t="inlineStr"/>
    </row>
    <row r="841" ht="15" customHeight="1">
      <c r="A841" t="inlineStr">
        <is>
          <t>A 23033-2021</t>
        </is>
      </c>
      <c r="B841" s="1" t="n">
        <v>44329</v>
      </c>
      <c r="C841" s="1" t="n">
        <v>45346</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23032-2021</t>
        </is>
      </c>
      <c r="B842" s="1" t="n">
        <v>44329</v>
      </c>
      <c r="C842" s="1" t="n">
        <v>45346</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23034-2021</t>
        </is>
      </c>
      <c r="B843" s="1" t="n">
        <v>44329</v>
      </c>
      <c r="C843" s="1" t="n">
        <v>45346</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23030-2021</t>
        </is>
      </c>
      <c r="B844" s="1" t="n">
        <v>44329</v>
      </c>
      <c r="C844" s="1" t="n">
        <v>45346</v>
      </c>
      <c r="D844" t="inlineStr">
        <is>
          <t>VÄSTERNORRLANDS LÄN</t>
        </is>
      </c>
      <c r="E844" t="inlineStr">
        <is>
          <t>SOLLEFTEÅ</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23069-2021</t>
        </is>
      </c>
      <c r="B845" s="1" t="n">
        <v>44330</v>
      </c>
      <c r="C845" s="1" t="n">
        <v>45346</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23394-2021</t>
        </is>
      </c>
      <c r="B846" s="1" t="n">
        <v>44333</v>
      </c>
      <c r="C846" s="1" t="n">
        <v>45346</v>
      </c>
      <c r="D846" t="inlineStr">
        <is>
          <t>VÄSTERNORRLANDS LÄN</t>
        </is>
      </c>
      <c r="E846" t="inlineStr">
        <is>
          <t>SOLLEFTEÅ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23639-2021</t>
        </is>
      </c>
      <c r="B847" s="1" t="n">
        <v>44334</v>
      </c>
      <c r="C847" s="1" t="n">
        <v>45346</v>
      </c>
      <c r="D847" t="inlineStr">
        <is>
          <t>VÄSTERNORRLANDS LÄN</t>
        </is>
      </c>
      <c r="E847" t="inlineStr">
        <is>
          <t>SOLLEFTEÅ</t>
        </is>
      </c>
      <c r="F847" t="inlineStr">
        <is>
          <t>Kyrkan</t>
        </is>
      </c>
      <c r="G847" t="n">
        <v>5.4</v>
      </c>
      <c r="H847" t="n">
        <v>0</v>
      </c>
      <c r="I847" t="n">
        <v>0</v>
      </c>
      <c r="J847" t="n">
        <v>0</v>
      </c>
      <c r="K847" t="n">
        <v>0</v>
      </c>
      <c r="L847" t="n">
        <v>0</v>
      </c>
      <c r="M847" t="n">
        <v>0</v>
      </c>
      <c r="N847" t="n">
        <v>0</v>
      </c>
      <c r="O847" t="n">
        <v>0</v>
      </c>
      <c r="P847" t="n">
        <v>0</v>
      </c>
      <c r="Q847" t="n">
        <v>0</v>
      </c>
      <c r="R847" s="2" t="inlineStr"/>
    </row>
    <row r="848" ht="15" customHeight="1">
      <c r="A848" t="inlineStr">
        <is>
          <t>A 23689-2021</t>
        </is>
      </c>
      <c r="B848" s="1" t="n">
        <v>44334</v>
      </c>
      <c r="C848" s="1" t="n">
        <v>45346</v>
      </c>
      <c r="D848" t="inlineStr">
        <is>
          <t>VÄSTERNORRLANDS LÄN</t>
        </is>
      </c>
      <c r="E848" t="inlineStr">
        <is>
          <t>SOLLEFTEÅ</t>
        </is>
      </c>
      <c r="G848" t="n">
        <v>14.9</v>
      </c>
      <c r="H848" t="n">
        <v>0</v>
      </c>
      <c r="I848" t="n">
        <v>0</v>
      </c>
      <c r="J848" t="n">
        <v>0</v>
      </c>
      <c r="K848" t="n">
        <v>0</v>
      </c>
      <c r="L848" t="n">
        <v>0</v>
      </c>
      <c r="M848" t="n">
        <v>0</v>
      </c>
      <c r="N848" t="n">
        <v>0</v>
      </c>
      <c r="O848" t="n">
        <v>0</v>
      </c>
      <c r="P848" t="n">
        <v>0</v>
      </c>
      <c r="Q848" t="n">
        <v>0</v>
      </c>
      <c r="R848" s="2" t="inlineStr"/>
    </row>
    <row r="849" ht="15" customHeight="1">
      <c r="A849" t="inlineStr">
        <is>
          <t>A 23770-2021</t>
        </is>
      </c>
      <c r="B849" s="1" t="n">
        <v>44335</v>
      </c>
      <c r="C849" s="1" t="n">
        <v>45346</v>
      </c>
      <c r="D849" t="inlineStr">
        <is>
          <t>VÄSTERNORRLANDS LÄN</t>
        </is>
      </c>
      <c r="E849" t="inlineStr">
        <is>
          <t>SOLLEFTEÅ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23753-2021</t>
        </is>
      </c>
      <c r="B850" s="1" t="n">
        <v>44334</v>
      </c>
      <c r="C850" s="1" t="n">
        <v>45346</v>
      </c>
      <c r="D850" t="inlineStr">
        <is>
          <t>VÄSTERNORRLANDS LÄN</t>
        </is>
      </c>
      <c r="E850" t="inlineStr">
        <is>
          <t>SOLLEFTEÅ</t>
        </is>
      </c>
      <c r="G850" t="n">
        <v>14.8</v>
      </c>
      <c r="H850" t="n">
        <v>0</v>
      </c>
      <c r="I850" t="n">
        <v>0</v>
      </c>
      <c r="J850" t="n">
        <v>0</v>
      </c>
      <c r="K850" t="n">
        <v>0</v>
      </c>
      <c r="L850" t="n">
        <v>0</v>
      </c>
      <c r="M850" t="n">
        <v>0</v>
      </c>
      <c r="N850" t="n">
        <v>0</v>
      </c>
      <c r="O850" t="n">
        <v>0</v>
      </c>
      <c r="P850" t="n">
        <v>0</v>
      </c>
      <c r="Q850" t="n">
        <v>0</v>
      </c>
      <c r="R850" s="2" t="inlineStr"/>
    </row>
    <row r="851" ht="15" customHeight="1">
      <c r="A851" t="inlineStr">
        <is>
          <t>A 23814-2021</t>
        </is>
      </c>
      <c r="B851" s="1" t="n">
        <v>44335</v>
      </c>
      <c r="C851" s="1" t="n">
        <v>45346</v>
      </c>
      <c r="D851" t="inlineStr">
        <is>
          <t>VÄSTERNORRLANDS LÄN</t>
        </is>
      </c>
      <c r="E851" t="inlineStr">
        <is>
          <t>SOLLEFTEÅ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24243-2021</t>
        </is>
      </c>
      <c r="B852" s="1" t="n">
        <v>44336</v>
      </c>
      <c r="C852" s="1" t="n">
        <v>45346</v>
      </c>
      <c r="D852" t="inlineStr">
        <is>
          <t>VÄSTERNORRLANDS LÄN</t>
        </is>
      </c>
      <c r="E852" t="inlineStr">
        <is>
          <t>SOLLEFTEÅ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24244-2021</t>
        </is>
      </c>
      <c r="B853" s="1" t="n">
        <v>44337</v>
      </c>
      <c r="C853" s="1" t="n">
        <v>45346</v>
      </c>
      <c r="D853" t="inlineStr">
        <is>
          <t>VÄSTERNORRLANDS LÄN</t>
        </is>
      </c>
      <c r="E853" t="inlineStr">
        <is>
          <t>SOLLEFTEÅ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24720-2021</t>
        </is>
      </c>
      <c r="B854" s="1" t="n">
        <v>44340</v>
      </c>
      <c r="C854" s="1" t="n">
        <v>45346</v>
      </c>
      <c r="D854" t="inlineStr">
        <is>
          <t>VÄSTERNORRLANDS LÄN</t>
        </is>
      </c>
      <c r="E854" t="inlineStr">
        <is>
          <t>SOLLEFTEÅ</t>
        </is>
      </c>
      <c r="G854" t="n">
        <v>0.8</v>
      </c>
      <c r="H854" t="n">
        <v>0</v>
      </c>
      <c r="I854" t="n">
        <v>0</v>
      </c>
      <c r="J854" t="n">
        <v>0</v>
      </c>
      <c r="K854" t="n">
        <v>0</v>
      </c>
      <c r="L854" t="n">
        <v>0</v>
      </c>
      <c r="M854" t="n">
        <v>0</v>
      </c>
      <c r="N854" t="n">
        <v>0</v>
      </c>
      <c r="O854" t="n">
        <v>0</v>
      </c>
      <c r="P854" t="n">
        <v>0</v>
      </c>
      <c r="Q854" t="n">
        <v>0</v>
      </c>
      <c r="R854" s="2" t="inlineStr"/>
    </row>
    <row r="855" ht="15" customHeight="1">
      <c r="A855" t="inlineStr">
        <is>
          <t>A 24731-2021</t>
        </is>
      </c>
      <c r="B855" s="1" t="n">
        <v>44340</v>
      </c>
      <c r="C855" s="1" t="n">
        <v>45346</v>
      </c>
      <c r="D855" t="inlineStr">
        <is>
          <t>VÄSTERNORRLANDS LÄN</t>
        </is>
      </c>
      <c r="E855" t="inlineStr">
        <is>
          <t>SOLLEFTEÅ</t>
        </is>
      </c>
      <c r="G855" t="n">
        <v>5.3</v>
      </c>
      <c r="H855" t="n">
        <v>0</v>
      </c>
      <c r="I855" t="n">
        <v>0</v>
      </c>
      <c r="J855" t="n">
        <v>0</v>
      </c>
      <c r="K855" t="n">
        <v>0</v>
      </c>
      <c r="L855" t="n">
        <v>0</v>
      </c>
      <c r="M855" t="n">
        <v>0</v>
      </c>
      <c r="N855" t="n">
        <v>0</v>
      </c>
      <c r="O855" t="n">
        <v>0</v>
      </c>
      <c r="P855" t="n">
        <v>0</v>
      </c>
      <c r="Q855" t="n">
        <v>0</v>
      </c>
      <c r="R855" s="2" t="inlineStr"/>
    </row>
    <row r="856" ht="15" customHeight="1">
      <c r="A856" t="inlineStr">
        <is>
          <t>A 25183-2021</t>
        </is>
      </c>
      <c r="B856" s="1" t="n">
        <v>44341</v>
      </c>
      <c r="C856" s="1" t="n">
        <v>45346</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25156-2021</t>
        </is>
      </c>
      <c r="B857" s="1" t="n">
        <v>44341</v>
      </c>
      <c r="C857" s="1" t="n">
        <v>45346</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25152-2021</t>
        </is>
      </c>
      <c r="B858" s="1" t="n">
        <v>44341</v>
      </c>
      <c r="C858" s="1" t="n">
        <v>45346</v>
      </c>
      <c r="D858" t="inlineStr">
        <is>
          <t>VÄSTERNORRLANDS LÄN</t>
        </is>
      </c>
      <c r="E858" t="inlineStr">
        <is>
          <t>SOLLEFTEÅ</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25329-2021</t>
        </is>
      </c>
      <c r="B859" s="1" t="n">
        <v>44342</v>
      </c>
      <c r="C859" s="1" t="n">
        <v>45346</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25345-2021</t>
        </is>
      </c>
      <c r="B860" s="1" t="n">
        <v>44342</v>
      </c>
      <c r="C860" s="1" t="n">
        <v>45346</v>
      </c>
      <c r="D860" t="inlineStr">
        <is>
          <t>VÄSTERNORRLANDS LÄN</t>
        </is>
      </c>
      <c r="E860" t="inlineStr">
        <is>
          <t>SOLLEFTEÅ</t>
        </is>
      </c>
      <c r="G860" t="n">
        <v>0.2</v>
      </c>
      <c r="H860" t="n">
        <v>0</v>
      </c>
      <c r="I860" t="n">
        <v>0</v>
      </c>
      <c r="J860" t="n">
        <v>0</v>
      </c>
      <c r="K860" t="n">
        <v>0</v>
      </c>
      <c r="L860" t="n">
        <v>0</v>
      </c>
      <c r="M860" t="n">
        <v>0</v>
      </c>
      <c r="N860" t="n">
        <v>0</v>
      </c>
      <c r="O860" t="n">
        <v>0</v>
      </c>
      <c r="P860" t="n">
        <v>0</v>
      </c>
      <c r="Q860" t="n">
        <v>0</v>
      </c>
      <c r="R860" s="2" t="inlineStr"/>
    </row>
    <row r="861" ht="15" customHeight="1">
      <c r="A861" t="inlineStr">
        <is>
          <t>A 25522-2021</t>
        </is>
      </c>
      <c r="B861" s="1" t="n">
        <v>44342</v>
      </c>
      <c r="C861" s="1" t="n">
        <v>45346</v>
      </c>
      <c r="D861" t="inlineStr">
        <is>
          <t>VÄSTERNORRLANDS LÄN</t>
        </is>
      </c>
      <c r="E861" t="inlineStr">
        <is>
          <t>SOLLEFTEÅ</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25999-2021</t>
        </is>
      </c>
      <c r="B862" s="1" t="n">
        <v>44344</v>
      </c>
      <c r="C862" s="1" t="n">
        <v>45346</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25877-2021</t>
        </is>
      </c>
      <c r="B863" s="1" t="n">
        <v>44344</v>
      </c>
      <c r="C863" s="1" t="n">
        <v>45346</v>
      </c>
      <c r="D863" t="inlineStr">
        <is>
          <t>VÄSTERNORRLANDS LÄN</t>
        </is>
      </c>
      <c r="E863" t="inlineStr">
        <is>
          <t>SOLLEFTEÅ</t>
        </is>
      </c>
      <c r="G863" t="n">
        <v>4.2</v>
      </c>
      <c r="H863" t="n">
        <v>0</v>
      </c>
      <c r="I863" t="n">
        <v>0</v>
      </c>
      <c r="J863" t="n">
        <v>0</v>
      </c>
      <c r="K863" t="n">
        <v>0</v>
      </c>
      <c r="L863" t="n">
        <v>0</v>
      </c>
      <c r="M863" t="n">
        <v>0</v>
      </c>
      <c r="N863" t="n">
        <v>0</v>
      </c>
      <c r="O863" t="n">
        <v>0</v>
      </c>
      <c r="P863" t="n">
        <v>0</v>
      </c>
      <c r="Q863" t="n">
        <v>0</v>
      </c>
      <c r="R863" s="2" t="inlineStr"/>
    </row>
    <row r="864" ht="15" customHeight="1">
      <c r="A864" t="inlineStr">
        <is>
          <t>A 25989-2021</t>
        </is>
      </c>
      <c r="B864" s="1" t="n">
        <v>44344</v>
      </c>
      <c r="C864" s="1" t="n">
        <v>45346</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26406-2021</t>
        </is>
      </c>
      <c r="B865" s="1" t="n">
        <v>44347</v>
      </c>
      <c r="C865" s="1" t="n">
        <v>45346</v>
      </c>
      <c r="D865" t="inlineStr">
        <is>
          <t>VÄSTERNORRLANDS LÄN</t>
        </is>
      </c>
      <c r="E865" t="inlineStr">
        <is>
          <t>SOLLEFTEÅ</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26401-2021</t>
        </is>
      </c>
      <c r="B866" s="1" t="n">
        <v>44348</v>
      </c>
      <c r="C866" s="1" t="n">
        <v>45346</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26498-2021</t>
        </is>
      </c>
      <c r="B867" s="1" t="n">
        <v>44348</v>
      </c>
      <c r="C867" s="1" t="n">
        <v>45346</v>
      </c>
      <c r="D867" t="inlineStr">
        <is>
          <t>VÄSTERNORRLANDS LÄN</t>
        </is>
      </c>
      <c r="E867" t="inlineStr">
        <is>
          <t>SOLLEFTEÅ</t>
        </is>
      </c>
      <c r="G867" t="n">
        <v>7.8</v>
      </c>
      <c r="H867" t="n">
        <v>0</v>
      </c>
      <c r="I867" t="n">
        <v>0</v>
      </c>
      <c r="J867" t="n">
        <v>0</v>
      </c>
      <c r="K867" t="n">
        <v>0</v>
      </c>
      <c r="L867" t="n">
        <v>0</v>
      </c>
      <c r="M867" t="n">
        <v>0</v>
      </c>
      <c r="N867" t="n">
        <v>0</v>
      </c>
      <c r="O867" t="n">
        <v>0</v>
      </c>
      <c r="P867" t="n">
        <v>0</v>
      </c>
      <c r="Q867" t="n">
        <v>0</v>
      </c>
      <c r="R867" s="2" t="inlineStr"/>
    </row>
    <row r="868" ht="15" customHeight="1">
      <c r="A868" t="inlineStr">
        <is>
          <t>A 26559-2021</t>
        </is>
      </c>
      <c r="B868" s="1" t="n">
        <v>44348</v>
      </c>
      <c r="C868" s="1" t="n">
        <v>45346</v>
      </c>
      <c r="D868" t="inlineStr">
        <is>
          <t>VÄSTERNORRLANDS LÄN</t>
        </is>
      </c>
      <c r="E868" t="inlineStr">
        <is>
          <t>SOLLEFTEÅ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26669-2021</t>
        </is>
      </c>
      <c r="B869" s="1" t="n">
        <v>44349</v>
      </c>
      <c r="C869" s="1" t="n">
        <v>45346</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27809-2021</t>
        </is>
      </c>
      <c r="B870" s="1" t="n">
        <v>44354</v>
      </c>
      <c r="C870" s="1" t="n">
        <v>45346</v>
      </c>
      <c r="D870" t="inlineStr">
        <is>
          <t>VÄSTERNORRLANDS LÄN</t>
        </is>
      </c>
      <c r="E870" t="inlineStr">
        <is>
          <t>SOLLEFTEÅ</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27972-2021</t>
        </is>
      </c>
      <c r="B871" s="1" t="n">
        <v>44355</v>
      </c>
      <c r="C871" s="1" t="n">
        <v>45346</v>
      </c>
      <c r="D871" t="inlineStr">
        <is>
          <t>VÄSTERNORRLANDS LÄN</t>
        </is>
      </c>
      <c r="E871" t="inlineStr">
        <is>
          <t>SOLLEFTEÅ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28288-2021</t>
        </is>
      </c>
      <c r="B872" s="1" t="n">
        <v>44355</v>
      </c>
      <c r="C872" s="1" t="n">
        <v>45346</v>
      </c>
      <c r="D872" t="inlineStr">
        <is>
          <t>VÄSTERNORRLANDS LÄN</t>
        </is>
      </c>
      <c r="E872" t="inlineStr">
        <is>
          <t>SOLLEFTEÅ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28615-2021</t>
        </is>
      </c>
      <c r="B873" s="1" t="n">
        <v>44357</v>
      </c>
      <c r="C873" s="1" t="n">
        <v>45346</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28939-2021</t>
        </is>
      </c>
      <c r="B874" s="1" t="n">
        <v>44358</v>
      </c>
      <c r="C874" s="1" t="n">
        <v>45346</v>
      </c>
      <c r="D874" t="inlineStr">
        <is>
          <t>VÄSTERNORRLANDS LÄN</t>
        </is>
      </c>
      <c r="E874" t="inlineStr">
        <is>
          <t>SOLLEFTEÅ</t>
        </is>
      </c>
      <c r="G874" t="n">
        <v>4.4</v>
      </c>
      <c r="H874" t="n">
        <v>0</v>
      </c>
      <c r="I874" t="n">
        <v>0</v>
      </c>
      <c r="J874" t="n">
        <v>0</v>
      </c>
      <c r="K874" t="n">
        <v>0</v>
      </c>
      <c r="L874" t="n">
        <v>0</v>
      </c>
      <c r="M874" t="n">
        <v>0</v>
      </c>
      <c r="N874" t="n">
        <v>0</v>
      </c>
      <c r="O874" t="n">
        <v>0</v>
      </c>
      <c r="P874" t="n">
        <v>0</v>
      </c>
      <c r="Q874" t="n">
        <v>0</v>
      </c>
      <c r="R874" s="2" t="inlineStr"/>
    </row>
    <row r="875" ht="15" customHeight="1">
      <c r="A875" t="inlineStr">
        <is>
          <t>A 29623-2021</t>
        </is>
      </c>
      <c r="B875" s="1" t="n">
        <v>44361</v>
      </c>
      <c r="C875" s="1" t="n">
        <v>45346</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29602-2021</t>
        </is>
      </c>
      <c r="B876" s="1" t="n">
        <v>44362</v>
      </c>
      <c r="C876" s="1" t="n">
        <v>45346</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29829-2021</t>
        </is>
      </c>
      <c r="B877" s="1" t="n">
        <v>44362</v>
      </c>
      <c r="C877" s="1" t="n">
        <v>45346</v>
      </c>
      <c r="D877" t="inlineStr">
        <is>
          <t>VÄSTERNORRLANDS LÄN</t>
        </is>
      </c>
      <c r="E877" t="inlineStr">
        <is>
          <t>SOLLEFTEÅ</t>
        </is>
      </c>
      <c r="G877" t="n">
        <v>4</v>
      </c>
      <c r="H877" t="n">
        <v>0</v>
      </c>
      <c r="I877" t="n">
        <v>0</v>
      </c>
      <c r="J877" t="n">
        <v>0</v>
      </c>
      <c r="K877" t="n">
        <v>0</v>
      </c>
      <c r="L877" t="n">
        <v>0</v>
      </c>
      <c r="M877" t="n">
        <v>0</v>
      </c>
      <c r="N877" t="n">
        <v>0</v>
      </c>
      <c r="O877" t="n">
        <v>0</v>
      </c>
      <c r="P877" t="n">
        <v>0</v>
      </c>
      <c r="Q877" t="n">
        <v>0</v>
      </c>
      <c r="R877" s="2" t="inlineStr"/>
    </row>
    <row r="878" ht="15" customHeight="1">
      <c r="A878" t="inlineStr">
        <is>
          <t>A 30692-2021</t>
        </is>
      </c>
      <c r="B878" s="1" t="n">
        <v>44365</v>
      </c>
      <c r="C878" s="1" t="n">
        <v>45346</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31354-2021</t>
        </is>
      </c>
      <c r="B879" s="1" t="n">
        <v>44369</v>
      </c>
      <c r="C879" s="1" t="n">
        <v>45346</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31600-2021</t>
        </is>
      </c>
      <c r="B880" s="1" t="n">
        <v>44369</v>
      </c>
      <c r="C880" s="1" t="n">
        <v>45346</v>
      </c>
      <c r="D880" t="inlineStr">
        <is>
          <t>VÄSTERNORRLANDS LÄN</t>
        </is>
      </c>
      <c r="E880" t="inlineStr">
        <is>
          <t>SOLLEFTEÅ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31737-2021</t>
        </is>
      </c>
      <c r="B881" s="1" t="n">
        <v>44370</v>
      </c>
      <c r="C881" s="1" t="n">
        <v>45346</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32091-2021</t>
        </is>
      </c>
      <c r="B882" s="1" t="n">
        <v>44370</v>
      </c>
      <c r="C882" s="1" t="n">
        <v>45346</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33207-2021</t>
        </is>
      </c>
      <c r="B883" s="1" t="n">
        <v>44376</v>
      </c>
      <c r="C883" s="1" t="n">
        <v>45346</v>
      </c>
      <c r="D883" t="inlineStr">
        <is>
          <t>VÄSTERNORRLANDS LÄN</t>
        </is>
      </c>
      <c r="E883" t="inlineStr">
        <is>
          <t>SOLLEFTEÅ</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33214-2021</t>
        </is>
      </c>
      <c r="B884" s="1" t="n">
        <v>44377</v>
      </c>
      <c r="C884" s="1" t="n">
        <v>45346</v>
      </c>
      <c r="D884" t="inlineStr">
        <is>
          <t>VÄSTERNORRLANDS LÄN</t>
        </is>
      </c>
      <c r="E884" t="inlineStr">
        <is>
          <t>SOLLEFTEÅ</t>
        </is>
      </c>
      <c r="F884" t="inlineStr">
        <is>
          <t>SCA</t>
        </is>
      </c>
      <c r="G884" t="n">
        <v>13.9</v>
      </c>
      <c r="H884" t="n">
        <v>0</v>
      </c>
      <c r="I884" t="n">
        <v>0</v>
      </c>
      <c r="J884" t="n">
        <v>0</v>
      </c>
      <c r="K884" t="n">
        <v>0</v>
      </c>
      <c r="L884" t="n">
        <v>0</v>
      </c>
      <c r="M884" t="n">
        <v>0</v>
      </c>
      <c r="N884" t="n">
        <v>0</v>
      </c>
      <c r="O884" t="n">
        <v>0</v>
      </c>
      <c r="P884" t="n">
        <v>0</v>
      </c>
      <c r="Q884" t="n">
        <v>0</v>
      </c>
      <c r="R884" s="2" t="inlineStr"/>
    </row>
    <row r="885" ht="15" customHeight="1">
      <c r="A885" t="inlineStr">
        <is>
          <t>A 33895-2021</t>
        </is>
      </c>
      <c r="B885" s="1" t="n">
        <v>44378</v>
      </c>
      <c r="C885" s="1" t="n">
        <v>45346</v>
      </c>
      <c r="D885" t="inlineStr">
        <is>
          <t>VÄSTERNORRLANDS LÄN</t>
        </is>
      </c>
      <c r="E885" t="inlineStr">
        <is>
          <t>SOLLEFTEÅ</t>
        </is>
      </c>
      <c r="F885" t="inlineStr">
        <is>
          <t>Kyrkan</t>
        </is>
      </c>
      <c r="G885" t="n">
        <v>3.6</v>
      </c>
      <c r="H885" t="n">
        <v>0</v>
      </c>
      <c r="I885" t="n">
        <v>0</v>
      </c>
      <c r="J885" t="n">
        <v>0</v>
      </c>
      <c r="K885" t="n">
        <v>0</v>
      </c>
      <c r="L885" t="n">
        <v>0</v>
      </c>
      <c r="M885" t="n">
        <v>0</v>
      </c>
      <c r="N885" t="n">
        <v>0</v>
      </c>
      <c r="O885" t="n">
        <v>0</v>
      </c>
      <c r="P885" t="n">
        <v>0</v>
      </c>
      <c r="Q885" t="n">
        <v>0</v>
      </c>
      <c r="R885" s="2" t="inlineStr"/>
    </row>
    <row r="886" ht="15" customHeight="1">
      <c r="A886" t="inlineStr">
        <is>
          <t>A 34396-2021</t>
        </is>
      </c>
      <c r="B886" s="1" t="n">
        <v>44379</v>
      </c>
      <c r="C886" s="1" t="n">
        <v>45346</v>
      </c>
      <c r="D886" t="inlineStr">
        <is>
          <t>VÄSTERNORRLANDS LÄN</t>
        </is>
      </c>
      <c r="E886" t="inlineStr">
        <is>
          <t>SOLLEFTEÅ</t>
        </is>
      </c>
      <c r="F886" t="inlineStr">
        <is>
          <t>SCA</t>
        </is>
      </c>
      <c r="G886" t="n">
        <v>7.2</v>
      </c>
      <c r="H886" t="n">
        <v>0</v>
      </c>
      <c r="I886" t="n">
        <v>0</v>
      </c>
      <c r="J886" t="n">
        <v>0</v>
      </c>
      <c r="K886" t="n">
        <v>0</v>
      </c>
      <c r="L886" t="n">
        <v>0</v>
      </c>
      <c r="M886" t="n">
        <v>0</v>
      </c>
      <c r="N886" t="n">
        <v>0</v>
      </c>
      <c r="O886" t="n">
        <v>0</v>
      </c>
      <c r="P886" t="n">
        <v>0</v>
      </c>
      <c r="Q886" t="n">
        <v>0</v>
      </c>
      <c r="R886" s="2" t="inlineStr"/>
    </row>
    <row r="887" ht="15" customHeight="1">
      <c r="A887" t="inlineStr">
        <is>
          <t>A 34395-2021</t>
        </is>
      </c>
      <c r="B887" s="1" t="n">
        <v>44379</v>
      </c>
      <c r="C887" s="1" t="n">
        <v>45346</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34397-2021</t>
        </is>
      </c>
      <c r="B888" s="1" t="n">
        <v>44379</v>
      </c>
      <c r="C888" s="1" t="n">
        <v>45346</v>
      </c>
      <c r="D888" t="inlineStr">
        <is>
          <t>VÄSTERNORRLANDS LÄN</t>
        </is>
      </c>
      <c r="E888" t="inlineStr">
        <is>
          <t>SOLLEFTEÅ</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34475-2021</t>
        </is>
      </c>
      <c r="B889" s="1" t="n">
        <v>44381</v>
      </c>
      <c r="C889" s="1" t="n">
        <v>45346</v>
      </c>
      <c r="D889" t="inlineStr">
        <is>
          <t>VÄSTERNORRLANDS LÄN</t>
        </is>
      </c>
      <c r="E889" t="inlineStr">
        <is>
          <t>SOLLEFTEÅ</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34473-2021</t>
        </is>
      </c>
      <c r="B890" s="1" t="n">
        <v>44382</v>
      </c>
      <c r="C890" s="1" t="n">
        <v>45346</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35071-2021</t>
        </is>
      </c>
      <c r="B891" s="1" t="n">
        <v>44383</v>
      </c>
      <c r="C891" s="1" t="n">
        <v>45346</v>
      </c>
      <c r="D891" t="inlineStr">
        <is>
          <t>VÄSTERNORRLANDS LÄN</t>
        </is>
      </c>
      <c r="E891" t="inlineStr">
        <is>
          <t>SOLLEFTEÅ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35333-2021</t>
        </is>
      </c>
      <c r="B892" s="1" t="n">
        <v>44384</v>
      </c>
      <c r="C892" s="1" t="n">
        <v>45346</v>
      </c>
      <c r="D892" t="inlineStr">
        <is>
          <t>VÄSTERNORRLANDS LÄN</t>
        </is>
      </c>
      <c r="E892" t="inlineStr">
        <is>
          <t>SOLLEFTEÅ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35358-2021</t>
        </is>
      </c>
      <c r="B893" s="1" t="n">
        <v>44385</v>
      </c>
      <c r="C893" s="1" t="n">
        <v>45346</v>
      </c>
      <c r="D893" t="inlineStr">
        <is>
          <t>VÄSTERNORRLANDS LÄN</t>
        </is>
      </c>
      <c r="E893" t="inlineStr">
        <is>
          <t>SOLLEFTEÅ</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35574-2021</t>
        </is>
      </c>
      <c r="B894" s="1" t="n">
        <v>44386</v>
      </c>
      <c r="C894" s="1" t="n">
        <v>45346</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35862-2021</t>
        </is>
      </c>
      <c r="B895" s="1" t="n">
        <v>44386</v>
      </c>
      <c r="C895" s="1" t="n">
        <v>45346</v>
      </c>
      <c r="D895" t="inlineStr">
        <is>
          <t>VÄSTERNORRLANDS LÄN</t>
        </is>
      </c>
      <c r="E895" t="inlineStr">
        <is>
          <t>SOLLEFTEÅ</t>
        </is>
      </c>
      <c r="G895" t="n">
        <v>5.5</v>
      </c>
      <c r="H895" t="n">
        <v>0</v>
      </c>
      <c r="I895" t="n">
        <v>0</v>
      </c>
      <c r="J895" t="n">
        <v>0</v>
      </c>
      <c r="K895" t="n">
        <v>0</v>
      </c>
      <c r="L895" t="n">
        <v>0</v>
      </c>
      <c r="M895" t="n">
        <v>0</v>
      </c>
      <c r="N895" t="n">
        <v>0</v>
      </c>
      <c r="O895" t="n">
        <v>0</v>
      </c>
      <c r="P895" t="n">
        <v>0</v>
      </c>
      <c r="Q895" t="n">
        <v>0</v>
      </c>
      <c r="R895" s="2" t="inlineStr"/>
    </row>
    <row r="896" ht="15" customHeight="1">
      <c r="A896" t="inlineStr">
        <is>
          <t>A 36447-2021</t>
        </is>
      </c>
      <c r="B896" s="1" t="n">
        <v>44390</v>
      </c>
      <c r="C896" s="1" t="n">
        <v>45346</v>
      </c>
      <c r="D896" t="inlineStr">
        <is>
          <t>VÄSTERNORRLANDS LÄN</t>
        </is>
      </c>
      <c r="E896" t="inlineStr">
        <is>
          <t>SOLLEFTEÅ</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36448-2021</t>
        </is>
      </c>
      <c r="B897" s="1" t="n">
        <v>44390</v>
      </c>
      <c r="C897" s="1" t="n">
        <v>45346</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36579-2021</t>
        </is>
      </c>
      <c r="B898" s="1" t="n">
        <v>44391</v>
      </c>
      <c r="C898" s="1" t="n">
        <v>45346</v>
      </c>
      <c r="D898" t="inlineStr">
        <is>
          <t>VÄSTERNORRLANDS LÄN</t>
        </is>
      </c>
      <c r="E898" t="inlineStr">
        <is>
          <t>SOLLEFTEÅ</t>
        </is>
      </c>
      <c r="G898" t="n">
        <v>6.9</v>
      </c>
      <c r="H898" t="n">
        <v>0</v>
      </c>
      <c r="I898" t="n">
        <v>0</v>
      </c>
      <c r="J898" t="n">
        <v>0</v>
      </c>
      <c r="K898" t="n">
        <v>0</v>
      </c>
      <c r="L898" t="n">
        <v>0</v>
      </c>
      <c r="M898" t="n">
        <v>0</v>
      </c>
      <c r="N898" t="n">
        <v>0</v>
      </c>
      <c r="O898" t="n">
        <v>0</v>
      </c>
      <c r="P898" t="n">
        <v>0</v>
      </c>
      <c r="Q898" t="n">
        <v>0</v>
      </c>
      <c r="R898" s="2" t="inlineStr"/>
    </row>
    <row r="899" ht="15" customHeight="1">
      <c r="A899" t="inlineStr">
        <is>
          <t>A 36816-2021</t>
        </is>
      </c>
      <c r="B899" s="1" t="n">
        <v>44393</v>
      </c>
      <c r="C899" s="1" t="n">
        <v>45346</v>
      </c>
      <c r="D899" t="inlineStr">
        <is>
          <t>VÄSTERNORRLANDS LÄN</t>
        </is>
      </c>
      <c r="E899" t="inlineStr">
        <is>
          <t>SOLLEFTEÅ</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36815-2021</t>
        </is>
      </c>
      <c r="B900" s="1" t="n">
        <v>44393</v>
      </c>
      <c r="C900" s="1" t="n">
        <v>45346</v>
      </c>
      <c r="D900" t="inlineStr">
        <is>
          <t>VÄSTERNORRLANDS LÄN</t>
        </is>
      </c>
      <c r="E900" t="inlineStr">
        <is>
          <t>SOLLEFTEÅ</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37043-2021</t>
        </is>
      </c>
      <c r="B901" s="1" t="n">
        <v>44393</v>
      </c>
      <c r="C901" s="1" t="n">
        <v>45346</v>
      </c>
      <c r="D901" t="inlineStr">
        <is>
          <t>VÄSTERNORRLANDS LÄN</t>
        </is>
      </c>
      <c r="E901" t="inlineStr">
        <is>
          <t>SOLLEFTEÅ</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37041-2021</t>
        </is>
      </c>
      <c r="B902" s="1" t="n">
        <v>44394</v>
      </c>
      <c r="C902" s="1" t="n">
        <v>45346</v>
      </c>
      <c r="D902" t="inlineStr">
        <is>
          <t>VÄSTERNORRLANDS LÄN</t>
        </is>
      </c>
      <c r="E902" t="inlineStr">
        <is>
          <t>SOLLEFTEÅ</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37042-2021</t>
        </is>
      </c>
      <c r="B903" s="1" t="n">
        <v>44394</v>
      </c>
      <c r="C903" s="1" t="n">
        <v>45346</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37369-2021</t>
        </is>
      </c>
      <c r="B904" s="1" t="n">
        <v>44397</v>
      </c>
      <c r="C904" s="1" t="n">
        <v>45346</v>
      </c>
      <c r="D904" t="inlineStr">
        <is>
          <t>VÄSTERNORRLANDS LÄN</t>
        </is>
      </c>
      <c r="E904" t="inlineStr">
        <is>
          <t>SOLLEFTEÅ</t>
        </is>
      </c>
      <c r="F904" t="inlineStr">
        <is>
          <t>SCA</t>
        </is>
      </c>
      <c r="G904" t="n">
        <v>20.3</v>
      </c>
      <c r="H904" t="n">
        <v>0</v>
      </c>
      <c r="I904" t="n">
        <v>0</v>
      </c>
      <c r="J904" t="n">
        <v>0</v>
      </c>
      <c r="K904" t="n">
        <v>0</v>
      </c>
      <c r="L904" t="n">
        <v>0</v>
      </c>
      <c r="M904" t="n">
        <v>0</v>
      </c>
      <c r="N904" t="n">
        <v>0</v>
      </c>
      <c r="O904" t="n">
        <v>0</v>
      </c>
      <c r="P904" t="n">
        <v>0</v>
      </c>
      <c r="Q904" t="n">
        <v>0</v>
      </c>
      <c r="R904" s="2" t="inlineStr"/>
    </row>
    <row r="905" ht="15" customHeight="1">
      <c r="A905" t="inlineStr">
        <is>
          <t>A 37639-2021</t>
        </is>
      </c>
      <c r="B905" s="1" t="n">
        <v>44400</v>
      </c>
      <c r="C905" s="1" t="n">
        <v>45346</v>
      </c>
      <c r="D905" t="inlineStr">
        <is>
          <t>VÄSTERNORRLANDS LÄN</t>
        </is>
      </c>
      <c r="E905" t="inlineStr">
        <is>
          <t>SOLLEFTEÅ</t>
        </is>
      </c>
      <c r="G905" t="n">
        <v>10.7</v>
      </c>
      <c r="H905" t="n">
        <v>0</v>
      </c>
      <c r="I905" t="n">
        <v>0</v>
      </c>
      <c r="J905" t="n">
        <v>0</v>
      </c>
      <c r="K905" t="n">
        <v>0</v>
      </c>
      <c r="L905" t="n">
        <v>0</v>
      </c>
      <c r="M905" t="n">
        <v>0</v>
      </c>
      <c r="N905" t="n">
        <v>0</v>
      </c>
      <c r="O905" t="n">
        <v>0</v>
      </c>
      <c r="P905" t="n">
        <v>0</v>
      </c>
      <c r="Q905" t="n">
        <v>0</v>
      </c>
      <c r="R905" s="2" t="inlineStr"/>
    </row>
    <row r="906" ht="15" customHeight="1">
      <c r="A906" t="inlineStr">
        <is>
          <t>A 37648-2021</t>
        </is>
      </c>
      <c r="B906" s="1" t="n">
        <v>44400</v>
      </c>
      <c r="C906" s="1" t="n">
        <v>45346</v>
      </c>
      <c r="D906" t="inlineStr">
        <is>
          <t>VÄSTERNORRLANDS LÄN</t>
        </is>
      </c>
      <c r="E906" t="inlineStr">
        <is>
          <t>SOLLEFTEÅ</t>
        </is>
      </c>
      <c r="G906" t="n">
        <v>33.6</v>
      </c>
      <c r="H906" t="n">
        <v>0</v>
      </c>
      <c r="I906" t="n">
        <v>0</v>
      </c>
      <c r="J906" t="n">
        <v>0</v>
      </c>
      <c r="K906" t="n">
        <v>0</v>
      </c>
      <c r="L906" t="n">
        <v>0</v>
      </c>
      <c r="M906" t="n">
        <v>0</v>
      </c>
      <c r="N906" t="n">
        <v>0</v>
      </c>
      <c r="O906" t="n">
        <v>0</v>
      </c>
      <c r="P906" t="n">
        <v>0</v>
      </c>
      <c r="Q906" t="n">
        <v>0</v>
      </c>
      <c r="R906" s="2" t="inlineStr"/>
    </row>
    <row r="907" ht="15" customHeight="1">
      <c r="A907" t="inlineStr">
        <is>
          <t>A 37634-2021</t>
        </is>
      </c>
      <c r="B907" s="1" t="n">
        <v>44400</v>
      </c>
      <c r="C907" s="1" t="n">
        <v>45346</v>
      </c>
      <c r="D907" t="inlineStr">
        <is>
          <t>VÄSTERNORRLANDS LÄN</t>
        </is>
      </c>
      <c r="E907" t="inlineStr">
        <is>
          <t>SOLLEFTEÅ</t>
        </is>
      </c>
      <c r="G907" t="n">
        <v>5.1</v>
      </c>
      <c r="H907" t="n">
        <v>0</v>
      </c>
      <c r="I907" t="n">
        <v>0</v>
      </c>
      <c r="J907" t="n">
        <v>0</v>
      </c>
      <c r="K907" t="n">
        <v>0</v>
      </c>
      <c r="L907" t="n">
        <v>0</v>
      </c>
      <c r="M907" t="n">
        <v>0</v>
      </c>
      <c r="N907" t="n">
        <v>0</v>
      </c>
      <c r="O907" t="n">
        <v>0</v>
      </c>
      <c r="P907" t="n">
        <v>0</v>
      </c>
      <c r="Q907" t="n">
        <v>0</v>
      </c>
      <c r="R907" s="2" t="inlineStr"/>
    </row>
    <row r="908" ht="15" customHeight="1">
      <c r="A908" t="inlineStr">
        <is>
          <t>A 38283-2021</t>
        </is>
      </c>
      <c r="B908" s="1" t="n">
        <v>44405</v>
      </c>
      <c r="C908" s="1" t="n">
        <v>45346</v>
      </c>
      <c r="D908" t="inlineStr">
        <is>
          <t>VÄSTERNORRLANDS LÄN</t>
        </is>
      </c>
      <c r="E908" t="inlineStr">
        <is>
          <t>SOLLEFTEÅ</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39334-2021</t>
        </is>
      </c>
      <c r="B909" s="1" t="n">
        <v>44414</v>
      </c>
      <c r="C909" s="1" t="n">
        <v>45346</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39594-2021</t>
        </is>
      </c>
      <c r="B910" s="1" t="n">
        <v>44413</v>
      </c>
      <c r="C910" s="1" t="n">
        <v>45346</v>
      </c>
      <c r="D910" t="inlineStr">
        <is>
          <t>VÄSTERNORRLANDS LÄN</t>
        </is>
      </c>
      <c r="E910" t="inlineStr">
        <is>
          <t>SOLLEFTEÅ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39230-2021</t>
        </is>
      </c>
      <c r="B911" s="1" t="n">
        <v>44413</v>
      </c>
      <c r="C911" s="1" t="n">
        <v>45346</v>
      </c>
      <c r="D911" t="inlineStr">
        <is>
          <t>VÄSTERNORRLANDS LÄN</t>
        </is>
      </c>
      <c r="E911" t="inlineStr">
        <is>
          <t>SOLLEFTEÅ</t>
        </is>
      </c>
      <c r="G911" t="n">
        <v>13.6</v>
      </c>
      <c r="H911" t="n">
        <v>0</v>
      </c>
      <c r="I911" t="n">
        <v>0</v>
      </c>
      <c r="J911" t="n">
        <v>0</v>
      </c>
      <c r="K911" t="n">
        <v>0</v>
      </c>
      <c r="L911" t="n">
        <v>0</v>
      </c>
      <c r="M911" t="n">
        <v>0</v>
      </c>
      <c r="N911" t="n">
        <v>0</v>
      </c>
      <c r="O911" t="n">
        <v>0</v>
      </c>
      <c r="P911" t="n">
        <v>0</v>
      </c>
      <c r="Q911" t="n">
        <v>0</v>
      </c>
      <c r="R911" s="2" t="inlineStr"/>
    </row>
    <row r="912" ht="15" customHeight="1">
      <c r="A912" t="inlineStr">
        <is>
          <t>A 39504-2021</t>
        </is>
      </c>
      <c r="B912" s="1" t="n">
        <v>44415</v>
      </c>
      <c r="C912" s="1" t="n">
        <v>45346</v>
      </c>
      <c r="D912" t="inlineStr">
        <is>
          <t>VÄSTERNORRLANDS LÄN</t>
        </is>
      </c>
      <c r="E912" t="inlineStr">
        <is>
          <t>SOLLEFTEÅ</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40539-2021</t>
        </is>
      </c>
      <c r="B913" s="1" t="n">
        <v>44420</v>
      </c>
      <c r="C913" s="1" t="n">
        <v>45346</v>
      </c>
      <c r="D913" t="inlineStr">
        <is>
          <t>VÄSTERNORRLANDS LÄN</t>
        </is>
      </c>
      <c r="E913" t="inlineStr">
        <is>
          <t>SOLLEFTEÅ</t>
        </is>
      </c>
      <c r="G913" t="n">
        <v>1.9</v>
      </c>
      <c r="H913" t="n">
        <v>0</v>
      </c>
      <c r="I913" t="n">
        <v>0</v>
      </c>
      <c r="J913" t="n">
        <v>0</v>
      </c>
      <c r="K913" t="n">
        <v>0</v>
      </c>
      <c r="L913" t="n">
        <v>0</v>
      </c>
      <c r="M913" t="n">
        <v>0</v>
      </c>
      <c r="N913" t="n">
        <v>0</v>
      </c>
      <c r="O913" t="n">
        <v>0</v>
      </c>
      <c r="P913" t="n">
        <v>0</v>
      </c>
      <c r="Q913" t="n">
        <v>0</v>
      </c>
      <c r="R913" s="2" t="inlineStr"/>
    </row>
    <row r="914" ht="15" customHeight="1">
      <c r="A914" t="inlineStr">
        <is>
          <t>A 41334-2021</t>
        </is>
      </c>
      <c r="B914" s="1" t="n">
        <v>44424</v>
      </c>
      <c r="C914" s="1" t="n">
        <v>45346</v>
      </c>
      <c r="D914" t="inlineStr">
        <is>
          <t>VÄSTERNORRLANDS LÄN</t>
        </is>
      </c>
      <c r="E914" t="inlineStr">
        <is>
          <t>SOLLEFTEÅ</t>
        </is>
      </c>
      <c r="G914" t="n">
        <v>1</v>
      </c>
      <c r="H914" t="n">
        <v>0</v>
      </c>
      <c r="I914" t="n">
        <v>0</v>
      </c>
      <c r="J914" t="n">
        <v>0</v>
      </c>
      <c r="K914" t="n">
        <v>0</v>
      </c>
      <c r="L914" t="n">
        <v>0</v>
      </c>
      <c r="M914" t="n">
        <v>0</v>
      </c>
      <c r="N914" t="n">
        <v>0</v>
      </c>
      <c r="O914" t="n">
        <v>0</v>
      </c>
      <c r="P914" t="n">
        <v>0</v>
      </c>
      <c r="Q914" t="n">
        <v>0</v>
      </c>
      <c r="R914" s="2" t="inlineStr"/>
    </row>
    <row r="915" ht="15" customHeight="1">
      <c r="A915" t="inlineStr">
        <is>
          <t>A 42219-2021</t>
        </is>
      </c>
      <c r="B915" s="1" t="n">
        <v>44426</v>
      </c>
      <c r="C915" s="1" t="n">
        <v>45346</v>
      </c>
      <c r="D915" t="inlineStr">
        <is>
          <t>VÄSTERNORRLANDS LÄN</t>
        </is>
      </c>
      <c r="E915" t="inlineStr">
        <is>
          <t>SOLLEFTEÅ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42231-2021</t>
        </is>
      </c>
      <c r="B916" s="1" t="n">
        <v>44426</v>
      </c>
      <c r="C916" s="1" t="n">
        <v>45346</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42228-2021</t>
        </is>
      </c>
      <c r="B917" s="1" t="n">
        <v>44426</v>
      </c>
      <c r="C917" s="1" t="n">
        <v>45346</v>
      </c>
      <c r="D917" t="inlineStr">
        <is>
          <t>VÄSTERNORRLANDS LÄN</t>
        </is>
      </c>
      <c r="E917" t="inlineStr">
        <is>
          <t>SOLLEFTEÅ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42229-2021</t>
        </is>
      </c>
      <c r="B918" s="1" t="n">
        <v>44427</v>
      </c>
      <c r="C918" s="1" t="n">
        <v>45346</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42531-2021</t>
        </is>
      </c>
      <c r="B919" s="1" t="n">
        <v>44428</v>
      </c>
      <c r="C919" s="1" t="n">
        <v>45346</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45213-2021</t>
        </is>
      </c>
      <c r="B920" s="1" t="n">
        <v>44431</v>
      </c>
      <c r="C920" s="1" t="n">
        <v>45346</v>
      </c>
      <c r="D920" t="inlineStr">
        <is>
          <t>VÄSTERNORRLANDS LÄN</t>
        </is>
      </c>
      <c r="E920" t="inlineStr">
        <is>
          <t>SOLLEFTEÅ</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43220-2021</t>
        </is>
      </c>
      <c r="B921" s="1" t="n">
        <v>44432</v>
      </c>
      <c r="C921" s="1" t="n">
        <v>45346</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43525-2021</t>
        </is>
      </c>
      <c r="B922" s="1" t="n">
        <v>44433</v>
      </c>
      <c r="C922" s="1" t="n">
        <v>45346</v>
      </c>
      <c r="D922" t="inlineStr">
        <is>
          <t>VÄSTERNORRLANDS LÄN</t>
        </is>
      </c>
      <c r="E922" t="inlineStr">
        <is>
          <t>SOLLEFTEÅ</t>
        </is>
      </c>
      <c r="G922" t="n">
        <v>2</v>
      </c>
      <c r="H922" t="n">
        <v>0</v>
      </c>
      <c r="I922" t="n">
        <v>0</v>
      </c>
      <c r="J922" t="n">
        <v>0</v>
      </c>
      <c r="K922" t="n">
        <v>0</v>
      </c>
      <c r="L922" t="n">
        <v>0</v>
      </c>
      <c r="M922" t="n">
        <v>0</v>
      </c>
      <c r="N922" t="n">
        <v>0</v>
      </c>
      <c r="O922" t="n">
        <v>0</v>
      </c>
      <c r="P922" t="n">
        <v>0</v>
      </c>
      <c r="Q922" t="n">
        <v>0</v>
      </c>
      <c r="R922" s="2" t="inlineStr"/>
    </row>
    <row r="923" ht="15" customHeight="1">
      <c r="A923" t="inlineStr">
        <is>
          <t>A 44592-2021</t>
        </is>
      </c>
      <c r="B923" s="1" t="n">
        <v>44435</v>
      </c>
      <c r="C923" s="1" t="n">
        <v>45346</v>
      </c>
      <c r="D923" t="inlineStr">
        <is>
          <t>VÄSTERNORRLANDS LÄN</t>
        </is>
      </c>
      <c r="E923" t="inlineStr">
        <is>
          <t>SOLLEFTEÅ</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44587-2021</t>
        </is>
      </c>
      <c r="B924" s="1" t="n">
        <v>44435</v>
      </c>
      <c r="C924" s="1" t="n">
        <v>45346</v>
      </c>
      <c r="D924" t="inlineStr">
        <is>
          <t>VÄSTERNORRLANDS LÄN</t>
        </is>
      </c>
      <c r="E924" t="inlineStr">
        <is>
          <t>SOLLEFTEÅ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45187-2021</t>
        </is>
      </c>
      <c r="B925" s="1" t="n">
        <v>44439</v>
      </c>
      <c r="C925" s="1" t="n">
        <v>45346</v>
      </c>
      <c r="D925" t="inlineStr">
        <is>
          <t>VÄSTERNORRLANDS LÄN</t>
        </is>
      </c>
      <c r="E925" t="inlineStr">
        <is>
          <t>SOLLEFTEÅ</t>
        </is>
      </c>
      <c r="G925" t="n">
        <v>3.2</v>
      </c>
      <c r="H925" t="n">
        <v>0</v>
      </c>
      <c r="I925" t="n">
        <v>0</v>
      </c>
      <c r="J925" t="n">
        <v>0</v>
      </c>
      <c r="K925" t="n">
        <v>0</v>
      </c>
      <c r="L925" t="n">
        <v>0</v>
      </c>
      <c r="M925" t="n">
        <v>0</v>
      </c>
      <c r="N925" t="n">
        <v>0</v>
      </c>
      <c r="O925" t="n">
        <v>0</v>
      </c>
      <c r="P925" t="n">
        <v>0</v>
      </c>
      <c r="Q925" t="n">
        <v>0</v>
      </c>
      <c r="R925" s="2" t="inlineStr"/>
    </row>
    <row r="926" ht="15" customHeight="1">
      <c r="A926" t="inlineStr">
        <is>
          <t>A 45105-2021</t>
        </is>
      </c>
      <c r="B926" s="1" t="n">
        <v>44439</v>
      </c>
      <c r="C926" s="1" t="n">
        <v>45346</v>
      </c>
      <c r="D926" t="inlineStr">
        <is>
          <t>VÄSTERNORRLANDS LÄN</t>
        </is>
      </c>
      <c r="E926" t="inlineStr">
        <is>
          <t>SOLLEFTEÅ</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46049-2021</t>
        </is>
      </c>
      <c r="B927" s="1" t="n">
        <v>44442</v>
      </c>
      <c r="C927" s="1" t="n">
        <v>45346</v>
      </c>
      <c r="D927" t="inlineStr">
        <is>
          <t>VÄSTERNORRLANDS LÄN</t>
        </is>
      </c>
      <c r="E927" t="inlineStr">
        <is>
          <t>SOLLEFTEÅ</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46058-2021</t>
        </is>
      </c>
      <c r="B928" s="1" t="n">
        <v>44442</v>
      </c>
      <c r="C928" s="1" t="n">
        <v>45346</v>
      </c>
      <c r="D928" t="inlineStr">
        <is>
          <t>VÄSTERNORRLANDS LÄN</t>
        </is>
      </c>
      <c r="E928" t="inlineStr">
        <is>
          <t>SOLLEFTEÅ</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47643-2021</t>
        </is>
      </c>
      <c r="B929" s="1" t="n">
        <v>44448</v>
      </c>
      <c r="C929" s="1" t="n">
        <v>45346</v>
      </c>
      <c r="D929" t="inlineStr">
        <is>
          <t>VÄSTERNORRLANDS LÄN</t>
        </is>
      </c>
      <c r="E929" t="inlineStr">
        <is>
          <t>SOLLEFTEÅ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47675-2021</t>
        </is>
      </c>
      <c r="B930" s="1" t="n">
        <v>44448</v>
      </c>
      <c r="C930" s="1" t="n">
        <v>45346</v>
      </c>
      <c r="D930" t="inlineStr">
        <is>
          <t>VÄSTERNORRLANDS LÄN</t>
        </is>
      </c>
      <c r="E930" t="inlineStr">
        <is>
          <t>SOLLEFTEÅ</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47626-2021</t>
        </is>
      </c>
      <c r="B931" s="1" t="n">
        <v>44448</v>
      </c>
      <c r="C931" s="1" t="n">
        <v>45346</v>
      </c>
      <c r="D931" t="inlineStr">
        <is>
          <t>VÄSTERNORRLANDS LÄN</t>
        </is>
      </c>
      <c r="E931" t="inlineStr">
        <is>
          <t>SOLLEFTEÅ</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47696-2021</t>
        </is>
      </c>
      <c r="B932" s="1" t="n">
        <v>44448</v>
      </c>
      <c r="C932" s="1" t="n">
        <v>45346</v>
      </c>
      <c r="D932" t="inlineStr">
        <is>
          <t>VÄSTERNORRLANDS LÄN</t>
        </is>
      </c>
      <c r="E932" t="inlineStr">
        <is>
          <t>SOLLEFTEÅ</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47681-2021</t>
        </is>
      </c>
      <c r="B933" s="1" t="n">
        <v>44448</v>
      </c>
      <c r="C933" s="1" t="n">
        <v>45346</v>
      </c>
      <c r="D933" t="inlineStr">
        <is>
          <t>VÄSTERNORRLANDS LÄN</t>
        </is>
      </c>
      <c r="E933" t="inlineStr">
        <is>
          <t>SOLLEFTEÅ</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48555-2021</t>
        </is>
      </c>
      <c r="B934" s="1" t="n">
        <v>44452</v>
      </c>
      <c r="C934" s="1" t="n">
        <v>45346</v>
      </c>
      <c r="D934" t="inlineStr">
        <is>
          <t>VÄSTERNORRLANDS LÄN</t>
        </is>
      </c>
      <c r="E934" t="inlineStr">
        <is>
          <t>SOLLEFTEÅ</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48578-2021</t>
        </is>
      </c>
      <c r="B935" s="1" t="n">
        <v>44452</v>
      </c>
      <c r="C935" s="1" t="n">
        <v>45346</v>
      </c>
      <c r="D935" t="inlineStr">
        <is>
          <t>VÄSTERNORRLANDS LÄN</t>
        </is>
      </c>
      <c r="E935" t="inlineStr">
        <is>
          <t>SOLLEFTEÅ</t>
        </is>
      </c>
      <c r="G935" t="n">
        <v>26</v>
      </c>
      <c r="H935" t="n">
        <v>0</v>
      </c>
      <c r="I935" t="n">
        <v>0</v>
      </c>
      <c r="J935" t="n">
        <v>0</v>
      </c>
      <c r="K935" t="n">
        <v>0</v>
      </c>
      <c r="L935" t="n">
        <v>0</v>
      </c>
      <c r="M935" t="n">
        <v>0</v>
      </c>
      <c r="N935" t="n">
        <v>0</v>
      </c>
      <c r="O935" t="n">
        <v>0</v>
      </c>
      <c r="P935" t="n">
        <v>0</v>
      </c>
      <c r="Q935" t="n">
        <v>0</v>
      </c>
      <c r="R935" s="2" t="inlineStr"/>
    </row>
    <row r="936" ht="15" customHeight="1">
      <c r="A936" t="inlineStr">
        <is>
          <t>A 49160-2021</t>
        </is>
      </c>
      <c r="B936" s="1" t="n">
        <v>44454</v>
      </c>
      <c r="C936" s="1" t="n">
        <v>45346</v>
      </c>
      <c r="D936" t="inlineStr">
        <is>
          <t>VÄSTERNORRLANDS LÄN</t>
        </is>
      </c>
      <c r="E936" t="inlineStr">
        <is>
          <t>SOLLEFTEÅ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49492-2021</t>
        </is>
      </c>
      <c r="B937" s="1" t="n">
        <v>44455</v>
      </c>
      <c r="C937" s="1" t="n">
        <v>45346</v>
      </c>
      <c r="D937" t="inlineStr">
        <is>
          <t>VÄSTERNORRLANDS LÄN</t>
        </is>
      </c>
      <c r="E937" t="inlineStr">
        <is>
          <t>SOLLEFTEÅ</t>
        </is>
      </c>
      <c r="F937" t="inlineStr">
        <is>
          <t>SCA</t>
        </is>
      </c>
      <c r="G937" t="n">
        <v>4.3</v>
      </c>
      <c r="H937" t="n">
        <v>0</v>
      </c>
      <c r="I937" t="n">
        <v>0</v>
      </c>
      <c r="J937" t="n">
        <v>0</v>
      </c>
      <c r="K937" t="n">
        <v>0</v>
      </c>
      <c r="L937" t="n">
        <v>0</v>
      </c>
      <c r="M937" t="n">
        <v>0</v>
      </c>
      <c r="N937" t="n">
        <v>0</v>
      </c>
      <c r="O937" t="n">
        <v>0</v>
      </c>
      <c r="P937" t="n">
        <v>0</v>
      </c>
      <c r="Q937" t="n">
        <v>0</v>
      </c>
      <c r="R937" s="2" t="inlineStr"/>
    </row>
    <row r="938" ht="15" customHeight="1">
      <c r="A938" t="inlineStr">
        <is>
          <t>A 49518-2021</t>
        </is>
      </c>
      <c r="B938" s="1" t="n">
        <v>44455</v>
      </c>
      <c r="C938" s="1" t="n">
        <v>45346</v>
      </c>
      <c r="D938" t="inlineStr">
        <is>
          <t>VÄSTERNORRLANDS LÄN</t>
        </is>
      </c>
      <c r="E938" t="inlineStr">
        <is>
          <t>SOLLEFTEÅ</t>
        </is>
      </c>
      <c r="G938" t="n">
        <v>12.9</v>
      </c>
      <c r="H938" t="n">
        <v>0</v>
      </c>
      <c r="I938" t="n">
        <v>0</v>
      </c>
      <c r="J938" t="n">
        <v>0</v>
      </c>
      <c r="K938" t="n">
        <v>0</v>
      </c>
      <c r="L938" t="n">
        <v>0</v>
      </c>
      <c r="M938" t="n">
        <v>0</v>
      </c>
      <c r="N938" t="n">
        <v>0</v>
      </c>
      <c r="O938" t="n">
        <v>0</v>
      </c>
      <c r="P938" t="n">
        <v>0</v>
      </c>
      <c r="Q938" t="n">
        <v>0</v>
      </c>
      <c r="R938" s="2" t="inlineStr"/>
    </row>
    <row r="939" ht="15" customHeight="1">
      <c r="A939" t="inlineStr">
        <is>
          <t>A 49711-2021</t>
        </is>
      </c>
      <c r="B939" s="1" t="n">
        <v>44455</v>
      </c>
      <c r="C939" s="1" t="n">
        <v>45346</v>
      </c>
      <c r="D939" t="inlineStr">
        <is>
          <t>VÄSTERNORRLANDS LÄN</t>
        </is>
      </c>
      <c r="E939" t="inlineStr">
        <is>
          <t>SOLLEFTEÅ</t>
        </is>
      </c>
      <c r="G939" t="n">
        <v>3.7</v>
      </c>
      <c r="H939" t="n">
        <v>0</v>
      </c>
      <c r="I939" t="n">
        <v>0</v>
      </c>
      <c r="J939" t="n">
        <v>0</v>
      </c>
      <c r="K939" t="n">
        <v>0</v>
      </c>
      <c r="L939" t="n">
        <v>0</v>
      </c>
      <c r="M939" t="n">
        <v>0</v>
      </c>
      <c r="N939" t="n">
        <v>0</v>
      </c>
      <c r="O939" t="n">
        <v>0</v>
      </c>
      <c r="P939" t="n">
        <v>0</v>
      </c>
      <c r="Q939" t="n">
        <v>0</v>
      </c>
      <c r="R939" s="2" t="inlineStr"/>
    </row>
    <row r="940" ht="15" customHeight="1">
      <c r="A940" t="inlineStr">
        <is>
          <t>A 50360-2021</t>
        </is>
      </c>
      <c r="B940" s="1" t="n">
        <v>44459</v>
      </c>
      <c r="C940" s="1" t="n">
        <v>45346</v>
      </c>
      <c r="D940" t="inlineStr">
        <is>
          <t>VÄSTERNORRLANDS LÄN</t>
        </is>
      </c>
      <c r="E940" t="inlineStr">
        <is>
          <t>SOLLEFTEÅ</t>
        </is>
      </c>
      <c r="G940" t="n">
        <v>4.4</v>
      </c>
      <c r="H940" t="n">
        <v>0</v>
      </c>
      <c r="I940" t="n">
        <v>0</v>
      </c>
      <c r="J940" t="n">
        <v>0</v>
      </c>
      <c r="K940" t="n">
        <v>0</v>
      </c>
      <c r="L940" t="n">
        <v>0</v>
      </c>
      <c r="M940" t="n">
        <v>0</v>
      </c>
      <c r="N940" t="n">
        <v>0</v>
      </c>
      <c r="O940" t="n">
        <v>0</v>
      </c>
      <c r="P940" t="n">
        <v>0</v>
      </c>
      <c r="Q940" t="n">
        <v>0</v>
      </c>
      <c r="R940" s="2" t="inlineStr"/>
    </row>
    <row r="941" ht="15" customHeight="1">
      <c r="A941" t="inlineStr">
        <is>
          <t>A 51104-2021</t>
        </is>
      </c>
      <c r="B941" s="1" t="n">
        <v>44459</v>
      </c>
      <c r="C941" s="1" t="n">
        <v>45346</v>
      </c>
      <c r="D941" t="inlineStr">
        <is>
          <t>VÄSTERNORRLANDS LÄN</t>
        </is>
      </c>
      <c r="E941" t="inlineStr">
        <is>
          <t>SOLLEFTEÅ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51020-2021</t>
        </is>
      </c>
      <c r="B942" s="1" t="n">
        <v>44460</v>
      </c>
      <c r="C942" s="1" t="n">
        <v>45346</v>
      </c>
      <c r="D942" t="inlineStr">
        <is>
          <t>VÄSTERNORRLANDS LÄN</t>
        </is>
      </c>
      <c r="E942" t="inlineStr">
        <is>
          <t>SOLLEFTEÅ</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51029-2021</t>
        </is>
      </c>
      <c r="B943" s="1" t="n">
        <v>44461</v>
      </c>
      <c r="C943" s="1" t="n">
        <v>45346</v>
      </c>
      <c r="D943" t="inlineStr">
        <is>
          <t>VÄSTERNORRLANDS LÄN</t>
        </is>
      </c>
      <c r="E943" t="inlineStr">
        <is>
          <t>SOLLEFTEÅ</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51440-2021</t>
        </is>
      </c>
      <c r="B944" s="1" t="n">
        <v>44461</v>
      </c>
      <c r="C944" s="1" t="n">
        <v>45346</v>
      </c>
      <c r="D944" t="inlineStr">
        <is>
          <t>VÄSTERNORRLANDS LÄN</t>
        </is>
      </c>
      <c r="E944" t="inlineStr">
        <is>
          <t>SOLLEFTEÅ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51443-2021</t>
        </is>
      </c>
      <c r="B945" s="1" t="n">
        <v>44461</v>
      </c>
      <c r="C945" s="1" t="n">
        <v>45346</v>
      </c>
      <c r="D945" t="inlineStr">
        <is>
          <t>VÄSTERNORRLANDS LÄN</t>
        </is>
      </c>
      <c r="E945" t="inlineStr">
        <is>
          <t>SOLLEFTEÅ</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51442-2021</t>
        </is>
      </c>
      <c r="B946" s="1" t="n">
        <v>44462</v>
      </c>
      <c r="C946" s="1" t="n">
        <v>45346</v>
      </c>
      <c r="D946" t="inlineStr">
        <is>
          <t>VÄSTERNORRLANDS LÄN</t>
        </is>
      </c>
      <c r="E946" t="inlineStr">
        <is>
          <t>SOLLEFTEÅ</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51491-2021</t>
        </is>
      </c>
      <c r="B947" s="1" t="n">
        <v>44462</v>
      </c>
      <c r="C947" s="1" t="n">
        <v>45346</v>
      </c>
      <c r="D947" t="inlineStr">
        <is>
          <t>VÄSTERNORRLANDS LÄN</t>
        </is>
      </c>
      <c r="E947" t="inlineStr">
        <is>
          <t>SOLLEFTEÅ</t>
        </is>
      </c>
      <c r="F947" t="inlineStr">
        <is>
          <t>Kyrkan</t>
        </is>
      </c>
      <c r="G947" t="n">
        <v>18</v>
      </c>
      <c r="H947" t="n">
        <v>0</v>
      </c>
      <c r="I947" t="n">
        <v>0</v>
      </c>
      <c r="J947" t="n">
        <v>0</v>
      </c>
      <c r="K947" t="n">
        <v>0</v>
      </c>
      <c r="L947" t="n">
        <v>0</v>
      </c>
      <c r="M947" t="n">
        <v>0</v>
      </c>
      <c r="N947" t="n">
        <v>0</v>
      </c>
      <c r="O947" t="n">
        <v>0</v>
      </c>
      <c r="P947" t="n">
        <v>0</v>
      </c>
      <c r="Q947" t="n">
        <v>0</v>
      </c>
      <c r="R947" s="2" t="inlineStr"/>
    </row>
    <row r="948" ht="15" customHeight="1">
      <c r="A948" t="inlineStr">
        <is>
          <t>A 51847-2021</t>
        </is>
      </c>
      <c r="B948" s="1" t="n">
        <v>44462</v>
      </c>
      <c r="C948" s="1" t="n">
        <v>45346</v>
      </c>
      <c r="D948" t="inlineStr">
        <is>
          <t>VÄSTERNORRLANDS LÄN</t>
        </is>
      </c>
      <c r="E948" t="inlineStr">
        <is>
          <t>SOLLEFTEÅ</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51952-2021</t>
        </is>
      </c>
      <c r="B949" s="1" t="n">
        <v>44463</v>
      </c>
      <c r="C949" s="1" t="n">
        <v>45346</v>
      </c>
      <c r="D949" t="inlineStr">
        <is>
          <t>VÄSTERNORRLANDS LÄN</t>
        </is>
      </c>
      <c r="E949" t="inlineStr">
        <is>
          <t>SOLLEFTEÅ</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52447-2021</t>
        </is>
      </c>
      <c r="B950" s="1" t="n">
        <v>44466</v>
      </c>
      <c r="C950" s="1" t="n">
        <v>45346</v>
      </c>
      <c r="D950" t="inlineStr">
        <is>
          <t>VÄSTERNORRLANDS LÄN</t>
        </is>
      </c>
      <c r="E950" t="inlineStr">
        <is>
          <t>SOLLEFTEÅ</t>
        </is>
      </c>
      <c r="F950" t="inlineStr">
        <is>
          <t>Holmen skog AB</t>
        </is>
      </c>
      <c r="G950" t="n">
        <v>8.9</v>
      </c>
      <c r="H950" t="n">
        <v>0</v>
      </c>
      <c r="I950" t="n">
        <v>0</v>
      </c>
      <c r="J950" t="n">
        <v>0</v>
      </c>
      <c r="K950" t="n">
        <v>0</v>
      </c>
      <c r="L950" t="n">
        <v>0</v>
      </c>
      <c r="M950" t="n">
        <v>0</v>
      </c>
      <c r="N950" t="n">
        <v>0</v>
      </c>
      <c r="O950" t="n">
        <v>0</v>
      </c>
      <c r="P950" t="n">
        <v>0</v>
      </c>
      <c r="Q950" t="n">
        <v>0</v>
      </c>
      <c r="R950" s="2" t="inlineStr"/>
    </row>
    <row r="951" ht="15" customHeight="1">
      <c r="A951" t="inlineStr">
        <is>
          <t>A 53289-2021</t>
        </is>
      </c>
      <c r="B951" s="1" t="n">
        <v>44467</v>
      </c>
      <c r="C951" s="1" t="n">
        <v>45346</v>
      </c>
      <c r="D951" t="inlineStr">
        <is>
          <t>VÄSTERNORRLANDS LÄN</t>
        </is>
      </c>
      <c r="E951" t="inlineStr">
        <is>
          <t>SOLLEFTEÅ</t>
        </is>
      </c>
      <c r="G951" t="n">
        <v>6.5</v>
      </c>
      <c r="H951" t="n">
        <v>0</v>
      </c>
      <c r="I951" t="n">
        <v>0</v>
      </c>
      <c r="J951" t="n">
        <v>0</v>
      </c>
      <c r="K951" t="n">
        <v>0</v>
      </c>
      <c r="L951" t="n">
        <v>0</v>
      </c>
      <c r="M951" t="n">
        <v>0</v>
      </c>
      <c r="N951" t="n">
        <v>0</v>
      </c>
      <c r="O951" t="n">
        <v>0</v>
      </c>
      <c r="P951" t="n">
        <v>0</v>
      </c>
      <c r="Q951" t="n">
        <v>0</v>
      </c>
      <c r="R951" s="2" t="inlineStr"/>
    </row>
    <row r="952" ht="15" customHeight="1">
      <c r="A952" t="inlineStr">
        <is>
          <t>A 53278-2021</t>
        </is>
      </c>
      <c r="B952" s="1" t="n">
        <v>44467</v>
      </c>
      <c r="C952" s="1" t="n">
        <v>45346</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53524-2021</t>
        </is>
      </c>
      <c r="B953" s="1" t="n">
        <v>44468</v>
      </c>
      <c r="C953" s="1" t="n">
        <v>45346</v>
      </c>
      <c r="D953" t="inlineStr">
        <is>
          <t>VÄSTERNORRLANDS LÄN</t>
        </is>
      </c>
      <c r="E953" t="inlineStr">
        <is>
          <t>SOLLEFTEÅ</t>
        </is>
      </c>
      <c r="F953" t="inlineStr">
        <is>
          <t>SCA</t>
        </is>
      </c>
      <c r="G953" t="n">
        <v>5.9</v>
      </c>
      <c r="H953" t="n">
        <v>0</v>
      </c>
      <c r="I953" t="n">
        <v>0</v>
      </c>
      <c r="J953" t="n">
        <v>0</v>
      </c>
      <c r="K953" t="n">
        <v>0</v>
      </c>
      <c r="L953" t="n">
        <v>0</v>
      </c>
      <c r="M953" t="n">
        <v>0</v>
      </c>
      <c r="N953" t="n">
        <v>0</v>
      </c>
      <c r="O953" t="n">
        <v>0</v>
      </c>
      <c r="P953" t="n">
        <v>0</v>
      </c>
      <c r="Q953" t="n">
        <v>0</v>
      </c>
      <c r="R953" s="2" t="inlineStr"/>
    </row>
    <row r="954" ht="15" customHeight="1">
      <c r="A954" t="inlineStr">
        <is>
          <t>A 53955-2021</t>
        </is>
      </c>
      <c r="B954" s="1" t="n">
        <v>44469</v>
      </c>
      <c r="C954" s="1" t="n">
        <v>45346</v>
      </c>
      <c r="D954" t="inlineStr">
        <is>
          <t>VÄSTERNORRLANDS LÄN</t>
        </is>
      </c>
      <c r="E954" t="inlineStr">
        <is>
          <t>SOLLEFTEÅ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54146-2021</t>
        </is>
      </c>
      <c r="B955" s="1" t="n">
        <v>44469</v>
      </c>
      <c r="C955" s="1" t="n">
        <v>45346</v>
      </c>
      <c r="D955" t="inlineStr">
        <is>
          <t>VÄSTERNORRLANDS LÄN</t>
        </is>
      </c>
      <c r="E955" t="inlineStr">
        <is>
          <t>SOLLEFTEÅ</t>
        </is>
      </c>
      <c r="G955" t="n">
        <v>2.1</v>
      </c>
      <c r="H955" t="n">
        <v>0</v>
      </c>
      <c r="I955" t="n">
        <v>0</v>
      </c>
      <c r="J955" t="n">
        <v>0</v>
      </c>
      <c r="K955" t="n">
        <v>0</v>
      </c>
      <c r="L955" t="n">
        <v>0</v>
      </c>
      <c r="M955" t="n">
        <v>0</v>
      </c>
      <c r="N955" t="n">
        <v>0</v>
      </c>
      <c r="O955" t="n">
        <v>0</v>
      </c>
      <c r="P955" t="n">
        <v>0</v>
      </c>
      <c r="Q955" t="n">
        <v>0</v>
      </c>
      <c r="R955" s="2" t="inlineStr"/>
    </row>
    <row r="956" ht="15" customHeight="1">
      <c r="A956" t="inlineStr">
        <is>
          <t>A 54728-2021</t>
        </is>
      </c>
      <c r="B956" s="1" t="n">
        <v>44473</v>
      </c>
      <c r="C956" s="1" t="n">
        <v>45346</v>
      </c>
      <c r="D956" t="inlineStr">
        <is>
          <t>VÄSTERNORRLANDS LÄN</t>
        </is>
      </c>
      <c r="E956" t="inlineStr">
        <is>
          <t>SOLLEFTEÅ</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55016-2021</t>
        </is>
      </c>
      <c r="B957" s="1" t="n">
        <v>44474</v>
      </c>
      <c r="C957" s="1" t="n">
        <v>45346</v>
      </c>
      <c r="D957" t="inlineStr">
        <is>
          <t>VÄSTERNORRLANDS LÄN</t>
        </is>
      </c>
      <c r="E957" t="inlineStr">
        <is>
          <t>SOLLEFTEÅ</t>
        </is>
      </c>
      <c r="F957" t="inlineStr">
        <is>
          <t>Övriga Aktiebolag</t>
        </is>
      </c>
      <c r="G957" t="n">
        <v>12.7</v>
      </c>
      <c r="H957" t="n">
        <v>0</v>
      </c>
      <c r="I957" t="n">
        <v>0</v>
      </c>
      <c r="J957" t="n">
        <v>0</v>
      </c>
      <c r="K957" t="n">
        <v>0</v>
      </c>
      <c r="L957" t="n">
        <v>0</v>
      </c>
      <c r="M957" t="n">
        <v>0</v>
      </c>
      <c r="N957" t="n">
        <v>0</v>
      </c>
      <c r="O957" t="n">
        <v>0</v>
      </c>
      <c r="P957" t="n">
        <v>0</v>
      </c>
      <c r="Q957" t="n">
        <v>0</v>
      </c>
      <c r="R957" s="2" t="inlineStr"/>
    </row>
    <row r="958" ht="15" customHeight="1">
      <c r="A958" t="inlineStr">
        <is>
          <t>A 55018-2021</t>
        </is>
      </c>
      <c r="B958" s="1" t="n">
        <v>44474</v>
      </c>
      <c r="C958" s="1" t="n">
        <v>45346</v>
      </c>
      <c r="D958" t="inlineStr">
        <is>
          <t>VÄSTERNORRLANDS LÄN</t>
        </is>
      </c>
      <c r="E958" t="inlineStr">
        <is>
          <t>SOLLEFTEÅ</t>
        </is>
      </c>
      <c r="F958" t="inlineStr">
        <is>
          <t>Övriga Aktiebolag</t>
        </is>
      </c>
      <c r="G958" t="n">
        <v>11.2</v>
      </c>
      <c r="H958" t="n">
        <v>0</v>
      </c>
      <c r="I958" t="n">
        <v>0</v>
      </c>
      <c r="J958" t="n">
        <v>0</v>
      </c>
      <c r="K958" t="n">
        <v>0</v>
      </c>
      <c r="L958" t="n">
        <v>0</v>
      </c>
      <c r="M958" t="n">
        <v>0</v>
      </c>
      <c r="N958" t="n">
        <v>0</v>
      </c>
      <c r="O958" t="n">
        <v>0</v>
      </c>
      <c r="P958" t="n">
        <v>0</v>
      </c>
      <c r="Q958" t="n">
        <v>0</v>
      </c>
      <c r="R958" s="2" t="inlineStr"/>
    </row>
    <row r="959" ht="15" customHeight="1">
      <c r="A959" t="inlineStr">
        <is>
          <t>A 55610-2021</t>
        </is>
      </c>
      <c r="B959" s="1" t="n">
        <v>44476</v>
      </c>
      <c r="C959" s="1" t="n">
        <v>45346</v>
      </c>
      <c r="D959" t="inlineStr">
        <is>
          <t>VÄSTERNORRLANDS LÄN</t>
        </is>
      </c>
      <c r="E959" t="inlineStr">
        <is>
          <t>SOLLEFTEÅ</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55643-2021</t>
        </is>
      </c>
      <c r="B960" s="1" t="n">
        <v>44475</v>
      </c>
      <c r="C960" s="1" t="n">
        <v>45346</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55904-2021</t>
        </is>
      </c>
      <c r="B961" s="1" t="n">
        <v>44476</v>
      </c>
      <c r="C961" s="1" t="n">
        <v>45346</v>
      </c>
      <c r="D961" t="inlineStr">
        <is>
          <t>VÄSTERNORRLANDS LÄN</t>
        </is>
      </c>
      <c r="E961" t="inlineStr">
        <is>
          <t>SOLLEFTEÅ</t>
        </is>
      </c>
      <c r="G961" t="n">
        <v>3.1</v>
      </c>
      <c r="H961" t="n">
        <v>0</v>
      </c>
      <c r="I961" t="n">
        <v>0</v>
      </c>
      <c r="J961" t="n">
        <v>0</v>
      </c>
      <c r="K961" t="n">
        <v>0</v>
      </c>
      <c r="L961" t="n">
        <v>0</v>
      </c>
      <c r="M961" t="n">
        <v>0</v>
      </c>
      <c r="N961" t="n">
        <v>0</v>
      </c>
      <c r="O961" t="n">
        <v>0</v>
      </c>
      <c r="P961" t="n">
        <v>0</v>
      </c>
      <c r="Q961" t="n">
        <v>0</v>
      </c>
      <c r="R961" s="2" t="inlineStr"/>
    </row>
    <row r="962" ht="15" customHeight="1">
      <c r="A962" t="inlineStr">
        <is>
          <t>A 56211-2021</t>
        </is>
      </c>
      <c r="B962" s="1" t="n">
        <v>44478</v>
      </c>
      <c r="C962" s="1" t="n">
        <v>45346</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56918-2021</t>
        </is>
      </c>
      <c r="B963" s="1" t="n">
        <v>44482</v>
      </c>
      <c r="C963" s="1" t="n">
        <v>45346</v>
      </c>
      <c r="D963" t="inlineStr">
        <is>
          <t>VÄSTERNORRLANDS LÄN</t>
        </is>
      </c>
      <c r="E963" t="inlineStr">
        <is>
          <t>SOLLEFTEÅ</t>
        </is>
      </c>
      <c r="F963" t="inlineStr">
        <is>
          <t>SCA</t>
        </is>
      </c>
      <c r="G963" t="n">
        <v>13.9</v>
      </c>
      <c r="H963" t="n">
        <v>0</v>
      </c>
      <c r="I963" t="n">
        <v>0</v>
      </c>
      <c r="J963" t="n">
        <v>0</v>
      </c>
      <c r="K963" t="n">
        <v>0</v>
      </c>
      <c r="L963" t="n">
        <v>0</v>
      </c>
      <c r="M963" t="n">
        <v>0</v>
      </c>
      <c r="N963" t="n">
        <v>0</v>
      </c>
      <c r="O963" t="n">
        <v>0</v>
      </c>
      <c r="P963" t="n">
        <v>0</v>
      </c>
      <c r="Q963" t="n">
        <v>0</v>
      </c>
      <c r="R963" s="2" t="inlineStr"/>
    </row>
    <row r="964" ht="15" customHeight="1">
      <c r="A964" t="inlineStr">
        <is>
          <t>A 57007-2021</t>
        </is>
      </c>
      <c r="B964" s="1" t="n">
        <v>44482</v>
      </c>
      <c r="C964" s="1" t="n">
        <v>45346</v>
      </c>
      <c r="D964" t="inlineStr">
        <is>
          <t>VÄSTERNORRLANDS LÄN</t>
        </is>
      </c>
      <c r="E964" t="inlineStr">
        <is>
          <t>SOLLEFTEÅ</t>
        </is>
      </c>
      <c r="G964" t="n">
        <v>7.4</v>
      </c>
      <c r="H964" t="n">
        <v>0</v>
      </c>
      <c r="I964" t="n">
        <v>0</v>
      </c>
      <c r="J964" t="n">
        <v>0</v>
      </c>
      <c r="K964" t="n">
        <v>0</v>
      </c>
      <c r="L964" t="n">
        <v>0</v>
      </c>
      <c r="M964" t="n">
        <v>0</v>
      </c>
      <c r="N964" t="n">
        <v>0</v>
      </c>
      <c r="O964" t="n">
        <v>0</v>
      </c>
      <c r="P964" t="n">
        <v>0</v>
      </c>
      <c r="Q964" t="n">
        <v>0</v>
      </c>
      <c r="R964" s="2" t="inlineStr"/>
    </row>
    <row r="965" ht="15" customHeight="1">
      <c r="A965" t="inlineStr">
        <is>
          <t>A 57550-2021</t>
        </is>
      </c>
      <c r="B965" s="1" t="n">
        <v>44484</v>
      </c>
      <c r="C965" s="1" t="n">
        <v>45346</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57552-2021</t>
        </is>
      </c>
      <c r="B966" s="1" t="n">
        <v>44483</v>
      </c>
      <c r="C966" s="1" t="n">
        <v>45346</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57856-2021</t>
        </is>
      </c>
      <c r="B967" s="1" t="n">
        <v>44485</v>
      </c>
      <c r="C967" s="1" t="n">
        <v>45346</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57911-2021</t>
        </is>
      </c>
      <c r="B968" s="1" t="n">
        <v>44486</v>
      </c>
      <c r="C968" s="1" t="n">
        <v>45346</v>
      </c>
      <c r="D968" t="inlineStr">
        <is>
          <t>VÄSTERNORRLANDS LÄN</t>
        </is>
      </c>
      <c r="E968" t="inlineStr">
        <is>
          <t>SOLLEFTEÅ</t>
        </is>
      </c>
      <c r="G968" t="n">
        <v>3.1</v>
      </c>
      <c r="H968" t="n">
        <v>0</v>
      </c>
      <c r="I968" t="n">
        <v>0</v>
      </c>
      <c r="J968" t="n">
        <v>0</v>
      </c>
      <c r="K968" t="n">
        <v>0</v>
      </c>
      <c r="L968" t="n">
        <v>0</v>
      </c>
      <c r="M968" t="n">
        <v>0</v>
      </c>
      <c r="N968" t="n">
        <v>0</v>
      </c>
      <c r="O968" t="n">
        <v>0</v>
      </c>
      <c r="P968" t="n">
        <v>0</v>
      </c>
      <c r="Q968" t="n">
        <v>0</v>
      </c>
      <c r="R968" s="2" t="inlineStr"/>
    </row>
    <row r="969" ht="15" customHeight="1">
      <c r="A969" t="inlineStr">
        <is>
          <t>A 58268-2021</t>
        </is>
      </c>
      <c r="B969" s="1" t="n">
        <v>44487</v>
      </c>
      <c r="C969" s="1" t="n">
        <v>45346</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58276-2021</t>
        </is>
      </c>
      <c r="B970" s="1" t="n">
        <v>44488</v>
      </c>
      <c r="C970" s="1" t="n">
        <v>45346</v>
      </c>
      <c r="D970" t="inlineStr">
        <is>
          <t>VÄSTERNORRLANDS LÄN</t>
        </is>
      </c>
      <c r="E970" t="inlineStr">
        <is>
          <t>SOLLEFTEÅ</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58179-2021</t>
        </is>
      </c>
      <c r="B971" s="1" t="n">
        <v>44487</v>
      </c>
      <c r="C971" s="1" t="n">
        <v>45346</v>
      </c>
      <c r="D971" t="inlineStr">
        <is>
          <t>VÄSTERNORRLANDS LÄN</t>
        </is>
      </c>
      <c r="E971" t="inlineStr">
        <is>
          <t>SOLLEFTEÅ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58478-2021</t>
        </is>
      </c>
      <c r="B972" s="1" t="n">
        <v>44488</v>
      </c>
      <c r="C972" s="1" t="n">
        <v>45346</v>
      </c>
      <c r="D972" t="inlineStr">
        <is>
          <t>VÄSTERNORRLANDS LÄN</t>
        </is>
      </c>
      <c r="E972" t="inlineStr">
        <is>
          <t>SOLLEFTEÅ</t>
        </is>
      </c>
      <c r="G972" t="n">
        <v>9.5</v>
      </c>
      <c r="H972" t="n">
        <v>0</v>
      </c>
      <c r="I972" t="n">
        <v>0</v>
      </c>
      <c r="J972" t="n">
        <v>0</v>
      </c>
      <c r="K972" t="n">
        <v>0</v>
      </c>
      <c r="L972" t="n">
        <v>0</v>
      </c>
      <c r="M972" t="n">
        <v>0</v>
      </c>
      <c r="N972" t="n">
        <v>0</v>
      </c>
      <c r="O972" t="n">
        <v>0</v>
      </c>
      <c r="P972" t="n">
        <v>0</v>
      </c>
      <c r="Q972" t="n">
        <v>0</v>
      </c>
      <c r="R972" s="2" t="inlineStr"/>
    </row>
    <row r="973" ht="15" customHeight="1">
      <c r="A973" t="inlineStr">
        <is>
          <t>A 58486-2021</t>
        </is>
      </c>
      <c r="B973" s="1" t="n">
        <v>44488</v>
      </c>
      <c r="C973" s="1" t="n">
        <v>45346</v>
      </c>
      <c r="D973" t="inlineStr">
        <is>
          <t>VÄSTERNORRLANDS LÄN</t>
        </is>
      </c>
      <c r="E973" t="inlineStr">
        <is>
          <t>SOLLEFTEÅ</t>
        </is>
      </c>
      <c r="G973" t="n">
        <v>2.4</v>
      </c>
      <c r="H973" t="n">
        <v>0</v>
      </c>
      <c r="I973" t="n">
        <v>0</v>
      </c>
      <c r="J973" t="n">
        <v>0</v>
      </c>
      <c r="K973" t="n">
        <v>0</v>
      </c>
      <c r="L973" t="n">
        <v>0</v>
      </c>
      <c r="M973" t="n">
        <v>0</v>
      </c>
      <c r="N973" t="n">
        <v>0</v>
      </c>
      <c r="O973" t="n">
        <v>0</v>
      </c>
      <c r="P973" t="n">
        <v>0</v>
      </c>
      <c r="Q973" t="n">
        <v>0</v>
      </c>
      <c r="R973" s="2" t="inlineStr"/>
    </row>
    <row r="974" ht="15" customHeight="1">
      <c r="A974" t="inlineStr">
        <is>
          <t>A 58572-2021</t>
        </is>
      </c>
      <c r="B974" s="1" t="n">
        <v>44488</v>
      </c>
      <c r="C974" s="1" t="n">
        <v>45346</v>
      </c>
      <c r="D974" t="inlineStr">
        <is>
          <t>VÄSTERNORRLANDS LÄN</t>
        </is>
      </c>
      <c r="E974" t="inlineStr">
        <is>
          <t>SOLLEFTEÅ</t>
        </is>
      </c>
      <c r="G974" t="n">
        <v>0.1</v>
      </c>
      <c r="H974" t="n">
        <v>0</v>
      </c>
      <c r="I974" t="n">
        <v>0</v>
      </c>
      <c r="J974" t="n">
        <v>0</v>
      </c>
      <c r="K974" t="n">
        <v>0</v>
      </c>
      <c r="L974" t="n">
        <v>0</v>
      </c>
      <c r="M974" t="n">
        <v>0</v>
      </c>
      <c r="N974" t="n">
        <v>0</v>
      </c>
      <c r="O974" t="n">
        <v>0</v>
      </c>
      <c r="P974" t="n">
        <v>0</v>
      </c>
      <c r="Q974" t="n">
        <v>0</v>
      </c>
      <c r="R974" s="2" t="inlineStr"/>
    </row>
    <row r="975" ht="15" customHeight="1">
      <c r="A975" t="inlineStr">
        <is>
          <t>A 58571-2021</t>
        </is>
      </c>
      <c r="B975" s="1" t="n">
        <v>44488</v>
      </c>
      <c r="C975" s="1" t="n">
        <v>45346</v>
      </c>
      <c r="D975" t="inlineStr">
        <is>
          <t>VÄSTERNORRLANDS LÄN</t>
        </is>
      </c>
      <c r="E975" t="inlineStr">
        <is>
          <t>SOLLEFTEÅ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58573-2021</t>
        </is>
      </c>
      <c r="B976" s="1" t="n">
        <v>44488</v>
      </c>
      <c r="C976" s="1" t="n">
        <v>45346</v>
      </c>
      <c r="D976" t="inlineStr">
        <is>
          <t>VÄSTERNORRLANDS LÄN</t>
        </is>
      </c>
      <c r="E976" t="inlineStr">
        <is>
          <t>SOLLEFTEÅ</t>
        </is>
      </c>
      <c r="G976" t="n">
        <v>0.3</v>
      </c>
      <c r="H976" t="n">
        <v>0</v>
      </c>
      <c r="I976" t="n">
        <v>0</v>
      </c>
      <c r="J976" t="n">
        <v>0</v>
      </c>
      <c r="K976" t="n">
        <v>0</v>
      </c>
      <c r="L976" t="n">
        <v>0</v>
      </c>
      <c r="M976" t="n">
        <v>0</v>
      </c>
      <c r="N976" t="n">
        <v>0</v>
      </c>
      <c r="O976" t="n">
        <v>0</v>
      </c>
      <c r="P976" t="n">
        <v>0</v>
      </c>
      <c r="Q976" t="n">
        <v>0</v>
      </c>
      <c r="R976" s="2" t="inlineStr"/>
    </row>
    <row r="977" ht="15" customHeight="1">
      <c r="A977" t="inlineStr">
        <is>
          <t>A 58726-2021</t>
        </is>
      </c>
      <c r="B977" s="1" t="n">
        <v>44489</v>
      </c>
      <c r="C977" s="1" t="n">
        <v>45346</v>
      </c>
      <c r="D977" t="inlineStr">
        <is>
          <t>VÄSTERNORRLANDS LÄN</t>
        </is>
      </c>
      <c r="E977" t="inlineStr">
        <is>
          <t>SOLLEFTEÅ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58742-2021</t>
        </is>
      </c>
      <c r="B978" s="1" t="n">
        <v>44489</v>
      </c>
      <c r="C978" s="1" t="n">
        <v>45346</v>
      </c>
      <c r="D978" t="inlineStr">
        <is>
          <t>VÄSTERNORRLANDS LÄN</t>
        </is>
      </c>
      <c r="E978" t="inlineStr">
        <is>
          <t>SOLLEFTEÅ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58755-2021</t>
        </is>
      </c>
      <c r="B979" s="1" t="n">
        <v>44489</v>
      </c>
      <c r="C979" s="1" t="n">
        <v>45346</v>
      </c>
      <c r="D979" t="inlineStr">
        <is>
          <t>VÄSTERNORRLANDS LÄN</t>
        </is>
      </c>
      <c r="E979" t="inlineStr">
        <is>
          <t>SOLLEFTEÅ</t>
        </is>
      </c>
      <c r="G979" t="n">
        <v>12.2</v>
      </c>
      <c r="H979" t="n">
        <v>0</v>
      </c>
      <c r="I979" t="n">
        <v>0</v>
      </c>
      <c r="J979" t="n">
        <v>0</v>
      </c>
      <c r="K979" t="n">
        <v>0</v>
      </c>
      <c r="L979" t="n">
        <v>0</v>
      </c>
      <c r="M979" t="n">
        <v>0</v>
      </c>
      <c r="N979" t="n">
        <v>0</v>
      </c>
      <c r="O979" t="n">
        <v>0</v>
      </c>
      <c r="P979" t="n">
        <v>0</v>
      </c>
      <c r="Q979" t="n">
        <v>0</v>
      </c>
      <c r="R979" s="2" t="inlineStr"/>
    </row>
    <row r="980" ht="15" customHeight="1">
      <c r="A980" t="inlineStr">
        <is>
          <t>A 58688-2021</t>
        </is>
      </c>
      <c r="B980" s="1" t="n">
        <v>44489</v>
      </c>
      <c r="C980" s="1" t="n">
        <v>45346</v>
      </c>
      <c r="D980" t="inlineStr">
        <is>
          <t>VÄSTERNORRLANDS LÄN</t>
        </is>
      </c>
      <c r="E980" t="inlineStr">
        <is>
          <t>SOLLEFTEÅ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58715-2021</t>
        </is>
      </c>
      <c r="B981" s="1" t="n">
        <v>44489</v>
      </c>
      <c r="C981" s="1" t="n">
        <v>45346</v>
      </c>
      <c r="D981" t="inlineStr">
        <is>
          <t>VÄSTERNORRLANDS LÄN</t>
        </is>
      </c>
      <c r="E981" t="inlineStr">
        <is>
          <t>SOLLEFTEÅ</t>
        </is>
      </c>
      <c r="G981" t="n">
        <v>4.7</v>
      </c>
      <c r="H981" t="n">
        <v>0</v>
      </c>
      <c r="I981" t="n">
        <v>0</v>
      </c>
      <c r="J981" t="n">
        <v>0</v>
      </c>
      <c r="K981" t="n">
        <v>0</v>
      </c>
      <c r="L981" t="n">
        <v>0</v>
      </c>
      <c r="M981" t="n">
        <v>0</v>
      </c>
      <c r="N981" t="n">
        <v>0</v>
      </c>
      <c r="O981" t="n">
        <v>0</v>
      </c>
      <c r="P981" t="n">
        <v>0</v>
      </c>
      <c r="Q981" t="n">
        <v>0</v>
      </c>
      <c r="R981" s="2" t="inlineStr"/>
    </row>
    <row r="982" ht="15" customHeight="1">
      <c r="A982" t="inlineStr">
        <is>
          <t>A 59344-2021</t>
        </is>
      </c>
      <c r="B982" s="1" t="n">
        <v>44490</v>
      </c>
      <c r="C982" s="1" t="n">
        <v>45346</v>
      </c>
      <c r="D982" t="inlineStr">
        <is>
          <t>VÄSTERNORRLANDS LÄN</t>
        </is>
      </c>
      <c r="E982" t="inlineStr">
        <is>
          <t>SOLLEFTEÅ</t>
        </is>
      </c>
      <c r="G982" t="n">
        <v>6.9</v>
      </c>
      <c r="H982" t="n">
        <v>0</v>
      </c>
      <c r="I982" t="n">
        <v>0</v>
      </c>
      <c r="J982" t="n">
        <v>0</v>
      </c>
      <c r="K982" t="n">
        <v>0</v>
      </c>
      <c r="L982" t="n">
        <v>0</v>
      </c>
      <c r="M982" t="n">
        <v>0</v>
      </c>
      <c r="N982" t="n">
        <v>0</v>
      </c>
      <c r="O982" t="n">
        <v>0</v>
      </c>
      <c r="P982" t="n">
        <v>0</v>
      </c>
      <c r="Q982" t="n">
        <v>0</v>
      </c>
      <c r="R982" s="2" t="inlineStr"/>
    </row>
    <row r="983" ht="15" customHeight="1">
      <c r="A983" t="inlineStr">
        <is>
          <t>A 59309-2021</t>
        </is>
      </c>
      <c r="B983" s="1" t="n">
        <v>44491</v>
      </c>
      <c r="C983" s="1" t="n">
        <v>45346</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59343-2021</t>
        </is>
      </c>
      <c r="B984" s="1" t="n">
        <v>44490</v>
      </c>
      <c r="C984" s="1" t="n">
        <v>45346</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60324-2021</t>
        </is>
      </c>
      <c r="B985" s="1" t="n">
        <v>44496</v>
      </c>
      <c r="C985" s="1" t="n">
        <v>45346</v>
      </c>
      <c r="D985" t="inlineStr">
        <is>
          <t>VÄSTERNORRLANDS LÄN</t>
        </is>
      </c>
      <c r="E985" t="inlineStr">
        <is>
          <t>SOLLEFTEÅ</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60757-2021</t>
        </is>
      </c>
      <c r="B986" s="1" t="n">
        <v>44497</v>
      </c>
      <c r="C986" s="1" t="n">
        <v>45346</v>
      </c>
      <c r="D986" t="inlineStr">
        <is>
          <t>VÄSTERNORRLANDS LÄN</t>
        </is>
      </c>
      <c r="E986" t="inlineStr">
        <is>
          <t>SOLLEFTEÅ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60756-2021</t>
        </is>
      </c>
      <c r="B987" s="1" t="n">
        <v>44496</v>
      </c>
      <c r="C987" s="1" t="n">
        <v>45346</v>
      </c>
      <c r="D987" t="inlineStr">
        <is>
          <t>VÄSTERNORRLANDS LÄN</t>
        </is>
      </c>
      <c r="E987" t="inlineStr">
        <is>
          <t>SOLLEFTEÅ</t>
        </is>
      </c>
      <c r="G987" t="n">
        <v>2.9</v>
      </c>
      <c r="H987" t="n">
        <v>0</v>
      </c>
      <c r="I987" t="n">
        <v>0</v>
      </c>
      <c r="J987" t="n">
        <v>0</v>
      </c>
      <c r="K987" t="n">
        <v>0</v>
      </c>
      <c r="L987" t="n">
        <v>0</v>
      </c>
      <c r="M987" t="n">
        <v>0</v>
      </c>
      <c r="N987" t="n">
        <v>0</v>
      </c>
      <c r="O987" t="n">
        <v>0</v>
      </c>
      <c r="P987" t="n">
        <v>0</v>
      </c>
      <c r="Q987" t="n">
        <v>0</v>
      </c>
      <c r="R987" s="2" t="inlineStr"/>
    </row>
    <row r="988" ht="15" customHeight="1">
      <c r="A988" t="inlineStr">
        <is>
          <t>A 61739-2021</t>
        </is>
      </c>
      <c r="B988" s="1" t="n">
        <v>44498</v>
      </c>
      <c r="C988" s="1" t="n">
        <v>45346</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61424-2021</t>
        </is>
      </c>
      <c r="B989" s="1" t="n">
        <v>44500</v>
      </c>
      <c r="C989" s="1" t="n">
        <v>45346</v>
      </c>
      <c r="D989" t="inlineStr">
        <is>
          <t>VÄSTERNORRLANDS LÄN</t>
        </is>
      </c>
      <c r="E989" t="inlineStr">
        <is>
          <t>SOLLEFTEÅ</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61470-2021</t>
        </is>
      </c>
      <c r="B990" s="1" t="n">
        <v>44500</v>
      </c>
      <c r="C990" s="1" t="n">
        <v>45346</v>
      </c>
      <c r="D990" t="inlineStr">
        <is>
          <t>VÄSTERNORRLANDS LÄN</t>
        </is>
      </c>
      <c r="E990" t="inlineStr">
        <is>
          <t>SOLLEFTEÅ</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61480-2021</t>
        </is>
      </c>
      <c r="B991" s="1" t="n">
        <v>44500</v>
      </c>
      <c r="C991" s="1" t="n">
        <v>45346</v>
      </c>
      <c r="D991" t="inlineStr">
        <is>
          <t>VÄSTERNORRLANDS LÄN</t>
        </is>
      </c>
      <c r="E991" t="inlineStr">
        <is>
          <t>SOLLEFTEÅ</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61426-2021</t>
        </is>
      </c>
      <c r="B992" s="1" t="n">
        <v>44500</v>
      </c>
      <c r="C992" s="1" t="n">
        <v>45346</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61469-2021</t>
        </is>
      </c>
      <c r="B993" s="1" t="n">
        <v>44500</v>
      </c>
      <c r="C993" s="1" t="n">
        <v>45346</v>
      </c>
      <c r="D993" t="inlineStr">
        <is>
          <t>VÄSTERNORRLANDS LÄN</t>
        </is>
      </c>
      <c r="E993" t="inlineStr">
        <is>
          <t>SOLLEFTEÅ</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61496-2021</t>
        </is>
      </c>
      <c r="B994" s="1" t="n">
        <v>44501</v>
      </c>
      <c r="C994" s="1" t="n">
        <v>45346</v>
      </c>
      <c r="D994" t="inlineStr">
        <is>
          <t>VÄSTERNORRLANDS LÄN</t>
        </is>
      </c>
      <c r="E994" t="inlineStr">
        <is>
          <t>SOLLEFTEÅ</t>
        </is>
      </c>
      <c r="F994" t="inlineStr">
        <is>
          <t>Holmen skog AB</t>
        </is>
      </c>
      <c r="G994" t="n">
        <v>2</v>
      </c>
      <c r="H994" t="n">
        <v>0</v>
      </c>
      <c r="I994" t="n">
        <v>0</v>
      </c>
      <c r="J994" t="n">
        <v>0</v>
      </c>
      <c r="K994" t="n">
        <v>0</v>
      </c>
      <c r="L994" t="n">
        <v>0</v>
      </c>
      <c r="M994" t="n">
        <v>0</v>
      </c>
      <c r="N994" t="n">
        <v>0</v>
      </c>
      <c r="O994" t="n">
        <v>0</v>
      </c>
      <c r="P994" t="n">
        <v>0</v>
      </c>
      <c r="Q994" t="n">
        <v>0</v>
      </c>
      <c r="R994" s="2" t="inlineStr"/>
    </row>
    <row r="995" ht="15" customHeight="1">
      <c r="A995" t="inlineStr">
        <is>
          <t>A 62214-2021</t>
        </is>
      </c>
      <c r="B995" s="1" t="n">
        <v>44502</v>
      </c>
      <c r="C995" s="1" t="n">
        <v>45346</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62210-2021</t>
        </is>
      </c>
      <c r="B996" s="1" t="n">
        <v>44502</v>
      </c>
      <c r="C996" s="1" t="n">
        <v>45346</v>
      </c>
      <c r="D996" t="inlineStr">
        <is>
          <t>VÄSTERNORRLANDS LÄN</t>
        </is>
      </c>
      <c r="E996" t="inlineStr">
        <is>
          <t>SOLLEFTEÅ</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62418-2021</t>
        </is>
      </c>
      <c r="B997" s="1" t="n">
        <v>44503</v>
      </c>
      <c r="C997" s="1" t="n">
        <v>45346</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62790-2021</t>
        </is>
      </c>
      <c r="B998" s="1" t="n">
        <v>44503</v>
      </c>
      <c r="C998" s="1" t="n">
        <v>45346</v>
      </c>
      <c r="D998" t="inlineStr">
        <is>
          <t>VÄSTERNORRLANDS LÄN</t>
        </is>
      </c>
      <c r="E998" t="inlineStr">
        <is>
          <t>SOLLEFTEÅ</t>
        </is>
      </c>
      <c r="G998" t="n">
        <v>2.5</v>
      </c>
      <c r="H998" t="n">
        <v>0</v>
      </c>
      <c r="I998" t="n">
        <v>0</v>
      </c>
      <c r="J998" t="n">
        <v>0</v>
      </c>
      <c r="K998" t="n">
        <v>0</v>
      </c>
      <c r="L998" t="n">
        <v>0</v>
      </c>
      <c r="M998" t="n">
        <v>0</v>
      </c>
      <c r="N998" t="n">
        <v>0</v>
      </c>
      <c r="O998" t="n">
        <v>0</v>
      </c>
      <c r="P998" t="n">
        <v>0</v>
      </c>
      <c r="Q998" t="n">
        <v>0</v>
      </c>
      <c r="R998" s="2" t="inlineStr"/>
    </row>
    <row r="999" ht="15" customHeight="1">
      <c r="A999" t="inlineStr">
        <is>
          <t>A 62697-2021</t>
        </is>
      </c>
      <c r="B999" s="1" t="n">
        <v>44504</v>
      </c>
      <c r="C999" s="1" t="n">
        <v>45346</v>
      </c>
      <c r="D999" t="inlineStr">
        <is>
          <t>VÄSTERNORRLANDS LÄN</t>
        </is>
      </c>
      <c r="E999" t="inlineStr">
        <is>
          <t>SOLLEFTEÅ</t>
        </is>
      </c>
      <c r="F999" t="inlineStr">
        <is>
          <t>Holmen skog AB</t>
        </is>
      </c>
      <c r="G999" t="n">
        <v>0.9</v>
      </c>
      <c r="H999" t="n">
        <v>0</v>
      </c>
      <c r="I999" t="n">
        <v>0</v>
      </c>
      <c r="J999" t="n">
        <v>0</v>
      </c>
      <c r="K999" t="n">
        <v>0</v>
      </c>
      <c r="L999" t="n">
        <v>0</v>
      </c>
      <c r="M999" t="n">
        <v>0</v>
      </c>
      <c r="N999" t="n">
        <v>0</v>
      </c>
      <c r="O999" t="n">
        <v>0</v>
      </c>
      <c r="P999" t="n">
        <v>0</v>
      </c>
      <c r="Q999" t="n">
        <v>0</v>
      </c>
      <c r="R999" s="2" t="inlineStr"/>
    </row>
    <row r="1000" ht="15" customHeight="1">
      <c r="A1000" t="inlineStr">
        <is>
          <t>A 62692-2021</t>
        </is>
      </c>
      <c r="B1000" s="1" t="n">
        <v>44504</v>
      </c>
      <c r="C1000" s="1" t="n">
        <v>45346</v>
      </c>
      <c r="D1000" t="inlineStr">
        <is>
          <t>VÄSTERNORRLANDS LÄN</t>
        </is>
      </c>
      <c r="E1000" t="inlineStr">
        <is>
          <t>SOLLEFTEÅ</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63710-2021</t>
        </is>
      </c>
      <c r="B1001" s="1" t="n">
        <v>44504</v>
      </c>
      <c r="C1001" s="1" t="n">
        <v>45346</v>
      </c>
      <c r="D1001" t="inlineStr">
        <is>
          <t>VÄSTERNORRLANDS LÄN</t>
        </is>
      </c>
      <c r="E1001" t="inlineStr">
        <is>
          <t>SOLLEFTEÅ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64638-2021</t>
        </is>
      </c>
      <c r="B1002" s="1" t="n">
        <v>44511</v>
      </c>
      <c r="C1002" s="1" t="n">
        <v>45346</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64651-2021</t>
        </is>
      </c>
      <c r="B1003" s="1" t="n">
        <v>44511</v>
      </c>
      <c r="C1003" s="1" t="n">
        <v>45346</v>
      </c>
      <c r="D1003" t="inlineStr">
        <is>
          <t>VÄSTERNORRLANDS LÄN</t>
        </is>
      </c>
      <c r="E1003" t="inlineStr">
        <is>
          <t>SOLLEFTEÅ</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64653-2021</t>
        </is>
      </c>
      <c r="B1004" s="1" t="n">
        <v>44511</v>
      </c>
      <c r="C1004" s="1" t="n">
        <v>45346</v>
      </c>
      <c r="D1004" t="inlineStr">
        <is>
          <t>VÄSTERNORRLANDS LÄN</t>
        </is>
      </c>
      <c r="E1004" t="inlineStr">
        <is>
          <t>SOLLEFTEÅ</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64939-2021</t>
        </is>
      </c>
      <c r="B1005" s="1" t="n">
        <v>44512</v>
      </c>
      <c r="C1005" s="1" t="n">
        <v>45346</v>
      </c>
      <c r="D1005" t="inlineStr">
        <is>
          <t>VÄSTERNORRLANDS LÄN</t>
        </is>
      </c>
      <c r="E1005" t="inlineStr">
        <is>
          <t>SOLLEFTEÅ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64947-2021</t>
        </is>
      </c>
      <c r="B1006" s="1" t="n">
        <v>44512</v>
      </c>
      <c r="C1006" s="1" t="n">
        <v>45346</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64944-2021</t>
        </is>
      </c>
      <c r="B1007" s="1" t="n">
        <v>44512</v>
      </c>
      <c r="C1007" s="1" t="n">
        <v>45346</v>
      </c>
      <c r="D1007" t="inlineStr">
        <is>
          <t>VÄSTERNORRLANDS LÄN</t>
        </is>
      </c>
      <c r="E1007" t="inlineStr">
        <is>
          <t>SOLLEFTEÅ</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65009-2021</t>
        </is>
      </c>
      <c r="B1008" s="1" t="n">
        <v>44514</v>
      </c>
      <c r="C1008" s="1" t="n">
        <v>45346</v>
      </c>
      <c r="D1008" t="inlineStr">
        <is>
          <t>VÄSTERNORRLANDS LÄN</t>
        </is>
      </c>
      <c r="E1008" t="inlineStr">
        <is>
          <t>SOLLEFTEÅ</t>
        </is>
      </c>
      <c r="G1008" t="n">
        <v>17.3</v>
      </c>
      <c r="H1008" t="n">
        <v>0</v>
      </c>
      <c r="I1008" t="n">
        <v>0</v>
      </c>
      <c r="J1008" t="n">
        <v>0</v>
      </c>
      <c r="K1008" t="n">
        <v>0</v>
      </c>
      <c r="L1008" t="n">
        <v>0</v>
      </c>
      <c r="M1008" t="n">
        <v>0</v>
      </c>
      <c r="N1008" t="n">
        <v>0</v>
      </c>
      <c r="O1008" t="n">
        <v>0</v>
      </c>
      <c r="P1008" t="n">
        <v>0</v>
      </c>
      <c r="Q1008" t="n">
        <v>0</v>
      </c>
      <c r="R1008" s="2" t="inlineStr"/>
    </row>
    <row r="1009" ht="15" customHeight="1">
      <c r="A1009" t="inlineStr">
        <is>
          <t>A 65419-2021</t>
        </is>
      </c>
      <c r="B1009" s="1" t="n">
        <v>44515</v>
      </c>
      <c r="C1009" s="1" t="n">
        <v>45346</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66178-2021</t>
        </is>
      </c>
      <c r="B1010" s="1" t="n">
        <v>44517</v>
      </c>
      <c r="C1010" s="1" t="n">
        <v>45346</v>
      </c>
      <c r="D1010" t="inlineStr">
        <is>
          <t>VÄSTERNORRLANDS LÄN</t>
        </is>
      </c>
      <c r="E1010" t="inlineStr">
        <is>
          <t>SOLLEFTEÅ</t>
        </is>
      </c>
      <c r="F1010" t="inlineStr">
        <is>
          <t>SCA</t>
        </is>
      </c>
      <c r="G1010" t="n">
        <v>31.7</v>
      </c>
      <c r="H1010" t="n">
        <v>0</v>
      </c>
      <c r="I1010" t="n">
        <v>0</v>
      </c>
      <c r="J1010" t="n">
        <v>0</v>
      </c>
      <c r="K1010" t="n">
        <v>0</v>
      </c>
      <c r="L1010" t="n">
        <v>0</v>
      </c>
      <c r="M1010" t="n">
        <v>0</v>
      </c>
      <c r="N1010" t="n">
        <v>0</v>
      </c>
      <c r="O1010" t="n">
        <v>0</v>
      </c>
      <c r="P1010" t="n">
        <v>0</v>
      </c>
      <c r="Q1010" t="n">
        <v>0</v>
      </c>
      <c r="R1010" s="2" t="inlineStr"/>
    </row>
    <row r="1011" ht="15" customHeight="1">
      <c r="A1011" t="inlineStr">
        <is>
          <t>A 66856-2021</t>
        </is>
      </c>
      <c r="B1011" s="1" t="n">
        <v>44522</v>
      </c>
      <c r="C1011" s="1" t="n">
        <v>45346</v>
      </c>
      <c r="D1011" t="inlineStr">
        <is>
          <t>VÄSTERNORRLANDS LÄN</t>
        </is>
      </c>
      <c r="E1011" t="inlineStr">
        <is>
          <t>SOLLEFTEÅ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67085-2021</t>
        </is>
      </c>
      <c r="B1012" s="1" t="n">
        <v>44522</v>
      </c>
      <c r="C1012" s="1" t="n">
        <v>45346</v>
      </c>
      <c r="D1012" t="inlineStr">
        <is>
          <t>VÄSTERNORRLANDS LÄN</t>
        </is>
      </c>
      <c r="E1012" t="inlineStr">
        <is>
          <t>SOLLEFTEÅ</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67143-2021</t>
        </is>
      </c>
      <c r="B1013" s="1" t="n">
        <v>44523</v>
      </c>
      <c r="C1013" s="1" t="n">
        <v>45346</v>
      </c>
      <c r="D1013" t="inlineStr">
        <is>
          <t>VÄSTERNORRLANDS LÄN</t>
        </is>
      </c>
      <c r="E1013" t="inlineStr">
        <is>
          <t>SOLLEFTEÅ</t>
        </is>
      </c>
      <c r="G1013" t="n">
        <v>19.7</v>
      </c>
      <c r="H1013" t="n">
        <v>0</v>
      </c>
      <c r="I1013" t="n">
        <v>0</v>
      </c>
      <c r="J1013" t="n">
        <v>0</v>
      </c>
      <c r="K1013" t="n">
        <v>0</v>
      </c>
      <c r="L1013" t="n">
        <v>0</v>
      </c>
      <c r="M1013" t="n">
        <v>0</v>
      </c>
      <c r="N1013" t="n">
        <v>0</v>
      </c>
      <c r="O1013" t="n">
        <v>0</v>
      </c>
      <c r="P1013" t="n">
        <v>0</v>
      </c>
      <c r="Q1013" t="n">
        <v>0</v>
      </c>
      <c r="R1013" s="2" t="inlineStr"/>
    </row>
    <row r="1014" ht="15" customHeight="1">
      <c r="A1014" t="inlineStr">
        <is>
          <t>A 67136-2021</t>
        </is>
      </c>
      <c r="B1014" s="1" t="n">
        <v>44523</v>
      </c>
      <c r="C1014" s="1" t="n">
        <v>45346</v>
      </c>
      <c r="D1014" t="inlineStr">
        <is>
          <t>VÄSTERNORRLANDS LÄN</t>
        </is>
      </c>
      <c r="E1014" t="inlineStr">
        <is>
          <t>SOLLEFTEÅ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67390-2021</t>
        </is>
      </c>
      <c r="B1015" s="1" t="n">
        <v>44523</v>
      </c>
      <c r="C1015" s="1" t="n">
        <v>45346</v>
      </c>
      <c r="D1015" t="inlineStr">
        <is>
          <t>VÄSTERNORRLANDS LÄN</t>
        </is>
      </c>
      <c r="E1015" t="inlineStr">
        <is>
          <t>SOLLEFTEÅ</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67401-2021</t>
        </is>
      </c>
      <c r="B1016" s="1" t="n">
        <v>44523</v>
      </c>
      <c r="C1016" s="1" t="n">
        <v>45346</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67689-2021</t>
        </is>
      </c>
      <c r="B1017" s="1" t="n">
        <v>44524</v>
      </c>
      <c r="C1017" s="1" t="n">
        <v>45346</v>
      </c>
      <c r="D1017" t="inlineStr">
        <is>
          <t>VÄSTERNORRLANDS LÄN</t>
        </is>
      </c>
      <c r="E1017" t="inlineStr">
        <is>
          <t>SOLLEFTEÅ</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67702-2021</t>
        </is>
      </c>
      <c r="B1018" s="1" t="n">
        <v>44524</v>
      </c>
      <c r="C1018" s="1" t="n">
        <v>45346</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67822-2021</t>
        </is>
      </c>
      <c r="B1019" s="1" t="n">
        <v>44525</v>
      </c>
      <c r="C1019" s="1" t="n">
        <v>45346</v>
      </c>
      <c r="D1019" t="inlineStr">
        <is>
          <t>VÄSTERNORRLANDS LÄN</t>
        </is>
      </c>
      <c r="E1019" t="inlineStr">
        <is>
          <t>SOLLEFTEÅ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68317-2021</t>
        </is>
      </c>
      <c r="B1020" s="1" t="n">
        <v>44526</v>
      </c>
      <c r="C1020" s="1" t="n">
        <v>45346</v>
      </c>
      <c r="D1020" t="inlineStr">
        <is>
          <t>VÄSTERNORRLANDS LÄN</t>
        </is>
      </c>
      <c r="E1020" t="inlineStr">
        <is>
          <t>SOLLEFTEÅ</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68792-2021</t>
        </is>
      </c>
      <c r="B1021" s="1" t="n">
        <v>44529</v>
      </c>
      <c r="C1021" s="1" t="n">
        <v>45346</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68843-2021</t>
        </is>
      </c>
      <c r="B1022" s="1" t="n">
        <v>44530</v>
      </c>
      <c r="C1022" s="1" t="n">
        <v>45346</v>
      </c>
      <c r="D1022" t="inlineStr">
        <is>
          <t>VÄSTERNORRLANDS LÄN</t>
        </is>
      </c>
      <c r="E1022" t="inlineStr">
        <is>
          <t>SOLLEFTEÅ</t>
        </is>
      </c>
      <c r="F1022" t="inlineStr">
        <is>
          <t>Holmen skog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68863-2021</t>
        </is>
      </c>
      <c r="B1023" s="1" t="n">
        <v>44530</v>
      </c>
      <c r="C1023" s="1" t="n">
        <v>45346</v>
      </c>
      <c r="D1023" t="inlineStr">
        <is>
          <t>VÄSTERNORRLANDS LÄN</t>
        </is>
      </c>
      <c r="E1023" t="inlineStr">
        <is>
          <t>SOLLEFTEÅ</t>
        </is>
      </c>
      <c r="F1023" t="inlineStr">
        <is>
          <t>Holmen skog AB</t>
        </is>
      </c>
      <c r="G1023" t="n">
        <v>16.8</v>
      </c>
      <c r="H1023" t="n">
        <v>0</v>
      </c>
      <c r="I1023" t="n">
        <v>0</v>
      </c>
      <c r="J1023" t="n">
        <v>0</v>
      </c>
      <c r="K1023" t="n">
        <v>0</v>
      </c>
      <c r="L1023" t="n">
        <v>0</v>
      </c>
      <c r="M1023" t="n">
        <v>0</v>
      </c>
      <c r="N1023" t="n">
        <v>0</v>
      </c>
      <c r="O1023" t="n">
        <v>0</v>
      </c>
      <c r="P1023" t="n">
        <v>0</v>
      </c>
      <c r="Q1023" t="n">
        <v>0</v>
      </c>
      <c r="R1023" s="2" t="inlineStr"/>
    </row>
    <row r="1024" ht="15" customHeight="1">
      <c r="A1024" t="inlineStr">
        <is>
          <t>A 69121-2021</t>
        </is>
      </c>
      <c r="B1024" s="1" t="n">
        <v>44530</v>
      </c>
      <c r="C1024" s="1" t="n">
        <v>45346</v>
      </c>
      <c r="D1024" t="inlineStr">
        <is>
          <t>VÄSTERNORRLANDS LÄN</t>
        </is>
      </c>
      <c r="E1024" t="inlineStr">
        <is>
          <t>SOLLEFTEÅ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69543-2021</t>
        </is>
      </c>
      <c r="B1025" s="1" t="n">
        <v>44531</v>
      </c>
      <c r="C1025" s="1" t="n">
        <v>45346</v>
      </c>
      <c r="D1025" t="inlineStr">
        <is>
          <t>VÄSTERNORRLANDS LÄN</t>
        </is>
      </c>
      <c r="E1025" t="inlineStr">
        <is>
          <t>SOLLEFTEÅ</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69542-2021</t>
        </is>
      </c>
      <c r="B1026" s="1" t="n">
        <v>44531</v>
      </c>
      <c r="C1026" s="1" t="n">
        <v>45346</v>
      </c>
      <c r="D1026" t="inlineStr">
        <is>
          <t>VÄSTERNORRLANDS LÄN</t>
        </is>
      </c>
      <c r="E1026" t="inlineStr">
        <is>
          <t>SOLLEFTEÅ</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69919-2021</t>
        </is>
      </c>
      <c r="B1027" s="1" t="n">
        <v>44532</v>
      </c>
      <c r="C1027" s="1" t="n">
        <v>45346</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69916-2021</t>
        </is>
      </c>
      <c r="B1028" s="1" t="n">
        <v>44532</v>
      </c>
      <c r="C1028" s="1" t="n">
        <v>45346</v>
      </c>
      <c r="D1028" t="inlineStr">
        <is>
          <t>VÄSTERNORRLANDS LÄN</t>
        </is>
      </c>
      <c r="E1028" t="inlineStr">
        <is>
          <t>SOLLEFTEÅ</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70180-2021</t>
        </is>
      </c>
      <c r="B1029" s="1" t="n">
        <v>44533</v>
      </c>
      <c r="C1029" s="1" t="n">
        <v>45346</v>
      </c>
      <c r="D1029" t="inlineStr">
        <is>
          <t>VÄSTERNORRLANDS LÄN</t>
        </is>
      </c>
      <c r="E1029" t="inlineStr">
        <is>
          <t>SOLLEFTEÅ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70821-2021</t>
        </is>
      </c>
      <c r="B1030" s="1" t="n">
        <v>44537</v>
      </c>
      <c r="C1030" s="1" t="n">
        <v>45346</v>
      </c>
      <c r="D1030" t="inlineStr">
        <is>
          <t>VÄSTERNORRLANDS LÄN</t>
        </is>
      </c>
      <c r="E1030" t="inlineStr">
        <is>
          <t>SOLLEFTEÅ</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71080-2021</t>
        </is>
      </c>
      <c r="B1031" s="1" t="n">
        <v>44538</v>
      </c>
      <c r="C1031" s="1" t="n">
        <v>45346</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71079-2021</t>
        </is>
      </c>
      <c r="B1032" s="1" t="n">
        <v>44538</v>
      </c>
      <c r="C1032" s="1" t="n">
        <v>45346</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71348-2021</t>
        </is>
      </c>
      <c r="B1033" s="1" t="n">
        <v>44539</v>
      </c>
      <c r="C1033" s="1" t="n">
        <v>45346</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71351-2021</t>
        </is>
      </c>
      <c r="B1034" s="1" t="n">
        <v>44539</v>
      </c>
      <c r="C1034" s="1" t="n">
        <v>45346</v>
      </c>
      <c r="D1034" t="inlineStr">
        <is>
          <t>VÄSTERNORRLANDS LÄN</t>
        </is>
      </c>
      <c r="E1034" t="inlineStr">
        <is>
          <t>SOLLEFTEÅ</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71350-2021</t>
        </is>
      </c>
      <c r="B1035" s="1" t="n">
        <v>44539</v>
      </c>
      <c r="C1035" s="1" t="n">
        <v>45346</v>
      </c>
      <c r="D1035" t="inlineStr">
        <is>
          <t>VÄSTERNORRLANDS LÄN</t>
        </is>
      </c>
      <c r="E1035" t="inlineStr">
        <is>
          <t>SOLLEFTEÅ</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71580-2021</t>
        </is>
      </c>
      <c r="B1036" s="1" t="n">
        <v>44540</v>
      </c>
      <c r="C1036" s="1" t="n">
        <v>45346</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72244-2021</t>
        </is>
      </c>
      <c r="B1037" s="1" t="n">
        <v>44544</v>
      </c>
      <c r="C1037" s="1" t="n">
        <v>45346</v>
      </c>
      <c r="D1037" t="inlineStr">
        <is>
          <t>VÄSTERNORRLANDS LÄN</t>
        </is>
      </c>
      <c r="E1037" t="inlineStr">
        <is>
          <t>SOLLEFTEÅ</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72249-2021</t>
        </is>
      </c>
      <c r="B1038" s="1" t="n">
        <v>44544</v>
      </c>
      <c r="C1038" s="1" t="n">
        <v>45346</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72315-2021</t>
        </is>
      </c>
      <c r="B1039" s="1" t="n">
        <v>44545</v>
      </c>
      <c r="C1039" s="1" t="n">
        <v>45346</v>
      </c>
      <c r="D1039" t="inlineStr">
        <is>
          <t>VÄSTERNORRLANDS LÄN</t>
        </is>
      </c>
      <c r="E1039" t="inlineStr">
        <is>
          <t>SOLLEFTEÅ</t>
        </is>
      </c>
      <c r="F1039" t="inlineStr">
        <is>
          <t>SCA</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72485-2021</t>
        </is>
      </c>
      <c r="B1040" s="1" t="n">
        <v>44545</v>
      </c>
      <c r="C1040" s="1" t="n">
        <v>45346</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72496-2021</t>
        </is>
      </c>
      <c r="B1041" s="1" t="n">
        <v>44545</v>
      </c>
      <c r="C1041" s="1" t="n">
        <v>45346</v>
      </c>
      <c r="D1041" t="inlineStr">
        <is>
          <t>VÄSTERNORRLANDS LÄN</t>
        </is>
      </c>
      <c r="E1041" t="inlineStr">
        <is>
          <t>SOLLEFTEÅ</t>
        </is>
      </c>
      <c r="G1041" t="n">
        <v>20</v>
      </c>
      <c r="H1041" t="n">
        <v>0</v>
      </c>
      <c r="I1041" t="n">
        <v>0</v>
      </c>
      <c r="J1041" t="n">
        <v>0</v>
      </c>
      <c r="K1041" t="n">
        <v>0</v>
      </c>
      <c r="L1041" t="n">
        <v>0</v>
      </c>
      <c r="M1041" t="n">
        <v>0</v>
      </c>
      <c r="N1041" t="n">
        <v>0</v>
      </c>
      <c r="O1041" t="n">
        <v>0</v>
      </c>
      <c r="P1041" t="n">
        <v>0</v>
      </c>
      <c r="Q1041" t="n">
        <v>0</v>
      </c>
      <c r="R1041" s="2" t="inlineStr"/>
    </row>
    <row r="1042" ht="15" customHeight="1">
      <c r="A1042" t="inlineStr">
        <is>
          <t>A 72949-2021</t>
        </is>
      </c>
      <c r="B1042" s="1" t="n">
        <v>44547</v>
      </c>
      <c r="C1042" s="1" t="n">
        <v>45346</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72958-2021</t>
        </is>
      </c>
      <c r="B1043" s="1" t="n">
        <v>44547</v>
      </c>
      <c r="C1043" s="1" t="n">
        <v>45346</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72977-2021</t>
        </is>
      </c>
      <c r="B1044" s="1" t="n">
        <v>44548</v>
      </c>
      <c r="C1044" s="1" t="n">
        <v>45346</v>
      </c>
      <c r="D1044" t="inlineStr">
        <is>
          <t>VÄSTERNORRLANDS LÄN</t>
        </is>
      </c>
      <c r="E1044" t="inlineStr">
        <is>
          <t>SOLLEFTEÅ</t>
        </is>
      </c>
      <c r="F1044" t="inlineStr">
        <is>
          <t>SCA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73285-2021</t>
        </is>
      </c>
      <c r="B1045" s="1" t="n">
        <v>44550</v>
      </c>
      <c r="C1045" s="1" t="n">
        <v>45346</v>
      </c>
      <c r="D1045" t="inlineStr">
        <is>
          <t>VÄSTERNORRLANDS LÄN</t>
        </is>
      </c>
      <c r="E1045" t="inlineStr">
        <is>
          <t>SOLLEFTEÅ</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73367-2021</t>
        </is>
      </c>
      <c r="B1046" s="1" t="n">
        <v>44550</v>
      </c>
      <c r="C1046" s="1" t="n">
        <v>45346</v>
      </c>
      <c r="D1046" t="inlineStr">
        <is>
          <t>VÄSTERNORRLANDS LÄN</t>
        </is>
      </c>
      <c r="E1046" t="inlineStr">
        <is>
          <t>SOLLEFTEÅ</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73566-2021</t>
        </is>
      </c>
      <c r="B1047" s="1" t="n">
        <v>44551</v>
      </c>
      <c r="C1047" s="1" t="n">
        <v>45346</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73564-2021</t>
        </is>
      </c>
      <c r="B1048" s="1" t="n">
        <v>44551</v>
      </c>
      <c r="C1048" s="1" t="n">
        <v>45346</v>
      </c>
      <c r="D1048" t="inlineStr">
        <is>
          <t>VÄSTERNORRLANDS LÄN</t>
        </is>
      </c>
      <c r="E1048" t="inlineStr">
        <is>
          <t>SOLLEFTEÅ</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73567-2021</t>
        </is>
      </c>
      <c r="B1049" s="1" t="n">
        <v>44551</v>
      </c>
      <c r="C1049" s="1" t="n">
        <v>45346</v>
      </c>
      <c r="D1049" t="inlineStr">
        <is>
          <t>VÄSTERNORRLANDS LÄN</t>
        </is>
      </c>
      <c r="E1049" t="inlineStr">
        <is>
          <t>SOLLEFTEÅ</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73886-2021</t>
        </is>
      </c>
      <c r="B1050" s="1" t="n">
        <v>44553</v>
      </c>
      <c r="C1050" s="1" t="n">
        <v>45346</v>
      </c>
      <c r="D1050" t="inlineStr">
        <is>
          <t>VÄSTERNORRLANDS LÄN</t>
        </is>
      </c>
      <c r="E1050" t="inlineStr">
        <is>
          <t>SOLLEFTEÅ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73847-2021</t>
        </is>
      </c>
      <c r="B1051" s="1" t="n">
        <v>44553</v>
      </c>
      <c r="C1051" s="1" t="n">
        <v>45346</v>
      </c>
      <c r="D1051" t="inlineStr">
        <is>
          <t>VÄSTERNORRLANDS LÄN</t>
        </is>
      </c>
      <c r="E1051" t="inlineStr">
        <is>
          <t>SOLLEFTEÅ</t>
        </is>
      </c>
      <c r="F1051" t="inlineStr">
        <is>
          <t>Övriga Aktiebolag</t>
        </is>
      </c>
      <c r="G1051" t="n">
        <v>20.1</v>
      </c>
      <c r="H1051" t="n">
        <v>0</v>
      </c>
      <c r="I1051" t="n">
        <v>0</v>
      </c>
      <c r="J1051" t="n">
        <v>0</v>
      </c>
      <c r="K1051" t="n">
        <v>0</v>
      </c>
      <c r="L1051" t="n">
        <v>0</v>
      </c>
      <c r="M1051" t="n">
        <v>0</v>
      </c>
      <c r="N1051" t="n">
        <v>0</v>
      </c>
      <c r="O1051" t="n">
        <v>0</v>
      </c>
      <c r="P1051" t="n">
        <v>0</v>
      </c>
      <c r="Q1051" t="n">
        <v>0</v>
      </c>
      <c r="R1051" s="2" t="inlineStr"/>
    </row>
    <row r="1052" ht="15" customHeight="1">
      <c r="A1052" t="inlineStr">
        <is>
          <t>A 2-2022</t>
        </is>
      </c>
      <c r="B1052" s="1" t="n">
        <v>44562</v>
      </c>
      <c r="C1052" s="1" t="n">
        <v>45346</v>
      </c>
      <c r="D1052" t="inlineStr">
        <is>
          <t>VÄSTERNORRLANDS LÄN</t>
        </is>
      </c>
      <c r="E1052" t="inlineStr">
        <is>
          <t>SOLLEFTEÅ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19-2022</t>
        </is>
      </c>
      <c r="B1053" s="1" t="n">
        <v>44564</v>
      </c>
      <c r="C1053" s="1" t="n">
        <v>45346</v>
      </c>
      <c r="D1053" t="inlineStr">
        <is>
          <t>VÄSTERNORRLANDS LÄN</t>
        </is>
      </c>
      <c r="E1053" t="inlineStr">
        <is>
          <t>SOLLEFTEÅ</t>
        </is>
      </c>
      <c r="G1053" t="n">
        <v>14.9</v>
      </c>
      <c r="H1053" t="n">
        <v>0</v>
      </c>
      <c r="I1053" t="n">
        <v>0</v>
      </c>
      <c r="J1053" t="n">
        <v>0</v>
      </c>
      <c r="K1053" t="n">
        <v>0</v>
      </c>
      <c r="L1053" t="n">
        <v>0</v>
      </c>
      <c r="M1053" t="n">
        <v>0</v>
      </c>
      <c r="N1053" t="n">
        <v>0</v>
      </c>
      <c r="O1053" t="n">
        <v>0</v>
      </c>
      <c r="P1053" t="n">
        <v>0</v>
      </c>
      <c r="Q1053" t="n">
        <v>0</v>
      </c>
      <c r="R1053" s="2" t="inlineStr"/>
    </row>
    <row r="1054" ht="15" customHeight="1">
      <c r="A1054" t="inlineStr">
        <is>
          <t>A 576-2022</t>
        </is>
      </c>
      <c r="B1054" s="1" t="n">
        <v>44566</v>
      </c>
      <c r="C1054" s="1" t="n">
        <v>45346</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1095-2022</t>
        </is>
      </c>
      <c r="B1055" s="1" t="n">
        <v>44571</v>
      </c>
      <c r="C1055" s="1" t="n">
        <v>45346</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1094-2022</t>
        </is>
      </c>
      <c r="B1056" s="1" t="n">
        <v>44571</v>
      </c>
      <c r="C1056" s="1" t="n">
        <v>45346</v>
      </c>
      <c r="D1056" t="inlineStr">
        <is>
          <t>VÄSTERNORRLANDS LÄN</t>
        </is>
      </c>
      <c r="E1056" t="inlineStr">
        <is>
          <t>SOLLEFTEÅ</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1402-2022</t>
        </is>
      </c>
      <c r="B1057" s="1" t="n">
        <v>44573</v>
      </c>
      <c r="C1057" s="1" t="n">
        <v>45346</v>
      </c>
      <c r="D1057" t="inlineStr">
        <is>
          <t>VÄSTERNORRLANDS LÄN</t>
        </is>
      </c>
      <c r="E1057" t="inlineStr">
        <is>
          <t>SOLLEFTEÅ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1987-2022</t>
        </is>
      </c>
      <c r="B1058" s="1" t="n">
        <v>44575</v>
      </c>
      <c r="C1058" s="1" t="n">
        <v>45346</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1997-2022</t>
        </is>
      </c>
      <c r="B1059" s="1" t="n">
        <v>44575</v>
      </c>
      <c r="C1059" s="1" t="n">
        <v>45346</v>
      </c>
      <c r="D1059" t="inlineStr">
        <is>
          <t>VÄSTERNORRLANDS LÄN</t>
        </is>
      </c>
      <c r="E1059" t="inlineStr">
        <is>
          <t>SOLLEFTEÅ</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2536-2022</t>
        </is>
      </c>
      <c r="B1060" s="1" t="n">
        <v>44579</v>
      </c>
      <c r="C1060" s="1" t="n">
        <v>45346</v>
      </c>
      <c r="D1060" t="inlineStr">
        <is>
          <t>VÄSTERNORRLANDS LÄN</t>
        </is>
      </c>
      <c r="E1060" t="inlineStr">
        <is>
          <t>SOLLEFTEÅ</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2543-2022</t>
        </is>
      </c>
      <c r="B1061" s="1" t="n">
        <v>44580</v>
      </c>
      <c r="C1061" s="1" t="n">
        <v>45346</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2542-2022</t>
        </is>
      </c>
      <c r="B1062" s="1" t="n">
        <v>44580</v>
      </c>
      <c r="C1062" s="1" t="n">
        <v>45346</v>
      </c>
      <c r="D1062" t="inlineStr">
        <is>
          <t>VÄSTERNORRLANDS LÄN</t>
        </is>
      </c>
      <c r="E1062" t="inlineStr">
        <is>
          <t>SOLLEFTEÅ</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2541-2022</t>
        </is>
      </c>
      <c r="B1063" s="1" t="n">
        <v>44580</v>
      </c>
      <c r="C1063" s="1" t="n">
        <v>45346</v>
      </c>
      <c r="D1063" t="inlineStr">
        <is>
          <t>VÄSTERNORRLANDS LÄN</t>
        </is>
      </c>
      <c r="E1063" t="inlineStr">
        <is>
          <t>SOLLEFTEÅ</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2747-2022</t>
        </is>
      </c>
      <c r="B1064" s="1" t="n">
        <v>44580</v>
      </c>
      <c r="C1064" s="1" t="n">
        <v>45346</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3001-2022</t>
        </is>
      </c>
      <c r="B1065" s="1" t="n">
        <v>44581</v>
      </c>
      <c r="C1065" s="1" t="n">
        <v>45346</v>
      </c>
      <c r="D1065" t="inlineStr">
        <is>
          <t>VÄSTERNORRLANDS LÄN</t>
        </is>
      </c>
      <c r="E1065" t="inlineStr">
        <is>
          <t>SOLLEFTEÅ</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3541-2022</t>
        </is>
      </c>
      <c r="B1066" s="1" t="n">
        <v>44585</v>
      </c>
      <c r="C1066" s="1" t="n">
        <v>45346</v>
      </c>
      <c r="D1066" t="inlineStr">
        <is>
          <t>VÄSTERNORRLANDS LÄN</t>
        </is>
      </c>
      <c r="E1066" t="inlineStr">
        <is>
          <t>SOLLEFTEÅ</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3548-2022</t>
        </is>
      </c>
      <c r="B1067" s="1" t="n">
        <v>44585</v>
      </c>
      <c r="C1067" s="1" t="n">
        <v>45346</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3554-2022</t>
        </is>
      </c>
      <c r="B1068" s="1" t="n">
        <v>44585</v>
      </c>
      <c r="C1068" s="1" t="n">
        <v>45346</v>
      </c>
      <c r="D1068" t="inlineStr">
        <is>
          <t>VÄSTERNORRLANDS LÄN</t>
        </is>
      </c>
      <c r="E1068" t="inlineStr">
        <is>
          <t>SOLLEFTEÅ</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3560-2022</t>
        </is>
      </c>
      <c r="B1069" s="1" t="n">
        <v>44585</v>
      </c>
      <c r="C1069" s="1" t="n">
        <v>45346</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3549-2022</t>
        </is>
      </c>
      <c r="B1070" s="1" t="n">
        <v>44585</v>
      </c>
      <c r="C1070" s="1" t="n">
        <v>45346</v>
      </c>
      <c r="D1070" t="inlineStr">
        <is>
          <t>VÄSTERNORRLANDS LÄN</t>
        </is>
      </c>
      <c r="E1070" t="inlineStr">
        <is>
          <t>SOLLEFTEÅ</t>
        </is>
      </c>
      <c r="F1070" t="inlineStr">
        <is>
          <t>SCA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3551-2022</t>
        </is>
      </c>
      <c r="B1071" s="1" t="n">
        <v>44585</v>
      </c>
      <c r="C1071" s="1" t="n">
        <v>45346</v>
      </c>
      <c r="D1071" t="inlineStr">
        <is>
          <t>VÄSTERNORRLANDS LÄN</t>
        </is>
      </c>
      <c r="E1071" t="inlineStr">
        <is>
          <t>SOLLEFTEÅ</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3556-2022</t>
        </is>
      </c>
      <c r="B1072" s="1" t="n">
        <v>44585</v>
      </c>
      <c r="C1072" s="1" t="n">
        <v>45346</v>
      </c>
      <c r="D1072" t="inlineStr">
        <is>
          <t>VÄSTERNORRLANDS LÄN</t>
        </is>
      </c>
      <c r="E1072" t="inlineStr">
        <is>
          <t>SOLLEFTEÅ</t>
        </is>
      </c>
      <c r="F1072" t="inlineStr">
        <is>
          <t>SCA</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3555-2022</t>
        </is>
      </c>
      <c r="B1073" s="1" t="n">
        <v>44585</v>
      </c>
      <c r="C1073" s="1" t="n">
        <v>45346</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3552-2022</t>
        </is>
      </c>
      <c r="B1074" s="1" t="n">
        <v>44585</v>
      </c>
      <c r="C1074" s="1" t="n">
        <v>45346</v>
      </c>
      <c r="D1074" t="inlineStr">
        <is>
          <t>VÄSTERNORRLANDS LÄN</t>
        </is>
      </c>
      <c r="E1074" t="inlineStr">
        <is>
          <t>SOLLEFTEÅ</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3557-2022</t>
        </is>
      </c>
      <c r="B1075" s="1" t="n">
        <v>44585</v>
      </c>
      <c r="C1075" s="1" t="n">
        <v>45346</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3699-2022</t>
        </is>
      </c>
      <c r="B1076" s="1" t="n">
        <v>44586</v>
      </c>
      <c r="C1076" s="1" t="n">
        <v>45346</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3793-2022</t>
        </is>
      </c>
      <c r="B1077" s="1" t="n">
        <v>44586</v>
      </c>
      <c r="C1077" s="1" t="n">
        <v>45346</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3795-2022</t>
        </is>
      </c>
      <c r="B1078" s="1" t="n">
        <v>44586</v>
      </c>
      <c r="C1078" s="1" t="n">
        <v>45346</v>
      </c>
      <c r="D1078" t="inlineStr">
        <is>
          <t>VÄSTERNORRLANDS LÄN</t>
        </is>
      </c>
      <c r="E1078" t="inlineStr">
        <is>
          <t>SOLLEFTEÅ</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4018-2022</t>
        </is>
      </c>
      <c r="B1079" s="1" t="n">
        <v>44587</v>
      </c>
      <c r="C1079" s="1" t="n">
        <v>45346</v>
      </c>
      <c r="D1079" t="inlineStr">
        <is>
          <t>VÄSTERNORRLANDS LÄN</t>
        </is>
      </c>
      <c r="E1079" t="inlineStr">
        <is>
          <t>SOLLEFTEÅ</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4343-2022</t>
        </is>
      </c>
      <c r="B1080" s="1" t="n">
        <v>44588</v>
      </c>
      <c r="C1080" s="1" t="n">
        <v>45346</v>
      </c>
      <c r="D1080" t="inlineStr">
        <is>
          <t>VÄSTERNORRLANDS LÄN</t>
        </is>
      </c>
      <c r="E1080" t="inlineStr">
        <is>
          <t>SOLLEFTEÅ</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4555-2022</t>
        </is>
      </c>
      <c r="B1081" s="1" t="n">
        <v>44590</v>
      </c>
      <c r="C1081" s="1" t="n">
        <v>45346</v>
      </c>
      <c r="D1081" t="inlineStr">
        <is>
          <t>VÄSTERNORRLANDS LÄN</t>
        </is>
      </c>
      <c r="E1081" t="inlineStr">
        <is>
          <t>SOLLEFTEÅ</t>
        </is>
      </c>
      <c r="F1081" t="inlineStr">
        <is>
          <t>SCA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5108-2022</t>
        </is>
      </c>
      <c r="B1082" s="1" t="n">
        <v>44593</v>
      </c>
      <c r="C1082" s="1" t="n">
        <v>45346</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5110-2022</t>
        </is>
      </c>
      <c r="B1083" s="1" t="n">
        <v>44593</v>
      </c>
      <c r="C1083" s="1" t="n">
        <v>45346</v>
      </c>
      <c r="D1083" t="inlineStr">
        <is>
          <t>VÄSTERNORRLANDS LÄN</t>
        </is>
      </c>
      <c r="E1083" t="inlineStr">
        <is>
          <t>SOLLEFTEÅ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5111-2022</t>
        </is>
      </c>
      <c r="B1084" s="1" t="n">
        <v>44593</v>
      </c>
      <c r="C1084" s="1" t="n">
        <v>45346</v>
      </c>
      <c r="D1084" t="inlineStr">
        <is>
          <t>VÄSTERNORRLANDS LÄN</t>
        </is>
      </c>
      <c r="E1084" t="inlineStr">
        <is>
          <t>SOLLEFTEÅ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5134-2022</t>
        </is>
      </c>
      <c r="B1085" s="1" t="n">
        <v>44594</v>
      </c>
      <c r="C1085" s="1" t="n">
        <v>45346</v>
      </c>
      <c r="D1085" t="inlineStr">
        <is>
          <t>VÄSTERNORRLANDS LÄN</t>
        </is>
      </c>
      <c r="E1085" t="inlineStr">
        <is>
          <t>SOLLEFTEÅ</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5657-2022</t>
        </is>
      </c>
      <c r="B1086" s="1" t="n">
        <v>44595</v>
      </c>
      <c r="C1086" s="1" t="n">
        <v>45346</v>
      </c>
      <c r="D1086" t="inlineStr">
        <is>
          <t>VÄSTERNORRLANDS LÄN</t>
        </is>
      </c>
      <c r="E1086" t="inlineStr">
        <is>
          <t>SOLLEFTEÅ</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5909-2022</t>
        </is>
      </c>
      <c r="B1087" s="1" t="n">
        <v>44596</v>
      </c>
      <c r="C1087" s="1" t="n">
        <v>45346</v>
      </c>
      <c r="D1087" t="inlineStr">
        <is>
          <t>VÄSTERNORRLANDS LÄN</t>
        </is>
      </c>
      <c r="E1087" t="inlineStr">
        <is>
          <t>SOLLEFTEÅ</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6121-2022</t>
        </is>
      </c>
      <c r="B1088" s="1" t="n">
        <v>44599</v>
      </c>
      <c r="C1088" s="1" t="n">
        <v>45346</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6172-2022</t>
        </is>
      </c>
      <c r="B1089" s="1" t="n">
        <v>44599</v>
      </c>
      <c r="C1089" s="1" t="n">
        <v>45346</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6170-2022</t>
        </is>
      </c>
      <c r="B1090" s="1" t="n">
        <v>44599</v>
      </c>
      <c r="C1090" s="1" t="n">
        <v>45346</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7667-2022</t>
        </is>
      </c>
      <c r="B1091" s="1" t="n">
        <v>44607</v>
      </c>
      <c r="C1091" s="1" t="n">
        <v>45346</v>
      </c>
      <c r="D1091" t="inlineStr">
        <is>
          <t>VÄSTERNORRLANDS LÄN</t>
        </is>
      </c>
      <c r="E1091" t="inlineStr">
        <is>
          <t>SOLLEFTEÅ</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7965-2022</t>
        </is>
      </c>
      <c r="B1092" s="1" t="n">
        <v>44608</v>
      </c>
      <c r="C1092" s="1" t="n">
        <v>45346</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7963-2022</t>
        </is>
      </c>
      <c r="B1093" s="1" t="n">
        <v>44608</v>
      </c>
      <c r="C1093" s="1" t="n">
        <v>45346</v>
      </c>
      <c r="D1093" t="inlineStr">
        <is>
          <t>VÄSTERNORRLANDS LÄN</t>
        </is>
      </c>
      <c r="E1093" t="inlineStr">
        <is>
          <t>SOLLEFTEÅ</t>
        </is>
      </c>
      <c r="F1093" t="inlineStr">
        <is>
          <t>SCA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7935-2022</t>
        </is>
      </c>
      <c r="B1094" s="1" t="n">
        <v>44608</v>
      </c>
      <c r="C1094" s="1" t="n">
        <v>45346</v>
      </c>
      <c r="D1094" t="inlineStr">
        <is>
          <t>VÄSTERNORRLANDS LÄN</t>
        </is>
      </c>
      <c r="E1094" t="inlineStr">
        <is>
          <t>SOLLEFTEÅ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7964-2022</t>
        </is>
      </c>
      <c r="B1095" s="1" t="n">
        <v>44608</v>
      </c>
      <c r="C1095" s="1" t="n">
        <v>45346</v>
      </c>
      <c r="D1095" t="inlineStr">
        <is>
          <t>VÄSTERNORRLANDS LÄN</t>
        </is>
      </c>
      <c r="E1095" t="inlineStr">
        <is>
          <t>SOLLEFTEÅ</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8221-2022</t>
        </is>
      </c>
      <c r="B1096" s="1" t="n">
        <v>44609</v>
      </c>
      <c r="C1096" s="1" t="n">
        <v>45346</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8222-2022</t>
        </is>
      </c>
      <c r="B1097" s="1" t="n">
        <v>44609</v>
      </c>
      <c r="C1097" s="1" t="n">
        <v>45346</v>
      </c>
      <c r="D1097" t="inlineStr">
        <is>
          <t>VÄSTERNORRLANDS LÄN</t>
        </is>
      </c>
      <c r="E1097" t="inlineStr">
        <is>
          <t>SOLLEFTEÅ</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8728-2022</t>
        </is>
      </c>
      <c r="B1098" s="1" t="n">
        <v>44613</v>
      </c>
      <c r="C1098" s="1" t="n">
        <v>45346</v>
      </c>
      <c r="D1098" t="inlineStr">
        <is>
          <t>VÄSTERNORRLANDS LÄN</t>
        </is>
      </c>
      <c r="E1098" t="inlineStr">
        <is>
          <t>SOLLEFTEÅ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8729-2022</t>
        </is>
      </c>
      <c r="B1099" s="1" t="n">
        <v>44613</v>
      </c>
      <c r="C1099" s="1" t="n">
        <v>45346</v>
      </c>
      <c r="D1099" t="inlineStr">
        <is>
          <t>VÄSTERNORRLANDS LÄN</t>
        </is>
      </c>
      <c r="E1099" t="inlineStr">
        <is>
          <t>SOLLEFTEÅ</t>
        </is>
      </c>
      <c r="F1099" t="inlineStr">
        <is>
          <t>SCA</t>
        </is>
      </c>
      <c r="G1099" t="n">
        <v>16.5</v>
      </c>
      <c r="H1099" t="n">
        <v>0</v>
      </c>
      <c r="I1099" t="n">
        <v>0</v>
      </c>
      <c r="J1099" t="n">
        <v>0</v>
      </c>
      <c r="K1099" t="n">
        <v>0</v>
      </c>
      <c r="L1099" t="n">
        <v>0</v>
      </c>
      <c r="M1099" t="n">
        <v>0</v>
      </c>
      <c r="N1099" t="n">
        <v>0</v>
      </c>
      <c r="O1099" t="n">
        <v>0</v>
      </c>
      <c r="P1099" t="n">
        <v>0</v>
      </c>
      <c r="Q1099" t="n">
        <v>0</v>
      </c>
      <c r="R1099" s="2" t="inlineStr"/>
    </row>
    <row r="1100" ht="15" customHeight="1">
      <c r="A1100" t="inlineStr">
        <is>
          <t>A 8734-2022</t>
        </is>
      </c>
      <c r="B1100" s="1" t="n">
        <v>44613</v>
      </c>
      <c r="C1100" s="1" t="n">
        <v>45346</v>
      </c>
      <c r="D1100" t="inlineStr">
        <is>
          <t>VÄSTERNORRLANDS LÄN</t>
        </is>
      </c>
      <c r="E1100" t="inlineStr">
        <is>
          <t>SOLLEFTEÅ</t>
        </is>
      </c>
      <c r="F1100" t="inlineStr">
        <is>
          <t>SCA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9124-2022</t>
        </is>
      </c>
      <c r="B1101" s="1" t="n">
        <v>44615</v>
      </c>
      <c r="C1101" s="1" t="n">
        <v>45346</v>
      </c>
      <c r="D1101" t="inlineStr">
        <is>
          <t>VÄSTERNORRLANDS LÄN</t>
        </is>
      </c>
      <c r="E1101" t="inlineStr">
        <is>
          <t>SOLLEFTEÅ</t>
        </is>
      </c>
      <c r="G1101" t="n">
        <v>20.2</v>
      </c>
      <c r="H1101" t="n">
        <v>0</v>
      </c>
      <c r="I1101" t="n">
        <v>0</v>
      </c>
      <c r="J1101" t="n">
        <v>0</v>
      </c>
      <c r="K1101" t="n">
        <v>0</v>
      </c>
      <c r="L1101" t="n">
        <v>0</v>
      </c>
      <c r="M1101" t="n">
        <v>0</v>
      </c>
      <c r="N1101" t="n">
        <v>0</v>
      </c>
      <c r="O1101" t="n">
        <v>0</v>
      </c>
      <c r="P1101" t="n">
        <v>0</v>
      </c>
      <c r="Q1101" t="n">
        <v>0</v>
      </c>
      <c r="R1101" s="2" t="inlineStr"/>
    </row>
    <row r="1102" ht="15" customHeight="1">
      <c r="A1102" t="inlineStr">
        <is>
          <t>A 9487-2022</t>
        </is>
      </c>
      <c r="B1102" s="1" t="n">
        <v>44616</v>
      </c>
      <c r="C1102" s="1" t="n">
        <v>45346</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9586-2022</t>
        </is>
      </c>
      <c r="B1103" s="1" t="n">
        <v>44617</v>
      </c>
      <c r="C1103" s="1" t="n">
        <v>45346</v>
      </c>
      <c r="D1103" t="inlineStr">
        <is>
          <t>VÄSTERNORRLANDS LÄN</t>
        </is>
      </c>
      <c r="E1103" t="inlineStr">
        <is>
          <t>SOLLEFTEÅ</t>
        </is>
      </c>
      <c r="F1103" t="inlineStr">
        <is>
          <t>Övriga Aktiebolag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10138-2022</t>
        </is>
      </c>
      <c r="B1104" s="1" t="n">
        <v>44621</v>
      </c>
      <c r="C1104" s="1" t="n">
        <v>45346</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10139-2022</t>
        </is>
      </c>
      <c r="B1105" s="1" t="n">
        <v>44621</v>
      </c>
      <c r="C1105" s="1" t="n">
        <v>45346</v>
      </c>
      <c r="D1105" t="inlineStr">
        <is>
          <t>VÄSTERNORRLANDS LÄN</t>
        </is>
      </c>
      <c r="E1105" t="inlineStr">
        <is>
          <t>SOLLEFTEÅ</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10140-2022</t>
        </is>
      </c>
      <c r="B1106" s="1" t="n">
        <v>44621</v>
      </c>
      <c r="C1106" s="1" t="n">
        <v>45346</v>
      </c>
      <c r="D1106" t="inlineStr">
        <is>
          <t>VÄSTERNORRLANDS LÄN</t>
        </is>
      </c>
      <c r="E1106" t="inlineStr">
        <is>
          <t>SOLLEFTEÅ</t>
        </is>
      </c>
      <c r="F1106" t="inlineStr">
        <is>
          <t>SCA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10141-2022</t>
        </is>
      </c>
      <c r="B1107" s="1" t="n">
        <v>44621</v>
      </c>
      <c r="C1107" s="1" t="n">
        <v>45346</v>
      </c>
      <c r="D1107" t="inlineStr">
        <is>
          <t>VÄSTERNORRLANDS LÄN</t>
        </is>
      </c>
      <c r="E1107" t="inlineStr">
        <is>
          <t>SOLLEFTEÅ</t>
        </is>
      </c>
      <c r="F1107" t="inlineStr">
        <is>
          <t>SCA</t>
        </is>
      </c>
      <c r="G1107" t="n">
        <v>15.5</v>
      </c>
      <c r="H1107" t="n">
        <v>0</v>
      </c>
      <c r="I1107" t="n">
        <v>0</v>
      </c>
      <c r="J1107" t="n">
        <v>0</v>
      </c>
      <c r="K1107" t="n">
        <v>0</v>
      </c>
      <c r="L1107" t="n">
        <v>0</v>
      </c>
      <c r="M1107" t="n">
        <v>0</v>
      </c>
      <c r="N1107" t="n">
        <v>0</v>
      </c>
      <c r="O1107" t="n">
        <v>0</v>
      </c>
      <c r="P1107" t="n">
        <v>0</v>
      </c>
      <c r="Q1107" t="n">
        <v>0</v>
      </c>
      <c r="R1107" s="2" t="inlineStr"/>
    </row>
    <row r="1108" ht="15" customHeight="1">
      <c r="A1108" t="inlineStr">
        <is>
          <t>A 10198-2022</t>
        </is>
      </c>
      <c r="B1108" s="1" t="n">
        <v>44622</v>
      </c>
      <c r="C1108" s="1" t="n">
        <v>45346</v>
      </c>
      <c r="D1108" t="inlineStr">
        <is>
          <t>VÄSTERNORRLANDS LÄN</t>
        </is>
      </c>
      <c r="E1108" t="inlineStr">
        <is>
          <t>SOLLEFTEÅ</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10242-2022</t>
        </is>
      </c>
      <c r="B1109" s="1" t="n">
        <v>44622</v>
      </c>
      <c r="C1109" s="1" t="n">
        <v>45346</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10308-2022</t>
        </is>
      </c>
      <c r="B1110" s="1" t="n">
        <v>44622</v>
      </c>
      <c r="C1110" s="1" t="n">
        <v>45346</v>
      </c>
      <c r="D1110" t="inlineStr">
        <is>
          <t>VÄSTERNORRLANDS LÄN</t>
        </is>
      </c>
      <c r="E1110" t="inlineStr">
        <is>
          <t>SOLLEFTEÅ</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10250-2022</t>
        </is>
      </c>
      <c r="B1111" s="1" t="n">
        <v>44622</v>
      </c>
      <c r="C1111" s="1" t="n">
        <v>45346</v>
      </c>
      <c r="D1111" t="inlineStr">
        <is>
          <t>VÄSTERNORRLANDS LÄN</t>
        </is>
      </c>
      <c r="E1111" t="inlineStr">
        <is>
          <t>SOLLEFTEÅ</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10310-2022</t>
        </is>
      </c>
      <c r="B1112" s="1" t="n">
        <v>44622</v>
      </c>
      <c r="C1112" s="1" t="n">
        <v>45346</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10307-2022</t>
        </is>
      </c>
      <c r="B1113" s="1" t="n">
        <v>44622</v>
      </c>
      <c r="C1113" s="1" t="n">
        <v>45346</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10311-2022</t>
        </is>
      </c>
      <c r="B1114" s="1" t="n">
        <v>44622</v>
      </c>
      <c r="C1114" s="1" t="n">
        <v>45346</v>
      </c>
      <c r="D1114" t="inlineStr">
        <is>
          <t>VÄSTERNORRLANDS LÄN</t>
        </is>
      </c>
      <c r="E1114" t="inlineStr">
        <is>
          <t>SOLLEFTEÅ</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10309-2022</t>
        </is>
      </c>
      <c r="B1115" s="1" t="n">
        <v>44622</v>
      </c>
      <c r="C1115" s="1" t="n">
        <v>45346</v>
      </c>
      <c r="D1115" t="inlineStr">
        <is>
          <t>VÄSTERNORRLANDS LÄN</t>
        </is>
      </c>
      <c r="E1115" t="inlineStr">
        <is>
          <t>SOLLEFTEÅ</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10314-2022</t>
        </is>
      </c>
      <c r="B1116" s="1" t="n">
        <v>44622</v>
      </c>
      <c r="C1116" s="1" t="n">
        <v>45346</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10417-2022</t>
        </is>
      </c>
      <c r="B1117" s="1" t="n">
        <v>44623</v>
      </c>
      <c r="C1117" s="1" t="n">
        <v>45346</v>
      </c>
      <c r="D1117" t="inlineStr">
        <is>
          <t>VÄSTERNORRLANDS LÄN</t>
        </is>
      </c>
      <c r="E1117" t="inlineStr">
        <is>
          <t>SOLLEFTEÅ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10924-2022</t>
        </is>
      </c>
      <c r="B1118" s="1" t="n">
        <v>44627</v>
      </c>
      <c r="C1118" s="1" t="n">
        <v>45346</v>
      </c>
      <c r="D1118" t="inlineStr">
        <is>
          <t>VÄSTERNORRLANDS LÄN</t>
        </is>
      </c>
      <c r="E1118" t="inlineStr">
        <is>
          <t>SOLLEFTEÅ</t>
        </is>
      </c>
      <c r="F1118" t="inlineStr">
        <is>
          <t>SCA</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10926-2022</t>
        </is>
      </c>
      <c r="B1119" s="1" t="n">
        <v>44627</v>
      </c>
      <c r="C1119" s="1" t="n">
        <v>45346</v>
      </c>
      <c r="D1119" t="inlineStr">
        <is>
          <t>VÄSTERNORRLANDS LÄN</t>
        </is>
      </c>
      <c r="E1119" t="inlineStr">
        <is>
          <t>SOLLEFTEÅ</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10925-2022</t>
        </is>
      </c>
      <c r="B1120" s="1" t="n">
        <v>44627</v>
      </c>
      <c r="C1120" s="1" t="n">
        <v>45346</v>
      </c>
      <c r="D1120" t="inlineStr">
        <is>
          <t>VÄSTERNORRLANDS LÄN</t>
        </is>
      </c>
      <c r="E1120" t="inlineStr">
        <is>
          <t>SOLLEFTEÅ</t>
        </is>
      </c>
      <c r="F1120" t="inlineStr">
        <is>
          <t>SCA</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10927-2022</t>
        </is>
      </c>
      <c r="B1121" s="1" t="n">
        <v>44627</v>
      </c>
      <c r="C1121" s="1" t="n">
        <v>45346</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11117-2022</t>
        </is>
      </c>
      <c r="B1122" s="1" t="n">
        <v>44628</v>
      </c>
      <c r="C1122" s="1" t="n">
        <v>45346</v>
      </c>
      <c r="D1122" t="inlineStr">
        <is>
          <t>VÄSTERNORRLANDS LÄN</t>
        </is>
      </c>
      <c r="E1122" t="inlineStr">
        <is>
          <t>SOLLEFTEÅ</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11131-2022</t>
        </is>
      </c>
      <c r="B1123" s="1" t="n">
        <v>44628</v>
      </c>
      <c r="C1123" s="1" t="n">
        <v>45346</v>
      </c>
      <c r="D1123" t="inlineStr">
        <is>
          <t>VÄSTERNORRLANDS LÄN</t>
        </is>
      </c>
      <c r="E1123" t="inlineStr">
        <is>
          <t>SOLLEFTEÅ</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11133-2022</t>
        </is>
      </c>
      <c r="B1124" s="1" t="n">
        <v>44628</v>
      </c>
      <c r="C1124" s="1" t="n">
        <v>45346</v>
      </c>
      <c r="D1124" t="inlineStr">
        <is>
          <t>VÄSTERNORRLANDS LÄN</t>
        </is>
      </c>
      <c r="E1124" t="inlineStr">
        <is>
          <t>SOLLEFTEÅ</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11125-2022</t>
        </is>
      </c>
      <c r="B1125" s="1" t="n">
        <v>44628</v>
      </c>
      <c r="C1125" s="1" t="n">
        <v>45346</v>
      </c>
      <c r="D1125" t="inlineStr">
        <is>
          <t>VÄSTERNORRLANDS LÄN</t>
        </is>
      </c>
      <c r="E1125" t="inlineStr">
        <is>
          <t>SOLLEFTEÅ</t>
        </is>
      </c>
      <c r="F1125" t="inlineStr">
        <is>
          <t>SCA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11241-2022</t>
        </is>
      </c>
      <c r="B1126" s="1" t="n">
        <v>44629</v>
      </c>
      <c r="C1126" s="1" t="n">
        <v>45346</v>
      </c>
      <c r="D1126" t="inlineStr">
        <is>
          <t>VÄSTERNORRLANDS LÄN</t>
        </is>
      </c>
      <c r="E1126" t="inlineStr">
        <is>
          <t>SOLLEFTEÅ</t>
        </is>
      </c>
      <c r="F1126" t="inlineStr">
        <is>
          <t>Kommuner</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11318-2022</t>
        </is>
      </c>
      <c r="B1127" s="1" t="n">
        <v>44629</v>
      </c>
      <c r="C1127" s="1" t="n">
        <v>45346</v>
      </c>
      <c r="D1127" t="inlineStr">
        <is>
          <t>VÄSTERNORRLANDS LÄN</t>
        </is>
      </c>
      <c r="E1127" t="inlineStr">
        <is>
          <t>SOLLEFTEÅ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11475-2022</t>
        </is>
      </c>
      <c r="B1128" s="1" t="n">
        <v>44630</v>
      </c>
      <c r="C1128" s="1" t="n">
        <v>45346</v>
      </c>
      <c r="D1128" t="inlineStr">
        <is>
          <t>VÄSTERNORRLANDS LÄN</t>
        </is>
      </c>
      <c r="E1128" t="inlineStr">
        <is>
          <t>SOLLEFTEÅ</t>
        </is>
      </c>
      <c r="G1128" t="n">
        <v>18.7</v>
      </c>
      <c r="H1128" t="n">
        <v>0</v>
      </c>
      <c r="I1128" t="n">
        <v>0</v>
      </c>
      <c r="J1128" t="n">
        <v>0</v>
      </c>
      <c r="K1128" t="n">
        <v>0</v>
      </c>
      <c r="L1128" t="n">
        <v>0</v>
      </c>
      <c r="M1128" t="n">
        <v>0</v>
      </c>
      <c r="N1128" t="n">
        <v>0</v>
      </c>
      <c r="O1128" t="n">
        <v>0</v>
      </c>
      <c r="P1128" t="n">
        <v>0</v>
      </c>
      <c r="Q1128" t="n">
        <v>0</v>
      </c>
      <c r="R1128" s="2" t="inlineStr"/>
    </row>
    <row r="1129" ht="15" customHeight="1">
      <c r="A1129" t="inlineStr">
        <is>
          <t>A 11484-2022</t>
        </is>
      </c>
      <c r="B1129" s="1" t="n">
        <v>44630</v>
      </c>
      <c r="C1129" s="1" t="n">
        <v>45346</v>
      </c>
      <c r="D1129" t="inlineStr">
        <is>
          <t>VÄSTERNORRLANDS LÄN</t>
        </is>
      </c>
      <c r="E1129" t="inlineStr">
        <is>
          <t>SOLLEFTEÅ</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11474-2022</t>
        </is>
      </c>
      <c r="B1130" s="1" t="n">
        <v>44630</v>
      </c>
      <c r="C1130" s="1" t="n">
        <v>45346</v>
      </c>
      <c r="D1130" t="inlineStr">
        <is>
          <t>VÄSTERNORRLANDS LÄN</t>
        </is>
      </c>
      <c r="E1130" t="inlineStr">
        <is>
          <t>SOLLEFTEÅ</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11483-2022</t>
        </is>
      </c>
      <c r="B1131" s="1" t="n">
        <v>44630</v>
      </c>
      <c r="C1131" s="1" t="n">
        <v>45346</v>
      </c>
      <c r="D1131" t="inlineStr">
        <is>
          <t>VÄSTERNORRLANDS LÄN</t>
        </is>
      </c>
      <c r="E1131" t="inlineStr">
        <is>
          <t>SOLLEFTEÅ</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11652-2022</t>
        </is>
      </c>
      <c r="B1132" s="1" t="n">
        <v>44631</v>
      </c>
      <c r="C1132" s="1" t="n">
        <v>45346</v>
      </c>
      <c r="D1132" t="inlineStr">
        <is>
          <t>VÄSTERNORRLANDS LÄN</t>
        </is>
      </c>
      <c r="E1132" t="inlineStr">
        <is>
          <t>SOLLEFTEÅ</t>
        </is>
      </c>
      <c r="F1132" t="inlineStr">
        <is>
          <t>SCA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11656-2022</t>
        </is>
      </c>
      <c r="B1133" s="1" t="n">
        <v>44631</v>
      </c>
      <c r="C1133" s="1" t="n">
        <v>45346</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11653-2022</t>
        </is>
      </c>
      <c r="B1134" s="1" t="n">
        <v>44631</v>
      </c>
      <c r="C1134" s="1" t="n">
        <v>45346</v>
      </c>
      <c r="D1134" t="inlineStr">
        <is>
          <t>VÄSTERNORRLANDS LÄN</t>
        </is>
      </c>
      <c r="E1134" t="inlineStr">
        <is>
          <t>SOLLEFTEÅ</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11677-2022</t>
        </is>
      </c>
      <c r="B1135" s="1" t="n">
        <v>44633</v>
      </c>
      <c r="C1135" s="1" t="n">
        <v>45346</v>
      </c>
      <c r="D1135" t="inlineStr">
        <is>
          <t>VÄSTERNORRLANDS LÄN</t>
        </is>
      </c>
      <c r="E1135" t="inlineStr">
        <is>
          <t>SOLLEFTEÅ</t>
        </is>
      </c>
      <c r="F1135" t="inlineStr">
        <is>
          <t>SCA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11842-2022</t>
        </is>
      </c>
      <c r="B1136" s="1" t="n">
        <v>44634</v>
      </c>
      <c r="C1136" s="1" t="n">
        <v>45346</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11845-2022</t>
        </is>
      </c>
      <c r="B1137" s="1" t="n">
        <v>44634</v>
      </c>
      <c r="C1137" s="1" t="n">
        <v>45346</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11846-2022</t>
        </is>
      </c>
      <c r="B1138" s="1" t="n">
        <v>44634</v>
      </c>
      <c r="C1138" s="1" t="n">
        <v>45346</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11870-2022</t>
        </is>
      </c>
      <c r="B1139" s="1" t="n">
        <v>44635</v>
      </c>
      <c r="C1139" s="1" t="n">
        <v>45346</v>
      </c>
      <c r="D1139" t="inlineStr">
        <is>
          <t>VÄSTERNORRLANDS LÄN</t>
        </is>
      </c>
      <c r="E1139" t="inlineStr">
        <is>
          <t>SOLLEFTEÅ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11874-2022</t>
        </is>
      </c>
      <c r="B1140" s="1" t="n">
        <v>44635</v>
      </c>
      <c r="C1140" s="1" t="n">
        <v>45346</v>
      </c>
      <c r="D1140" t="inlineStr">
        <is>
          <t>VÄSTERNORRLANDS LÄN</t>
        </is>
      </c>
      <c r="E1140" t="inlineStr">
        <is>
          <t>SOLLEFTEÅ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12007-2022</t>
        </is>
      </c>
      <c r="B1141" s="1" t="n">
        <v>44635</v>
      </c>
      <c r="C1141" s="1" t="n">
        <v>45346</v>
      </c>
      <c r="D1141" t="inlineStr">
        <is>
          <t>VÄSTERNORRLANDS LÄN</t>
        </is>
      </c>
      <c r="E1141" t="inlineStr">
        <is>
          <t>SOLLEFTEÅ</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12001-2022</t>
        </is>
      </c>
      <c r="B1142" s="1" t="n">
        <v>44635</v>
      </c>
      <c r="C1142" s="1" t="n">
        <v>45346</v>
      </c>
      <c r="D1142" t="inlineStr">
        <is>
          <t>VÄSTERNORRLANDS LÄN</t>
        </is>
      </c>
      <c r="E1142" t="inlineStr">
        <is>
          <t>SOLLEFTEÅ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12006-2022</t>
        </is>
      </c>
      <c r="B1143" s="1" t="n">
        <v>44635</v>
      </c>
      <c r="C1143" s="1" t="n">
        <v>45346</v>
      </c>
      <c r="D1143" t="inlineStr">
        <is>
          <t>VÄSTERNORRLANDS LÄN</t>
        </is>
      </c>
      <c r="E1143" t="inlineStr">
        <is>
          <t>SOLLEFTEÅ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12022-2022</t>
        </is>
      </c>
      <c r="B1144" s="1" t="n">
        <v>44635</v>
      </c>
      <c r="C1144" s="1" t="n">
        <v>45346</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12191-2022</t>
        </is>
      </c>
      <c r="B1145" s="1" t="n">
        <v>44636</v>
      </c>
      <c r="C1145" s="1" t="n">
        <v>45346</v>
      </c>
      <c r="D1145" t="inlineStr">
        <is>
          <t>VÄSTERNORRLANDS LÄN</t>
        </is>
      </c>
      <c r="E1145" t="inlineStr">
        <is>
          <t>SOLLEFTEÅ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12201-2022</t>
        </is>
      </c>
      <c r="B1146" s="1" t="n">
        <v>44636</v>
      </c>
      <c r="C1146" s="1" t="n">
        <v>45346</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12395-2022</t>
        </is>
      </c>
      <c r="B1147" s="1" t="n">
        <v>44637</v>
      </c>
      <c r="C1147" s="1" t="n">
        <v>45346</v>
      </c>
      <c r="D1147" t="inlineStr">
        <is>
          <t>VÄSTERNORRLANDS LÄN</t>
        </is>
      </c>
      <c r="E1147" t="inlineStr">
        <is>
          <t>SOLLEFTEÅ</t>
        </is>
      </c>
      <c r="F1147" t="inlineStr">
        <is>
          <t>SCA</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12561-2022</t>
        </is>
      </c>
      <c r="B1148" s="1" t="n">
        <v>44638</v>
      </c>
      <c r="C1148" s="1" t="n">
        <v>45346</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12565-2022</t>
        </is>
      </c>
      <c r="B1149" s="1" t="n">
        <v>44638</v>
      </c>
      <c r="C1149" s="1" t="n">
        <v>45346</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12572-2022</t>
        </is>
      </c>
      <c r="B1150" s="1" t="n">
        <v>44638</v>
      </c>
      <c r="C1150" s="1" t="n">
        <v>45346</v>
      </c>
      <c r="D1150" t="inlineStr">
        <is>
          <t>VÄSTERNORRLANDS LÄN</t>
        </is>
      </c>
      <c r="E1150" t="inlineStr">
        <is>
          <t>SOLLEFTEÅ</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12564-2022</t>
        </is>
      </c>
      <c r="B1151" s="1" t="n">
        <v>44638</v>
      </c>
      <c r="C1151" s="1" t="n">
        <v>45346</v>
      </c>
      <c r="D1151" t="inlineStr">
        <is>
          <t>VÄSTERNORRLANDS LÄN</t>
        </is>
      </c>
      <c r="E1151" t="inlineStr">
        <is>
          <t>SOLLEFTEÅ</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12568-2022</t>
        </is>
      </c>
      <c r="B1152" s="1" t="n">
        <v>44638</v>
      </c>
      <c r="C1152" s="1" t="n">
        <v>45346</v>
      </c>
      <c r="D1152" t="inlineStr">
        <is>
          <t>VÄSTERNORRLANDS LÄN</t>
        </is>
      </c>
      <c r="E1152" t="inlineStr">
        <is>
          <t>SOLLEFTEÅ</t>
        </is>
      </c>
      <c r="F1152" t="inlineStr">
        <is>
          <t>SCA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12557-2022</t>
        </is>
      </c>
      <c r="B1153" s="1" t="n">
        <v>44638</v>
      </c>
      <c r="C1153" s="1" t="n">
        <v>45346</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12563-2022</t>
        </is>
      </c>
      <c r="B1154" s="1" t="n">
        <v>44638</v>
      </c>
      <c r="C1154" s="1" t="n">
        <v>45346</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12567-2022</t>
        </is>
      </c>
      <c r="B1155" s="1" t="n">
        <v>44638</v>
      </c>
      <c r="C1155" s="1" t="n">
        <v>45346</v>
      </c>
      <c r="D1155" t="inlineStr">
        <is>
          <t>VÄSTERNORRLANDS LÄN</t>
        </is>
      </c>
      <c r="E1155" t="inlineStr">
        <is>
          <t>SOLLEFTEÅ</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12562-2022</t>
        </is>
      </c>
      <c r="B1156" s="1" t="n">
        <v>44638</v>
      </c>
      <c r="C1156" s="1" t="n">
        <v>45346</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12566-2022</t>
        </is>
      </c>
      <c r="B1157" s="1" t="n">
        <v>44638</v>
      </c>
      <c r="C1157" s="1" t="n">
        <v>45346</v>
      </c>
      <c r="D1157" t="inlineStr">
        <is>
          <t>VÄSTERNORRLANDS LÄN</t>
        </is>
      </c>
      <c r="E1157" t="inlineStr">
        <is>
          <t>SOLLEFTEÅ</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12758-2022</t>
        </is>
      </c>
      <c r="B1158" s="1" t="n">
        <v>44641</v>
      </c>
      <c r="C1158" s="1" t="n">
        <v>45346</v>
      </c>
      <c r="D1158" t="inlineStr">
        <is>
          <t>VÄSTERNORRLANDS LÄN</t>
        </is>
      </c>
      <c r="E1158" t="inlineStr">
        <is>
          <t>SOLLEFTEÅ</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12764-2022</t>
        </is>
      </c>
      <c r="B1159" s="1" t="n">
        <v>44641</v>
      </c>
      <c r="C1159" s="1" t="n">
        <v>45346</v>
      </c>
      <c r="D1159" t="inlineStr">
        <is>
          <t>VÄSTERNORRLANDS LÄN</t>
        </is>
      </c>
      <c r="E1159" t="inlineStr">
        <is>
          <t>SOLLEFTEÅ</t>
        </is>
      </c>
      <c r="F1159" t="inlineStr">
        <is>
          <t>SCA</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12774-2022</t>
        </is>
      </c>
      <c r="B1160" s="1" t="n">
        <v>44641</v>
      </c>
      <c r="C1160" s="1" t="n">
        <v>45346</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13300-2022</t>
        </is>
      </c>
      <c r="B1161" s="1" t="n">
        <v>44644</v>
      </c>
      <c r="C1161" s="1" t="n">
        <v>45346</v>
      </c>
      <c r="D1161" t="inlineStr">
        <is>
          <t>VÄSTERNORRLANDS LÄN</t>
        </is>
      </c>
      <c r="E1161" t="inlineStr">
        <is>
          <t>SOLLEFTEÅ</t>
        </is>
      </c>
      <c r="F1161" t="inlineStr">
        <is>
          <t>SCA</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13311-2022</t>
        </is>
      </c>
      <c r="B1162" s="1" t="n">
        <v>44644</v>
      </c>
      <c r="C1162" s="1" t="n">
        <v>45346</v>
      </c>
      <c r="D1162" t="inlineStr">
        <is>
          <t>VÄSTERNORRLANDS LÄN</t>
        </is>
      </c>
      <c r="E1162" t="inlineStr">
        <is>
          <t>SOLLEFTEÅ</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13309-2022</t>
        </is>
      </c>
      <c r="B1163" s="1" t="n">
        <v>44644</v>
      </c>
      <c r="C1163" s="1" t="n">
        <v>45346</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13492-2022</t>
        </is>
      </c>
      <c r="B1164" s="1" t="n">
        <v>44646</v>
      </c>
      <c r="C1164" s="1" t="n">
        <v>45346</v>
      </c>
      <c r="D1164" t="inlineStr">
        <is>
          <t>VÄSTERNORRLANDS LÄN</t>
        </is>
      </c>
      <c r="E1164" t="inlineStr">
        <is>
          <t>SOLLEFTEÅ</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13598-2022</t>
        </is>
      </c>
      <c r="B1165" s="1" t="n">
        <v>44648</v>
      </c>
      <c r="C1165" s="1" t="n">
        <v>45346</v>
      </c>
      <c r="D1165" t="inlineStr">
        <is>
          <t>VÄSTERNORRLANDS LÄN</t>
        </is>
      </c>
      <c r="E1165" t="inlineStr">
        <is>
          <t>SOLLEFTEÅ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13658-2022</t>
        </is>
      </c>
      <c r="B1166" s="1" t="n">
        <v>44648</v>
      </c>
      <c r="C1166" s="1" t="n">
        <v>45346</v>
      </c>
      <c r="D1166" t="inlineStr">
        <is>
          <t>VÄSTERNORRLANDS LÄN</t>
        </is>
      </c>
      <c r="E1166" t="inlineStr">
        <is>
          <t>SOLLEFTEÅ</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13710-2022</t>
        </is>
      </c>
      <c r="B1167" s="1" t="n">
        <v>44649</v>
      </c>
      <c r="C1167" s="1" t="n">
        <v>45346</v>
      </c>
      <c r="D1167" t="inlineStr">
        <is>
          <t>VÄSTERNORRLANDS LÄN</t>
        </is>
      </c>
      <c r="E1167" t="inlineStr">
        <is>
          <t>SOLLEFTEÅ</t>
        </is>
      </c>
      <c r="F1167" t="inlineStr">
        <is>
          <t>SCA</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14061-2022</t>
        </is>
      </c>
      <c r="B1168" s="1" t="n">
        <v>44651</v>
      </c>
      <c r="C1168" s="1" t="n">
        <v>45346</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14066-2022</t>
        </is>
      </c>
      <c r="B1169" s="1" t="n">
        <v>44650</v>
      </c>
      <c r="C1169" s="1" t="n">
        <v>45346</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14058-2022</t>
        </is>
      </c>
      <c r="B1170" s="1" t="n">
        <v>44651</v>
      </c>
      <c r="C1170" s="1" t="n">
        <v>45346</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14063-2022</t>
        </is>
      </c>
      <c r="B1171" s="1" t="n">
        <v>44651</v>
      </c>
      <c r="C1171" s="1" t="n">
        <v>45346</v>
      </c>
      <c r="D1171" t="inlineStr">
        <is>
          <t>VÄSTERNORRLANDS LÄN</t>
        </is>
      </c>
      <c r="E1171" t="inlineStr">
        <is>
          <t>SOLLEFTEÅ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14055-2022</t>
        </is>
      </c>
      <c r="B1172" s="1" t="n">
        <v>44651</v>
      </c>
      <c r="C1172" s="1" t="n">
        <v>45346</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14060-2022</t>
        </is>
      </c>
      <c r="B1173" s="1" t="n">
        <v>44651</v>
      </c>
      <c r="C1173" s="1" t="n">
        <v>45346</v>
      </c>
      <c r="D1173" t="inlineStr">
        <is>
          <t>VÄSTERNORRLANDS LÄN</t>
        </is>
      </c>
      <c r="E1173" t="inlineStr">
        <is>
          <t>SOLLEFTEÅ</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14065-2022</t>
        </is>
      </c>
      <c r="B1174" s="1" t="n">
        <v>44650</v>
      </c>
      <c r="C1174" s="1" t="n">
        <v>45346</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14059-2022</t>
        </is>
      </c>
      <c r="B1175" s="1" t="n">
        <v>44651</v>
      </c>
      <c r="C1175" s="1" t="n">
        <v>45346</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14064-2022</t>
        </is>
      </c>
      <c r="B1176" s="1" t="n">
        <v>44651</v>
      </c>
      <c r="C1176" s="1" t="n">
        <v>45346</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14276-2022</t>
        </is>
      </c>
      <c r="B1177" s="1" t="n">
        <v>44652</v>
      </c>
      <c r="C1177" s="1" t="n">
        <v>45346</v>
      </c>
      <c r="D1177" t="inlineStr">
        <is>
          <t>VÄSTERNORRLANDS LÄN</t>
        </is>
      </c>
      <c r="E1177" t="inlineStr">
        <is>
          <t>SOLLEFTEÅ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14297-2022</t>
        </is>
      </c>
      <c r="B1178" s="1" t="n">
        <v>44651</v>
      </c>
      <c r="C1178" s="1" t="n">
        <v>45346</v>
      </c>
      <c r="D1178" t="inlineStr">
        <is>
          <t>VÄSTERNORRLANDS LÄN</t>
        </is>
      </c>
      <c r="E1178" t="inlineStr">
        <is>
          <t>SOLLEFTEÅ</t>
        </is>
      </c>
      <c r="F1178" t="inlineStr">
        <is>
          <t>SCA</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14300-2022</t>
        </is>
      </c>
      <c r="B1179" s="1" t="n">
        <v>44652</v>
      </c>
      <c r="C1179" s="1" t="n">
        <v>45346</v>
      </c>
      <c r="D1179" t="inlineStr">
        <is>
          <t>VÄSTERNORRLANDS LÄN</t>
        </is>
      </c>
      <c r="E1179" t="inlineStr">
        <is>
          <t>SOLLEFTEÅ</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14308-2022</t>
        </is>
      </c>
      <c r="B1180" s="1" t="n">
        <v>44652</v>
      </c>
      <c r="C1180" s="1" t="n">
        <v>45346</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14275-2022</t>
        </is>
      </c>
      <c r="B1181" s="1" t="n">
        <v>44651</v>
      </c>
      <c r="C1181" s="1" t="n">
        <v>45346</v>
      </c>
      <c r="D1181" t="inlineStr">
        <is>
          <t>VÄSTERNORRLANDS LÄN</t>
        </is>
      </c>
      <c r="E1181" t="inlineStr">
        <is>
          <t>SOLLEFTEÅ</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14299-2022</t>
        </is>
      </c>
      <c r="B1182" s="1" t="n">
        <v>44652</v>
      </c>
      <c r="C1182" s="1" t="n">
        <v>45346</v>
      </c>
      <c r="D1182" t="inlineStr">
        <is>
          <t>VÄSTERNORRLANDS LÄN</t>
        </is>
      </c>
      <c r="E1182" t="inlineStr">
        <is>
          <t>SOLLEFTEÅ</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14296-2022</t>
        </is>
      </c>
      <c r="B1183" s="1" t="n">
        <v>44652</v>
      </c>
      <c r="C1183" s="1" t="n">
        <v>45346</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14302-2022</t>
        </is>
      </c>
      <c r="B1184" s="1" t="n">
        <v>44651</v>
      </c>
      <c r="C1184" s="1" t="n">
        <v>45346</v>
      </c>
      <c r="D1184" t="inlineStr">
        <is>
          <t>VÄSTERNORRLANDS LÄN</t>
        </is>
      </c>
      <c r="E1184" t="inlineStr">
        <is>
          <t>SOLLEFTEÅ</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14448-2022</t>
        </is>
      </c>
      <c r="B1185" s="1" t="n">
        <v>44652</v>
      </c>
      <c r="C1185" s="1" t="n">
        <v>45346</v>
      </c>
      <c r="D1185" t="inlineStr">
        <is>
          <t>VÄSTERNORRLANDS LÄN</t>
        </is>
      </c>
      <c r="E1185" t="inlineStr">
        <is>
          <t>SOLLEFTEÅ</t>
        </is>
      </c>
      <c r="F1185" t="inlineStr">
        <is>
          <t>SCA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14449-2022</t>
        </is>
      </c>
      <c r="B1186" s="1" t="n">
        <v>44652</v>
      </c>
      <c r="C1186" s="1" t="n">
        <v>45346</v>
      </c>
      <c r="D1186" t="inlineStr">
        <is>
          <t>VÄSTERNORRLANDS LÄN</t>
        </is>
      </c>
      <c r="E1186" t="inlineStr">
        <is>
          <t>SOLLEFTEÅ</t>
        </is>
      </c>
      <c r="F1186" t="inlineStr">
        <is>
          <t>SCA</t>
        </is>
      </c>
      <c r="G1186" t="n">
        <v>31.8</v>
      </c>
      <c r="H1186" t="n">
        <v>0</v>
      </c>
      <c r="I1186" t="n">
        <v>0</v>
      </c>
      <c r="J1186" t="n">
        <v>0</v>
      </c>
      <c r="K1186" t="n">
        <v>0</v>
      </c>
      <c r="L1186" t="n">
        <v>0</v>
      </c>
      <c r="M1186" t="n">
        <v>0</v>
      </c>
      <c r="N1186" t="n">
        <v>0</v>
      </c>
      <c r="O1186" t="n">
        <v>0</v>
      </c>
      <c r="P1186" t="n">
        <v>0</v>
      </c>
      <c r="Q1186" t="n">
        <v>0</v>
      </c>
      <c r="R1186" s="2" t="inlineStr"/>
    </row>
    <row r="1187" ht="15" customHeight="1">
      <c r="A1187" t="inlineStr">
        <is>
          <t>A 14450-2022</t>
        </is>
      </c>
      <c r="B1187" s="1" t="n">
        <v>44653</v>
      </c>
      <c r="C1187" s="1" t="n">
        <v>45346</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14447-2022</t>
        </is>
      </c>
      <c r="B1188" s="1" t="n">
        <v>44653</v>
      </c>
      <c r="C1188" s="1" t="n">
        <v>45346</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14477-2022</t>
        </is>
      </c>
      <c r="B1189" s="1" t="n">
        <v>44655</v>
      </c>
      <c r="C1189" s="1" t="n">
        <v>45346</v>
      </c>
      <c r="D1189" t="inlineStr">
        <is>
          <t>VÄSTERNORRLANDS LÄN</t>
        </is>
      </c>
      <c r="E1189" t="inlineStr">
        <is>
          <t>SOLLEFTEÅ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14910-2022</t>
        </is>
      </c>
      <c r="B1190" s="1" t="n">
        <v>44657</v>
      </c>
      <c r="C1190" s="1" t="n">
        <v>45346</v>
      </c>
      <c r="D1190" t="inlineStr">
        <is>
          <t>VÄSTERNORRLANDS LÄN</t>
        </is>
      </c>
      <c r="E1190" t="inlineStr">
        <is>
          <t>SOLLEFTEÅ</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15090-2022</t>
        </is>
      </c>
      <c r="B1191" s="1" t="n">
        <v>44658</v>
      </c>
      <c r="C1191" s="1" t="n">
        <v>45346</v>
      </c>
      <c r="D1191" t="inlineStr">
        <is>
          <t>VÄSTERNORRLANDS LÄN</t>
        </is>
      </c>
      <c r="E1191" t="inlineStr">
        <is>
          <t>SOLLEFTEÅ</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15241-2022</t>
        </is>
      </c>
      <c r="B1192" s="1" t="n">
        <v>44659</v>
      </c>
      <c r="C1192" s="1" t="n">
        <v>45346</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15234-2022</t>
        </is>
      </c>
      <c r="B1193" s="1" t="n">
        <v>44659</v>
      </c>
      <c r="C1193" s="1" t="n">
        <v>45346</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15658-2022</t>
        </is>
      </c>
      <c r="B1194" s="1" t="n">
        <v>44663</v>
      </c>
      <c r="C1194" s="1" t="n">
        <v>45346</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15809-2022</t>
        </is>
      </c>
      <c r="B1195" s="1" t="n">
        <v>44663</v>
      </c>
      <c r="C1195" s="1" t="n">
        <v>45346</v>
      </c>
      <c r="D1195" t="inlineStr">
        <is>
          <t>VÄSTERNORRLANDS LÄN</t>
        </is>
      </c>
      <c r="E1195" t="inlineStr">
        <is>
          <t>SOLLEFTEÅ</t>
        </is>
      </c>
      <c r="F1195" t="inlineStr">
        <is>
          <t>SCA</t>
        </is>
      </c>
      <c r="G1195" t="n">
        <v>16.3</v>
      </c>
      <c r="H1195" t="n">
        <v>0</v>
      </c>
      <c r="I1195" t="n">
        <v>0</v>
      </c>
      <c r="J1195" t="n">
        <v>0</v>
      </c>
      <c r="K1195" t="n">
        <v>0</v>
      </c>
      <c r="L1195" t="n">
        <v>0</v>
      </c>
      <c r="M1195" t="n">
        <v>0</v>
      </c>
      <c r="N1195" t="n">
        <v>0</v>
      </c>
      <c r="O1195" t="n">
        <v>0</v>
      </c>
      <c r="P1195" t="n">
        <v>0</v>
      </c>
      <c r="Q1195" t="n">
        <v>0</v>
      </c>
      <c r="R1195" s="2" t="inlineStr"/>
    </row>
    <row r="1196" ht="15" customHeight="1">
      <c r="A1196" t="inlineStr">
        <is>
          <t>A 15964-2022</t>
        </is>
      </c>
      <c r="B1196" s="1" t="n">
        <v>44665</v>
      </c>
      <c r="C1196" s="1" t="n">
        <v>45346</v>
      </c>
      <c r="D1196" t="inlineStr">
        <is>
          <t>VÄSTERNORRLANDS LÄN</t>
        </is>
      </c>
      <c r="E1196" t="inlineStr">
        <is>
          <t>SOLLEFTEÅ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15974-2022</t>
        </is>
      </c>
      <c r="B1197" s="1" t="n">
        <v>44665</v>
      </c>
      <c r="C1197" s="1" t="n">
        <v>45346</v>
      </c>
      <c r="D1197" t="inlineStr">
        <is>
          <t>VÄSTERNORRLANDS LÄN</t>
        </is>
      </c>
      <c r="E1197" t="inlineStr">
        <is>
          <t>SOLLEFTEÅ</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16088-2022</t>
        </is>
      </c>
      <c r="B1198" s="1" t="n">
        <v>44665</v>
      </c>
      <c r="C1198" s="1" t="n">
        <v>45346</v>
      </c>
      <c r="D1198" t="inlineStr">
        <is>
          <t>VÄSTERNORRLANDS LÄN</t>
        </is>
      </c>
      <c r="E1198" t="inlineStr">
        <is>
          <t>SOLLEFTEÅ</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16000-2022</t>
        </is>
      </c>
      <c r="B1199" s="1" t="n">
        <v>44665</v>
      </c>
      <c r="C1199" s="1" t="n">
        <v>45346</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16083-2022</t>
        </is>
      </c>
      <c r="B1200" s="1" t="n">
        <v>44665</v>
      </c>
      <c r="C1200" s="1" t="n">
        <v>45346</v>
      </c>
      <c r="D1200" t="inlineStr">
        <is>
          <t>VÄSTERNORRLANDS LÄN</t>
        </is>
      </c>
      <c r="E1200" t="inlineStr">
        <is>
          <t>SOLLEFTEÅ</t>
        </is>
      </c>
      <c r="F1200" t="inlineStr">
        <is>
          <t>Holmen skog AB</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16093-2022</t>
        </is>
      </c>
      <c r="B1201" s="1" t="n">
        <v>44665</v>
      </c>
      <c r="C1201" s="1" t="n">
        <v>45346</v>
      </c>
      <c r="D1201" t="inlineStr">
        <is>
          <t>VÄSTERNORRLANDS LÄN</t>
        </is>
      </c>
      <c r="E1201" t="inlineStr">
        <is>
          <t>SOLLEFTEÅ</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16365-2022</t>
        </is>
      </c>
      <c r="B1202" s="1" t="n">
        <v>44671</v>
      </c>
      <c r="C1202" s="1" t="n">
        <v>45346</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16419-2022</t>
        </is>
      </c>
      <c r="B1203" s="1" t="n">
        <v>44671</v>
      </c>
      <c r="C1203" s="1" t="n">
        <v>45346</v>
      </c>
      <c r="D1203" t="inlineStr">
        <is>
          <t>VÄSTERNORRLANDS LÄN</t>
        </is>
      </c>
      <c r="E1203" t="inlineStr">
        <is>
          <t>SOLLEFTEÅ</t>
        </is>
      </c>
      <c r="F1203" t="inlineStr">
        <is>
          <t>Kommuner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16521-2022</t>
        </is>
      </c>
      <c r="B1204" s="1" t="n">
        <v>44671</v>
      </c>
      <c r="C1204" s="1" t="n">
        <v>45346</v>
      </c>
      <c r="D1204" t="inlineStr">
        <is>
          <t>VÄSTERNORRLANDS LÄN</t>
        </is>
      </c>
      <c r="E1204" t="inlineStr">
        <is>
          <t>SOLLEFTEÅ</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16675-2022</t>
        </is>
      </c>
      <c r="B1205" s="1" t="n">
        <v>44672</v>
      </c>
      <c r="C1205" s="1" t="n">
        <v>45346</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16611-2022</t>
        </is>
      </c>
      <c r="B1206" s="1" t="n">
        <v>44672</v>
      </c>
      <c r="C1206" s="1" t="n">
        <v>45346</v>
      </c>
      <c r="D1206" t="inlineStr">
        <is>
          <t>VÄSTERNORRLANDS LÄN</t>
        </is>
      </c>
      <c r="E1206" t="inlineStr">
        <is>
          <t>SOLLEFTEÅ</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16670-2022</t>
        </is>
      </c>
      <c r="B1207" s="1" t="n">
        <v>44673</v>
      </c>
      <c r="C1207" s="1" t="n">
        <v>45346</v>
      </c>
      <c r="D1207" t="inlineStr">
        <is>
          <t>VÄSTERNORRLANDS LÄN</t>
        </is>
      </c>
      <c r="E1207" t="inlineStr">
        <is>
          <t>SOLLEFTEÅ</t>
        </is>
      </c>
      <c r="F1207" t="inlineStr">
        <is>
          <t>SCA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17045-2022</t>
        </is>
      </c>
      <c r="B1208" s="1" t="n">
        <v>44676</v>
      </c>
      <c r="C1208" s="1" t="n">
        <v>45346</v>
      </c>
      <c r="D1208" t="inlineStr">
        <is>
          <t>VÄSTERNORRLANDS LÄN</t>
        </is>
      </c>
      <c r="E1208" t="inlineStr">
        <is>
          <t>SOLLEFTEÅ</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17049-2022</t>
        </is>
      </c>
      <c r="B1209" s="1" t="n">
        <v>44676</v>
      </c>
      <c r="C1209" s="1" t="n">
        <v>45346</v>
      </c>
      <c r="D1209" t="inlineStr">
        <is>
          <t>VÄSTERNORRLANDS LÄN</t>
        </is>
      </c>
      <c r="E1209" t="inlineStr">
        <is>
          <t>SOLLEFTEÅ</t>
        </is>
      </c>
      <c r="F1209" t="inlineStr">
        <is>
          <t>SCA</t>
        </is>
      </c>
      <c r="G1209" t="n">
        <v>2.6</v>
      </c>
      <c r="H1209" t="n">
        <v>0</v>
      </c>
      <c r="I1209" t="n">
        <v>0</v>
      </c>
      <c r="J1209" t="n">
        <v>0</v>
      </c>
      <c r="K1209" t="n">
        <v>0</v>
      </c>
      <c r="L1209" t="n">
        <v>0</v>
      </c>
      <c r="M1209" t="n">
        <v>0</v>
      </c>
      <c r="N1209" t="n">
        <v>0</v>
      </c>
      <c r="O1209" t="n">
        <v>0</v>
      </c>
      <c r="P1209" t="n">
        <v>0</v>
      </c>
      <c r="Q1209" t="n">
        <v>0</v>
      </c>
      <c r="R1209" s="2" t="inlineStr"/>
      <c r="U1209">
        <f>HYPERLINK("https://klasma.github.io/Logging_2283/knärot/A 17049-2022 karta knärot.png", "A 17049-2022")</f>
        <v/>
      </c>
      <c r="V1209">
        <f>HYPERLINK("https://klasma.github.io/Logging_2283/klagomål/A 17049-2022 FSC-klagomål.docx", "A 17049-2022")</f>
        <v/>
      </c>
      <c r="W1209">
        <f>HYPERLINK("https://klasma.github.io/Logging_2283/klagomålsmail/A 17049-2022 FSC-klagomål mail.docx", "A 17049-2022")</f>
        <v/>
      </c>
      <c r="X1209">
        <f>HYPERLINK("https://klasma.github.io/Logging_2283/tillsyn/A 17049-2022 tillsynsbegäran.docx", "A 17049-2022")</f>
        <v/>
      </c>
      <c r="Y1209">
        <f>HYPERLINK("https://klasma.github.io/Logging_2283/tillsynsmail/A 17049-2022 tillsynsbegäran mail.docx", "A 17049-2022")</f>
        <v/>
      </c>
    </row>
    <row r="1210" ht="15" customHeight="1">
      <c r="A1210" t="inlineStr">
        <is>
          <t>A 17344-2022</t>
        </is>
      </c>
      <c r="B1210" s="1" t="n">
        <v>44678</v>
      </c>
      <c r="C1210" s="1" t="n">
        <v>45346</v>
      </c>
      <c r="D1210" t="inlineStr">
        <is>
          <t>VÄSTERNORRLANDS LÄN</t>
        </is>
      </c>
      <c r="E1210" t="inlineStr">
        <is>
          <t>SOLLEFTEÅ</t>
        </is>
      </c>
      <c r="G1210" t="n">
        <v>34.2</v>
      </c>
      <c r="H1210" t="n">
        <v>0</v>
      </c>
      <c r="I1210" t="n">
        <v>0</v>
      </c>
      <c r="J1210" t="n">
        <v>0</v>
      </c>
      <c r="K1210" t="n">
        <v>0</v>
      </c>
      <c r="L1210" t="n">
        <v>0</v>
      </c>
      <c r="M1210" t="n">
        <v>0</v>
      </c>
      <c r="N1210" t="n">
        <v>0</v>
      </c>
      <c r="O1210" t="n">
        <v>0</v>
      </c>
      <c r="P1210" t="n">
        <v>0</v>
      </c>
      <c r="Q1210" t="n">
        <v>0</v>
      </c>
      <c r="R1210" s="2" t="inlineStr"/>
    </row>
    <row r="1211" ht="15" customHeight="1">
      <c r="A1211" t="inlineStr">
        <is>
          <t>A 17995-2022</t>
        </is>
      </c>
      <c r="B1211" s="1" t="n">
        <v>44684</v>
      </c>
      <c r="C1211" s="1" t="n">
        <v>45346</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18000-2022</t>
        </is>
      </c>
      <c r="B1212" s="1" t="n">
        <v>44684</v>
      </c>
      <c r="C1212" s="1" t="n">
        <v>45346</v>
      </c>
      <c r="D1212" t="inlineStr">
        <is>
          <t>VÄSTERNORRLANDS LÄN</t>
        </is>
      </c>
      <c r="E1212" t="inlineStr">
        <is>
          <t>SOLLEFTEÅ</t>
        </is>
      </c>
      <c r="F1212" t="inlineStr">
        <is>
          <t>SCA</t>
        </is>
      </c>
      <c r="G1212" t="n">
        <v>14.4</v>
      </c>
      <c r="H1212" t="n">
        <v>0</v>
      </c>
      <c r="I1212" t="n">
        <v>0</v>
      </c>
      <c r="J1212" t="n">
        <v>0</v>
      </c>
      <c r="K1212" t="n">
        <v>0</v>
      </c>
      <c r="L1212" t="n">
        <v>0</v>
      </c>
      <c r="M1212" t="n">
        <v>0</v>
      </c>
      <c r="N1212" t="n">
        <v>0</v>
      </c>
      <c r="O1212" t="n">
        <v>0</v>
      </c>
      <c r="P1212" t="n">
        <v>0</v>
      </c>
      <c r="Q1212" t="n">
        <v>0</v>
      </c>
      <c r="R1212" s="2" t="inlineStr"/>
    </row>
    <row r="1213" ht="15" customHeight="1">
      <c r="A1213" t="inlineStr">
        <is>
          <t>A 18011-2022</t>
        </is>
      </c>
      <c r="B1213" s="1" t="n">
        <v>44683</v>
      </c>
      <c r="C1213" s="1" t="n">
        <v>45346</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18015-2022</t>
        </is>
      </c>
      <c r="B1214" s="1" t="n">
        <v>44684</v>
      </c>
      <c r="C1214" s="1" t="n">
        <v>45346</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18016-2022</t>
        </is>
      </c>
      <c r="B1215" s="1" t="n">
        <v>44684</v>
      </c>
      <c r="C1215" s="1" t="n">
        <v>45346</v>
      </c>
      <c r="D1215" t="inlineStr">
        <is>
          <t>VÄSTERNORRLANDS LÄN</t>
        </is>
      </c>
      <c r="E1215" t="inlineStr">
        <is>
          <t>SOLLEFTEÅ</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17999-2022</t>
        </is>
      </c>
      <c r="B1216" s="1" t="n">
        <v>44683</v>
      </c>
      <c r="C1216" s="1" t="n">
        <v>45346</v>
      </c>
      <c r="D1216" t="inlineStr">
        <is>
          <t>VÄSTERNORRLANDS LÄN</t>
        </is>
      </c>
      <c r="E1216" t="inlineStr">
        <is>
          <t>SOLLEFTEÅ</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18013-2022</t>
        </is>
      </c>
      <c r="B1217" s="1" t="n">
        <v>44684</v>
      </c>
      <c r="C1217" s="1" t="n">
        <v>45346</v>
      </c>
      <c r="D1217" t="inlineStr">
        <is>
          <t>VÄSTERNORRLANDS LÄN</t>
        </is>
      </c>
      <c r="E1217" t="inlineStr">
        <is>
          <t>SOLLEFTEÅ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18017-2022</t>
        </is>
      </c>
      <c r="B1218" s="1" t="n">
        <v>44683</v>
      </c>
      <c r="C1218" s="1" t="n">
        <v>45346</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18019-2022</t>
        </is>
      </c>
      <c r="B1219" s="1" t="n">
        <v>44684</v>
      </c>
      <c r="C1219" s="1" t="n">
        <v>45346</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18187-2022</t>
        </is>
      </c>
      <c r="B1220" s="1" t="n">
        <v>44684</v>
      </c>
      <c r="C1220" s="1" t="n">
        <v>45346</v>
      </c>
      <c r="D1220" t="inlineStr">
        <is>
          <t>VÄSTERNORRLANDS LÄN</t>
        </is>
      </c>
      <c r="E1220" t="inlineStr">
        <is>
          <t>SOLLEFTEÅ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18190-2022</t>
        </is>
      </c>
      <c r="B1221" s="1" t="n">
        <v>44685</v>
      </c>
      <c r="C1221" s="1" t="n">
        <v>45346</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18197-2022</t>
        </is>
      </c>
      <c r="B1222" s="1" t="n">
        <v>44684</v>
      </c>
      <c r="C1222" s="1" t="n">
        <v>45346</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18188-2022</t>
        </is>
      </c>
      <c r="B1223" s="1" t="n">
        <v>44685</v>
      </c>
      <c r="C1223" s="1" t="n">
        <v>45346</v>
      </c>
      <c r="D1223" t="inlineStr">
        <is>
          <t>VÄSTERNORRLANDS LÄN</t>
        </is>
      </c>
      <c r="E1223" t="inlineStr">
        <is>
          <t>SOLLEFTEÅ</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18196-2022</t>
        </is>
      </c>
      <c r="B1224" s="1" t="n">
        <v>44685</v>
      </c>
      <c r="C1224" s="1" t="n">
        <v>45346</v>
      </c>
      <c r="D1224" t="inlineStr">
        <is>
          <t>VÄSTERNORRLANDS LÄN</t>
        </is>
      </c>
      <c r="E1224" t="inlineStr">
        <is>
          <t>SOLLEFTEÅ</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18202-2022</t>
        </is>
      </c>
      <c r="B1225" s="1" t="n">
        <v>44684</v>
      </c>
      <c r="C1225" s="1" t="n">
        <v>45346</v>
      </c>
      <c r="D1225" t="inlineStr">
        <is>
          <t>VÄSTERNORRLANDS LÄN</t>
        </is>
      </c>
      <c r="E1225" t="inlineStr">
        <is>
          <t>SOLLEFTEÅ</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18304-2022</t>
        </is>
      </c>
      <c r="B1226" s="1" t="n">
        <v>44685</v>
      </c>
      <c r="C1226" s="1" t="n">
        <v>45346</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18372-2022</t>
        </is>
      </c>
      <c r="B1227" s="1" t="n">
        <v>44685</v>
      </c>
      <c r="C1227" s="1" t="n">
        <v>45346</v>
      </c>
      <c r="D1227" t="inlineStr">
        <is>
          <t>VÄSTERNORRLANDS LÄN</t>
        </is>
      </c>
      <c r="E1227" t="inlineStr">
        <is>
          <t>SOLLEFTEÅ</t>
        </is>
      </c>
      <c r="F1227" t="inlineStr">
        <is>
          <t>SCA</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18570-2022</t>
        </is>
      </c>
      <c r="B1228" s="1" t="n">
        <v>44687</v>
      </c>
      <c r="C1228" s="1" t="n">
        <v>45346</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18852-2022</t>
        </is>
      </c>
      <c r="B1229" s="1" t="n">
        <v>44690</v>
      </c>
      <c r="C1229" s="1" t="n">
        <v>45346</v>
      </c>
      <c r="D1229" t="inlineStr">
        <is>
          <t>VÄSTERNORRLANDS LÄN</t>
        </is>
      </c>
      <c r="E1229" t="inlineStr">
        <is>
          <t>SOLLEFTEÅ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19055-2022</t>
        </is>
      </c>
      <c r="B1230" s="1" t="n">
        <v>44691</v>
      </c>
      <c r="C1230" s="1" t="n">
        <v>45346</v>
      </c>
      <c r="D1230" t="inlineStr">
        <is>
          <t>VÄSTERNORRLANDS LÄN</t>
        </is>
      </c>
      <c r="E1230" t="inlineStr">
        <is>
          <t>SOLLEFTEÅ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19051-2022</t>
        </is>
      </c>
      <c r="B1231" s="1" t="n">
        <v>44691</v>
      </c>
      <c r="C1231" s="1" t="n">
        <v>45346</v>
      </c>
      <c r="D1231" t="inlineStr">
        <is>
          <t>VÄSTERNORRLANDS LÄN</t>
        </is>
      </c>
      <c r="E1231" t="inlineStr">
        <is>
          <t>SOLLEFTEÅ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19053-2022</t>
        </is>
      </c>
      <c r="B1232" s="1" t="n">
        <v>44691</v>
      </c>
      <c r="C1232" s="1" t="n">
        <v>45346</v>
      </c>
      <c r="D1232" t="inlineStr">
        <is>
          <t>VÄSTERNORRLANDS LÄN</t>
        </is>
      </c>
      <c r="E1232" t="inlineStr">
        <is>
          <t>SOLLEFTEÅ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19203-2022</t>
        </is>
      </c>
      <c r="B1233" s="1" t="n">
        <v>44692</v>
      </c>
      <c r="C1233" s="1" t="n">
        <v>45346</v>
      </c>
      <c r="D1233" t="inlineStr">
        <is>
          <t>VÄSTERNORRLANDS LÄN</t>
        </is>
      </c>
      <c r="E1233" t="inlineStr">
        <is>
          <t>SOLLEFTEÅ</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19208-2022</t>
        </is>
      </c>
      <c r="B1234" s="1" t="n">
        <v>44691</v>
      </c>
      <c r="C1234" s="1" t="n">
        <v>45346</v>
      </c>
      <c r="D1234" t="inlineStr">
        <is>
          <t>VÄSTERNORRLANDS LÄN</t>
        </is>
      </c>
      <c r="E1234" t="inlineStr">
        <is>
          <t>SOLLEFTEÅ</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19295-2022</t>
        </is>
      </c>
      <c r="B1235" s="1" t="n">
        <v>44692</v>
      </c>
      <c r="C1235" s="1" t="n">
        <v>45346</v>
      </c>
      <c r="D1235" t="inlineStr">
        <is>
          <t>VÄSTERNORRLANDS LÄN</t>
        </is>
      </c>
      <c r="E1235" t="inlineStr">
        <is>
          <t>SOLLEFTEÅ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19414-2022</t>
        </is>
      </c>
      <c r="B1236" s="1" t="n">
        <v>44693</v>
      </c>
      <c r="C1236" s="1" t="n">
        <v>45346</v>
      </c>
      <c r="D1236" t="inlineStr">
        <is>
          <t>VÄSTERNORRLANDS LÄN</t>
        </is>
      </c>
      <c r="E1236" t="inlineStr">
        <is>
          <t>SOLLEFTEÅ</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19416-2022</t>
        </is>
      </c>
      <c r="B1237" s="1" t="n">
        <v>44693</v>
      </c>
      <c r="C1237" s="1" t="n">
        <v>45346</v>
      </c>
      <c r="D1237" t="inlineStr">
        <is>
          <t>VÄSTERNORRLANDS LÄN</t>
        </is>
      </c>
      <c r="E1237" t="inlineStr">
        <is>
          <t>SOLLEFTEÅ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19508-2022</t>
        </is>
      </c>
      <c r="B1238" s="1" t="n">
        <v>44693</v>
      </c>
      <c r="C1238" s="1" t="n">
        <v>45346</v>
      </c>
      <c r="D1238" t="inlineStr">
        <is>
          <t>VÄSTERNORRLANDS LÄN</t>
        </is>
      </c>
      <c r="E1238" t="inlineStr">
        <is>
          <t>SOLLEFTEÅ</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19585-2022</t>
        </is>
      </c>
      <c r="B1239" s="1" t="n">
        <v>44693</v>
      </c>
      <c r="C1239" s="1" t="n">
        <v>45346</v>
      </c>
      <c r="D1239" t="inlineStr">
        <is>
          <t>VÄSTERNORRLANDS LÄN</t>
        </is>
      </c>
      <c r="E1239" t="inlineStr">
        <is>
          <t>SOLLEFTEÅ</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19583-2022</t>
        </is>
      </c>
      <c r="B1240" s="1" t="n">
        <v>44693</v>
      </c>
      <c r="C1240" s="1" t="n">
        <v>45346</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19593-2022</t>
        </is>
      </c>
      <c r="B1241" s="1" t="n">
        <v>44694</v>
      </c>
      <c r="C1241" s="1" t="n">
        <v>45346</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19588-2022</t>
        </is>
      </c>
      <c r="B1242" s="1" t="n">
        <v>44694</v>
      </c>
      <c r="C1242" s="1" t="n">
        <v>45346</v>
      </c>
      <c r="D1242" t="inlineStr">
        <is>
          <t>VÄSTERNORRLANDS LÄN</t>
        </is>
      </c>
      <c r="E1242" t="inlineStr">
        <is>
          <t>SOLLEFTEÅ</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19595-2022</t>
        </is>
      </c>
      <c r="B1243" s="1" t="n">
        <v>44693</v>
      </c>
      <c r="C1243" s="1" t="n">
        <v>45346</v>
      </c>
      <c r="D1243" t="inlineStr">
        <is>
          <t>VÄSTERNORRLANDS LÄN</t>
        </is>
      </c>
      <c r="E1243" t="inlineStr">
        <is>
          <t>SOLLEFTEÅ</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19594-2022</t>
        </is>
      </c>
      <c r="B1244" s="1" t="n">
        <v>44694</v>
      </c>
      <c r="C1244" s="1" t="n">
        <v>45346</v>
      </c>
      <c r="D1244" t="inlineStr">
        <is>
          <t>VÄSTERNORRLANDS LÄN</t>
        </is>
      </c>
      <c r="E1244" t="inlineStr">
        <is>
          <t>SOLLEFTEÅ</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19825-2022</t>
        </is>
      </c>
      <c r="B1245" s="1" t="n">
        <v>44695</v>
      </c>
      <c r="C1245" s="1" t="n">
        <v>45346</v>
      </c>
      <c r="D1245" t="inlineStr">
        <is>
          <t>VÄSTERNORRLANDS LÄN</t>
        </is>
      </c>
      <c r="E1245" t="inlineStr">
        <is>
          <t>SOLLEFTEÅ</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19813-2022</t>
        </is>
      </c>
      <c r="B1246" s="1" t="n">
        <v>44695</v>
      </c>
      <c r="C1246" s="1" t="n">
        <v>45346</v>
      </c>
      <c r="D1246" t="inlineStr">
        <is>
          <t>VÄSTERNORRLANDS LÄN</t>
        </is>
      </c>
      <c r="E1246" t="inlineStr">
        <is>
          <t>SOLLEFTEÅ</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19814-2022</t>
        </is>
      </c>
      <c r="B1247" s="1" t="n">
        <v>44695</v>
      </c>
      <c r="C1247" s="1" t="n">
        <v>45346</v>
      </c>
      <c r="D1247" t="inlineStr">
        <is>
          <t>VÄSTERNORRLANDS LÄN</t>
        </is>
      </c>
      <c r="E1247" t="inlineStr">
        <is>
          <t>SOLLEFTEÅ</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20061-2022</t>
        </is>
      </c>
      <c r="B1248" s="1" t="n">
        <v>44698</v>
      </c>
      <c r="C1248" s="1" t="n">
        <v>45346</v>
      </c>
      <c r="D1248" t="inlineStr">
        <is>
          <t>VÄSTERNORRLANDS LÄN</t>
        </is>
      </c>
      <c r="E1248" t="inlineStr">
        <is>
          <t>SOLLEFTEÅ</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20062-2022</t>
        </is>
      </c>
      <c r="B1249" s="1" t="n">
        <v>44697</v>
      </c>
      <c r="C1249" s="1" t="n">
        <v>45346</v>
      </c>
      <c r="D1249" t="inlineStr">
        <is>
          <t>VÄSTERNORRLANDS LÄN</t>
        </is>
      </c>
      <c r="E1249" t="inlineStr">
        <is>
          <t>SOLLEFTEÅ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20296-2022</t>
        </is>
      </c>
      <c r="B1250" s="1" t="n">
        <v>44698</v>
      </c>
      <c r="C1250" s="1" t="n">
        <v>45346</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20551-2022</t>
        </is>
      </c>
      <c r="B1251" s="1" t="n">
        <v>44699</v>
      </c>
      <c r="C1251" s="1" t="n">
        <v>45346</v>
      </c>
      <c r="D1251" t="inlineStr">
        <is>
          <t>VÄSTERNORRLANDS LÄN</t>
        </is>
      </c>
      <c r="E1251" t="inlineStr">
        <is>
          <t>SOLLEFTEÅ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20699-2022</t>
        </is>
      </c>
      <c r="B1252" s="1" t="n">
        <v>44701</v>
      </c>
      <c r="C1252" s="1" t="n">
        <v>45346</v>
      </c>
      <c r="D1252" t="inlineStr">
        <is>
          <t>VÄSTERNORRLANDS LÄN</t>
        </is>
      </c>
      <c r="E1252" t="inlineStr">
        <is>
          <t>SOLLEFTEÅ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20704-2022</t>
        </is>
      </c>
      <c r="B1253" s="1" t="n">
        <v>44700</v>
      </c>
      <c r="C1253" s="1" t="n">
        <v>45346</v>
      </c>
      <c r="D1253" t="inlineStr">
        <is>
          <t>VÄSTERNORRLANDS LÄN</t>
        </is>
      </c>
      <c r="E1253" t="inlineStr">
        <is>
          <t>SOLLEFTEÅ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20702-2022</t>
        </is>
      </c>
      <c r="B1254" s="1" t="n">
        <v>44701</v>
      </c>
      <c r="C1254" s="1" t="n">
        <v>45346</v>
      </c>
      <c r="D1254" t="inlineStr">
        <is>
          <t>VÄSTERNORRLANDS LÄN</t>
        </is>
      </c>
      <c r="E1254" t="inlineStr">
        <is>
          <t>SOLLEFTEÅ</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20703-2022</t>
        </is>
      </c>
      <c r="B1255" s="1" t="n">
        <v>44701</v>
      </c>
      <c r="C1255" s="1" t="n">
        <v>45346</v>
      </c>
      <c r="D1255" t="inlineStr">
        <is>
          <t>VÄSTERNORRLANDS LÄN</t>
        </is>
      </c>
      <c r="E1255" t="inlineStr">
        <is>
          <t>SOLLEFTEÅ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20724-2022</t>
        </is>
      </c>
      <c r="B1256" s="1" t="n">
        <v>44700</v>
      </c>
      <c r="C1256" s="1" t="n">
        <v>45346</v>
      </c>
      <c r="D1256" t="inlineStr">
        <is>
          <t>VÄSTERNORRLANDS LÄN</t>
        </is>
      </c>
      <c r="E1256" t="inlineStr">
        <is>
          <t>SOLLEFTEÅ</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20738-2022</t>
        </is>
      </c>
      <c r="B1257" s="1" t="n">
        <v>44700</v>
      </c>
      <c r="C1257" s="1" t="n">
        <v>45346</v>
      </c>
      <c r="D1257" t="inlineStr">
        <is>
          <t>VÄSTERNORRLANDS LÄN</t>
        </is>
      </c>
      <c r="E1257" t="inlineStr">
        <is>
          <t>SOLLEFTEÅ</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20955-2022</t>
        </is>
      </c>
      <c r="B1258" s="1" t="n">
        <v>44702</v>
      </c>
      <c r="C1258" s="1" t="n">
        <v>45346</v>
      </c>
      <c r="D1258" t="inlineStr">
        <is>
          <t>VÄSTERNORRLANDS LÄN</t>
        </is>
      </c>
      <c r="E1258" t="inlineStr">
        <is>
          <t>SOLLEFTEÅ</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20950-2022</t>
        </is>
      </c>
      <c r="B1259" s="1" t="n">
        <v>44701</v>
      </c>
      <c r="C1259" s="1" t="n">
        <v>45346</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20954-2022</t>
        </is>
      </c>
      <c r="B1260" s="1" t="n">
        <v>44702</v>
      </c>
      <c r="C1260" s="1" t="n">
        <v>45346</v>
      </c>
      <c r="D1260" t="inlineStr">
        <is>
          <t>VÄSTERNORRLANDS LÄN</t>
        </is>
      </c>
      <c r="E1260" t="inlineStr">
        <is>
          <t>SOLLEFTEÅ</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20951-2022</t>
        </is>
      </c>
      <c r="B1261" s="1" t="n">
        <v>44701</v>
      </c>
      <c r="C1261" s="1" t="n">
        <v>45346</v>
      </c>
      <c r="D1261" t="inlineStr">
        <is>
          <t>VÄSTERNORRLANDS LÄN</t>
        </is>
      </c>
      <c r="E1261" t="inlineStr">
        <is>
          <t>SOLLEFTEÅ</t>
        </is>
      </c>
      <c r="F1261" t="inlineStr">
        <is>
          <t>SCA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20942-2022</t>
        </is>
      </c>
      <c r="B1262" s="1" t="n">
        <v>44701</v>
      </c>
      <c r="C1262" s="1" t="n">
        <v>45346</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20996-2022</t>
        </is>
      </c>
      <c r="B1263" s="1" t="n">
        <v>44703</v>
      </c>
      <c r="C1263" s="1" t="n">
        <v>45346</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20994-2022</t>
        </is>
      </c>
      <c r="B1264" s="1" t="n">
        <v>44703</v>
      </c>
      <c r="C1264" s="1" t="n">
        <v>45346</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21050-2022</t>
        </is>
      </c>
      <c r="B1265" s="1" t="n">
        <v>44704</v>
      </c>
      <c r="C1265" s="1" t="n">
        <v>45346</v>
      </c>
      <c r="D1265" t="inlineStr">
        <is>
          <t>VÄSTERNORRLANDS LÄN</t>
        </is>
      </c>
      <c r="E1265" t="inlineStr">
        <is>
          <t>SOLLEFTEÅ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21191-2022</t>
        </is>
      </c>
      <c r="B1266" s="1" t="n">
        <v>44705</v>
      </c>
      <c r="C1266" s="1" t="n">
        <v>45346</v>
      </c>
      <c r="D1266" t="inlineStr">
        <is>
          <t>VÄSTERNORRLANDS LÄN</t>
        </is>
      </c>
      <c r="E1266" t="inlineStr">
        <is>
          <t>SOLLEFTEÅ</t>
        </is>
      </c>
      <c r="F1266" t="inlineStr">
        <is>
          <t>SCA</t>
        </is>
      </c>
      <c r="G1266" t="n">
        <v>26.5</v>
      </c>
      <c r="H1266" t="n">
        <v>0</v>
      </c>
      <c r="I1266" t="n">
        <v>0</v>
      </c>
      <c r="J1266" t="n">
        <v>0</v>
      </c>
      <c r="K1266" t="n">
        <v>0</v>
      </c>
      <c r="L1266" t="n">
        <v>0</v>
      </c>
      <c r="M1266" t="n">
        <v>0</v>
      </c>
      <c r="N1266" t="n">
        <v>0</v>
      </c>
      <c r="O1266" t="n">
        <v>0</v>
      </c>
      <c r="P1266" t="n">
        <v>0</v>
      </c>
      <c r="Q1266" t="n">
        <v>0</v>
      </c>
      <c r="R1266" s="2" t="inlineStr"/>
    </row>
    <row r="1267" ht="15" customHeight="1">
      <c r="A1267" t="inlineStr">
        <is>
          <t>A 21210-2022</t>
        </is>
      </c>
      <c r="B1267" s="1" t="n">
        <v>44705</v>
      </c>
      <c r="C1267" s="1" t="n">
        <v>45346</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21404-2022</t>
        </is>
      </c>
      <c r="B1268" s="1" t="n">
        <v>44706</v>
      </c>
      <c r="C1268" s="1" t="n">
        <v>45346</v>
      </c>
      <c r="D1268" t="inlineStr">
        <is>
          <t>VÄSTERNORRLANDS LÄN</t>
        </is>
      </c>
      <c r="E1268" t="inlineStr">
        <is>
          <t>SOLLEFTEÅ</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21582-2022</t>
        </is>
      </c>
      <c r="B1269" s="1" t="n">
        <v>44706</v>
      </c>
      <c r="C1269" s="1" t="n">
        <v>45346</v>
      </c>
      <c r="D1269" t="inlineStr">
        <is>
          <t>VÄSTERNORRLANDS LÄN</t>
        </is>
      </c>
      <c r="E1269" t="inlineStr">
        <is>
          <t>SOLLEFTEÅ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21637-2022</t>
        </is>
      </c>
      <c r="B1270" s="1" t="n">
        <v>44707</v>
      </c>
      <c r="C1270" s="1" t="n">
        <v>45346</v>
      </c>
      <c r="D1270" t="inlineStr">
        <is>
          <t>VÄSTERNORRLANDS LÄN</t>
        </is>
      </c>
      <c r="E1270" t="inlineStr">
        <is>
          <t>SOLLEFTEÅ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21636-2022</t>
        </is>
      </c>
      <c r="B1271" s="1" t="n">
        <v>44707</v>
      </c>
      <c r="C1271" s="1" t="n">
        <v>45346</v>
      </c>
      <c r="D1271" t="inlineStr">
        <is>
          <t>VÄSTERNORRLANDS LÄN</t>
        </is>
      </c>
      <c r="E1271" t="inlineStr">
        <is>
          <t>SOLLEFTEÅ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21635-2022</t>
        </is>
      </c>
      <c r="B1272" s="1" t="n">
        <v>44707</v>
      </c>
      <c r="C1272" s="1" t="n">
        <v>45346</v>
      </c>
      <c r="D1272" t="inlineStr">
        <is>
          <t>VÄSTERNORRLANDS LÄN</t>
        </is>
      </c>
      <c r="E1272" t="inlineStr">
        <is>
          <t>SOLLEFTEÅ</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21713-2022</t>
        </is>
      </c>
      <c r="B1273" s="1" t="n">
        <v>44708</v>
      </c>
      <c r="C1273" s="1" t="n">
        <v>45346</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21714-2022</t>
        </is>
      </c>
      <c r="B1274" s="1" t="n">
        <v>44708</v>
      </c>
      <c r="C1274" s="1" t="n">
        <v>45346</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21715-2022</t>
        </is>
      </c>
      <c r="B1275" s="1" t="n">
        <v>44708</v>
      </c>
      <c r="C1275" s="1" t="n">
        <v>45346</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21711-2022</t>
        </is>
      </c>
      <c r="B1276" s="1" t="n">
        <v>44707</v>
      </c>
      <c r="C1276" s="1" t="n">
        <v>45346</v>
      </c>
      <c r="D1276" t="inlineStr">
        <is>
          <t>VÄSTERNORRLANDS LÄN</t>
        </is>
      </c>
      <c r="E1276" t="inlineStr">
        <is>
          <t>SOLLEFTEÅ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21807-2022</t>
        </is>
      </c>
      <c r="B1277" s="1" t="n">
        <v>44708</v>
      </c>
      <c r="C1277" s="1" t="n">
        <v>45346</v>
      </c>
      <c r="D1277" t="inlineStr">
        <is>
          <t>VÄSTERNORRLANDS LÄN</t>
        </is>
      </c>
      <c r="E1277" t="inlineStr">
        <is>
          <t>SOLLEFTEÅ</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22101-2022</t>
        </is>
      </c>
      <c r="B1278" s="1" t="n">
        <v>44712</v>
      </c>
      <c r="C1278" s="1" t="n">
        <v>45346</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22087-2022</t>
        </is>
      </c>
      <c r="B1279" s="1" t="n">
        <v>44712</v>
      </c>
      <c r="C1279" s="1" t="n">
        <v>45346</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22103-2022</t>
        </is>
      </c>
      <c r="B1280" s="1" t="n">
        <v>44712</v>
      </c>
      <c r="C1280" s="1" t="n">
        <v>45346</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22323-2022</t>
        </is>
      </c>
      <c r="B1281" s="1" t="n">
        <v>44713</v>
      </c>
      <c r="C1281" s="1" t="n">
        <v>45346</v>
      </c>
      <c r="D1281" t="inlineStr">
        <is>
          <t>VÄSTERNORRLANDS LÄN</t>
        </is>
      </c>
      <c r="E1281" t="inlineStr">
        <is>
          <t>SOLLEFTEÅ</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22330-2022</t>
        </is>
      </c>
      <c r="B1282" s="1" t="n">
        <v>44712</v>
      </c>
      <c r="C1282" s="1" t="n">
        <v>45346</v>
      </c>
      <c r="D1282" t="inlineStr">
        <is>
          <t>VÄSTERNORRLANDS LÄN</t>
        </is>
      </c>
      <c r="E1282" t="inlineStr">
        <is>
          <t>SOLLEFTEÅ</t>
        </is>
      </c>
      <c r="F1282" t="inlineStr">
        <is>
          <t>SCA</t>
        </is>
      </c>
      <c r="G1282" t="n">
        <v>21.9</v>
      </c>
      <c r="H1282" t="n">
        <v>0</v>
      </c>
      <c r="I1282" t="n">
        <v>0</v>
      </c>
      <c r="J1282" t="n">
        <v>0</v>
      </c>
      <c r="K1282" t="n">
        <v>0</v>
      </c>
      <c r="L1282" t="n">
        <v>0</v>
      </c>
      <c r="M1282" t="n">
        <v>0</v>
      </c>
      <c r="N1282" t="n">
        <v>0</v>
      </c>
      <c r="O1282" t="n">
        <v>0</v>
      </c>
      <c r="P1282" t="n">
        <v>0</v>
      </c>
      <c r="Q1282" t="n">
        <v>0</v>
      </c>
      <c r="R1282" s="2" t="inlineStr"/>
    </row>
    <row r="1283" ht="15" customHeight="1">
      <c r="A1283" t="inlineStr">
        <is>
          <t>A 22341-2022</t>
        </is>
      </c>
      <c r="B1283" s="1" t="n">
        <v>44713</v>
      </c>
      <c r="C1283" s="1" t="n">
        <v>45346</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22342-2022</t>
        </is>
      </c>
      <c r="B1284" s="1" t="n">
        <v>44713</v>
      </c>
      <c r="C1284" s="1" t="n">
        <v>45346</v>
      </c>
      <c r="D1284" t="inlineStr">
        <is>
          <t>VÄSTERNORRLANDS LÄN</t>
        </is>
      </c>
      <c r="E1284" t="inlineStr">
        <is>
          <t>SOLLEFTEÅ</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22343-2022</t>
        </is>
      </c>
      <c r="B1285" s="1" t="n">
        <v>44713</v>
      </c>
      <c r="C1285" s="1" t="n">
        <v>45346</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22664-2022</t>
        </is>
      </c>
      <c r="B1286" s="1" t="n">
        <v>44714</v>
      </c>
      <c r="C1286" s="1" t="n">
        <v>45346</v>
      </c>
      <c r="D1286" t="inlineStr">
        <is>
          <t>VÄSTERNORRLANDS LÄN</t>
        </is>
      </c>
      <c r="E1286" t="inlineStr">
        <is>
          <t>SOLLEFTEÅ</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22762-2022</t>
        </is>
      </c>
      <c r="B1287" s="1" t="n">
        <v>44715</v>
      </c>
      <c r="C1287" s="1" t="n">
        <v>45346</v>
      </c>
      <c r="D1287" t="inlineStr">
        <is>
          <t>VÄSTERNORRLANDS LÄN</t>
        </is>
      </c>
      <c r="E1287" t="inlineStr">
        <is>
          <t>SOLLEFTEÅ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22956-2022</t>
        </is>
      </c>
      <c r="B1288" s="1" t="n">
        <v>44716</v>
      </c>
      <c r="C1288" s="1" t="n">
        <v>45346</v>
      </c>
      <c r="D1288" t="inlineStr">
        <is>
          <t>VÄSTERNORRLANDS LÄN</t>
        </is>
      </c>
      <c r="E1288" t="inlineStr">
        <is>
          <t>SOLLEFTEÅ</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22952-2022</t>
        </is>
      </c>
      <c r="B1289" s="1" t="n">
        <v>44716</v>
      </c>
      <c r="C1289" s="1" t="n">
        <v>45346</v>
      </c>
      <c r="D1289" t="inlineStr">
        <is>
          <t>VÄSTERNORRLANDS LÄN</t>
        </is>
      </c>
      <c r="E1289" t="inlineStr">
        <is>
          <t>SOLLEFTEÅ</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22962-2022</t>
        </is>
      </c>
      <c r="B1290" s="1" t="n">
        <v>44715</v>
      </c>
      <c r="C1290" s="1" t="n">
        <v>45346</v>
      </c>
      <c r="D1290" t="inlineStr">
        <is>
          <t>VÄSTERNORRLANDS LÄN</t>
        </is>
      </c>
      <c r="E1290" t="inlineStr">
        <is>
          <t>SOLLEFTEÅ</t>
        </is>
      </c>
      <c r="F1290" t="inlineStr">
        <is>
          <t>SCA</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23111-2022</t>
        </is>
      </c>
      <c r="B1291" s="1" t="n">
        <v>44720</v>
      </c>
      <c r="C1291" s="1" t="n">
        <v>45346</v>
      </c>
      <c r="D1291" t="inlineStr">
        <is>
          <t>VÄSTERNORRLANDS LÄN</t>
        </is>
      </c>
      <c r="E1291" t="inlineStr">
        <is>
          <t>SOLLEFTEÅ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23230-2022</t>
        </is>
      </c>
      <c r="B1292" s="1" t="n">
        <v>44720</v>
      </c>
      <c r="C1292" s="1" t="n">
        <v>45346</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23282-2022</t>
        </is>
      </c>
      <c r="B1293" s="1" t="n">
        <v>44720</v>
      </c>
      <c r="C1293" s="1" t="n">
        <v>45346</v>
      </c>
      <c r="D1293" t="inlineStr">
        <is>
          <t>VÄSTERNORRLANDS LÄN</t>
        </is>
      </c>
      <c r="E1293" t="inlineStr">
        <is>
          <t>SOLLEFTEÅ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23436-2022</t>
        </is>
      </c>
      <c r="B1294" s="1" t="n">
        <v>44720</v>
      </c>
      <c r="C1294" s="1" t="n">
        <v>45346</v>
      </c>
      <c r="D1294" t="inlineStr">
        <is>
          <t>VÄSTERNORRLANDS LÄN</t>
        </is>
      </c>
      <c r="E1294" t="inlineStr">
        <is>
          <t>SOLLEFTEÅ</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23445-2022</t>
        </is>
      </c>
      <c r="B1295" s="1" t="n">
        <v>44721</v>
      </c>
      <c r="C1295" s="1" t="n">
        <v>45346</v>
      </c>
      <c r="D1295" t="inlineStr">
        <is>
          <t>VÄSTERNORRLANDS LÄN</t>
        </is>
      </c>
      <c r="E1295" t="inlineStr">
        <is>
          <t>SOLLEFTEÅ</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23447-2022</t>
        </is>
      </c>
      <c r="B1296" s="1" t="n">
        <v>44721</v>
      </c>
      <c r="C1296" s="1" t="n">
        <v>45346</v>
      </c>
      <c r="D1296" t="inlineStr">
        <is>
          <t>VÄSTERNORRLANDS LÄN</t>
        </is>
      </c>
      <c r="E1296" t="inlineStr">
        <is>
          <t>SOLLEFTEÅ</t>
        </is>
      </c>
      <c r="F1296" t="inlineStr">
        <is>
          <t>SCA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23450-2022</t>
        </is>
      </c>
      <c r="B1297" s="1" t="n">
        <v>44720</v>
      </c>
      <c r="C1297" s="1" t="n">
        <v>45346</v>
      </c>
      <c r="D1297" t="inlineStr">
        <is>
          <t>VÄSTERNORRLANDS LÄN</t>
        </is>
      </c>
      <c r="E1297" t="inlineStr">
        <is>
          <t>SOLLEFTEÅ</t>
        </is>
      </c>
      <c r="F1297" t="inlineStr">
        <is>
          <t>SCA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24008-2022</t>
        </is>
      </c>
      <c r="B1298" s="1" t="n">
        <v>44723</v>
      </c>
      <c r="C1298" s="1" t="n">
        <v>45346</v>
      </c>
      <c r="D1298" t="inlineStr">
        <is>
          <t>VÄSTERNORRLANDS LÄN</t>
        </is>
      </c>
      <c r="E1298" t="inlineStr">
        <is>
          <t>SOLLEFTEÅ</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24024-2022</t>
        </is>
      </c>
      <c r="B1299" s="1" t="n">
        <v>44723</v>
      </c>
      <c r="C1299" s="1" t="n">
        <v>45346</v>
      </c>
      <c r="D1299" t="inlineStr">
        <is>
          <t>VÄSTERNORRLANDS LÄN</t>
        </is>
      </c>
      <c r="E1299" t="inlineStr">
        <is>
          <t>SOLLEFTEÅ</t>
        </is>
      </c>
      <c r="F1299" t="inlineStr">
        <is>
          <t>SCA</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24322-2022</t>
        </is>
      </c>
      <c r="B1300" s="1" t="n">
        <v>44726</v>
      </c>
      <c r="C1300" s="1" t="n">
        <v>45346</v>
      </c>
      <c r="D1300" t="inlineStr">
        <is>
          <t>VÄSTERNORRLANDS LÄN</t>
        </is>
      </c>
      <c r="E1300" t="inlineStr">
        <is>
          <t>SOLLEFTEÅ</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24723-2022</t>
        </is>
      </c>
      <c r="B1301" s="1" t="n">
        <v>44728</v>
      </c>
      <c r="C1301" s="1" t="n">
        <v>45346</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24739-2022</t>
        </is>
      </c>
      <c r="B1302" s="1" t="n">
        <v>44728</v>
      </c>
      <c r="C1302" s="1" t="n">
        <v>45346</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24734-2022</t>
        </is>
      </c>
      <c r="B1303" s="1" t="n">
        <v>44728</v>
      </c>
      <c r="C1303" s="1" t="n">
        <v>45346</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24735-2022</t>
        </is>
      </c>
      <c r="B1304" s="1" t="n">
        <v>44728</v>
      </c>
      <c r="C1304" s="1" t="n">
        <v>45346</v>
      </c>
      <c r="D1304" t="inlineStr">
        <is>
          <t>VÄSTERNORRLANDS LÄN</t>
        </is>
      </c>
      <c r="E1304" t="inlineStr">
        <is>
          <t>SOLLEFTEÅ</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24721-2022</t>
        </is>
      </c>
      <c r="B1305" s="1" t="n">
        <v>44728</v>
      </c>
      <c r="C1305" s="1" t="n">
        <v>45346</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24737-2022</t>
        </is>
      </c>
      <c r="B1306" s="1" t="n">
        <v>44728</v>
      </c>
      <c r="C1306" s="1" t="n">
        <v>45346</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25019-2022</t>
        </is>
      </c>
      <c r="B1307" s="1" t="n">
        <v>44728</v>
      </c>
      <c r="C1307" s="1" t="n">
        <v>45346</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25024-2022</t>
        </is>
      </c>
      <c r="B1308" s="1" t="n">
        <v>44729</v>
      </c>
      <c r="C1308" s="1" t="n">
        <v>45346</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25026-2022</t>
        </is>
      </c>
      <c r="B1309" s="1" t="n">
        <v>44729</v>
      </c>
      <c r="C1309" s="1" t="n">
        <v>45346</v>
      </c>
      <c r="D1309" t="inlineStr">
        <is>
          <t>VÄSTERNORRLANDS LÄN</t>
        </is>
      </c>
      <c r="E1309" t="inlineStr">
        <is>
          <t>SOLLEFTEÅ</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25017-2022</t>
        </is>
      </c>
      <c r="B1310" s="1" t="n">
        <v>44729</v>
      </c>
      <c r="C1310" s="1" t="n">
        <v>45346</v>
      </c>
      <c r="D1310" t="inlineStr">
        <is>
          <t>VÄSTERNORRLANDS LÄN</t>
        </is>
      </c>
      <c r="E1310" t="inlineStr">
        <is>
          <t>SOLLEFTEÅ</t>
        </is>
      </c>
      <c r="F1310" t="inlineStr">
        <is>
          <t>SCA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25295-2022</t>
        </is>
      </c>
      <c r="B1311" s="1" t="n">
        <v>44731</v>
      </c>
      <c r="C1311" s="1" t="n">
        <v>45346</v>
      </c>
      <c r="D1311" t="inlineStr">
        <is>
          <t>VÄSTERNORRLANDS LÄN</t>
        </is>
      </c>
      <c r="E1311" t="inlineStr">
        <is>
          <t>SOLLEFTEÅ</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25339-2022</t>
        </is>
      </c>
      <c r="B1312" s="1" t="n">
        <v>44732</v>
      </c>
      <c r="C1312" s="1" t="n">
        <v>45346</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25338-2022</t>
        </is>
      </c>
      <c r="B1313" s="1" t="n">
        <v>44731</v>
      </c>
      <c r="C1313" s="1" t="n">
        <v>45346</v>
      </c>
      <c r="D1313" t="inlineStr">
        <is>
          <t>VÄSTERNORRLANDS LÄN</t>
        </is>
      </c>
      <c r="E1313" t="inlineStr">
        <is>
          <t>SOLLEFTEÅ</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25341-2022</t>
        </is>
      </c>
      <c r="B1314" s="1" t="n">
        <v>44731</v>
      </c>
      <c r="C1314" s="1" t="n">
        <v>45346</v>
      </c>
      <c r="D1314" t="inlineStr">
        <is>
          <t>VÄSTERNORRLANDS LÄN</t>
        </is>
      </c>
      <c r="E1314" t="inlineStr">
        <is>
          <t>SOLLEFTEÅ</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26407-2022</t>
        </is>
      </c>
      <c r="B1315" s="1" t="n">
        <v>44735</v>
      </c>
      <c r="C1315" s="1" t="n">
        <v>45346</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26416-2022</t>
        </is>
      </c>
      <c r="B1316" s="1" t="n">
        <v>44736</v>
      </c>
      <c r="C1316" s="1" t="n">
        <v>45346</v>
      </c>
      <c r="D1316" t="inlineStr">
        <is>
          <t>VÄSTERNORRLANDS LÄN</t>
        </is>
      </c>
      <c r="E1316" t="inlineStr">
        <is>
          <t>SOLLEFTEÅ</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26415-2022</t>
        </is>
      </c>
      <c r="B1317" s="1" t="n">
        <v>44735</v>
      </c>
      <c r="C1317" s="1" t="n">
        <v>45346</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26435-2022</t>
        </is>
      </c>
      <c r="B1318" s="1" t="n">
        <v>44737</v>
      </c>
      <c r="C1318" s="1" t="n">
        <v>45346</v>
      </c>
      <c r="D1318" t="inlineStr">
        <is>
          <t>VÄSTERNORRLANDS LÄN</t>
        </is>
      </c>
      <c r="E1318" t="inlineStr">
        <is>
          <t>SOLLEFTEÅ</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26594-2022</t>
        </is>
      </c>
      <c r="B1319" s="1" t="n">
        <v>44739</v>
      </c>
      <c r="C1319" s="1" t="n">
        <v>45346</v>
      </c>
      <c r="D1319" t="inlineStr">
        <is>
          <t>VÄSTERNORRLANDS LÄN</t>
        </is>
      </c>
      <c r="E1319" t="inlineStr">
        <is>
          <t>SOLLEFTEÅ</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26732-2022</t>
        </is>
      </c>
      <c r="B1320" s="1" t="n">
        <v>44740</v>
      </c>
      <c r="C1320" s="1" t="n">
        <v>45346</v>
      </c>
      <c r="D1320" t="inlineStr">
        <is>
          <t>VÄSTERNORRLANDS LÄN</t>
        </is>
      </c>
      <c r="E1320" t="inlineStr">
        <is>
          <t>SOLLEFTEÅ</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26744-2022</t>
        </is>
      </c>
      <c r="B1321" s="1" t="n">
        <v>44739</v>
      </c>
      <c r="C1321" s="1" t="n">
        <v>45346</v>
      </c>
      <c r="D1321" t="inlineStr">
        <is>
          <t>VÄSTERNORRLANDS LÄN</t>
        </is>
      </c>
      <c r="E1321" t="inlineStr">
        <is>
          <t>SOLLEFTEÅ</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26736-2022</t>
        </is>
      </c>
      <c r="B1322" s="1" t="n">
        <v>44740</v>
      </c>
      <c r="C1322" s="1" t="n">
        <v>45346</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27016-2022</t>
        </is>
      </c>
      <c r="B1323" s="1" t="n">
        <v>44741</v>
      </c>
      <c r="C1323" s="1" t="n">
        <v>45346</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27019-2022</t>
        </is>
      </c>
      <c r="B1324" s="1" t="n">
        <v>44741</v>
      </c>
      <c r="C1324" s="1" t="n">
        <v>45346</v>
      </c>
      <c r="D1324" t="inlineStr">
        <is>
          <t>VÄSTERNORRLANDS LÄN</t>
        </is>
      </c>
      <c r="E1324" t="inlineStr">
        <is>
          <t>SOLLEFTEÅ</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27012-2022</t>
        </is>
      </c>
      <c r="B1325" s="1" t="n">
        <v>44740</v>
      </c>
      <c r="C1325" s="1" t="n">
        <v>45346</v>
      </c>
      <c r="D1325" t="inlineStr">
        <is>
          <t>VÄSTERNORRLANDS LÄN</t>
        </is>
      </c>
      <c r="E1325" t="inlineStr">
        <is>
          <t>SOLLEFTEÅ</t>
        </is>
      </c>
      <c r="F1325" t="inlineStr">
        <is>
          <t>SCA</t>
        </is>
      </c>
      <c r="G1325" t="n">
        <v>19.8</v>
      </c>
      <c r="H1325" t="n">
        <v>0</v>
      </c>
      <c r="I1325" t="n">
        <v>0</v>
      </c>
      <c r="J1325" t="n">
        <v>0</v>
      </c>
      <c r="K1325" t="n">
        <v>0</v>
      </c>
      <c r="L1325" t="n">
        <v>0</v>
      </c>
      <c r="M1325" t="n">
        <v>0</v>
      </c>
      <c r="N1325" t="n">
        <v>0</v>
      </c>
      <c r="O1325" t="n">
        <v>0</v>
      </c>
      <c r="P1325" t="n">
        <v>0</v>
      </c>
      <c r="Q1325" t="n">
        <v>0</v>
      </c>
      <c r="R1325" s="2" t="inlineStr"/>
    </row>
    <row r="1326" ht="15" customHeight="1">
      <c r="A1326" t="inlineStr">
        <is>
          <t>A 27020-2022</t>
        </is>
      </c>
      <c r="B1326" s="1" t="n">
        <v>44741</v>
      </c>
      <c r="C1326" s="1" t="n">
        <v>45346</v>
      </c>
      <c r="D1326" t="inlineStr">
        <is>
          <t>VÄSTERNORRLANDS LÄN</t>
        </is>
      </c>
      <c r="E1326" t="inlineStr">
        <is>
          <t>SOLLEFTEÅ</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27024-2022</t>
        </is>
      </c>
      <c r="B1327" s="1" t="n">
        <v>44741</v>
      </c>
      <c r="C1327" s="1" t="n">
        <v>45346</v>
      </c>
      <c r="D1327" t="inlineStr">
        <is>
          <t>VÄSTERNORRLANDS LÄN</t>
        </is>
      </c>
      <c r="E1327" t="inlineStr">
        <is>
          <t>SOLLEFTEÅ</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27023-2022</t>
        </is>
      </c>
      <c r="B1328" s="1" t="n">
        <v>44741</v>
      </c>
      <c r="C1328" s="1" t="n">
        <v>45346</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27018-2022</t>
        </is>
      </c>
      <c r="B1329" s="1" t="n">
        <v>44740</v>
      </c>
      <c r="C1329" s="1" t="n">
        <v>45346</v>
      </c>
      <c r="D1329" t="inlineStr">
        <is>
          <t>VÄSTERNORRLANDS LÄN</t>
        </is>
      </c>
      <c r="E1329" t="inlineStr">
        <is>
          <t>SOLLEFTEÅ</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27022-2022</t>
        </is>
      </c>
      <c r="B1330" s="1" t="n">
        <v>44741</v>
      </c>
      <c r="C1330" s="1" t="n">
        <v>45346</v>
      </c>
      <c r="D1330" t="inlineStr">
        <is>
          <t>VÄSTERNORRLANDS LÄN</t>
        </is>
      </c>
      <c r="E1330" t="inlineStr">
        <is>
          <t>SOLLEFTEÅ</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27082-2022</t>
        </is>
      </c>
      <c r="B1331" s="1" t="n">
        <v>44741</v>
      </c>
      <c r="C1331" s="1" t="n">
        <v>45346</v>
      </c>
      <c r="D1331" t="inlineStr">
        <is>
          <t>VÄSTERNORRLANDS LÄN</t>
        </is>
      </c>
      <c r="E1331" t="inlineStr">
        <is>
          <t>SOLLEFTEÅ</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27283-2022</t>
        </is>
      </c>
      <c r="B1332" s="1" t="n">
        <v>44742</v>
      </c>
      <c r="C1332" s="1" t="n">
        <v>45346</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27282-2022</t>
        </is>
      </c>
      <c r="B1333" s="1" t="n">
        <v>44741</v>
      </c>
      <c r="C1333" s="1" t="n">
        <v>45346</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27573-2022</t>
        </is>
      </c>
      <c r="B1334" s="1" t="n">
        <v>44743</v>
      </c>
      <c r="C1334" s="1" t="n">
        <v>45346</v>
      </c>
      <c r="D1334" t="inlineStr">
        <is>
          <t>VÄSTERNORRLANDS LÄN</t>
        </is>
      </c>
      <c r="E1334" t="inlineStr">
        <is>
          <t>SOLLEFTEÅ</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27572-2022</t>
        </is>
      </c>
      <c r="B1335" s="1" t="n">
        <v>44743</v>
      </c>
      <c r="C1335" s="1" t="n">
        <v>45346</v>
      </c>
      <c r="D1335" t="inlineStr">
        <is>
          <t>VÄSTERNORRLANDS LÄN</t>
        </is>
      </c>
      <c r="E1335" t="inlineStr">
        <is>
          <t>SOLLEFTEÅ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27603-2022</t>
        </is>
      </c>
      <c r="B1336" s="1" t="n">
        <v>44743</v>
      </c>
      <c r="C1336" s="1" t="n">
        <v>45346</v>
      </c>
      <c r="D1336" t="inlineStr">
        <is>
          <t>VÄSTERNORRLANDS LÄN</t>
        </is>
      </c>
      <c r="E1336" t="inlineStr">
        <is>
          <t>SOLLEFTEÅ</t>
        </is>
      </c>
      <c r="F1336" t="inlineStr">
        <is>
          <t>SCA</t>
        </is>
      </c>
      <c r="G1336" t="n">
        <v>9.6</v>
      </c>
      <c r="H1336" t="n">
        <v>0</v>
      </c>
      <c r="I1336" t="n">
        <v>0</v>
      </c>
      <c r="J1336" t="n">
        <v>0</v>
      </c>
      <c r="K1336" t="n">
        <v>0</v>
      </c>
      <c r="L1336" t="n">
        <v>0</v>
      </c>
      <c r="M1336" t="n">
        <v>0</v>
      </c>
      <c r="N1336" t="n">
        <v>0</v>
      </c>
      <c r="O1336" t="n">
        <v>0</v>
      </c>
      <c r="P1336" t="n">
        <v>0</v>
      </c>
      <c r="Q1336" t="n">
        <v>0</v>
      </c>
      <c r="R1336" s="2" t="inlineStr"/>
    </row>
    <row r="1337" ht="15" customHeight="1">
      <c r="A1337" t="inlineStr">
        <is>
          <t>A 27593-2022</t>
        </is>
      </c>
      <c r="B1337" s="1" t="n">
        <v>44742</v>
      </c>
      <c r="C1337" s="1" t="n">
        <v>45346</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27926-2022</t>
        </is>
      </c>
      <c r="B1338" s="1" t="n">
        <v>44743</v>
      </c>
      <c r="C1338" s="1" t="n">
        <v>45346</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27943-2022</t>
        </is>
      </c>
      <c r="B1339" s="1" t="n">
        <v>44743</v>
      </c>
      <c r="C1339" s="1" t="n">
        <v>45346</v>
      </c>
      <c r="D1339" t="inlineStr">
        <is>
          <t>VÄSTERNORRLANDS LÄN</t>
        </is>
      </c>
      <c r="E1339" t="inlineStr">
        <is>
          <t>SOLLEFTEÅ</t>
        </is>
      </c>
      <c r="F1339" t="inlineStr">
        <is>
          <t>SCA</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28293-2022</t>
        </is>
      </c>
      <c r="B1340" s="1" t="n">
        <v>44747</v>
      </c>
      <c r="C1340" s="1" t="n">
        <v>45346</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28700-2022</t>
        </is>
      </c>
      <c r="B1341" s="1" t="n">
        <v>44748</v>
      </c>
      <c r="C1341" s="1" t="n">
        <v>45346</v>
      </c>
      <c r="D1341" t="inlineStr">
        <is>
          <t>VÄSTERNORRLANDS LÄN</t>
        </is>
      </c>
      <c r="E1341" t="inlineStr">
        <is>
          <t>SOLLEFTEÅ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28729-2022</t>
        </is>
      </c>
      <c r="B1342" s="1" t="n">
        <v>44748</v>
      </c>
      <c r="C1342" s="1" t="n">
        <v>45346</v>
      </c>
      <c r="D1342" t="inlineStr">
        <is>
          <t>VÄSTERNORRLANDS LÄN</t>
        </is>
      </c>
      <c r="E1342" t="inlineStr">
        <is>
          <t>SOLLEFTEÅ</t>
        </is>
      </c>
      <c r="F1342" t="inlineStr">
        <is>
          <t>SCA</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28730-2022</t>
        </is>
      </c>
      <c r="B1343" s="1" t="n">
        <v>44748</v>
      </c>
      <c r="C1343" s="1" t="n">
        <v>45346</v>
      </c>
      <c r="D1343" t="inlineStr">
        <is>
          <t>VÄSTERNORRLANDS LÄN</t>
        </is>
      </c>
      <c r="E1343" t="inlineStr">
        <is>
          <t>SOLLEFTEÅ</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28828-2022</t>
        </is>
      </c>
      <c r="B1344" s="1" t="n">
        <v>44749</v>
      </c>
      <c r="C1344" s="1" t="n">
        <v>45346</v>
      </c>
      <c r="D1344" t="inlineStr">
        <is>
          <t>VÄSTERNORRLANDS LÄN</t>
        </is>
      </c>
      <c r="E1344" t="inlineStr">
        <is>
          <t>SOLLEFTEÅ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28893-2022</t>
        </is>
      </c>
      <c r="B1345" s="1" t="n">
        <v>44749</v>
      </c>
      <c r="C1345" s="1" t="n">
        <v>45346</v>
      </c>
      <c r="D1345" t="inlineStr">
        <is>
          <t>VÄSTERNORRLANDS LÄN</t>
        </is>
      </c>
      <c r="E1345" t="inlineStr">
        <is>
          <t>SOLLEFTEÅ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28909-2022</t>
        </is>
      </c>
      <c r="B1346" s="1" t="n">
        <v>44749</v>
      </c>
      <c r="C1346" s="1" t="n">
        <v>45346</v>
      </c>
      <c r="D1346" t="inlineStr">
        <is>
          <t>VÄSTERNORRLANDS LÄN</t>
        </is>
      </c>
      <c r="E1346" t="inlineStr">
        <is>
          <t>SOLLEFTEÅ</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28896-2022</t>
        </is>
      </c>
      <c r="B1347" s="1" t="n">
        <v>44749</v>
      </c>
      <c r="C1347" s="1" t="n">
        <v>45346</v>
      </c>
      <c r="D1347" t="inlineStr">
        <is>
          <t>VÄSTERNORRLANDS LÄN</t>
        </is>
      </c>
      <c r="E1347" t="inlineStr">
        <is>
          <t>SOLLEFTEÅ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28903-2022</t>
        </is>
      </c>
      <c r="B1348" s="1" t="n">
        <v>44749</v>
      </c>
      <c r="C1348" s="1" t="n">
        <v>45346</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28973-2022</t>
        </is>
      </c>
      <c r="B1349" s="1" t="n">
        <v>44749</v>
      </c>
      <c r="C1349" s="1" t="n">
        <v>45346</v>
      </c>
      <c r="D1349" t="inlineStr">
        <is>
          <t>VÄSTERNORRLANDS LÄN</t>
        </is>
      </c>
      <c r="E1349" t="inlineStr">
        <is>
          <t>SOLLEFTEÅ</t>
        </is>
      </c>
      <c r="F1349" t="inlineStr">
        <is>
          <t>Holmen skog AB</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29290-2022</t>
        </is>
      </c>
      <c r="B1350" s="1" t="n">
        <v>44750</v>
      </c>
      <c r="C1350" s="1" t="n">
        <v>45346</v>
      </c>
      <c r="D1350" t="inlineStr">
        <is>
          <t>VÄSTERNORRLANDS LÄN</t>
        </is>
      </c>
      <c r="E1350" t="inlineStr">
        <is>
          <t>SOLLEFTEÅ</t>
        </is>
      </c>
      <c r="F1350" t="inlineStr">
        <is>
          <t>SCA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29294-2022</t>
        </is>
      </c>
      <c r="B1351" s="1" t="n">
        <v>44751</v>
      </c>
      <c r="C1351" s="1" t="n">
        <v>45346</v>
      </c>
      <c r="D1351" t="inlineStr">
        <is>
          <t>VÄSTERNORRLANDS LÄN</t>
        </is>
      </c>
      <c r="E1351" t="inlineStr">
        <is>
          <t>SOLLEFTEÅ</t>
        </is>
      </c>
      <c r="F1351" t="inlineStr">
        <is>
          <t>SCA</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29300-2022</t>
        </is>
      </c>
      <c r="B1352" s="1" t="n">
        <v>44750</v>
      </c>
      <c r="C1352" s="1" t="n">
        <v>45346</v>
      </c>
      <c r="D1352" t="inlineStr">
        <is>
          <t>VÄSTERNORRLANDS LÄN</t>
        </is>
      </c>
      <c r="E1352" t="inlineStr">
        <is>
          <t>SOLLEFTEÅ</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29292-2022</t>
        </is>
      </c>
      <c r="B1353" s="1" t="n">
        <v>44750</v>
      </c>
      <c r="C1353" s="1" t="n">
        <v>45346</v>
      </c>
      <c r="D1353" t="inlineStr">
        <is>
          <t>VÄSTERNORRLANDS LÄN</t>
        </is>
      </c>
      <c r="E1353" t="inlineStr">
        <is>
          <t>SOLLEFTEÅ</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29538-2022</t>
        </is>
      </c>
      <c r="B1354" s="1" t="n">
        <v>44754</v>
      </c>
      <c r="C1354" s="1" t="n">
        <v>45346</v>
      </c>
      <c r="D1354" t="inlineStr">
        <is>
          <t>VÄSTERNORRLANDS LÄN</t>
        </is>
      </c>
      <c r="E1354" t="inlineStr">
        <is>
          <t>SOLLEFTEÅ</t>
        </is>
      </c>
      <c r="F1354" t="inlineStr">
        <is>
          <t>SCA</t>
        </is>
      </c>
      <c r="G1354" t="n">
        <v>20.2</v>
      </c>
      <c r="H1354" t="n">
        <v>0</v>
      </c>
      <c r="I1354" t="n">
        <v>0</v>
      </c>
      <c r="J1354" t="n">
        <v>0</v>
      </c>
      <c r="K1354" t="n">
        <v>0</v>
      </c>
      <c r="L1354" t="n">
        <v>0</v>
      </c>
      <c r="M1354" t="n">
        <v>0</v>
      </c>
      <c r="N1354" t="n">
        <v>0</v>
      </c>
      <c r="O1354" t="n">
        <v>0</v>
      </c>
      <c r="P1354" t="n">
        <v>0</v>
      </c>
      <c r="Q1354" t="n">
        <v>0</v>
      </c>
      <c r="R1354" s="2" t="inlineStr"/>
    </row>
    <row r="1355" ht="15" customHeight="1">
      <c r="A1355" t="inlineStr">
        <is>
          <t>A 29842-2022</t>
        </is>
      </c>
      <c r="B1355" s="1" t="n">
        <v>44756</v>
      </c>
      <c r="C1355" s="1" t="n">
        <v>45346</v>
      </c>
      <c r="D1355" t="inlineStr">
        <is>
          <t>VÄSTERNORRLANDS LÄN</t>
        </is>
      </c>
      <c r="E1355" t="inlineStr">
        <is>
          <t>SOLLEFTEÅ</t>
        </is>
      </c>
      <c r="F1355" t="inlineStr">
        <is>
          <t>Holmen skog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30032-2022</t>
        </is>
      </c>
      <c r="B1356" s="1" t="n">
        <v>44756</v>
      </c>
      <c r="C1356" s="1" t="n">
        <v>45346</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30041-2022</t>
        </is>
      </c>
      <c r="B1357" s="1" t="n">
        <v>44756</v>
      </c>
      <c r="C1357" s="1" t="n">
        <v>45346</v>
      </c>
      <c r="D1357" t="inlineStr">
        <is>
          <t>VÄSTERNORRLANDS LÄN</t>
        </is>
      </c>
      <c r="E1357" t="inlineStr">
        <is>
          <t>SOLLEFTEÅ</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30045-2022</t>
        </is>
      </c>
      <c r="B1358" s="1" t="n">
        <v>44756</v>
      </c>
      <c r="C1358" s="1" t="n">
        <v>45346</v>
      </c>
      <c r="D1358" t="inlineStr">
        <is>
          <t>VÄSTERNORRLANDS LÄN</t>
        </is>
      </c>
      <c r="E1358" t="inlineStr">
        <is>
          <t>SOLLEFTEÅ</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30013-2022</t>
        </is>
      </c>
      <c r="B1359" s="1" t="n">
        <v>44756</v>
      </c>
      <c r="C1359" s="1" t="n">
        <v>45346</v>
      </c>
      <c r="D1359" t="inlineStr">
        <is>
          <t>VÄSTERNORRLANDS LÄN</t>
        </is>
      </c>
      <c r="E1359" t="inlineStr">
        <is>
          <t>SOLLEFTEÅ</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30033-2022</t>
        </is>
      </c>
      <c r="B1360" s="1" t="n">
        <v>44756</v>
      </c>
      <c r="C1360" s="1" t="n">
        <v>45346</v>
      </c>
      <c r="D1360" t="inlineStr">
        <is>
          <t>VÄSTERNORRLANDS LÄN</t>
        </is>
      </c>
      <c r="E1360" t="inlineStr">
        <is>
          <t>SOLLEFTEÅ</t>
        </is>
      </c>
      <c r="F1360" t="inlineStr">
        <is>
          <t>SCA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30040-2022</t>
        </is>
      </c>
      <c r="B1361" s="1" t="n">
        <v>44757</v>
      </c>
      <c r="C1361" s="1" t="n">
        <v>45346</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30034-2022</t>
        </is>
      </c>
      <c r="B1362" s="1" t="n">
        <v>44757</v>
      </c>
      <c r="C1362" s="1" t="n">
        <v>45346</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30039-2022</t>
        </is>
      </c>
      <c r="B1363" s="1" t="n">
        <v>44757</v>
      </c>
      <c r="C1363" s="1" t="n">
        <v>45346</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30043-2022</t>
        </is>
      </c>
      <c r="B1364" s="1" t="n">
        <v>44756</v>
      </c>
      <c r="C1364" s="1" t="n">
        <v>45346</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30047-2022</t>
        </is>
      </c>
      <c r="B1365" s="1" t="n">
        <v>44757</v>
      </c>
      <c r="C1365" s="1" t="n">
        <v>45346</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30238-2022</t>
        </is>
      </c>
      <c r="B1366" s="1" t="n">
        <v>44757</v>
      </c>
      <c r="C1366" s="1" t="n">
        <v>45346</v>
      </c>
      <c r="D1366" t="inlineStr">
        <is>
          <t>VÄSTERNORRLANDS LÄN</t>
        </is>
      </c>
      <c r="E1366" t="inlineStr">
        <is>
          <t>SOLLEFTEÅ</t>
        </is>
      </c>
      <c r="F1366" t="inlineStr">
        <is>
          <t>SCA</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30239-2022</t>
        </is>
      </c>
      <c r="B1367" s="1" t="n">
        <v>44758</v>
      </c>
      <c r="C1367" s="1" t="n">
        <v>45346</v>
      </c>
      <c r="D1367" t="inlineStr">
        <is>
          <t>VÄSTERNORRLANDS LÄN</t>
        </is>
      </c>
      <c r="E1367" t="inlineStr">
        <is>
          <t>SOLLEFTEÅ</t>
        </is>
      </c>
      <c r="F1367" t="inlineStr">
        <is>
          <t>SCA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30237-2022</t>
        </is>
      </c>
      <c r="B1368" s="1" t="n">
        <v>44758</v>
      </c>
      <c r="C1368" s="1" t="n">
        <v>45346</v>
      </c>
      <c r="D1368" t="inlineStr">
        <is>
          <t>VÄSTERNORRLANDS LÄN</t>
        </is>
      </c>
      <c r="E1368" t="inlineStr">
        <is>
          <t>SOLLEFTEÅ</t>
        </is>
      </c>
      <c r="F1368" t="inlineStr">
        <is>
          <t>SCA</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30236-2022</t>
        </is>
      </c>
      <c r="B1369" s="1" t="n">
        <v>44757</v>
      </c>
      <c r="C1369" s="1" t="n">
        <v>45346</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30240-2022</t>
        </is>
      </c>
      <c r="B1370" s="1" t="n">
        <v>44757</v>
      </c>
      <c r="C1370" s="1" t="n">
        <v>45346</v>
      </c>
      <c r="D1370" t="inlineStr">
        <is>
          <t>VÄSTERNORRLANDS LÄN</t>
        </is>
      </c>
      <c r="E1370" t="inlineStr">
        <is>
          <t>SOLLEFTEÅ</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30606-2022</t>
        </is>
      </c>
      <c r="B1371" s="1" t="n">
        <v>44763</v>
      </c>
      <c r="C1371" s="1" t="n">
        <v>45346</v>
      </c>
      <c r="D1371" t="inlineStr">
        <is>
          <t>VÄSTERNORRLANDS LÄN</t>
        </is>
      </c>
      <c r="E1371" t="inlineStr">
        <is>
          <t>SOLLEFTEÅ</t>
        </is>
      </c>
      <c r="F1371" t="inlineStr">
        <is>
          <t>SCA</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30805-2022</t>
        </is>
      </c>
      <c r="B1372" s="1" t="n">
        <v>44765</v>
      </c>
      <c r="C1372" s="1" t="n">
        <v>45346</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30936-2022</t>
        </is>
      </c>
      <c r="B1373" s="1" t="n">
        <v>44768</v>
      </c>
      <c r="C1373" s="1" t="n">
        <v>45346</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30937-2022</t>
        </is>
      </c>
      <c r="B1374" s="1" t="n">
        <v>44768</v>
      </c>
      <c r="C1374" s="1" t="n">
        <v>45346</v>
      </c>
      <c r="D1374" t="inlineStr">
        <is>
          <t>VÄSTERNORRLANDS LÄN</t>
        </is>
      </c>
      <c r="E1374" t="inlineStr">
        <is>
          <t>SOLLEFTEÅ</t>
        </is>
      </c>
      <c r="F1374" t="inlineStr">
        <is>
          <t>SCA</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31005-2022</t>
        </is>
      </c>
      <c r="B1375" s="1" t="n">
        <v>44768</v>
      </c>
      <c r="C1375" s="1" t="n">
        <v>45346</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31444-2022</t>
        </is>
      </c>
      <c r="B1376" s="1" t="n">
        <v>44774</v>
      </c>
      <c r="C1376" s="1" t="n">
        <v>45346</v>
      </c>
      <c r="D1376" t="inlineStr">
        <is>
          <t>VÄSTERNORRLANDS LÄN</t>
        </is>
      </c>
      <c r="E1376" t="inlineStr">
        <is>
          <t>SOLLEFTEÅ</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31453-2022</t>
        </is>
      </c>
      <c r="B1377" s="1" t="n">
        <v>44775</v>
      </c>
      <c r="C1377" s="1" t="n">
        <v>45346</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31474-2022</t>
        </is>
      </c>
      <c r="B1378" s="1" t="n">
        <v>44775</v>
      </c>
      <c r="C1378" s="1" t="n">
        <v>45346</v>
      </c>
      <c r="D1378" t="inlineStr">
        <is>
          <t>VÄSTERNORRLANDS LÄN</t>
        </is>
      </c>
      <c r="E1378" t="inlineStr">
        <is>
          <t>SOLLEFTEÅ</t>
        </is>
      </c>
      <c r="F1378" t="inlineStr">
        <is>
          <t>SCA</t>
        </is>
      </c>
      <c r="G1378" t="n">
        <v>28.3</v>
      </c>
      <c r="H1378" t="n">
        <v>0</v>
      </c>
      <c r="I1378" t="n">
        <v>0</v>
      </c>
      <c r="J1378" t="n">
        <v>0</v>
      </c>
      <c r="K1378" t="n">
        <v>0</v>
      </c>
      <c r="L1378" t="n">
        <v>0</v>
      </c>
      <c r="M1378" t="n">
        <v>0</v>
      </c>
      <c r="N1378" t="n">
        <v>0</v>
      </c>
      <c r="O1378" t="n">
        <v>0</v>
      </c>
      <c r="P1378" t="n">
        <v>0</v>
      </c>
      <c r="Q1378" t="n">
        <v>0</v>
      </c>
      <c r="R1378" s="2" t="inlineStr"/>
    </row>
    <row r="1379" ht="15" customHeight="1">
      <c r="A1379" t="inlineStr">
        <is>
          <t>A 31440-2022</t>
        </is>
      </c>
      <c r="B1379" s="1" t="n">
        <v>44775</v>
      </c>
      <c r="C1379" s="1" t="n">
        <v>45346</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31464-2022</t>
        </is>
      </c>
      <c r="B1380" s="1" t="n">
        <v>44774</v>
      </c>
      <c r="C1380" s="1" t="n">
        <v>45346</v>
      </c>
      <c r="D1380" t="inlineStr">
        <is>
          <t>VÄSTERNORRLANDS LÄN</t>
        </is>
      </c>
      <c r="E1380" t="inlineStr">
        <is>
          <t>SOLLEFTEÅ</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31452-2022</t>
        </is>
      </c>
      <c r="B1381" s="1" t="n">
        <v>44775</v>
      </c>
      <c r="C1381" s="1" t="n">
        <v>45346</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31490-2022</t>
        </is>
      </c>
      <c r="B1382" s="1" t="n">
        <v>44775</v>
      </c>
      <c r="C1382" s="1" t="n">
        <v>45346</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31451-2022</t>
        </is>
      </c>
      <c r="B1383" s="1" t="n">
        <v>44775</v>
      </c>
      <c r="C1383" s="1" t="n">
        <v>45346</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31482-2022</t>
        </is>
      </c>
      <c r="B1384" s="1" t="n">
        <v>44775</v>
      </c>
      <c r="C1384" s="1" t="n">
        <v>45346</v>
      </c>
      <c r="D1384" t="inlineStr">
        <is>
          <t>VÄSTERNORRLANDS LÄN</t>
        </is>
      </c>
      <c r="E1384" t="inlineStr">
        <is>
          <t>SOLLEFTEÅ</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31588-2022</t>
        </is>
      </c>
      <c r="B1385" s="1" t="n">
        <v>44775</v>
      </c>
      <c r="C1385" s="1" t="n">
        <v>45346</v>
      </c>
      <c r="D1385" t="inlineStr">
        <is>
          <t>VÄSTERNORRLANDS LÄN</t>
        </is>
      </c>
      <c r="E1385" t="inlineStr">
        <is>
          <t>SOLLEFTEÅ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31646-2022</t>
        </is>
      </c>
      <c r="B1386" s="1" t="n">
        <v>44776</v>
      </c>
      <c r="C1386" s="1" t="n">
        <v>45346</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31672-2022</t>
        </is>
      </c>
      <c r="B1387" s="1" t="n">
        <v>44776</v>
      </c>
      <c r="C1387" s="1" t="n">
        <v>45346</v>
      </c>
      <c r="D1387" t="inlineStr">
        <is>
          <t>VÄSTERNORRLANDS LÄN</t>
        </is>
      </c>
      <c r="E1387" t="inlineStr">
        <is>
          <t>SOLLEFTEÅ</t>
        </is>
      </c>
      <c r="G1387" t="n">
        <v>16.3</v>
      </c>
      <c r="H1387" t="n">
        <v>0</v>
      </c>
      <c r="I1387" t="n">
        <v>0</v>
      </c>
      <c r="J1387" t="n">
        <v>0</v>
      </c>
      <c r="K1387" t="n">
        <v>0</v>
      </c>
      <c r="L1387" t="n">
        <v>0</v>
      </c>
      <c r="M1387" t="n">
        <v>0</v>
      </c>
      <c r="N1387" t="n">
        <v>0</v>
      </c>
      <c r="O1387" t="n">
        <v>0</v>
      </c>
      <c r="P1387" t="n">
        <v>0</v>
      </c>
      <c r="Q1387" t="n">
        <v>0</v>
      </c>
      <c r="R1387" s="2" t="inlineStr"/>
    </row>
    <row r="1388" ht="15" customHeight="1">
      <c r="A1388" t="inlineStr">
        <is>
          <t>A 31856-2022</t>
        </is>
      </c>
      <c r="B1388" s="1" t="n">
        <v>44776</v>
      </c>
      <c r="C1388" s="1" t="n">
        <v>45346</v>
      </c>
      <c r="D1388" t="inlineStr">
        <is>
          <t>VÄSTERNORRLANDS LÄN</t>
        </is>
      </c>
      <c r="E1388" t="inlineStr">
        <is>
          <t>SOLLEFTEÅ</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31968-2022</t>
        </is>
      </c>
      <c r="B1389" s="1" t="n">
        <v>44778</v>
      </c>
      <c r="C1389" s="1" t="n">
        <v>45346</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31967-2022</t>
        </is>
      </c>
      <c r="B1390" s="1" t="n">
        <v>44778</v>
      </c>
      <c r="C1390" s="1" t="n">
        <v>45346</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31965-2022</t>
        </is>
      </c>
      <c r="B1391" s="1" t="n">
        <v>44778</v>
      </c>
      <c r="C1391" s="1" t="n">
        <v>45346</v>
      </c>
      <c r="D1391" t="inlineStr">
        <is>
          <t>VÄSTERNORRLANDS LÄN</t>
        </is>
      </c>
      <c r="E1391" t="inlineStr">
        <is>
          <t>SOLLEFTEÅ</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31966-2022</t>
        </is>
      </c>
      <c r="B1392" s="1" t="n">
        <v>44778</v>
      </c>
      <c r="C1392" s="1" t="n">
        <v>45346</v>
      </c>
      <c r="D1392" t="inlineStr">
        <is>
          <t>VÄSTERNORRLANDS LÄN</t>
        </is>
      </c>
      <c r="E1392" t="inlineStr">
        <is>
          <t>SOLLEFTEÅ</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32127-2022</t>
        </is>
      </c>
      <c r="B1393" s="1" t="n">
        <v>44779</v>
      </c>
      <c r="C1393" s="1" t="n">
        <v>45346</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32129-2022</t>
        </is>
      </c>
      <c r="B1394" s="1" t="n">
        <v>44779</v>
      </c>
      <c r="C1394" s="1" t="n">
        <v>45346</v>
      </c>
      <c r="D1394" t="inlineStr">
        <is>
          <t>VÄSTERNORRLANDS LÄN</t>
        </is>
      </c>
      <c r="E1394" t="inlineStr">
        <is>
          <t>SOLLEFTEÅ</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32126-2022</t>
        </is>
      </c>
      <c r="B1395" s="1" t="n">
        <v>44778</v>
      </c>
      <c r="C1395" s="1" t="n">
        <v>45346</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32130-2022</t>
        </is>
      </c>
      <c r="B1396" s="1" t="n">
        <v>44779</v>
      </c>
      <c r="C1396" s="1" t="n">
        <v>45346</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32453-2022</t>
        </is>
      </c>
      <c r="B1397" s="1" t="n">
        <v>44782</v>
      </c>
      <c r="C1397" s="1" t="n">
        <v>45346</v>
      </c>
      <c r="D1397" t="inlineStr">
        <is>
          <t>VÄSTERNORRLANDS LÄN</t>
        </is>
      </c>
      <c r="E1397" t="inlineStr">
        <is>
          <t>SOLLEFTEÅ</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32531-2022</t>
        </is>
      </c>
      <c r="B1398" s="1" t="n">
        <v>44783</v>
      </c>
      <c r="C1398" s="1" t="n">
        <v>45346</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32779-2022</t>
        </is>
      </c>
      <c r="B1399" s="1" t="n">
        <v>44784</v>
      </c>
      <c r="C1399" s="1" t="n">
        <v>45346</v>
      </c>
      <c r="D1399" t="inlineStr">
        <is>
          <t>VÄSTERNORRLANDS LÄN</t>
        </is>
      </c>
      <c r="E1399" t="inlineStr">
        <is>
          <t>SOLLEFTEÅ</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32969-2022</t>
        </is>
      </c>
      <c r="B1400" s="1" t="n">
        <v>44785</v>
      </c>
      <c r="C1400" s="1" t="n">
        <v>45346</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33056-2022</t>
        </is>
      </c>
      <c r="B1401" s="1" t="n">
        <v>44785</v>
      </c>
      <c r="C1401" s="1" t="n">
        <v>45346</v>
      </c>
      <c r="D1401" t="inlineStr">
        <is>
          <t>VÄSTERNORRLANDS LÄN</t>
        </is>
      </c>
      <c r="E1401" t="inlineStr">
        <is>
          <t>SOLLEFTEÅ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33083-2022</t>
        </is>
      </c>
      <c r="B1402" s="1" t="n">
        <v>44785</v>
      </c>
      <c r="C1402" s="1" t="n">
        <v>45346</v>
      </c>
      <c r="D1402" t="inlineStr">
        <is>
          <t>VÄSTERNORRLANDS LÄN</t>
        </is>
      </c>
      <c r="E1402" t="inlineStr">
        <is>
          <t>SOLLEFTEÅ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33077-2022</t>
        </is>
      </c>
      <c r="B1403" s="1" t="n">
        <v>44785</v>
      </c>
      <c r="C1403" s="1" t="n">
        <v>45346</v>
      </c>
      <c r="D1403" t="inlineStr">
        <is>
          <t>VÄSTERNORRLANDS LÄN</t>
        </is>
      </c>
      <c r="E1403" t="inlineStr">
        <is>
          <t>SOLLEFTEÅ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33226-2022</t>
        </is>
      </c>
      <c r="B1404" s="1" t="n">
        <v>44786</v>
      </c>
      <c r="C1404" s="1" t="n">
        <v>45346</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33505-2022</t>
        </is>
      </c>
      <c r="B1405" s="1" t="n">
        <v>44789</v>
      </c>
      <c r="C1405" s="1" t="n">
        <v>45346</v>
      </c>
      <c r="D1405" t="inlineStr">
        <is>
          <t>VÄSTERNORRLANDS LÄN</t>
        </is>
      </c>
      <c r="E1405" t="inlineStr">
        <is>
          <t>SOLLEFTEÅ</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33519-2022</t>
        </is>
      </c>
      <c r="B1406" s="1" t="n">
        <v>44789</v>
      </c>
      <c r="C1406" s="1" t="n">
        <v>45346</v>
      </c>
      <c r="D1406" t="inlineStr">
        <is>
          <t>VÄSTERNORRLANDS LÄN</t>
        </is>
      </c>
      <c r="E1406" t="inlineStr">
        <is>
          <t>SOLLEFTEÅ</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33528-2022</t>
        </is>
      </c>
      <c r="B1407" s="1" t="n">
        <v>44788</v>
      </c>
      <c r="C1407" s="1" t="n">
        <v>45346</v>
      </c>
      <c r="D1407" t="inlineStr">
        <is>
          <t>VÄSTERNORRLANDS LÄN</t>
        </is>
      </c>
      <c r="E1407" t="inlineStr">
        <is>
          <t>SOLLEFTEÅ</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33734-2022</t>
        </is>
      </c>
      <c r="B1408" s="1" t="n">
        <v>44790</v>
      </c>
      <c r="C1408" s="1" t="n">
        <v>45346</v>
      </c>
      <c r="D1408" t="inlineStr">
        <is>
          <t>VÄSTERNORRLANDS LÄN</t>
        </is>
      </c>
      <c r="E1408" t="inlineStr">
        <is>
          <t>SOLLEFTEÅ</t>
        </is>
      </c>
      <c r="F1408" t="inlineStr">
        <is>
          <t>SCA</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33990-2022</t>
        </is>
      </c>
      <c r="B1409" s="1" t="n">
        <v>44790</v>
      </c>
      <c r="C1409" s="1" t="n">
        <v>45346</v>
      </c>
      <c r="D1409" t="inlineStr">
        <is>
          <t>VÄSTERNORRLANDS LÄN</t>
        </is>
      </c>
      <c r="E1409" t="inlineStr">
        <is>
          <t>SOLLEFTEÅ</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33995-2022</t>
        </is>
      </c>
      <c r="B1410" s="1" t="n">
        <v>44791</v>
      </c>
      <c r="C1410" s="1" t="n">
        <v>45346</v>
      </c>
      <c r="D1410" t="inlineStr">
        <is>
          <t>VÄSTERNORRLANDS LÄN</t>
        </is>
      </c>
      <c r="E1410" t="inlineStr">
        <is>
          <t>SOLLEFTEÅ</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33994-2022</t>
        </is>
      </c>
      <c r="B1411" s="1" t="n">
        <v>44791</v>
      </c>
      <c r="C1411" s="1" t="n">
        <v>45346</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34242-2022</t>
        </is>
      </c>
      <c r="B1412" s="1" t="n">
        <v>44792</v>
      </c>
      <c r="C1412" s="1" t="n">
        <v>45346</v>
      </c>
      <c r="D1412" t="inlineStr">
        <is>
          <t>VÄSTERNORRLANDS LÄN</t>
        </is>
      </c>
      <c r="E1412" t="inlineStr">
        <is>
          <t>SOLLEFTEÅ</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34252-2022</t>
        </is>
      </c>
      <c r="B1413" s="1" t="n">
        <v>44792</v>
      </c>
      <c r="C1413" s="1" t="n">
        <v>45346</v>
      </c>
      <c r="D1413" t="inlineStr">
        <is>
          <t>VÄSTERNORRLANDS LÄN</t>
        </is>
      </c>
      <c r="E1413" t="inlineStr">
        <is>
          <t>SOLLEFTEÅ</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34267-2022</t>
        </is>
      </c>
      <c r="B1414" s="1" t="n">
        <v>44792</v>
      </c>
      <c r="C1414" s="1" t="n">
        <v>45346</v>
      </c>
      <c r="D1414" t="inlineStr">
        <is>
          <t>VÄSTERNORRLANDS LÄN</t>
        </is>
      </c>
      <c r="E1414" t="inlineStr">
        <is>
          <t>SOLLEFTEÅ</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34281-2022</t>
        </is>
      </c>
      <c r="B1415" s="1" t="n">
        <v>44791</v>
      </c>
      <c r="C1415" s="1" t="n">
        <v>45346</v>
      </c>
      <c r="D1415" t="inlineStr">
        <is>
          <t>VÄSTERNORRLANDS LÄN</t>
        </is>
      </c>
      <c r="E1415" t="inlineStr">
        <is>
          <t>SOLLEFTEÅ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34518-2022</t>
        </is>
      </c>
      <c r="B1416" s="1" t="n">
        <v>44793</v>
      </c>
      <c r="C1416" s="1" t="n">
        <v>45346</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34517-2022</t>
        </is>
      </c>
      <c r="B1417" s="1" t="n">
        <v>44793</v>
      </c>
      <c r="C1417" s="1" t="n">
        <v>45346</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34527-2022</t>
        </is>
      </c>
      <c r="B1418" s="1" t="n">
        <v>44793</v>
      </c>
      <c r="C1418" s="1" t="n">
        <v>45346</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34534-2022</t>
        </is>
      </c>
      <c r="B1419" s="1" t="n">
        <v>44793</v>
      </c>
      <c r="C1419" s="1" t="n">
        <v>45346</v>
      </c>
      <c r="D1419" t="inlineStr">
        <is>
          <t>VÄSTERNORRLANDS LÄN</t>
        </is>
      </c>
      <c r="E1419" t="inlineStr">
        <is>
          <t>SOLLEFTEÅ</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34516-2022</t>
        </is>
      </c>
      <c r="B1420" s="1" t="n">
        <v>44792</v>
      </c>
      <c r="C1420" s="1" t="n">
        <v>45346</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34648-2022</t>
        </is>
      </c>
      <c r="B1421" s="1" t="n">
        <v>44792</v>
      </c>
      <c r="C1421" s="1" t="n">
        <v>45346</v>
      </c>
      <c r="D1421" t="inlineStr">
        <is>
          <t>VÄSTERNORRLANDS LÄN</t>
        </is>
      </c>
      <c r="E1421" t="inlineStr">
        <is>
          <t>SOLLEFTEÅ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34549-2022</t>
        </is>
      </c>
      <c r="B1422" s="1" t="n">
        <v>44793</v>
      </c>
      <c r="C1422" s="1" t="n">
        <v>45346</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34542-2022</t>
        </is>
      </c>
      <c r="B1423" s="1" t="n">
        <v>44793</v>
      </c>
      <c r="C1423" s="1" t="n">
        <v>45346</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34543-2022</t>
        </is>
      </c>
      <c r="B1424" s="1" t="n">
        <v>44793</v>
      </c>
      <c r="C1424" s="1" t="n">
        <v>45346</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34552-2022</t>
        </is>
      </c>
      <c r="B1425" s="1" t="n">
        <v>44794</v>
      </c>
      <c r="C1425" s="1" t="n">
        <v>45346</v>
      </c>
      <c r="D1425" t="inlineStr">
        <is>
          <t>VÄSTERNORRLANDS LÄN</t>
        </is>
      </c>
      <c r="E1425" t="inlineStr">
        <is>
          <t>SOLLEFTEÅ</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34804-2022</t>
        </is>
      </c>
      <c r="B1426" s="1" t="n">
        <v>44796</v>
      </c>
      <c r="C1426" s="1" t="n">
        <v>45346</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35019-2022</t>
        </is>
      </c>
      <c r="B1427" s="1" t="n">
        <v>44797</v>
      </c>
      <c r="C1427" s="1" t="n">
        <v>45346</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35229-2022</t>
        </is>
      </c>
      <c r="B1428" s="1" t="n">
        <v>44798</v>
      </c>
      <c r="C1428" s="1" t="n">
        <v>45346</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35747-2022</t>
        </is>
      </c>
      <c r="B1429" s="1" t="n">
        <v>44799</v>
      </c>
      <c r="C1429" s="1" t="n">
        <v>45346</v>
      </c>
      <c r="D1429" t="inlineStr">
        <is>
          <t>VÄSTERNORRLANDS LÄN</t>
        </is>
      </c>
      <c r="E1429" t="inlineStr">
        <is>
          <t>SOLLEFTEÅ</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35797-2022</t>
        </is>
      </c>
      <c r="B1430" s="1" t="n">
        <v>44802</v>
      </c>
      <c r="C1430" s="1" t="n">
        <v>45346</v>
      </c>
      <c r="D1430" t="inlineStr">
        <is>
          <t>VÄSTERNORRLANDS LÄN</t>
        </is>
      </c>
      <c r="E1430" t="inlineStr">
        <is>
          <t>SOLLEFTEÅ</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36080-2022</t>
        </is>
      </c>
      <c r="B1431" s="1" t="n">
        <v>44803</v>
      </c>
      <c r="C1431" s="1" t="n">
        <v>45346</v>
      </c>
      <c r="D1431" t="inlineStr">
        <is>
          <t>VÄSTERNORRLANDS LÄN</t>
        </is>
      </c>
      <c r="E1431" t="inlineStr">
        <is>
          <t>SOLLEFTEÅ</t>
        </is>
      </c>
      <c r="F1431" t="inlineStr">
        <is>
          <t>SCA</t>
        </is>
      </c>
      <c r="G1431" t="n">
        <v>78.2</v>
      </c>
      <c r="H1431" t="n">
        <v>0</v>
      </c>
      <c r="I1431" t="n">
        <v>0</v>
      </c>
      <c r="J1431" t="n">
        <v>0</v>
      </c>
      <c r="K1431" t="n">
        <v>0</v>
      </c>
      <c r="L1431" t="n">
        <v>0</v>
      </c>
      <c r="M1431" t="n">
        <v>0</v>
      </c>
      <c r="N1431" t="n">
        <v>0</v>
      </c>
      <c r="O1431" t="n">
        <v>0</v>
      </c>
      <c r="P1431" t="n">
        <v>0</v>
      </c>
      <c r="Q1431" t="n">
        <v>0</v>
      </c>
      <c r="R1431" s="2" t="inlineStr"/>
    </row>
    <row r="1432" ht="15" customHeight="1">
      <c r="A1432" t="inlineStr">
        <is>
          <t>A 36078-2022</t>
        </is>
      </c>
      <c r="B1432" s="1" t="n">
        <v>44803</v>
      </c>
      <c r="C1432" s="1" t="n">
        <v>45346</v>
      </c>
      <c r="D1432" t="inlineStr">
        <is>
          <t>VÄSTERNORRLANDS LÄN</t>
        </is>
      </c>
      <c r="E1432" t="inlineStr">
        <is>
          <t>SOLLEFTEÅ</t>
        </is>
      </c>
      <c r="F1432" t="inlineStr">
        <is>
          <t>SCA</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36368-2022</t>
        </is>
      </c>
      <c r="B1433" s="1" t="n">
        <v>44804</v>
      </c>
      <c r="C1433" s="1" t="n">
        <v>45346</v>
      </c>
      <c r="D1433" t="inlineStr">
        <is>
          <t>VÄSTERNORRLANDS LÄN</t>
        </is>
      </c>
      <c r="E1433" t="inlineStr">
        <is>
          <t>SOLLEFTEÅ</t>
        </is>
      </c>
      <c r="F1433" t="inlineStr">
        <is>
          <t>SCA</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36367-2022</t>
        </is>
      </c>
      <c r="B1434" s="1" t="n">
        <v>44804</v>
      </c>
      <c r="C1434" s="1" t="n">
        <v>45346</v>
      </c>
      <c r="D1434" t="inlineStr">
        <is>
          <t>VÄSTERNORRLANDS LÄN</t>
        </is>
      </c>
      <c r="E1434" t="inlineStr">
        <is>
          <t>SOLLEFTEÅ</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36688-2022</t>
        </is>
      </c>
      <c r="B1435" s="1" t="n">
        <v>44804</v>
      </c>
      <c r="C1435" s="1" t="n">
        <v>45346</v>
      </c>
      <c r="D1435" t="inlineStr">
        <is>
          <t>VÄSTERNORRLANDS LÄN</t>
        </is>
      </c>
      <c r="E1435" t="inlineStr">
        <is>
          <t>SOLLEFTEÅ</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36681-2022</t>
        </is>
      </c>
      <c r="B1436" s="1" t="n">
        <v>44804</v>
      </c>
      <c r="C1436" s="1" t="n">
        <v>45346</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36926-2022</t>
        </is>
      </c>
      <c r="B1437" s="1" t="n">
        <v>44806</v>
      </c>
      <c r="C1437" s="1" t="n">
        <v>45346</v>
      </c>
      <c r="D1437" t="inlineStr">
        <is>
          <t>VÄSTERNORRLANDS LÄN</t>
        </is>
      </c>
      <c r="E1437" t="inlineStr">
        <is>
          <t>SOLLEFTEÅ</t>
        </is>
      </c>
      <c r="F1437" t="inlineStr">
        <is>
          <t>SCA</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37242-2022</t>
        </is>
      </c>
      <c r="B1438" s="1" t="n">
        <v>44807</v>
      </c>
      <c r="C1438" s="1" t="n">
        <v>45346</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37589-2022</t>
        </is>
      </c>
      <c r="B1439" s="1" t="n">
        <v>44810</v>
      </c>
      <c r="C1439" s="1" t="n">
        <v>45346</v>
      </c>
      <c r="D1439" t="inlineStr">
        <is>
          <t>VÄSTERNORRLANDS LÄN</t>
        </is>
      </c>
      <c r="E1439" t="inlineStr">
        <is>
          <t>SOLLEFTEÅ</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37596-2022</t>
        </is>
      </c>
      <c r="B1440" s="1" t="n">
        <v>44810</v>
      </c>
      <c r="C1440" s="1" t="n">
        <v>45346</v>
      </c>
      <c r="D1440" t="inlineStr">
        <is>
          <t>VÄSTERNORRLANDS LÄN</t>
        </is>
      </c>
      <c r="E1440" t="inlineStr">
        <is>
          <t>SOLLEFTEÅ</t>
        </is>
      </c>
      <c r="F1440" t="inlineStr">
        <is>
          <t>Holmen skog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37597-2022</t>
        </is>
      </c>
      <c r="B1441" s="1" t="n">
        <v>44810</v>
      </c>
      <c r="C1441" s="1" t="n">
        <v>45346</v>
      </c>
      <c r="D1441" t="inlineStr">
        <is>
          <t>VÄSTERNORRLANDS LÄN</t>
        </is>
      </c>
      <c r="E1441" t="inlineStr">
        <is>
          <t>SOLLEFTEÅ</t>
        </is>
      </c>
      <c r="F1441" t="inlineStr">
        <is>
          <t>Holmen skog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37835-2022</t>
        </is>
      </c>
      <c r="B1442" s="1" t="n">
        <v>44810</v>
      </c>
      <c r="C1442" s="1" t="n">
        <v>45346</v>
      </c>
      <c r="D1442" t="inlineStr">
        <is>
          <t>VÄSTERNORRLANDS LÄN</t>
        </is>
      </c>
      <c r="E1442" t="inlineStr">
        <is>
          <t>SOLLEFTEÅ</t>
        </is>
      </c>
      <c r="F1442" t="inlineStr">
        <is>
          <t>SCA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37826-2022</t>
        </is>
      </c>
      <c r="B1443" s="1" t="n">
        <v>44811</v>
      </c>
      <c r="C1443" s="1" t="n">
        <v>45346</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37840-2022</t>
        </is>
      </c>
      <c r="B1444" s="1" t="n">
        <v>44810</v>
      </c>
      <c r="C1444" s="1" t="n">
        <v>45346</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38096-2022</t>
        </is>
      </c>
      <c r="B1445" s="1" t="n">
        <v>44812</v>
      </c>
      <c r="C1445" s="1" t="n">
        <v>45346</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38095-2022</t>
        </is>
      </c>
      <c r="B1446" s="1" t="n">
        <v>44811</v>
      </c>
      <c r="C1446" s="1" t="n">
        <v>45346</v>
      </c>
      <c r="D1446" t="inlineStr">
        <is>
          <t>VÄSTERNORRLANDS LÄN</t>
        </is>
      </c>
      <c r="E1446" t="inlineStr">
        <is>
          <t>SOLLEFTEÅ</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37977-2022</t>
        </is>
      </c>
      <c r="B1447" s="1" t="n">
        <v>44811</v>
      </c>
      <c r="C1447" s="1" t="n">
        <v>45346</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38102-2022</t>
        </is>
      </c>
      <c r="B1448" s="1" t="n">
        <v>44811</v>
      </c>
      <c r="C1448" s="1" t="n">
        <v>45346</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c r="U1448">
        <f>HYPERLINK("https://klasma.github.io/Logging_2283/knärot/A 38102-2022 karta knärot.png", "A 38102-2022")</f>
        <v/>
      </c>
      <c r="V1448">
        <f>HYPERLINK("https://klasma.github.io/Logging_2283/klagomål/A 38102-2022 FSC-klagomål.docx", "A 38102-2022")</f>
        <v/>
      </c>
      <c r="W1448">
        <f>HYPERLINK("https://klasma.github.io/Logging_2283/klagomålsmail/A 38102-2022 FSC-klagomål mail.docx", "A 38102-2022")</f>
        <v/>
      </c>
      <c r="X1448">
        <f>HYPERLINK("https://klasma.github.io/Logging_2283/tillsyn/A 38102-2022 tillsynsbegäran.docx", "A 38102-2022")</f>
        <v/>
      </c>
      <c r="Y1448">
        <f>HYPERLINK("https://klasma.github.io/Logging_2283/tillsynsmail/A 38102-2022 tillsynsbegäran mail.docx", "A 38102-2022")</f>
        <v/>
      </c>
    </row>
    <row r="1449" ht="15" customHeight="1">
      <c r="A1449" t="inlineStr">
        <is>
          <t>A 38230-2022</t>
        </is>
      </c>
      <c r="B1449" s="1" t="n">
        <v>44812</v>
      </c>
      <c r="C1449" s="1" t="n">
        <v>45346</v>
      </c>
      <c r="D1449" t="inlineStr">
        <is>
          <t>VÄSTERNORRLANDS LÄN</t>
        </is>
      </c>
      <c r="E1449" t="inlineStr">
        <is>
          <t>SOLLEFTEÅ</t>
        </is>
      </c>
      <c r="F1449" t="inlineStr">
        <is>
          <t>Kommuner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38430-2022</t>
        </is>
      </c>
      <c r="B1450" s="1" t="n">
        <v>44812</v>
      </c>
      <c r="C1450" s="1" t="n">
        <v>45346</v>
      </c>
      <c r="D1450" t="inlineStr">
        <is>
          <t>VÄSTERNORRLANDS LÄN</t>
        </is>
      </c>
      <c r="E1450" t="inlineStr">
        <is>
          <t>SOLLEFTEÅ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38433-2022</t>
        </is>
      </c>
      <c r="B1451" s="1" t="n">
        <v>44812</v>
      </c>
      <c r="C1451" s="1" t="n">
        <v>45346</v>
      </c>
      <c r="D1451" t="inlineStr">
        <is>
          <t>VÄSTERNORRLANDS LÄN</t>
        </is>
      </c>
      <c r="E1451" t="inlineStr">
        <is>
          <t>SOLLEFTEÅ</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38312-2022</t>
        </is>
      </c>
      <c r="B1452" s="1" t="n">
        <v>44812</v>
      </c>
      <c r="C1452" s="1" t="n">
        <v>45346</v>
      </c>
      <c r="D1452" t="inlineStr">
        <is>
          <t>VÄSTERNORRLANDS LÄN</t>
        </is>
      </c>
      <c r="E1452" t="inlineStr">
        <is>
          <t>SOLLEFTEÅ</t>
        </is>
      </c>
      <c r="F1452" t="inlineStr">
        <is>
          <t>Holmen skog AB</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38428-2022</t>
        </is>
      </c>
      <c r="B1453" s="1" t="n">
        <v>44812</v>
      </c>
      <c r="C1453" s="1" t="n">
        <v>45346</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38432-2022</t>
        </is>
      </c>
      <c r="B1454" s="1" t="n">
        <v>44812</v>
      </c>
      <c r="C1454" s="1" t="n">
        <v>45346</v>
      </c>
      <c r="D1454" t="inlineStr">
        <is>
          <t>VÄSTERNORRLANDS LÄN</t>
        </is>
      </c>
      <c r="E1454" t="inlineStr">
        <is>
          <t>SOLLEFTEÅ</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38663-2022</t>
        </is>
      </c>
      <c r="B1455" s="1" t="n">
        <v>44814</v>
      </c>
      <c r="C1455" s="1" t="n">
        <v>45346</v>
      </c>
      <c r="D1455" t="inlineStr">
        <is>
          <t>VÄSTERNORRLANDS LÄN</t>
        </is>
      </c>
      <c r="E1455" t="inlineStr">
        <is>
          <t>SOLLEFTEÅ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39006-2022</t>
        </is>
      </c>
      <c r="B1456" s="1" t="n">
        <v>44817</v>
      </c>
      <c r="C1456" s="1" t="n">
        <v>45346</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39012-2022</t>
        </is>
      </c>
      <c r="B1457" s="1" t="n">
        <v>44816</v>
      </c>
      <c r="C1457" s="1" t="n">
        <v>45346</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39384-2022</t>
        </is>
      </c>
      <c r="B1458" s="1" t="n">
        <v>44818</v>
      </c>
      <c r="C1458" s="1" t="n">
        <v>45346</v>
      </c>
      <c r="D1458" t="inlineStr">
        <is>
          <t>VÄSTERNORRLANDS LÄN</t>
        </is>
      </c>
      <c r="E1458" t="inlineStr">
        <is>
          <t>SOLLEFTEÅ</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39372-2022</t>
        </is>
      </c>
      <c r="B1459" s="1" t="n">
        <v>44818</v>
      </c>
      <c r="C1459" s="1" t="n">
        <v>45346</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39371-2022</t>
        </is>
      </c>
      <c r="B1460" s="1" t="n">
        <v>44818</v>
      </c>
      <c r="C1460" s="1" t="n">
        <v>45346</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39688-2022</t>
        </is>
      </c>
      <c r="B1461" s="1" t="n">
        <v>44818</v>
      </c>
      <c r="C1461" s="1" t="n">
        <v>45346</v>
      </c>
      <c r="D1461" t="inlineStr">
        <is>
          <t>VÄSTERNORRLANDS LÄN</t>
        </is>
      </c>
      <c r="E1461" t="inlineStr">
        <is>
          <t>SOLLEFTEÅ</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39699-2022</t>
        </is>
      </c>
      <c r="B1462" s="1" t="n">
        <v>44819</v>
      </c>
      <c r="C1462" s="1" t="n">
        <v>45346</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39944-2022</t>
        </is>
      </c>
      <c r="B1463" s="1" t="n">
        <v>44819</v>
      </c>
      <c r="C1463" s="1" t="n">
        <v>45346</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39942-2022</t>
        </is>
      </c>
      <c r="B1464" s="1" t="n">
        <v>44820</v>
      </c>
      <c r="C1464" s="1" t="n">
        <v>45346</v>
      </c>
      <c r="D1464" t="inlineStr">
        <is>
          <t>VÄSTERNORRLANDS LÄN</t>
        </is>
      </c>
      <c r="E1464" t="inlineStr">
        <is>
          <t>SOLLEFTEÅ</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39947-2022</t>
        </is>
      </c>
      <c r="B1465" s="1" t="n">
        <v>44819</v>
      </c>
      <c r="C1465" s="1" t="n">
        <v>45346</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39943-2022</t>
        </is>
      </c>
      <c r="B1466" s="1" t="n">
        <v>44820</v>
      </c>
      <c r="C1466" s="1" t="n">
        <v>45346</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39951-2022</t>
        </is>
      </c>
      <c r="B1467" s="1" t="n">
        <v>44820</v>
      </c>
      <c r="C1467" s="1" t="n">
        <v>45346</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39934-2022</t>
        </is>
      </c>
      <c r="B1468" s="1" t="n">
        <v>44820</v>
      </c>
      <c r="C1468" s="1" t="n">
        <v>45346</v>
      </c>
      <c r="D1468" t="inlineStr">
        <is>
          <t>VÄSTERNORRLANDS LÄN</t>
        </is>
      </c>
      <c r="E1468" t="inlineStr">
        <is>
          <t>SOLLEFTEÅ</t>
        </is>
      </c>
      <c r="F1468" t="inlineStr">
        <is>
          <t>SCA</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39946-2022</t>
        </is>
      </c>
      <c r="B1469" s="1" t="n">
        <v>44819</v>
      </c>
      <c r="C1469" s="1" t="n">
        <v>45346</v>
      </c>
      <c r="D1469" t="inlineStr">
        <is>
          <t>VÄSTERNORRLANDS LÄN</t>
        </is>
      </c>
      <c r="E1469" t="inlineStr">
        <is>
          <t>SOLLEFTEÅ</t>
        </is>
      </c>
      <c r="F1469" t="inlineStr">
        <is>
          <t>SCA</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40608-2022</t>
        </is>
      </c>
      <c r="B1470" s="1" t="n">
        <v>44824</v>
      </c>
      <c r="C1470" s="1" t="n">
        <v>45346</v>
      </c>
      <c r="D1470" t="inlineStr">
        <is>
          <t>VÄSTERNORRLANDS LÄN</t>
        </is>
      </c>
      <c r="E1470" t="inlineStr">
        <is>
          <t>SOLLEFTEÅ</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40609-2022</t>
        </is>
      </c>
      <c r="B1471" s="1" t="n">
        <v>44824</v>
      </c>
      <c r="C1471" s="1" t="n">
        <v>45346</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40610-2022</t>
        </is>
      </c>
      <c r="B1472" s="1" t="n">
        <v>44824</v>
      </c>
      <c r="C1472" s="1" t="n">
        <v>45346</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40599-2022</t>
        </is>
      </c>
      <c r="B1473" s="1" t="n">
        <v>44824</v>
      </c>
      <c r="C1473" s="1" t="n">
        <v>45346</v>
      </c>
      <c r="D1473" t="inlineStr">
        <is>
          <t>VÄSTERNORRLANDS LÄN</t>
        </is>
      </c>
      <c r="E1473" t="inlineStr">
        <is>
          <t>SOLLEFTEÅ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40611-2022</t>
        </is>
      </c>
      <c r="B1474" s="1" t="n">
        <v>44824</v>
      </c>
      <c r="C1474" s="1" t="n">
        <v>45346</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40832-2022</t>
        </is>
      </c>
      <c r="B1475" s="1" t="n">
        <v>44825</v>
      </c>
      <c r="C1475" s="1" t="n">
        <v>45346</v>
      </c>
      <c r="D1475" t="inlineStr">
        <is>
          <t>VÄSTERNORRLANDS LÄN</t>
        </is>
      </c>
      <c r="E1475" t="inlineStr">
        <is>
          <t>SOLLEFTEÅ</t>
        </is>
      </c>
      <c r="F1475" t="inlineStr">
        <is>
          <t>SCA</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41187-2022</t>
        </is>
      </c>
      <c r="B1476" s="1" t="n">
        <v>44826</v>
      </c>
      <c r="C1476" s="1" t="n">
        <v>45346</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41192-2022</t>
        </is>
      </c>
      <c r="B1477" s="1" t="n">
        <v>44826</v>
      </c>
      <c r="C1477" s="1" t="n">
        <v>45346</v>
      </c>
      <c r="D1477" t="inlineStr">
        <is>
          <t>VÄSTERNORRLANDS LÄN</t>
        </is>
      </c>
      <c r="E1477" t="inlineStr">
        <is>
          <t>SOLLEFTEÅ</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41168-2022</t>
        </is>
      </c>
      <c r="B1478" s="1" t="n">
        <v>44826</v>
      </c>
      <c r="C1478" s="1" t="n">
        <v>45346</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41172-2022</t>
        </is>
      </c>
      <c r="B1479" s="1" t="n">
        <v>44826</v>
      </c>
      <c r="C1479" s="1" t="n">
        <v>45346</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41176-2022</t>
        </is>
      </c>
      <c r="B1480" s="1" t="n">
        <v>44826</v>
      </c>
      <c r="C1480" s="1" t="n">
        <v>45346</v>
      </c>
      <c r="D1480" t="inlineStr">
        <is>
          <t>VÄSTERNORRLANDS LÄN</t>
        </is>
      </c>
      <c r="E1480" t="inlineStr">
        <is>
          <t>SOLLEFTEÅ</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41189-2022</t>
        </is>
      </c>
      <c r="B1481" s="1" t="n">
        <v>44826</v>
      </c>
      <c r="C1481" s="1" t="n">
        <v>45346</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41196-2022</t>
        </is>
      </c>
      <c r="B1482" s="1" t="n">
        <v>44826</v>
      </c>
      <c r="C1482" s="1" t="n">
        <v>45346</v>
      </c>
      <c r="D1482" t="inlineStr">
        <is>
          <t>VÄSTERNORRLANDS LÄN</t>
        </is>
      </c>
      <c r="E1482" t="inlineStr">
        <is>
          <t>SOLLEFTEÅ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41195-2022</t>
        </is>
      </c>
      <c r="B1483" s="1" t="n">
        <v>44826</v>
      </c>
      <c r="C1483" s="1" t="n">
        <v>45346</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41456-2022</t>
        </is>
      </c>
      <c r="B1484" s="1" t="n">
        <v>44826</v>
      </c>
      <c r="C1484" s="1" t="n">
        <v>45346</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41463-2022</t>
        </is>
      </c>
      <c r="B1485" s="1" t="n">
        <v>44827</v>
      </c>
      <c r="C1485" s="1" t="n">
        <v>45346</v>
      </c>
      <c r="D1485" t="inlineStr">
        <is>
          <t>VÄSTERNORRLANDS LÄN</t>
        </is>
      </c>
      <c r="E1485" t="inlineStr">
        <is>
          <t>SOLLEFTEÅ</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41475-2022</t>
        </is>
      </c>
      <c r="B1486" s="1" t="n">
        <v>44826</v>
      </c>
      <c r="C1486" s="1" t="n">
        <v>45346</v>
      </c>
      <c r="D1486" t="inlineStr">
        <is>
          <t>VÄSTERNORRLANDS LÄN</t>
        </is>
      </c>
      <c r="E1486" t="inlineStr">
        <is>
          <t>SOLLEFTEÅ</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41481-2022</t>
        </is>
      </c>
      <c r="B1487" s="1" t="n">
        <v>44827</v>
      </c>
      <c r="C1487" s="1" t="n">
        <v>45346</v>
      </c>
      <c r="D1487" t="inlineStr">
        <is>
          <t>VÄSTERNORRLANDS LÄN</t>
        </is>
      </c>
      <c r="E1487" t="inlineStr">
        <is>
          <t>SOLLEFTEÅ</t>
        </is>
      </c>
      <c r="F1487" t="inlineStr">
        <is>
          <t>SCA</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41478-2022</t>
        </is>
      </c>
      <c r="B1488" s="1" t="n">
        <v>44827</v>
      </c>
      <c r="C1488" s="1" t="n">
        <v>45346</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41486-2022</t>
        </is>
      </c>
      <c r="B1489" s="1" t="n">
        <v>44827</v>
      </c>
      <c r="C1489" s="1" t="n">
        <v>45346</v>
      </c>
      <c r="D1489" t="inlineStr">
        <is>
          <t>VÄSTERNORRLANDS LÄN</t>
        </is>
      </c>
      <c r="E1489" t="inlineStr">
        <is>
          <t>SOLLEFTEÅ</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41455-2022</t>
        </is>
      </c>
      <c r="B1490" s="1" t="n">
        <v>44826</v>
      </c>
      <c r="C1490" s="1" t="n">
        <v>45346</v>
      </c>
      <c r="D1490" t="inlineStr">
        <is>
          <t>VÄSTERNORRLANDS LÄN</t>
        </is>
      </c>
      <c r="E1490" t="inlineStr">
        <is>
          <t>SOLLEFTEÅ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41474-2022</t>
        </is>
      </c>
      <c r="B1491" s="1" t="n">
        <v>44827</v>
      </c>
      <c r="C1491" s="1" t="n">
        <v>45346</v>
      </c>
      <c r="D1491" t="inlineStr">
        <is>
          <t>VÄSTERNORRLANDS LÄN</t>
        </is>
      </c>
      <c r="E1491" t="inlineStr">
        <is>
          <t>SOLLEFTEÅ</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41480-2022</t>
        </is>
      </c>
      <c r="B1492" s="1" t="n">
        <v>44827</v>
      </c>
      <c r="C1492" s="1" t="n">
        <v>45346</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41488-2022</t>
        </is>
      </c>
      <c r="B1493" s="1" t="n">
        <v>44826</v>
      </c>
      <c r="C1493" s="1" t="n">
        <v>45346</v>
      </c>
      <c r="D1493" t="inlineStr">
        <is>
          <t>VÄSTERNORRLANDS LÄN</t>
        </is>
      </c>
      <c r="E1493" t="inlineStr">
        <is>
          <t>SOLLEFTEÅ</t>
        </is>
      </c>
      <c r="F1493" t="inlineStr">
        <is>
          <t>SCA</t>
        </is>
      </c>
      <c r="G1493" t="n">
        <v>14.7</v>
      </c>
      <c r="H1493" t="n">
        <v>0</v>
      </c>
      <c r="I1493" t="n">
        <v>0</v>
      </c>
      <c r="J1493" t="n">
        <v>0</v>
      </c>
      <c r="K1493" t="n">
        <v>0</v>
      </c>
      <c r="L1493" t="n">
        <v>0</v>
      </c>
      <c r="M1493" t="n">
        <v>0</v>
      </c>
      <c r="N1493" t="n">
        <v>0</v>
      </c>
      <c r="O1493" t="n">
        <v>0</v>
      </c>
      <c r="P1493" t="n">
        <v>0</v>
      </c>
      <c r="Q1493" t="n">
        <v>0</v>
      </c>
      <c r="R1493" s="2" t="inlineStr"/>
    </row>
    <row r="1494" ht="15" customHeight="1">
      <c r="A1494" t="inlineStr">
        <is>
          <t>A 41487-2022</t>
        </is>
      </c>
      <c r="B1494" s="1" t="n">
        <v>44827</v>
      </c>
      <c r="C1494" s="1" t="n">
        <v>45346</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41479-2022</t>
        </is>
      </c>
      <c r="B1495" s="1" t="n">
        <v>44827</v>
      </c>
      <c r="C1495" s="1" t="n">
        <v>45346</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41813-2022</t>
        </is>
      </c>
      <c r="B1496" s="1" t="n">
        <v>44828</v>
      </c>
      <c r="C1496" s="1" t="n">
        <v>45346</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42272-2022</t>
        </is>
      </c>
      <c r="B1497" s="1" t="n">
        <v>44831</v>
      </c>
      <c r="C1497" s="1" t="n">
        <v>45346</v>
      </c>
      <c r="D1497" t="inlineStr">
        <is>
          <t>VÄSTERNORRLANDS LÄN</t>
        </is>
      </c>
      <c r="E1497" t="inlineStr">
        <is>
          <t>SOLLEFTEÅ</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42301-2022</t>
        </is>
      </c>
      <c r="B1498" s="1" t="n">
        <v>44831</v>
      </c>
      <c r="C1498" s="1" t="n">
        <v>45346</v>
      </c>
      <c r="D1498" t="inlineStr">
        <is>
          <t>VÄSTERNORRLANDS LÄN</t>
        </is>
      </c>
      <c r="E1498" t="inlineStr">
        <is>
          <t>SOLLEFTEÅ</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42299-2022</t>
        </is>
      </c>
      <c r="B1499" s="1" t="n">
        <v>44830</v>
      </c>
      <c r="C1499" s="1" t="n">
        <v>45346</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42303-2022</t>
        </is>
      </c>
      <c r="B1500" s="1" t="n">
        <v>44831</v>
      </c>
      <c r="C1500" s="1" t="n">
        <v>45346</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42275-2022</t>
        </is>
      </c>
      <c r="B1501" s="1" t="n">
        <v>44830</v>
      </c>
      <c r="C1501" s="1" t="n">
        <v>45346</v>
      </c>
      <c r="D1501" t="inlineStr">
        <is>
          <t>VÄSTERNORRLANDS LÄN</t>
        </is>
      </c>
      <c r="E1501" t="inlineStr">
        <is>
          <t>SOLLEFTEÅ</t>
        </is>
      </c>
      <c r="F1501" t="inlineStr">
        <is>
          <t>SCA</t>
        </is>
      </c>
      <c r="G1501" t="n">
        <v>26.9</v>
      </c>
      <c r="H1501" t="n">
        <v>0</v>
      </c>
      <c r="I1501" t="n">
        <v>0</v>
      </c>
      <c r="J1501" t="n">
        <v>0</v>
      </c>
      <c r="K1501" t="n">
        <v>0</v>
      </c>
      <c r="L1501" t="n">
        <v>0</v>
      </c>
      <c r="M1501" t="n">
        <v>0</v>
      </c>
      <c r="N1501" t="n">
        <v>0</v>
      </c>
      <c r="O1501" t="n">
        <v>0</v>
      </c>
      <c r="P1501" t="n">
        <v>0</v>
      </c>
      <c r="Q1501" t="n">
        <v>0</v>
      </c>
      <c r="R1501" s="2" t="inlineStr"/>
    </row>
    <row r="1502" ht="15" customHeight="1">
      <c r="A1502" t="inlineStr">
        <is>
          <t>A 42300-2022</t>
        </is>
      </c>
      <c r="B1502" s="1" t="n">
        <v>44831</v>
      </c>
      <c r="C1502" s="1" t="n">
        <v>45346</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42302-2022</t>
        </is>
      </c>
      <c r="B1503" s="1" t="n">
        <v>44830</v>
      </c>
      <c r="C1503" s="1" t="n">
        <v>45346</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42482-2022</t>
        </is>
      </c>
      <c r="B1504" s="1" t="n">
        <v>44831</v>
      </c>
      <c r="C1504" s="1" t="n">
        <v>45346</v>
      </c>
      <c r="D1504" t="inlineStr">
        <is>
          <t>VÄSTERNORRLANDS LÄN</t>
        </is>
      </c>
      <c r="E1504" t="inlineStr">
        <is>
          <t>SOLLEFTEÅ</t>
        </is>
      </c>
      <c r="F1504" t="inlineStr">
        <is>
          <t>Holmen skog AB</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42430-2022</t>
        </is>
      </c>
      <c r="B1505" s="1" t="n">
        <v>44831</v>
      </c>
      <c r="C1505" s="1" t="n">
        <v>45346</v>
      </c>
      <c r="D1505" t="inlineStr">
        <is>
          <t>VÄSTERNORRLANDS LÄN</t>
        </is>
      </c>
      <c r="E1505" t="inlineStr">
        <is>
          <t>SOLLEFTEÅ</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42634-2022</t>
        </is>
      </c>
      <c r="B1506" s="1" t="n">
        <v>44832</v>
      </c>
      <c r="C1506" s="1" t="n">
        <v>45346</v>
      </c>
      <c r="D1506" t="inlineStr">
        <is>
          <t>VÄSTERNORRLANDS LÄN</t>
        </is>
      </c>
      <c r="E1506" t="inlineStr">
        <is>
          <t>SOLLEFTEÅ</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42663-2022</t>
        </is>
      </c>
      <c r="B1507" s="1" t="n">
        <v>44831</v>
      </c>
      <c r="C1507" s="1" t="n">
        <v>45346</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42664-2022</t>
        </is>
      </c>
      <c r="B1508" s="1" t="n">
        <v>44831</v>
      </c>
      <c r="C1508" s="1" t="n">
        <v>45346</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42654-2022</t>
        </is>
      </c>
      <c r="B1509" s="1" t="n">
        <v>44832</v>
      </c>
      <c r="C1509" s="1" t="n">
        <v>45346</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42771-2022</t>
        </is>
      </c>
      <c r="B1510" s="1" t="n">
        <v>44832</v>
      </c>
      <c r="C1510" s="1" t="n">
        <v>45346</v>
      </c>
      <c r="D1510" t="inlineStr">
        <is>
          <t>VÄSTERNORRLANDS LÄN</t>
        </is>
      </c>
      <c r="E1510" t="inlineStr">
        <is>
          <t>SOLLEFTEÅ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42755-2022</t>
        </is>
      </c>
      <c r="B1511" s="1" t="n">
        <v>44832</v>
      </c>
      <c r="C1511" s="1" t="n">
        <v>45346</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42885-2022</t>
        </is>
      </c>
      <c r="B1512" s="1" t="n">
        <v>44833</v>
      </c>
      <c r="C1512" s="1" t="n">
        <v>45346</v>
      </c>
      <c r="D1512" t="inlineStr">
        <is>
          <t>VÄSTERNORRLANDS LÄN</t>
        </is>
      </c>
      <c r="E1512" t="inlineStr">
        <is>
          <t>SOLLEFTEÅ</t>
        </is>
      </c>
      <c r="F1512" t="inlineStr">
        <is>
          <t>SCA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42891-2022</t>
        </is>
      </c>
      <c r="B1513" s="1" t="n">
        <v>44833</v>
      </c>
      <c r="C1513" s="1" t="n">
        <v>45346</v>
      </c>
      <c r="D1513" t="inlineStr">
        <is>
          <t>VÄSTERNORRLANDS LÄN</t>
        </is>
      </c>
      <c r="E1513" t="inlineStr">
        <is>
          <t>SOLLEFTEÅ</t>
        </is>
      </c>
      <c r="F1513" t="inlineStr">
        <is>
          <t>SCA</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43035-2022</t>
        </is>
      </c>
      <c r="B1514" s="1" t="n">
        <v>44833</v>
      </c>
      <c r="C1514" s="1" t="n">
        <v>45346</v>
      </c>
      <c r="D1514" t="inlineStr">
        <is>
          <t>VÄSTERNORRLANDS LÄN</t>
        </is>
      </c>
      <c r="E1514" t="inlineStr">
        <is>
          <t>SOLLEFTEÅ</t>
        </is>
      </c>
      <c r="F1514" t="inlineStr">
        <is>
          <t>Kommuner</t>
        </is>
      </c>
      <c r="G1514" t="n">
        <v>19.8</v>
      </c>
      <c r="H1514" t="n">
        <v>0</v>
      </c>
      <c r="I1514" t="n">
        <v>0</v>
      </c>
      <c r="J1514" t="n">
        <v>0</v>
      </c>
      <c r="K1514" t="n">
        <v>0</v>
      </c>
      <c r="L1514" t="n">
        <v>0</v>
      </c>
      <c r="M1514" t="n">
        <v>0</v>
      </c>
      <c r="N1514" t="n">
        <v>0</v>
      </c>
      <c r="O1514" t="n">
        <v>0</v>
      </c>
      <c r="P1514" t="n">
        <v>0</v>
      </c>
      <c r="Q1514" t="n">
        <v>0</v>
      </c>
      <c r="R1514" s="2" t="inlineStr"/>
    </row>
    <row r="1515" ht="15" customHeight="1">
      <c r="A1515" t="inlineStr">
        <is>
          <t>A 43130-2022</t>
        </is>
      </c>
      <c r="B1515" s="1" t="n">
        <v>44833</v>
      </c>
      <c r="C1515" s="1" t="n">
        <v>45346</v>
      </c>
      <c r="D1515" t="inlineStr">
        <is>
          <t>VÄSTERNORRLANDS LÄN</t>
        </is>
      </c>
      <c r="E1515" t="inlineStr">
        <is>
          <t>SOLLEFTEÅ</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43137-2022</t>
        </is>
      </c>
      <c r="B1516" s="1" t="n">
        <v>44834</v>
      </c>
      <c r="C1516" s="1" t="n">
        <v>45346</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43124-2022</t>
        </is>
      </c>
      <c r="B1517" s="1" t="n">
        <v>44834</v>
      </c>
      <c r="C1517" s="1" t="n">
        <v>45346</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43122-2022</t>
        </is>
      </c>
      <c r="B1518" s="1" t="n">
        <v>44834</v>
      </c>
      <c r="C1518" s="1" t="n">
        <v>45346</v>
      </c>
      <c r="D1518" t="inlineStr">
        <is>
          <t>VÄSTERNORRLANDS LÄN</t>
        </is>
      </c>
      <c r="E1518" t="inlineStr">
        <is>
          <t>SOLLEFTEÅ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43148-2022</t>
        </is>
      </c>
      <c r="B1519" s="1" t="n">
        <v>44834</v>
      </c>
      <c r="C1519" s="1" t="n">
        <v>45346</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43149-2022</t>
        </is>
      </c>
      <c r="B1520" s="1" t="n">
        <v>44834</v>
      </c>
      <c r="C1520" s="1" t="n">
        <v>45346</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43442-2022</t>
        </is>
      </c>
      <c r="B1521" s="1" t="n">
        <v>44834</v>
      </c>
      <c r="C1521" s="1" t="n">
        <v>45346</v>
      </c>
      <c r="D1521" t="inlineStr">
        <is>
          <t>VÄSTERNORRLANDS LÄN</t>
        </is>
      </c>
      <c r="E1521" t="inlineStr">
        <is>
          <t>SOLLEFTEÅ</t>
        </is>
      </c>
      <c r="F1521" t="inlineStr">
        <is>
          <t>Kyrkan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43469-2022</t>
        </is>
      </c>
      <c r="B1522" s="1" t="n">
        <v>44836</v>
      </c>
      <c r="C1522" s="1" t="n">
        <v>45346</v>
      </c>
      <c r="D1522" t="inlineStr">
        <is>
          <t>VÄSTERNORRLANDS LÄN</t>
        </is>
      </c>
      <c r="E1522" t="inlineStr">
        <is>
          <t>SOLLEFTEÅ</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43774-2022</t>
        </is>
      </c>
      <c r="B1523" s="1" t="n">
        <v>44837</v>
      </c>
      <c r="C1523" s="1" t="n">
        <v>45346</v>
      </c>
      <c r="D1523" t="inlineStr">
        <is>
          <t>VÄSTERNORRLANDS LÄN</t>
        </is>
      </c>
      <c r="E1523" t="inlineStr">
        <is>
          <t>SOLLEFTEÅ</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43772-2022</t>
        </is>
      </c>
      <c r="B1524" s="1" t="n">
        <v>44837</v>
      </c>
      <c r="C1524" s="1" t="n">
        <v>45346</v>
      </c>
      <c r="D1524" t="inlineStr">
        <is>
          <t>VÄSTERNORRLANDS LÄN</t>
        </is>
      </c>
      <c r="E1524" t="inlineStr">
        <is>
          <t>SOLLEFTEÅ</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43762-2022</t>
        </is>
      </c>
      <c r="B1525" s="1" t="n">
        <v>44838</v>
      </c>
      <c r="C1525" s="1" t="n">
        <v>45346</v>
      </c>
      <c r="D1525" t="inlineStr">
        <is>
          <t>VÄSTERNORRLANDS LÄN</t>
        </is>
      </c>
      <c r="E1525" t="inlineStr">
        <is>
          <t>SOLLEFTEÅ</t>
        </is>
      </c>
      <c r="F1525" t="inlineStr">
        <is>
          <t>Kyrkan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43766-2022</t>
        </is>
      </c>
      <c r="B1526" s="1" t="n">
        <v>44838</v>
      </c>
      <c r="C1526" s="1" t="n">
        <v>45346</v>
      </c>
      <c r="D1526" t="inlineStr">
        <is>
          <t>VÄSTERNORRLANDS LÄN</t>
        </is>
      </c>
      <c r="E1526" t="inlineStr">
        <is>
          <t>SOLLEFTEÅ</t>
        </is>
      </c>
      <c r="F1526" t="inlineStr">
        <is>
          <t>Kyrkan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43782-2022</t>
        </is>
      </c>
      <c r="B1527" s="1" t="n">
        <v>44838</v>
      </c>
      <c r="C1527" s="1" t="n">
        <v>45346</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43786-2022</t>
        </is>
      </c>
      <c r="B1528" s="1" t="n">
        <v>44837</v>
      </c>
      <c r="C1528" s="1" t="n">
        <v>45346</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44042-2022</t>
        </is>
      </c>
      <c r="B1529" s="1" t="n">
        <v>44839</v>
      </c>
      <c r="C1529" s="1" t="n">
        <v>45346</v>
      </c>
      <c r="D1529" t="inlineStr">
        <is>
          <t>VÄSTERNORRLANDS LÄN</t>
        </is>
      </c>
      <c r="E1529" t="inlineStr">
        <is>
          <t>SOLLEFTEÅ</t>
        </is>
      </c>
      <c r="F1529" t="inlineStr">
        <is>
          <t>SCA</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44285-2022</t>
        </is>
      </c>
      <c r="B1530" s="1" t="n">
        <v>44839</v>
      </c>
      <c r="C1530" s="1" t="n">
        <v>45346</v>
      </c>
      <c r="D1530" t="inlineStr">
        <is>
          <t>VÄSTERNORRLANDS LÄN</t>
        </is>
      </c>
      <c r="E1530" t="inlineStr">
        <is>
          <t>SOLLEFTEÅ</t>
        </is>
      </c>
      <c r="F1530" t="inlineStr">
        <is>
          <t>Holmen skog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44438-2022</t>
        </is>
      </c>
      <c r="B1531" s="1" t="n">
        <v>44840</v>
      </c>
      <c r="C1531" s="1" t="n">
        <v>45346</v>
      </c>
      <c r="D1531" t="inlineStr">
        <is>
          <t>VÄSTERNORRLANDS LÄN</t>
        </is>
      </c>
      <c r="E1531" t="inlineStr">
        <is>
          <t>SOLLEFTEÅ</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44454-2022</t>
        </is>
      </c>
      <c r="B1532" s="1" t="n">
        <v>44840</v>
      </c>
      <c r="C1532" s="1" t="n">
        <v>45346</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44208-2022</t>
        </is>
      </c>
      <c r="B1533" s="1" t="n">
        <v>44839</v>
      </c>
      <c r="C1533" s="1" t="n">
        <v>45346</v>
      </c>
      <c r="D1533" t="inlineStr">
        <is>
          <t>VÄSTERNORRLANDS LÄN</t>
        </is>
      </c>
      <c r="E1533" t="inlineStr">
        <is>
          <t>SOLLEFTEÅ</t>
        </is>
      </c>
      <c r="F1533" t="inlineStr">
        <is>
          <t>Holmen skog AB</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44755-2022</t>
        </is>
      </c>
      <c r="B1534" s="1" t="n">
        <v>44841</v>
      </c>
      <c r="C1534" s="1" t="n">
        <v>45346</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44762-2022</t>
        </is>
      </c>
      <c r="B1535" s="1" t="n">
        <v>44840</v>
      </c>
      <c r="C1535" s="1" t="n">
        <v>45346</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44761-2022</t>
        </is>
      </c>
      <c r="B1536" s="1" t="n">
        <v>44840</v>
      </c>
      <c r="C1536" s="1" t="n">
        <v>45346</v>
      </c>
      <c r="D1536" t="inlineStr">
        <is>
          <t>VÄSTERNORRLANDS LÄN</t>
        </is>
      </c>
      <c r="E1536" t="inlineStr">
        <is>
          <t>SOLLEFTEÅ</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44805-2022</t>
        </is>
      </c>
      <c r="B1537" s="1" t="n">
        <v>44841</v>
      </c>
      <c r="C1537" s="1" t="n">
        <v>45346</v>
      </c>
      <c r="D1537" t="inlineStr">
        <is>
          <t>VÄSTERNORRLANDS LÄN</t>
        </is>
      </c>
      <c r="E1537" t="inlineStr">
        <is>
          <t>SOLLEFTEÅ</t>
        </is>
      </c>
      <c r="F1537" t="inlineStr">
        <is>
          <t>Holmen skog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45085-2022</t>
        </is>
      </c>
      <c r="B1538" s="1" t="n">
        <v>44841</v>
      </c>
      <c r="C1538" s="1" t="n">
        <v>45346</v>
      </c>
      <c r="D1538" t="inlineStr">
        <is>
          <t>VÄSTERNORRLANDS LÄN</t>
        </is>
      </c>
      <c r="E1538" t="inlineStr">
        <is>
          <t>SOLLEFTEÅ</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45119-2022</t>
        </is>
      </c>
      <c r="B1539" s="1" t="n">
        <v>44843</v>
      </c>
      <c r="C1539" s="1" t="n">
        <v>45346</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45117-2022</t>
        </is>
      </c>
      <c r="B1540" s="1" t="n">
        <v>44844</v>
      </c>
      <c r="C1540" s="1" t="n">
        <v>45346</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45121-2022</t>
        </is>
      </c>
      <c r="B1541" s="1" t="n">
        <v>44844</v>
      </c>
      <c r="C1541" s="1" t="n">
        <v>45346</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45120-2022</t>
        </is>
      </c>
      <c r="B1542" s="1" t="n">
        <v>44843</v>
      </c>
      <c r="C1542" s="1" t="n">
        <v>45346</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45118-2022</t>
        </is>
      </c>
      <c r="B1543" s="1" t="n">
        <v>44843</v>
      </c>
      <c r="C1543" s="1" t="n">
        <v>45346</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45419-2022</t>
        </is>
      </c>
      <c r="B1544" s="1" t="n">
        <v>44844</v>
      </c>
      <c r="C1544" s="1" t="n">
        <v>45346</v>
      </c>
      <c r="D1544" t="inlineStr">
        <is>
          <t>VÄSTERNORRLANDS LÄN</t>
        </is>
      </c>
      <c r="E1544" t="inlineStr">
        <is>
          <t>SOLLEFTEÅ</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45423-2022</t>
        </is>
      </c>
      <c r="B1545" s="1" t="n">
        <v>44845</v>
      </c>
      <c r="C1545" s="1" t="n">
        <v>45346</v>
      </c>
      <c r="D1545" t="inlineStr">
        <is>
          <t>VÄSTERNORRLANDS LÄN</t>
        </is>
      </c>
      <c r="E1545" t="inlineStr">
        <is>
          <t>SOLLEFTEÅ</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46130-2022</t>
        </is>
      </c>
      <c r="B1546" s="1" t="n">
        <v>44844</v>
      </c>
      <c r="C1546" s="1" t="n">
        <v>45346</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45719-2022</t>
        </is>
      </c>
      <c r="B1547" s="1" t="n">
        <v>44846</v>
      </c>
      <c r="C1547" s="1" t="n">
        <v>45346</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46039-2022</t>
        </is>
      </c>
      <c r="B1548" s="1" t="n">
        <v>44847</v>
      </c>
      <c r="C1548" s="1" t="n">
        <v>45346</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46032-2022</t>
        </is>
      </c>
      <c r="B1549" s="1" t="n">
        <v>44846</v>
      </c>
      <c r="C1549" s="1" t="n">
        <v>45346</v>
      </c>
      <c r="D1549" t="inlineStr">
        <is>
          <t>VÄSTERNORRLANDS LÄN</t>
        </is>
      </c>
      <c r="E1549" t="inlineStr">
        <is>
          <t>SOLLEFTEÅ</t>
        </is>
      </c>
      <c r="F1549" t="inlineStr">
        <is>
          <t>SCA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46036-2022</t>
        </is>
      </c>
      <c r="B1550" s="1" t="n">
        <v>44846</v>
      </c>
      <c r="C1550" s="1" t="n">
        <v>45346</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46052-2022</t>
        </is>
      </c>
      <c r="B1551" s="1" t="n">
        <v>44846</v>
      </c>
      <c r="C1551" s="1" t="n">
        <v>45346</v>
      </c>
      <c r="D1551" t="inlineStr">
        <is>
          <t>VÄSTERNORRLANDS LÄN</t>
        </is>
      </c>
      <c r="E1551" t="inlineStr">
        <is>
          <t>SOLLEFTEÅ</t>
        </is>
      </c>
      <c r="F1551" t="inlineStr">
        <is>
          <t>SCA</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46053-2022</t>
        </is>
      </c>
      <c r="B1552" s="1" t="n">
        <v>44846</v>
      </c>
      <c r="C1552" s="1" t="n">
        <v>45346</v>
      </c>
      <c r="D1552" t="inlineStr">
        <is>
          <t>VÄSTERNORRLANDS LÄN</t>
        </is>
      </c>
      <c r="E1552" t="inlineStr">
        <is>
          <t>SOLLEFTEÅ</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46324-2022</t>
        </is>
      </c>
      <c r="B1553" s="1" t="n">
        <v>44847</v>
      </c>
      <c r="C1553" s="1" t="n">
        <v>45346</v>
      </c>
      <c r="D1553" t="inlineStr">
        <is>
          <t>VÄSTERNORRLANDS LÄN</t>
        </is>
      </c>
      <c r="E1553" t="inlineStr">
        <is>
          <t>SOLLEFTEÅ</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46626-2022</t>
        </is>
      </c>
      <c r="B1554" s="1" t="n">
        <v>44848</v>
      </c>
      <c r="C1554" s="1" t="n">
        <v>45346</v>
      </c>
      <c r="D1554" t="inlineStr">
        <is>
          <t>VÄSTERNORRLANDS LÄN</t>
        </is>
      </c>
      <c r="E1554" t="inlineStr">
        <is>
          <t>SOLLEFTEÅ</t>
        </is>
      </c>
      <c r="F1554" t="inlineStr">
        <is>
          <t>SCA</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46616-2022</t>
        </is>
      </c>
      <c r="B1555" s="1" t="n">
        <v>44848</v>
      </c>
      <c r="C1555" s="1" t="n">
        <v>45346</v>
      </c>
      <c r="D1555" t="inlineStr">
        <is>
          <t>VÄSTERNORRLANDS LÄN</t>
        </is>
      </c>
      <c r="E1555" t="inlineStr">
        <is>
          <t>SOLLEFTEÅ</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46664-2022</t>
        </is>
      </c>
      <c r="B1556" s="1" t="n">
        <v>44851</v>
      </c>
      <c r="C1556" s="1" t="n">
        <v>45346</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46871-2022</t>
        </is>
      </c>
      <c r="B1557" s="1" t="n">
        <v>44851</v>
      </c>
      <c r="C1557" s="1" t="n">
        <v>45346</v>
      </c>
      <c r="D1557" t="inlineStr">
        <is>
          <t>VÄSTERNORRLANDS LÄN</t>
        </is>
      </c>
      <c r="E1557" t="inlineStr">
        <is>
          <t>SOLLEFTEÅ</t>
        </is>
      </c>
      <c r="F1557" t="inlineStr">
        <is>
          <t>Kyrkan</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46880-2022</t>
        </is>
      </c>
      <c r="B1558" s="1" t="n">
        <v>44851</v>
      </c>
      <c r="C1558" s="1" t="n">
        <v>45346</v>
      </c>
      <c r="D1558" t="inlineStr">
        <is>
          <t>VÄSTERNORRLANDS LÄN</t>
        </is>
      </c>
      <c r="E1558" t="inlineStr">
        <is>
          <t>SOLLEFTEÅ</t>
        </is>
      </c>
      <c r="F1558" t="inlineStr">
        <is>
          <t>Kyrkan</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46986-2022</t>
        </is>
      </c>
      <c r="B1559" s="1" t="n">
        <v>44851</v>
      </c>
      <c r="C1559" s="1" t="n">
        <v>45346</v>
      </c>
      <c r="D1559" t="inlineStr">
        <is>
          <t>VÄSTERNORRLANDS LÄN</t>
        </is>
      </c>
      <c r="E1559" t="inlineStr">
        <is>
          <t>SOLLEFTEÅ</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46985-2022</t>
        </is>
      </c>
      <c r="B1560" s="1" t="n">
        <v>44851</v>
      </c>
      <c r="C1560" s="1" t="n">
        <v>45346</v>
      </c>
      <c r="D1560" t="inlineStr">
        <is>
          <t>VÄSTERNORRLANDS LÄN</t>
        </is>
      </c>
      <c r="E1560" t="inlineStr">
        <is>
          <t>SOLLEFTEÅ</t>
        </is>
      </c>
      <c r="F1560" t="inlineStr">
        <is>
          <t>Kyrkan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47250-2022</t>
        </is>
      </c>
      <c r="B1561" s="1" t="n">
        <v>44852</v>
      </c>
      <c r="C1561" s="1" t="n">
        <v>45346</v>
      </c>
      <c r="D1561" t="inlineStr">
        <is>
          <t>VÄSTERNORRLANDS LÄN</t>
        </is>
      </c>
      <c r="E1561" t="inlineStr">
        <is>
          <t>SOLLEFTEÅ</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47268-2022</t>
        </is>
      </c>
      <c r="B1562" s="1" t="n">
        <v>44853</v>
      </c>
      <c r="C1562" s="1" t="n">
        <v>45346</v>
      </c>
      <c r="D1562" t="inlineStr">
        <is>
          <t>VÄSTERNORRLANDS LÄN</t>
        </is>
      </c>
      <c r="E1562" t="inlineStr">
        <is>
          <t>SOLLEFTEÅ</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47269-2022</t>
        </is>
      </c>
      <c r="B1563" s="1" t="n">
        <v>44853</v>
      </c>
      <c r="C1563" s="1" t="n">
        <v>45346</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47272-2022</t>
        </is>
      </c>
      <c r="B1564" s="1" t="n">
        <v>44853</v>
      </c>
      <c r="C1564" s="1" t="n">
        <v>45346</v>
      </c>
      <c r="D1564" t="inlineStr">
        <is>
          <t>VÄSTERNORRLANDS LÄN</t>
        </is>
      </c>
      <c r="E1564" t="inlineStr">
        <is>
          <t>SOLLEFTEÅ</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47564-2022</t>
        </is>
      </c>
      <c r="B1565" s="1" t="n">
        <v>44854</v>
      </c>
      <c r="C1565" s="1" t="n">
        <v>45346</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47580-2022</t>
        </is>
      </c>
      <c r="B1566" s="1" t="n">
        <v>44854</v>
      </c>
      <c r="C1566" s="1" t="n">
        <v>45346</v>
      </c>
      <c r="D1566" t="inlineStr">
        <is>
          <t>VÄSTERNORRLANDS LÄN</t>
        </is>
      </c>
      <c r="E1566" t="inlineStr">
        <is>
          <t>SOLLEFTEÅ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47787-2022</t>
        </is>
      </c>
      <c r="B1567" s="1" t="n">
        <v>44855</v>
      </c>
      <c r="C1567" s="1" t="n">
        <v>45346</v>
      </c>
      <c r="D1567" t="inlineStr">
        <is>
          <t>VÄSTERNORRLANDS LÄN</t>
        </is>
      </c>
      <c r="E1567" t="inlineStr">
        <is>
          <t>SOLLEFTEÅ</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47814-2022</t>
        </is>
      </c>
      <c r="B1568" s="1" t="n">
        <v>44855</v>
      </c>
      <c r="C1568" s="1" t="n">
        <v>45346</v>
      </c>
      <c r="D1568" t="inlineStr">
        <is>
          <t>VÄSTERNORRLANDS LÄN</t>
        </is>
      </c>
      <c r="E1568" t="inlineStr">
        <is>
          <t>SOLLEFTEÅ</t>
        </is>
      </c>
      <c r="F1568" t="inlineStr">
        <is>
          <t>SCA</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47812-2022</t>
        </is>
      </c>
      <c r="B1569" s="1" t="n">
        <v>44855</v>
      </c>
      <c r="C1569" s="1" t="n">
        <v>45346</v>
      </c>
      <c r="D1569" t="inlineStr">
        <is>
          <t>VÄSTERNORRLANDS LÄN</t>
        </is>
      </c>
      <c r="E1569" t="inlineStr">
        <is>
          <t>SOLLEFTEÅ</t>
        </is>
      </c>
      <c r="F1569" t="inlineStr">
        <is>
          <t>SCA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47875-2022</t>
        </is>
      </c>
      <c r="B1570" s="1" t="n">
        <v>44855</v>
      </c>
      <c r="C1570" s="1" t="n">
        <v>45346</v>
      </c>
      <c r="D1570" t="inlineStr">
        <is>
          <t>VÄSTERNORRLANDS LÄN</t>
        </is>
      </c>
      <c r="E1570" t="inlineStr">
        <is>
          <t>SOLLEFTEÅ</t>
        </is>
      </c>
      <c r="F1570" t="inlineStr">
        <is>
          <t>Holmen skog AB</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48056-2022</t>
        </is>
      </c>
      <c r="B1571" s="1" t="n">
        <v>44856</v>
      </c>
      <c r="C1571" s="1" t="n">
        <v>45346</v>
      </c>
      <c r="D1571" t="inlineStr">
        <is>
          <t>VÄSTERNORRLANDS LÄN</t>
        </is>
      </c>
      <c r="E1571" t="inlineStr">
        <is>
          <t>SOLLEFTEÅ</t>
        </is>
      </c>
      <c r="F1571" t="inlineStr">
        <is>
          <t>SCA</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48064-2022</t>
        </is>
      </c>
      <c r="B1572" s="1" t="n">
        <v>44856</v>
      </c>
      <c r="C1572" s="1" t="n">
        <v>45346</v>
      </c>
      <c r="D1572" t="inlineStr">
        <is>
          <t>VÄSTERNORRLANDS LÄN</t>
        </is>
      </c>
      <c r="E1572" t="inlineStr">
        <is>
          <t>SOLLEFTEÅ</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48067-2022</t>
        </is>
      </c>
      <c r="B1573" s="1" t="n">
        <v>44855</v>
      </c>
      <c r="C1573" s="1" t="n">
        <v>45346</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48062-2022</t>
        </is>
      </c>
      <c r="B1574" s="1" t="n">
        <v>44856</v>
      </c>
      <c r="C1574" s="1" t="n">
        <v>45346</v>
      </c>
      <c r="D1574" t="inlineStr">
        <is>
          <t>VÄSTERNORRLANDS LÄN</t>
        </is>
      </c>
      <c r="E1574" t="inlineStr">
        <is>
          <t>SOLLEFTEÅ</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47826-2022</t>
        </is>
      </c>
      <c r="B1575" s="1" t="n">
        <v>44855</v>
      </c>
      <c r="C1575" s="1" t="n">
        <v>45346</v>
      </c>
      <c r="D1575" t="inlineStr">
        <is>
          <t>VÄSTERNORRLANDS LÄN</t>
        </is>
      </c>
      <c r="E1575" t="inlineStr">
        <is>
          <t>SOLLEFTEÅ</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48057-2022</t>
        </is>
      </c>
      <c r="B1576" s="1" t="n">
        <v>44856</v>
      </c>
      <c r="C1576" s="1" t="n">
        <v>45346</v>
      </c>
      <c r="D1576" t="inlineStr">
        <is>
          <t>VÄSTERNORRLANDS LÄN</t>
        </is>
      </c>
      <c r="E1576" t="inlineStr">
        <is>
          <t>SOLLEFTEÅ</t>
        </is>
      </c>
      <c r="F1576" t="inlineStr">
        <is>
          <t>SCA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48061-2022</t>
        </is>
      </c>
      <c r="B1577" s="1" t="n">
        <v>44855</v>
      </c>
      <c r="C1577" s="1" t="n">
        <v>45346</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48065-2022</t>
        </is>
      </c>
      <c r="B1578" s="1" t="n">
        <v>44856</v>
      </c>
      <c r="C1578" s="1" t="n">
        <v>45346</v>
      </c>
      <c r="D1578" t="inlineStr">
        <is>
          <t>VÄSTERNORRLANDS LÄN</t>
        </is>
      </c>
      <c r="E1578" t="inlineStr">
        <is>
          <t>SOLLEFTEÅ</t>
        </is>
      </c>
      <c r="F1578" t="inlineStr">
        <is>
          <t>SCA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48738-2022</t>
        </is>
      </c>
      <c r="B1579" s="1" t="n">
        <v>44855</v>
      </c>
      <c r="C1579" s="1" t="n">
        <v>45346</v>
      </c>
      <c r="D1579" t="inlineStr">
        <is>
          <t>VÄSTERNORRLANDS LÄN</t>
        </is>
      </c>
      <c r="E1579" t="inlineStr">
        <is>
          <t>SOLLEFTEÅ</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48240-2022</t>
        </is>
      </c>
      <c r="B1580" s="1" t="n">
        <v>44858</v>
      </c>
      <c r="C1580" s="1" t="n">
        <v>45346</v>
      </c>
      <c r="D1580" t="inlineStr">
        <is>
          <t>VÄSTERNORRLANDS LÄN</t>
        </is>
      </c>
      <c r="E1580" t="inlineStr">
        <is>
          <t>SOLLEFTEÅ</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48511-2022</t>
        </is>
      </c>
      <c r="B1581" s="1" t="n">
        <v>44859</v>
      </c>
      <c r="C1581" s="1" t="n">
        <v>45346</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48512-2022</t>
        </is>
      </c>
      <c r="B1582" s="1" t="n">
        <v>44859</v>
      </c>
      <c r="C1582" s="1" t="n">
        <v>45346</v>
      </c>
      <c r="D1582" t="inlineStr">
        <is>
          <t>VÄSTERNORRLANDS LÄN</t>
        </is>
      </c>
      <c r="E1582" t="inlineStr">
        <is>
          <t>SOLLEFTEÅ</t>
        </is>
      </c>
      <c r="F1582" t="inlineStr">
        <is>
          <t>SCA</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48519-2022</t>
        </is>
      </c>
      <c r="B1583" s="1" t="n">
        <v>44858</v>
      </c>
      <c r="C1583" s="1" t="n">
        <v>45346</v>
      </c>
      <c r="D1583" t="inlineStr">
        <is>
          <t>VÄSTERNORRLANDS LÄN</t>
        </is>
      </c>
      <c r="E1583" t="inlineStr">
        <is>
          <t>SOLLEFTEÅ</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48296-2022</t>
        </is>
      </c>
      <c r="B1584" s="1" t="n">
        <v>44858</v>
      </c>
      <c r="C1584" s="1" t="n">
        <v>45346</v>
      </c>
      <c r="D1584" t="inlineStr">
        <is>
          <t>VÄSTERNORRLANDS LÄN</t>
        </is>
      </c>
      <c r="E1584" t="inlineStr">
        <is>
          <t>SOLLEFTEÅ</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48510-2022</t>
        </is>
      </c>
      <c r="B1585" s="1" t="n">
        <v>44858</v>
      </c>
      <c r="C1585" s="1" t="n">
        <v>45346</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48535-2022</t>
        </is>
      </c>
      <c r="B1586" s="1" t="n">
        <v>44859</v>
      </c>
      <c r="C1586" s="1" t="n">
        <v>45346</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48513-2022</t>
        </is>
      </c>
      <c r="B1587" s="1" t="n">
        <v>44859</v>
      </c>
      <c r="C1587" s="1" t="n">
        <v>45346</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48905-2022</t>
        </is>
      </c>
      <c r="B1588" s="1" t="n">
        <v>44859</v>
      </c>
      <c r="C1588" s="1" t="n">
        <v>45346</v>
      </c>
      <c r="D1588" t="inlineStr">
        <is>
          <t>VÄSTERNORRLANDS LÄN</t>
        </is>
      </c>
      <c r="E1588" t="inlineStr">
        <is>
          <t>SOLLEFTEÅ</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48915-2022</t>
        </is>
      </c>
      <c r="B1589" s="1" t="n">
        <v>44860</v>
      </c>
      <c r="C1589" s="1" t="n">
        <v>45346</v>
      </c>
      <c r="D1589" t="inlineStr">
        <is>
          <t>VÄSTERNORRLANDS LÄN</t>
        </is>
      </c>
      <c r="E1589" t="inlineStr">
        <is>
          <t>SOLLEFTEÅ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48919-2022</t>
        </is>
      </c>
      <c r="B1590" s="1" t="n">
        <v>44859</v>
      </c>
      <c r="C1590" s="1" t="n">
        <v>45346</v>
      </c>
      <c r="D1590" t="inlineStr">
        <is>
          <t>VÄSTERNORRLANDS LÄN</t>
        </is>
      </c>
      <c r="E1590" t="inlineStr">
        <is>
          <t>SOLLEFTEÅ</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48901-2022</t>
        </is>
      </c>
      <c r="B1591" s="1" t="n">
        <v>44860</v>
      </c>
      <c r="C1591" s="1" t="n">
        <v>45346</v>
      </c>
      <c r="D1591" t="inlineStr">
        <is>
          <t>VÄSTERNORRLANDS LÄN</t>
        </is>
      </c>
      <c r="E1591" t="inlineStr">
        <is>
          <t>SOLLEFTEÅ</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48913-2022</t>
        </is>
      </c>
      <c r="B1592" s="1" t="n">
        <v>44860</v>
      </c>
      <c r="C1592" s="1" t="n">
        <v>45346</v>
      </c>
      <c r="D1592" t="inlineStr">
        <is>
          <t>VÄSTERNORRLANDS LÄN</t>
        </is>
      </c>
      <c r="E1592" t="inlineStr">
        <is>
          <t>SOLLEFTEÅ</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48923-2022</t>
        </is>
      </c>
      <c r="B1593" s="1" t="n">
        <v>44860</v>
      </c>
      <c r="C1593" s="1" t="n">
        <v>45346</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48902-2022</t>
        </is>
      </c>
      <c r="B1594" s="1" t="n">
        <v>44859</v>
      </c>
      <c r="C1594" s="1" t="n">
        <v>45346</v>
      </c>
      <c r="D1594" t="inlineStr">
        <is>
          <t>VÄSTERNORRLANDS LÄN</t>
        </is>
      </c>
      <c r="E1594" t="inlineStr">
        <is>
          <t>SOLLEFTEÅ</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48914-2022</t>
        </is>
      </c>
      <c r="B1595" s="1" t="n">
        <v>44860</v>
      </c>
      <c r="C1595" s="1" t="n">
        <v>45346</v>
      </c>
      <c r="D1595" t="inlineStr">
        <is>
          <t>VÄSTERNORRLANDS LÄN</t>
        </is>
      </c>
      <c r="E1595" t="inlineStr">
        <is>
          <t>SOLLEFTEÅ</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49694-2022</t>
        </is>
      </c>
      <c r="B1596" s="1" t="n">
        <v>44859</v>
      </c>
      <c r="C1596" s="1" t="n">
        <v>45346</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49708-2022</t>
        </is>
      </c>
      <c r="B1597" s="1" t="n">
        <v>44859</v>
      </c>
      <c r="C1597" s="1" t="n">
        <v>45346</v>
      </c>
      <c r="D1597" t="inlineStr">
        <is>
          <t>VÄSTERNORRLANDS LÄN</t>
        </is>
      </c>
      <c r="E1597" t="inlineStr">
        <is>
          <t>SOLLEFTEÅ</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49176-2022</t>
        </is>
      </c>
      <c r="B1598" s="1" t="n">
        <v>44861</v>
      </c>
      <c r="C1598" s="1" t="n">
        <v>45346</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49181-2022</t>
        </is>
      </c>
      <c r="B1599" s="1" t="n">
        <v>44861</v>
      </c>
      <c r="C1599" s="1" t="n">
        <v>45346</v>
      </c>
      <c r="D1599" t="inlineStr">
        <is>
          <t>VÄSTERNORRLANDS LÄN</t>
        </is>
      </c>
      <c r="E1599" t="inlineStr">
        <is>
          <t>SOLLEFTEÅ</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49170-2022</t>
        </is>
      </c>
      <c r="B1600" s="1" t="n">
        <v>44861</v>
      </c>
      <c r="C1600" s="1" t="n">
        <v>45346</v>
      </c>
      <c r="D1600" t="inlineStr">
        <is>
          <t>VÄSTERNORRLANDS LÄN</t>
        </is>
      </c>
      <c r="E1600" t="inlineStr">
        <is>
          <t>SOLLEFTEÅ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49198-2022</t>
        </is>
      </c>
      <c r="B1601" s="1" t="n">
        <v>44860</v>
      </c>
      <c r="C1601" s="1" t="n">
        <v>45346</v>
      </c>
      <c r="D1601" t="inlineStr">
        <is>
          <t>VÄSTERNORRLANDS LÄN</t>
        </is>
      </c>
      <c r="E1601" t="inlineStr">
        <is>
          <t>SOLLEFTEÅ</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49177-2022</t>
        </is>
      </c>
      <c r="B1602" s="1" t="n">
        <v>44861</v>
      </c>
      <c r="C1602" s="1" t="n">
        <v>45346</v>
      </c>
      <c r="D1602" t="inlineStr">
        <is>
          <t>VÄSTERNORRLANDS LÄN</t>
        </is>
      </c>
      <c r="E1602" t="inlineStr">
        <is>
          <t>SOLLEFTEÅ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49171-2022</t>
        </is>
      </c>
      <c r="B1603" s="1" t="n">
        <v>44861</v>
      </c>
      <c r="C1603" s="1" t="n">
        <v>45346</v>
      </c>
      <c r="D1603" t="inlineStr">
        <is>
          <t>VÄSTERNORRLANDS LÄN</t>
        </is>
      </c>
      <c r="E1603" t="inlineStr">
        <is>
          <t>SOLLEFTEÅ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49175-2022</t>
        </is>
      </c>
      <c r="B1604" s="1" t="n">
        <v>44861</v>
      </c>
      <c r="C1604" s="1" t="n">
        <v>45346</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49200-2022</t>
        </is>
      </c>
      <c r="B1605" s="1" t="n">
        <v>44861</v>
      </c>
      <c r="C1605" s="1" t="n">
        <v>45346</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49520-2022</t>
        </is>
      </c>
      <c r="B1606" s="1" t="n">
        <v>44862</v>
      </c>
      <c r="C1606" s="1" t="n">
        <v>45346</v>
      </c>
      <c r="D1606" t="inlineStr">
        <is>
          <t>VÄSTERNORRLANDS LÄN</t>
        </is>
      </c>
      <c r="E1606" t="inlineStr">
        <is>
          <t>SOLLEFTEÅ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49513-2022</t>
        </is>
      </c>
      <c r="B1607" s="1" t="n">
        <v>44862</v>
      </c>
      <c r="C1607" s="1" t="n">
        <v>45346</v>
      </c>
      <c r="D1607" t="inlineStr">
        <is>
          <t>VÄSTERNORRLANDS LÄN</t>
        </is>
      </c>
      <c r="E1607" t="inlineStr">
        <is>
          <t>SOLLEFTEÅ</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49512-2022</t>
        </is>
      </c>
      <c r="B1608" s="1" t="n">
        <v>44861</v>
      </c>
      <c r="C1608" s="1" t="n">
        <v>45346</v>
      </c>
      <c r="D1608" t="inlineStr">
        <is>
          <t>VÄSTERNORRLANDS LÄN</t>
        </is>
      </c>
      <c r="E1608" t="inlineStr">
        <is>
          <t>SOLLEFTEÅ</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49521-2022</t>
        </is>
      </c>
      <c r="B1609" s="1" t="n">
        <v>44861</v>
      </c>
      <c r="C1609" s="1" t="n">
        <v>45346</v>
      </c>
      <c r="D1609" t="inlineStr">
        <is>
          <t>VÄSTERNORRLANDS LÄN</t>
        </is>
      </c>
      <c r="E1609" t="inlineStr">
        <is>
          <t>SOLLEFTEÅ</t>
        </is>
      </c>
      <c r="F1609" t="inlineStr">
        <is>
          <t>SCA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49538-2022</t>
        </is>
      </c>
      <c r="B1610" s="1" t="n">
        <v>44861</v>
      </c>
      <c r="C1610" s="1" t="n">
        <v>45346</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49665-2022</t>
        </is>
      </c>
      <c r="B1611" s="1" t="n">
        <v>44862</v>
      </c>
      <c r="C1611" s="1" t="n">
        <v>45346</v>
      </c>
      <c r="D1611" t="inlineStr">
        <is>
          <t>VÄSTERNORRLANDS LÄN</t>
        </is>
      </c>
      <c r="E1611" t="inlineStr">
        <is>
          <t>SOLLEFTEÅ</t>
        </is>
      </c>
      <c r="F1611" t="inlineStr">
        <is>
          <t>Holmen skog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49860-2022</t>
        </is>
      </c>
      <c r="B1612" s="1" t="n">
        <v>44862</v>
      </c>
      <c r="C1612" s="1" t="n">
        <v>45346</v>
      </c>
      <c r="D1612" t="inlineStr">
        <is>
          <t>VÄSTERNORRLANDS LÄN</t>
        </is>
      </c>
      <c r="E1612" t="inlineStr">
        <is>
          <t>SOLLEFTEÅ</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49866-2022</t>
        </is>
      </c>
      <c r="B1613" s="1" t="n">
        <v>44863</v>
      </c>
      <c r="C1613" s="1" t="n">
        <v>45346</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50813-2022</t>
        </is>
      </c>
      <c r="B1614" s="1" t="n">
        <v>44862</v>
      </c>
      <c r="C1614" s="1" t="n">
        <v>45346</v>
      </c>
      <c r="D1614" t="inlineStr">
        <is>
          <t>VÄSTERNORRLANDS LÄN</t>
        </is>
      </c>
      <c r="E1614" t="inlineStr">
        <is>
          <t>SOLLEFTEÅ</t>
        </is>
      </c>
      <c r="F1614" t="inlineStr">
        <is>
          <t>Övriga statliga verk och myndigheter</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50825-2022</t>
        </is>
      </c>
      <c r="B1615" s="1" t="n">
        <v>44862</v>
      </c>
      <c r="C1615" s="1" t="n">
        <v>45346</v>
      </c>
      <c r="D1615" t="inlineStr">
        <is>
          <t>VÄSTERNORRLANDS LÄN</t>
        </is>
      </c>
      <c r="E1615" t="inlineStr">
        <is>
          <t>SOLLEFTEÅ</t>
        </is>
      </c>
      <c r="F1615" t="inlineStr">
        <is>
          <t>Övriga statliga verk och myndigheter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49911-2022</t>
        </is>
      </c>
      <c r="B1616" s="1" t="n">
        <v>44865</v>
      </c>
      <c r="C1616" s="1" t="n">
        <v>45346</v>
      </c>
      <c r="D1616" t="inlineStr">
        <is>
          <t>VÄSTERNORRLANDS LÄN</t>
        </is>
      </c>
      <c r="E1616" t="inlineStr">
        <is>
          <t>SOLLEFTEÅ</t>
        </is>
      </c>
      <c r="F1616" t="inlineStr">
        <is>
          <t>Holmen skog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50318-2022</t>
        </is>
      </c>
      <c r="B1617" s="1" t="n">
        <v>44865</v>
      </c>
      <c r="C1617" s="1" t="n">
        <v>45346</v>
      </c>
      <c r="D1617" t="inlineStr">
        <is>
          <t>VÄSTERNORRLANDS LÄN</t>
        </is>
      </c>
      <c r="E1617" t="inlineStr">
        <is>
          <t>SOLLEFTEÅ</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51080-2022</t>
        </is>
      </c>
      <c r="B1618" s="1" t="n">
        <v>44865</v>
      </c>
      <c r="C1618" s="1" t="n">
        <v>45346</v>
      </c>
      <c r="D1618" t="inlineStr">
        <is>
          <t>VÄSTERNORRLANDS LÄN</t>
        </is>
      </c>
      <c r="E1618" t="inlineStr">
        <is>
          <t>SOLLEFTEÅ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50641-2022</t>
        </is>
      </c>
      <c r="B1619" s="1" t="n">
        <v>44866</v>
      </c>
      <c r="C1619" s="1" t="n">
        <v>45346</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50642-2022</t>
        </is>
      </c>
      <c r="B1620" s="1" t="n">
        <v>44866</v>
      </c>
      <c r="C1620" s="1" t="n">
        <v>45346</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50655-2022</t>
        </is>
      </c>
      <c r="B1621" s="1" t="n">
        <v>44866</v>
      </c>
      <c r="C1621" s="1" t="n">
        <v>45346</v>
      </c>
      <c r="D1621" t="inlineStr">
        <is>
          <t>VÄSTERNORRLANDS LÄN</t>
        </is>
      </c>
      <c r="E1621" t="inlineStr">
        <is>
          <t>SOLLEFTEÅ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50656-2022</t>
        </is>
      </c>
      <c r="B1622" s="1" t="n">
        <v>44866</v>
      </c>
      <c r="C1622" s="1" t="n">
        <v>45346</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50662-2022</t>
        </is>
      </c>
      <c r="B1623" s="1" t="n">
        <v>44866</v>
      </c>
      <c r="C1623" s="1" t="n">
        <v>45346</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51249-2022</t>
        </is>
      </c>
      <c r="B1624" s="1" t="n">
        <v>44866</v>
      </c>
      <c r="C1624" s="1" t="n">
        <v>45346</v>
      </c>
      <c r="D1624" t="inlineStr">
        <is>
          <t>VÄSTERNORRLANDS LÄN</t>
        </is>
      </c>
      <c r="E1624" t="inlineStr">
        <is>
          <t>SOLLEFTEÅ</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51006-2022</t>
        </is>
      </c>
      <c r="B1625" s="1" t="n">
        <v>44867</v>
      </c>
      <c r="C1625" s="1" t="n">
        <v>45346</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51212-2022</t>
        </is>
      </c>
      <c r="B1626" s="1" t="n">
        <v>44868</v>
      </c>
      <c r="C1626" s="1" t="n">
        <v>45346</v>
      </c>
      <c r="D1626" t="inlineStr">
        <is>
          <t>VÄSTERNORRLANDS LÄN</t>
        </is>
      </c>
      <c r="E1626" t="inlineStr">
        <is>
          <t>SOLLEFTEÅ</t>
        </is>
      </c>
      <c r="F1626" t="inlineStr">
        <is>
          <t>Holmen skog AB</t>
        </is>
      </c>
      <c r="G1626" t="n">
        <v>18.3</v>
      </c>
      <c r="H1626" t="n">
        <v>0</v>
      </c>
      <c r="I1626" t="n">
        <v>0</v>
      </c>
      <c r="J1626" t="n">
        <v>0</v>
      </c>
      <c r="K1626" t="n">
        <v>0</v>
      </c>
      <c r="L1626" t="n">
        <v>0</v>
      </c>
      <c r="M1626" t="n">
        <v>0</v>
      </c>
      <c r="N1626" t="n">
        <v>0</v>
      </c>
      <c r="O1626" t="n">
        <v>0</v>
      </c>
      <c r="P1626" t="n">
        <v>0</v>
      </c>
      <c r="Q1626" t="n">
        <v>0</v>
      </c>
      <c r="R1626" s="2" t="inlineStr"/>
    </row>
    <row r="1627" ht="15" customHeight="1">
      <c r="A1627" t="inlineStr">
        <is>
          <t>A 51317-2022</t>
        </is>
      </c>
      <c r="B1627" s="1" t="n">
        <v>44868</v>
      </c>
      <c r="C1627" s="1" t="n">
        <v>45346</v>
      </c>
      <c r="D1627" t="inlineStr">
        <is>
          <t>VÄSTERNORRLANDS LÄN</t>
        </is>
      </c>
      <c r="E1627" t="inlineStr">
        <is>
          <t>SOLLEFTEÅ</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51314-2022</t>
        </is>
      </c>
      <c r="B1628" s="1" t="n">
        <v>44868</v>
      </c>
      <c r="C1628" s="1" t="n">
        <v>45346</v>
      </c>
      <c r="D1628" t="inlineStr">
        <is>
          <t>VÄSTERNORRLANDS LÄN</t>
        </is>
      </c>
      <c r="E1628" t="inlineStr">
        <is>
          <t>SOLLEFTEÅ</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51544-2022</t>
        </is>
      </c>
      <c r="B1629" s="1" t="n">
        <v>44869</v>
      </c>
      <c r="C1629" s="1" t="n">
        <v>45346</v>
      </c>
      <c r="D1629" t="inlineStr">
        <is>
          <t>VÄSTERNORRLANDS LÄN</t>
        </is>
      </c>
      <c r="E1629" t="inlineStr">
        <is>
          <t>SOLLEFTEÅ</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51541-2022</t>
        </is>
      </c>
      <c r="B1630" s="1" t="n">
        <v>44869</v>
      </c>
      <c r="C1630" s="1" t="n">
        <v>45346</v>
      </c>
      <c r="D1630" t="inlineStr">
        <is>
          <t>VÄSTERNORRLANDS LÄN</t>
        </is>
      </c>
      <c r="E1630" t="inlineStr">
        <is>
          <t>SOLLEFTEÅ</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51543-2022</t>
        </is>
      </c>
      <c r="B1631" s="1" t="n">
        <v>44869</v>
      </c>
      <c r="C1631" s="1" t="n">
        <v>45346</v>
      </c>
      <c r="D1631" t="inlineStr">
        <is>
          <t>VÄSTERNORRLANDS LÄN</t>
        </is>
      </c>
      <c r="E1631" t="inlineStr">
        <is>
          <t>SOLLEFTEÅ</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51739-2022</t>
        </is>
      </c>
      <c r="B1632" s="1" t="n">
        <v>44872</v>
      </c>
      <c r="C1632" s="1" t="n">
        <v>45346</v>
      </c>
      <c r="D1632" t="inlineStr">
        <is>
          <t>VÄSTERNORRLANDS LÄN</t>
        </is>
      </c>
      <c r="E1632" t="inlineStr">
        <is>
          <t>SOLLEFTEÅ</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52013-2022</t>
        </is>
      </c>
      <c r="B1633" s="1" t="n">
        <v>44872</v>
      </c>
      <c r="C1633" s="1" t="n">
        <v>45346</v>
      </c>
      <c r="D1633" t="inlineStr">
        <is>
          <t>VÄSTERNORRLANDS LÄN</t>
        </is>
      </c>
      <c r="E1633" t="inlineStr">
        <is>
          <t>SOLLEFTEÅ</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52034-2022</t>
        </is>
      </c>
      <c r="B1634" s="1" t="n">
        <v>44872</v>
      </c>
      <c r="C1634" s="1" t="n">
        <v>45346</v>
      </c>
      <c r="D1634" t="inlineStr">
        <is>
          <t>VÄSTERNORRLANDS LÄN</t>
        </is>
      </c>
      <c r="E1634" t="inlineStr">
        <is>
          <t>SOLLEFTEÅ</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52040-2022</t>
        </is>
      </c>
      <c r="B1635" s="1" t="n">
        <v>44872</v>
      </c>
      <c r="C1635" s="1" t="n">
        <v>45346</v>
      </c>
      <c r="D1635" t="inlineStr">
        <is>
          <t>VÄSTERNORRLANDS LÄN</t>
        </is>
      </c>
      <c r="E1635" t="inlineStr">
        <is>
          <t>SOLLEFTEÅ</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52035-2022</t>
        </is>
      </c>
      <c r="B1636" s="1" t="n">
        <v>44872</v>
      </c>
      <c r="C1636" s="1" t="n">
        <v>45346</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52039-2022</t>
        </is>
      </c>
      <c r="B1637" s="1" t="n">
        <v>44872</v>
      </c>
      <c r="C1637" s="1" t="n">
        <v>45346</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53128-2022</t>
        </is>
      </c>
      <c r="B1638" s="1" t="n">
        <v>44873</v>
      </c>
      <c r="C1638" s="1" t="n">
        <v>45346</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53123-2022</t>
        </is>
      </c>
      <c r="B1639" s="1" t="n">
        <v>44873</v>
      </c>
      <c r="C1639" s="1" t="n">
        <v>45346</v>
      </c>
      <c r="D1639" t="inlineStr">
        <is>
          <t>VÄSTERNORRLANDS LÄN</t>
        </is>
      </c>
      <c r="E1639" t="inlineStr">
        <is>
          <t>SOLLEFTEÅ</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52549-2022</t>
        </is>
      </c>
      <c r="B1640" s="1" t="n">
        <v>44874</v>
      </c>
      <c r="C1640" s="1" t="n">
        <v>45346</v>
      </c>
      <c r="D1640" t="inlineStr">
        <is>
          <t>VÄSTERNORRLANDS LÄN</t>
        </is>
      </c>
      <c r="E1640" t="inlineStr">
        <is>
          <t>SOLLEFTEÅ</t>
        </is>
      </c>
      <c r="F1640" t="inlineStr">
        <is>
          <t>Holmen skog AB</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52735-2022</t>
        </is>
      </c>
      <c r="B1641" s="1" t="n">
        <v>44874</v>
      </c>
      <c r="C1641" s="1" t="n">
        <v>45346</v>
      </c>
      <c r="D1641" t="inlineStr">
        <is>
          <t>VÄSTERNORRLANDS LÄN</t>
        </is>
      </c>
      <c r="E1641" t="inlineStr">
        <is>
          <t>SOLLEFTEÅ</t>
        </is>
      </c>
      <c r="F1641" t="inlineStr">
        <is>
          <t>SCA</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52595-2022</t>
        </is>
      </c>
      <c r="B1642" s="1" t="n">
        <v>44874</v>
      </c>
      <c r="C1642" s="1" t="n">
        <v>45346</v>
      </c>
      <c r="D1642" t="inlineStr">
        <is>
          <t>VÄSTERNORRLANDS LÄN</t>
        </is>
      </c>
      <c r="E1642" t="inlineStr">
        <is>
          <t>SOLLEFTEÅ</t>
        </is>
      </c>
      <c r="F1642" t="inlineStr">
        <is>
          <t>Holmen skog AB</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52717-2022</t>
        </is>
      </c>
      <c r="B1643" s="1" t="n">
        <v>44874</v>
      </c>
      <c r="C1643" s="1" t="n">
        <v>45346</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52718-2022</t>
        </is>
      </c>
      <c r="B1644" s="1" t="n">
        <v>44874</v>
      </c>
      <c r="C1644" s="1" t="n">
        <v>45346</v>
      </c>
      <c r="D1644" t="inlineStr">
        <is>
          <t>VÄSTERNORRLANDS LÄN</t>
        </is>
      </c>
      <c r="E1644" t="inlineStr">
        <is>
          <t>SOLLEFTEÅ</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53012-2022</t>
        </is>
      </c>
      <c r="B1645" s="1" t="n">
        <v>44875</v>
      </c>
      <c r="C1645" s="1" t="n">
        <v>45346</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52777-2022</t>
        </is>
      </c>
      <c r="B1646" s="1" t="n">
        <v>44875</v>
      </c>
      <c r="C1646" s="1" t="n">
        <v>45346</v>
      </c>
      <c r="D1646" t="inlineStr">
        <is>
          <t>VÄSTERNORRLANDS LÄN</t>
        </is>
      </c>
      <c r="E1646" t="inlineStr">
        <is>
          <t>SOLLEFTEÅ</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53000-2022</t>
        </is>
      </c>
      <c r="B1647" s="1" t="n">
        <v>44875</v>
      </c>
      <c r="C1647" s="1" t="n">
        <v>45346</v>
      </c>
      <c r="D1647" t="inlineStr">
        <is>
          <t>VÄSTERNORRLANDS LÄN</t>
        </is>
      </c>
      <c r="E1647" t="inlineStr">
        <is>
          <t>SOLLEFTEÅ</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53011-2022</t>
        </is>
      </c>
      <c r="B1648" s="1" t="n">
        <v>44875</v>
      </c>
      <c r="C1648" s="1" t="n">
        <v>45346</v>
      </c>
      <c r="D1648" t="inlineStr">
        <is>
          <t>VÄSTERNORRLANDS LÄN</t>
        </is>
      </c>
      <c r="E1648" t="inlineStr">
        <is>
          <t>SOLLEFTEÅ</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53669-2022</t>
        </is>
      </c>
      <c r="B1649" s="1" t="n">
        <v>44879</v>
      </c>
      <c r="C1649" s="1" t="n">
        <v>45346</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53933-2022</t>
        </is>
      </c>
      <c r="B1650" s="1" t="n">
        <v>44880</v>
      </c>
      <c r="C1650" s="1" t="n">
        <v>45346</v>
      </c>
      <c r="D1650" t="inlineStr">
        <is>
          <t>VÄSTERNORRLANDS LÄN</t>
        </is>
      </c>
      <c r="E1650" t="inlineStr">
        <is>
          <t>SOLLEFTEÅ</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53929-2022</t>
        </is>
      </c>
      <c r="B1651" s="1" t="n">
        <v>44880</v>
      </c>
      <c r="C1651" s="1" t="n">
        <v>45346</v>
      </c>
      <c r="D1651" t="inlineStr">
        <is>
          <t>VÄSTERNORRLANDS LÄN</t>
        </is>
      </c>
      <c r="E1651" t="inlineStr">
        <is>
          <t>SOLLEFTEÅ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53944-2022</t>
        </is>
      </c>
      <c r="B1652" s="1" t="n">
        <v>44880</v>
      </c>
      <c r="C1652" s="1" t="n">
        <v>45346</v>
      </c>
      <c r="D1652" t="inlineStr">
        <is>
          <t>VÄSTERNORRLANDS LÄN</t>
        </is>
      </c>
      <c r="E1652" t="inlineStr">
        <is>
          <t>SOLLEFTEÅ</t>
        </is>
      </c>
      <c r="F1652" t="inlineStr">
        <is>
          <t>SCA</t>
        </is>
      </c>
      <c r="G1652" t="n">
        <v>9.800000000000001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53947-2022</t>
        </is>
      </c>
      <c r="B1653" s="1" t="n">
        <v>44880</v>
      </c>
      <c r="C1653" s="1" t="n">
        <v>45346</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53985-2022</t>
        </is>
      </c>
      <c r="B1654" s="1" t="n">
        <v>44881</v>
      </c>
      <c r="C1654" s="1" t="n">
        <v>45346</v>
      </c>
      <c r="D1654" t="inlineStr">
        <is>
          <t>VÄSTERNORRLANDS LÄN</t>
        </is>
      </c>
      <c r="E1654" t="inlineStr">
        <is>
          <t>SOLLEFTEÅ</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54256-2022</t>
        </is>
      </c>
      <c r="B1655" s="1" t="n">
        <v>44881</v>
      </c>
      <c r="C1655" s="1" t="n">
        <v>45346</v>
      </c>
      <c r="D1655" t="inlineStr">
        <is>
          <t>VÄSTERNORRLANDS LÄN</t>
        </is>
      </c>
      <c r="E1655" t="inlineStr">
        <is>
          <t>SOLLEFTEÅ</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54242-2022</t>
        </is>
      </c>
      <c r="B1656" s="1" t="n">
        <v>44881</v>
      </c>
      <c r="C1656" s="1" t="n">
        <v>45346</v>
      </c>
      <c r="D1656" t="inlineStr">
        <is>
          <t>VÄSTERNORRLANDS LÄN</t>
        </is>
      </c>
      <c r="E1656" t="inlineStr">
        <is>
          <t>SOLLEFTEÅ</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54249-2022</t>
        </is>
      </c>
      <c r="B1657" s="1" t="n">
        <v>44881</v>
      </c>
      <c r="C1657" s="1" t="n">
        <v>45346</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54255-2022</t>
        </is>
      </c>
      <c r="B1658" s="1" t="n">
        <v>44881</v>
      </c>
      <c r="C1658" s="1" t="n">
        <v>45346</v>
      </c>
      <c r="D1658" t="inlineStr">
        <is>
          <t>VÄSTERNORRLANDS LÄN</t>
        </is>
      </c>
      <c r="E1658" t="inlineStr">
        <is>
          <t>SOLLEFTEÅ</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54280-2022</t>
        </is>
      </c>
      <c r="B1659" s="1" t="n">
        <v>44882</v>
      </c>
      <c r="C1659" s="1" t="n">
        <v>45346</v>
      </c>
      <c r="D1659" t="inlineStr">
        <is>
          <t>VÄSTERNORRLANDS LÄN</t>
        </is>
      </c>
      <c r="E1659" t="inlineStr">
        <is>
          <t>SOLLEFTEÅ</t>
        </is>
      </c>
      <c r="F1659" t="inlineStr">
        <is>
          <t>Holmen skog AB</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54538-2022</t>
        </is>
      </c>
      <c r="B1660" s="1" t="n">
        <v>44882</v>
      </c>
      <c r="C1660" s="1" t="n">
        <v>45346</v>
      </c>
      <c r="D1660" t="inlineStr">
        <is>
          <t>VÄSTERNORRLANDS LÄN</t>
        </is>
      </c>
      <c r="E1660" t="inlineStr">
        <is>
          <t>SOLLEFTEÅ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54559-2022</t>
        </is>
      </c>
      <c r="B1661" s="1" t="n">
        <v>44882</v>
      </c>
      <c r="C1661" s="1" t="n">
        <v>45346</v>
      </c>
      <c r="D1661" t="inlineStr">
        <is>
          <t>VÄSTERNORRLANDS LÄN</t>
        </is>
      </c>
      <c r="E1661" t="inlineStr">
        <is>
          <t>SOLLEFTEÅ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54573-2022</t>
        </is>
      </c>
      <c r="B1662" s="1" t="n">
        <v>44882</v>
      </c>
      <c r="C1662" s="1" t="n">
        <v>45346</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54558-2022</t>
        </is>
      </c>
      <c r="B1663" s="1" t="n">
        <v>44882</v>
      </c>
      <c r="C1663" s="1" t="n">
        <v>45346</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54569-2022</t>
        </is>
      </c>
      <c r="B1664" s="1" t="n">
        <v>44882</v>
      </c>
      <c r="C1664" s="1" t="n">
        <v>45346</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44887</v>
      </c>
      <c r="C1665" s="1" t="n">
        <v>45346</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55692-2022</t>
        </is>
      </c>
      <c r="B1666" s="1" t="n">
        <v>44888</v>
      </c>
      <c r="C1666" s="1" t="n">
        <v>45346</v>
      </c>
      <c r="D1666" t="inlineStr">
        <is>
          <t>VÄSTERNORRLANDS LÄN</t>
        </is>
      </c>
      <c r="E1666" t="inlineStr">
        <is>
          <t>SOLLEFTEÅ</t>
        </is>
      </c>
      <c r="F1666" t="inlineStr">
        <is>
          <t>Holmen skog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55898-2022</t>
        </is>
      </c>
      <c r="B1667" s="1" t="n">
        <v>44888</v>
      </c>
      <c r="C1667" s="1" t="n">
        <v>45346</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56176-2022</t>
        </is>
      </c>
      <c r="B1668" s="1" t="n">
        <v>44889</v>
      </c>
      <c r="C1668" s="1" t="n">
        <v>45346</v>
      </c>
      <c r="D1668" t="inlineStr">
        <is>
          <t>VÄSTERNORRLANDS LÄN</t>
        </is>
      </c>
      <c r="E1668" t="inlineStr">
        <is>
          <t>SOLLEFTEÅ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56175-2022</t>
        </is>
      </c>
      <c r="B1669" s="1" t="n">
        <v>44889</v>
      </c>
      <c r="C1669" s="1" t="n">
        <v>45346</v>
      </c>
      <c r="D1669" t="inlineStr">
        <is>
          <t>VÄSTERNORRLANDS LÄN</t>
        </is>
      </c>
      <c r="E1669" t="inlineStr">
        <is>
          <t>SOLLEFTEÅ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56184-2022</t>
        </is>
      </c>
      <c r="B1670" s="1" t="n">
        <v>44889</v>
      </c>
      <c r="C1670" s="1" t="n">
        <v>45346</v>
      </c>
      <c r="D1670" t="inlineStr">
        <is>
          <t>VÄSTERNORRLANDS LÄN</t>
        </is>
      </c>
      <c r="E1670" t="inlineStr">
        <is>
          <t>SOLLEFTEÅ</t>
        </is>
      </c>
      <c r="F1670" t="inlineStr">
        <is>
          <t>SCA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56544-2022</t>
        </is>
      </c>
      <c r="B1671" s="1" t="n">
        <v>44893</v>
      </c>
      <c r="C1671" s="1" t="n">
        <v>45346</v>
      </c>
      <c r="D1671" t="inlineStr">
        <is>
          <t>VÄSTERNORRLANDS LÄN</t>
        </is>
      </c>
      <c r="E1671" t="inlineStr">
        <is>
          <t>SOLLEFTEÅ</t>
        </is>
      </c>
      <c r="F1671" t="inlineStr">
        <is>
          <t>Holmen skog AB</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57019-2022</t>
        </is>
      </c>
      <c r="B1672" s="1" t="n">
        <v>44895</v>
      </c>
      <c r="C1672" s="1" t="n">
        <v>45346</v>
      </c>
      <c r="D1672" t="inlineStr">
        <is>
          <t>VÄSTERNORRLANDS LÄN</t>
        </is>
      </c>
      <c r="E1672" t="inlineStr">
        <is>
          <t>SOLLEFTEÅ</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57020-2022</t>
        </is>
      </c>
      <c r="B1673" s="1" t="n">
        <v>44895</v>
      </c>
      <c r="C1673" s="1" t="n">
        <v>45346</v>
      </c>
      <c r="D1673" t="inlineStr">
        <is>
          <t>VÄSTERNORRLANDS LÄN</t>
        </is>
      </c>
      <c r="E1673" t="inlineStr">
        <is>
          <t>SOLLEFTEÅ</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57282-2022</t>
        </is>
      </c>
      <c r="B1674" s="1" t="n">
        <v>44895</v>
      </c>
      <c r="C1674" s="1" t="n">
        <v>45346</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57273-2022</t>
        </is>
      </c>
      <c r="B1675" s="1" t="n">
        <v>44895</v>
      </c>
      <c r="C1675" s="1" t="n">
        <v>45346</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58643-2022</t>
        </is>
      </c>
      <c r="B1676" s="1" t="n">
        <v>44895</v>
      </c>
      <c r="C1676" s="1" t="n">
        <v>45346</v>
      </c>
      <c r="D1676" t="inlineStr">
        <is>
          <t>VÄSTERNORRLANDS LÄN</t>
        </is>
      </c>
      <c r="E1676" t="inlineStr">
        <is>
          <t>SOLLEFTEÅ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58636-2022</t>
        </is>
      </c>
      <c r="B1677" s="1" t="n">
        <v>44895</v>
      </c>
      <c r="C1677" s="1" t="n">
        <v>45346</v>
      </c>
      <c r="D1677" t="inlineStr">
        <is>
          <t>VÄSTERNORRLANDS LÄN</t>
        </is>
      </c>
      <c r="E1677" t="inlineStr">
        <is>
          <t>SOLLEFTEÅ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58646-2022</t>
        </is>
      </c>
      <c r="B1678" s="1" t="n">
        <v>44895</v>
      </c>
      <c r="C1678" s="1" t="n">
        <v>45346</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57991-2022</t>
        </is>
      </c>
      <c r="B1679" s="1" t="n">
        <v>44900</v>
      </c>
      <c r="C1679" s="1" t="n">
        <v>45346</v>
      </c>
      <c r="D1679" t="inlineStr">
        <is>
          <t>VÄSTERNORRLANDS LÄN</t>
        </is>
      </c>
      <c r="E1679" t="inlineStr">
        <is>
          <t>SOLLEFTEÅ</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58173-2022</t>
        </is>
      </c>
      <c r="B1680" s="1" t="n">
        <v>44900</v>
      </c>
      <c r="C1680" s="1" t="n">
        <v>45346</v>
      </c>
      <c r="D1680" t="inlineStr">
        <is>
          <t>VÄSTERNORRLANDS LÄN</t>
        </is>
      </c>
      <c r="E1680" t="inlineStr">
        <is>
          <t>SOLLEFTEÅ</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58172-2022</t>
        </is>
      </c>
      <c r="B1681" s="1" t="n">
        <v>44900</v>
      </c>
      <c r="C1681" s="1" t="n">
        <v>45346</v>
      </c>
      <c r="D1681" t="inlineStr">
        <is>
          <t>VÄSTERNORRLANDS LÄN</t>
        </is>
      </c>
      <c r="E1681" t="inlineStr">
        <is>
          <t>SOLLEFTEÅ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58171-2022</t>
        </is>
      </c>
      <c r="B1682" s="1" t="n">
        <v>44900</v>
      </c>
      <c r="C1682" s="1" t="n">
        <v>45346</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58401-2022</t>
        </is>
      </c>
      <c r="B1683" s="1" t="n">
        <v>44901</v>
      </c>
      <c r="C1683" s="1" t="n">
        <v>45346</v>
      </c>
      <c r="D1683" t="inlineStr">
        <is>
          <t>VÄSTERNORRLANDS LÄN</t>
        </is>
      </c>
      <c r="E1683" t="inlineStr">
        <is>
          <t>SOLLEFTEÅ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58765-2022</t>
        </is>
      </c>
      <c r="B1684" s="1" t="n">
        <v>44903</v>
      </c>
      <c r="C1684" s="1" t="n">
        <v>45346</v>
      </c>
      <c r="D1684" t="inlineStr">
        <is>
          <t>VÄSTERNORRLANDS LÄN</t>
        </is>
      </c>
      <c r="E1684" t="inlineStr">
        <is>
          <t>SOLLEFTEÅ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59036-2022</t>
        </is>
      </c>
      <c r="B1685" s="1" t="n">
        <v>44903</v>
      </c>
      <c r="C1685" s="1" t="n">
        <v>45346</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59038-2022</t>
        </is>
      </c>
      <c r="B1686" s="1" t="n">
        <v>44903</v>
      </c>
      <c r="C1686" s="1" t="n">
        <v>45346</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59037-2022</t>
        </is>
      </c>
      <c r="B1687" s="1" t="n">
        <v>44903</v>
      </c>
      <c r="C1687" s="1" t="n">
        <v>45346</v>
      </c>
      <c r="D1687" t="inlineStr">
        <is>
          <t>VÄSTERNORRLANDS LÄN</t>
        </is>
      </c>
      <c r="E1687" t="inlineStr">
        <is>
          <t>SOLLEFTEÅ</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59371-2022</t>
        </is>
      </c>
      <c r="B1688" s="1" t="n">
        <v>44904</v>
      </c>
      <c r="C1688" s="1" t="n">
        <v>45346</v>
      </c>
      <c r="D1688" t="inlineStr">
        <is>
          <t>VÄSTERNORRLANDS LÄN</t>
        </is>
      </c>
      <c r="E1688" t="inlineStr">
        <is>
          <t>SOLLEFTEÅ</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60482-2022</t>
        </is>
      </c>
      <c r="B1689" s="1" t="n">
        <v>44904</v>
      </c>
      <c r="C1689" s="1" t="n">
        <v>45346</v>
      </c>
      <c r="D1689" t="inlineStr">
        <is>
          <t>VÄSTERNORRLANDS LÄN</t>
        </is>
      </c>
      <c r="E1689" t="inlineStr">
        <is>
          <t>SOLLEFTEÅ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60856-2022</t>
        </is>
      </c>
      <c r="B1690" s="1" t="n">
        <v>44907</v>
      </c>
      <c r="C1690" s="1" t="n">
        <v>45346</v>
      </c>
      <c r="D1690" t="inlineStr">
        <is>
          <t>VÄSTERNORRLANDS LÄN</t>
        </is>
      </c>
      <c r="E1690" t="inlineStr">
        <is>
          <t>SOLLEFTEÅ</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59647-2022</t>
        </is>
      </c>
      <c r="B1691" s="1" t="n">
        <v>44908</v>
      </c>
      <c r="C1691" s="1" t="n">
        <v>45346</v>
      </c>
      <c r="D1691" t="inlineStr">
        <is>
          <t>VÄSTERNORRLANDS LÄN</t>
        </is>
      </c>
      <c r="E1691" t="inlineStr">
        <is>
          <t>SOLLEFTEÅ</t>
        </is>
      </c>
      <c r="F1691" t="inlineStr">
        <is>
          <t>SCA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59908-2022</t>
        </is>
      </c>
      <c r="B1692" s="1" t="n">
        <v>44908</v>
      </c>
      <c r="C1692" s="1" t="n">
        <v>45346</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59854-2022</t>
        </is>
      </c>
      <c r="B1693" s="1" t="n">
        <v>44908</v>
      </c>
      <c r="C1693" s="1" t="n">
        <v>45346</v>
      </c>
      <c r="D1693" t="inlineStr">
        <is>
          <t>VÄSTERNORRLANDS LÄN</t>
        </is>
      </c>
      <c r="E1693" t="inlineStr">
        <is>
          <t>SOLLEFTEÅ</t>
        </is>
      </c>
      <c r="F1693" t="inlineStr">
        <is>
          <t>Holmen skog AB</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60170-2022</t>
        </is>
      </c>
      <c r="B1694" s="1" t="n">
        <v>44909</v>
      </c>
      <c r="C1694" s="1" t="n">
        <v>45346</v>
      </c>
      <c r="D1694" t="inlineStr">
        <is>
          <t>VÄSTERNORRLANDS LÄN</t>
        </is>
      </c>
      <c r="E1694" t="inlineStr">
        <is>
          <t>SOLLEFTEÅ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60169-2022</t>
        </is>
      </c>
      <c r="B1695" s="1" t="n">
        <v>44909</v>
      </c>
      <c r="C1695" s="1" t="n">
        <v>45346</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60171-2022</t>
        </is>
      </c>
      <c r="B1696" s="1" t="n">
        <v>44909</v>
      </c>
      <c r="C1696" s="1" t="n">
        <v>45346</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60168-2022</t>
        </is>
      </c>
      <c r="B1697" s="1" t="n">
        <v>44909</v>
      </c>
      <c r="C1697" s="1" t="n">
        <v>45346</v>
      </c>
      <c r="D1697" t="inlineStr">
        <is>
          <t>VÄSTERNORRLANDS LÄN</t>
        </is>
      </c>
      <c r="E1697" t="inlineStr">
        <is>
          <t>SOLLEFTEÅ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60338-2022</t>
        </is>
      </c>
      <c r="B1698" s="1" t="n">
        <v>44910</v>
      </c>
      <c r="C1698" s="1" t="n">
        <v>45346</v>
      </c>
      <c r="D1698" t="inlineStr">
        <is>
          <t>VÄSTERNORRLANDS LÄN</t>
        </is>
      </c>
      <c r="E1698" t="inlineStr">
        <is>
          <t>SOLLEFTEÅ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60420-2022</t>
        </is>
      </c>
      <c r="B1699" s="1" t="n">
        <v>44910</v>
      </c>
      <c r="C1699" s="1" t="n">
        <v>45346</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61473-2022</t>
        </is>
      </c>
      <c r="B1700" s="1" t="n">
        <v>44910</v>
      </c>
      <c r="C1700" s="1" t="n">
        <v>45346</v>
      </c>
      <c r="D1700" t="inlineStr">
        <is>
          <t>VÄSTERNORRLANDS LÄN</t>
        </is>
      </c>
      <c r="E1700" t="inlineStr">
        <is>
          <t>SOLLEFTEÅ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61459-2022</t>
        </is>
      </c>
      <c r="B1701" s="1" t="n">
        <v>44910</v>
      </c>
      <c r="C1701" s="1" t="n">
        <v>45346</v>
      </c>
      <c r="D1701" t="inlineStr">
        <is>
          <t>VÄSTERNORRLANDS LÄN</t>
        </is>
      </c>
      <c r="E1701" t="inlineStr">
        <is>
          <t>SOLLEFTEÅ</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60665-2022</t>
        </is>
      </c>
      <c r="B1702" s="1" t="n">
        <v>44911</v>
      </c>
      <c r="C1702" s="1" t="n">
        <v>45346</v>
      </c>
      <c r="D1702" t="inlineStr">
        <is>
          <t>VÄSTERNORRLANDS LÄN</t>
        </is>
      </c>
      <c r="E1702" t="inlineStr">
        <is>
          <t>SOLLEFTEÅ</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60664-2022</t>
        </is>
      </c>
      <c r="B1703" s="1" t="n">
        <v>44911</v>
      </c>
      <c r="C1703" s="1" t="n">
        <v>45346</v>
      </c>
      <c r="D1703" t="inlineStr">
        <is>
          <t>VÄSTERNORRLANDS LÄN</t>
        </is>
      </c>
      <c r="E1703" t="inlineStr">
        <is>
          <t>SOLLEFTEÅ</t>
        </is>
      </c>
      <c r="F1703" t="inlineStr">
        <is>
          <t>SCA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60666-2022</t>
        </is>
      </c>
      <c r="B1704" s="1" t="n">
        <v>44911</v>
      </c>
      <c r="C1704" s="1" t="n">
        <v>45346</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61384-2022</t>
        </is>
      </c>
      <c r="B1705" s="1" t="n">
        <v>44915</v>
      </c>
      <c r="C1705" s="1" t="n">
        <v>45346</v>
      </c>
      <c r="D1705" t="inlineStr">
        <is>
          <t>VÄSTERNORRLANDS LÄN</t>
        </is>
      </c>
      <c r="E1705" t="inlineStr">
        <is>
          <t>SOLLEFTEÅ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61345-2022</t>
        </is>
      </c>
      <c r="B1706" s="1" t="n">
        <v>44915</v>
      </c>
      <c r="C1706" s="1" t="n">
        <v>45346</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61341-2022</t>
        </is>
      </c>
      <c r="B1707" s="1" t="n">
        <v>44915</v>
      </c>
      <c r="C1707" s="1" t="n">
        <v>45346</v>
      </c>
      <c r="D1707" t="inlineStr">
        <is>
          <t>VÄSTERNORRLANDS LÄN</t>
        </is>
      </c>
      <c r="E1707" t="inlineStr">
        <is>
          <t>SOLLEFTEÅ</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61376-2022</t>
        </is>
      </c>
      <c r="B1708" s="1" t="n">
        <v>44915</v>
      </c>
      <c r="C1708" s="1" t="n">
        <v>45346</v>
      </c>
      <c r="D1708" t="inlineStr">
        <is>
          <t>VÄSTERNORRLANDS LÄN</t>
        </is>
      </c>
      <c r="E1708" t="inlineStr">
        <is>
          <t>SOLLEFTEÅ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61391-2022</t>
        </is>
      </c>
      <c r="B1709" s="1" t="n">
        <v>44915</v>
      </c>
      <c r="C1709" s="1" t="n">
        <v>45346</v>
      </c>
      <c r="D1709" t="inlineStr">
        <is>
          <t>VÄSTERNORRLANDS LÄN</t>
        </is>
      </c>
      <c r="E1709" t="inlineStr">
        <is>
          <t>SOLLEFTEÅ</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61383-2022</t>
        </is>
      </c>
      <c r="B1710" s="1" t="n">
        <v>44915</v>
      </c>
      <c r="C1710" s="1" t="n">
        <v>45346</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61660-2022</t>
        </is>
      </c>
      <c r="B1711" s="1" t="n">
        <v>44917</v>
      </c>
      <c r="C1711" s="1" t="n">
        <v>45346</v>
      </c>
      <c r="D1711" t="inlineStr">
        <is>
          <t>VÄSTERNORRLANDS LÄN</t>
        </is>
      </c>
      <c r="E1711" t="inlineStr">
        <is>
          <t>SOLLEFTEÅ</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62217-2022</t>
        </is>
      </c>
      <c r="B1712" s="1" t="n">
        <v>44916</v>
      </c>
      <c r="C1712" s="1" t="n">
        <v>45346</v>
      </c>
      <c r="D1712" t="inlineStr">
        <is>
          <t>VÄSTERNORRLANDS LÄN</t>
        </is>
      </c>
      <c r="E1712" t="inlineStr">
        <is>
          <t>SOLLEFTEÅ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61920-2022</t>
        </is>
      </c>
      <c r="B1713" s="1" t="n">
        <v>44917</v>
      </c>
      <c r="C1713" s="1" t="n">
        <v>45346</v>
      </c>
      <c r="D1713" t="inlineStr">
        <is>
          <t>VÄSTERNORRLANDS LÄN</t>
        </is>
      </c>
      <c r="E1713" t="inlineStr">
        <is>
          <t>SOLLEFTEÅ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61936-2022</t>
        </is>
      </c>
      <c r="B1714" s="1" t="n">
        <v>44917</v>
      </c>
      <c r="C1714" s="1" t="n">
        <v>45346</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62662-2022</t>
        </is>
      </c>
      <c r="B1715" s="1" t="n">
        <v>44917</v>
      </c>
      <c r="C1715" s="1" t="n">
        <v>45346</v>
      </c>
      <c r="D1715" t="inlineStr">
        <is>
          <t>VÄSTERNORRLANDS LÄN</t>
        </is>
      </c>
      <c r="E1715" t="inlineStr">
        <is>
          <t>SOLLEFTEÅ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28-2023</t>
        </is>
      </c>
      <c r="B1716" s="1" t="n">
        <v>44918</v>
      </c>
      <c r="C1716" s="1" t="n">
        <v>45346</v>
      </c>
      <c r="D1716" t="inlineStr">
        <is>
          <t>VÄSTERNORRLANDS LÄN</t>
        </is>
      </c>
      <c r="E1716" t="inlineStr">
        <is>
          <t>SOLLEFTEÅ</t>
        </is>
      </c>
      <c r="G1716" t="n">
        <v>23.8</v>
      </c>
      <c r="H1716" t="n">
        <v>0</v>
      </c>
      <c r="I1716" t="n">
        <v>0</v>
      </c>
      <c r="J1716" t="n">
        <v>0</v>
      </c>
      <c r="K1716" t="n">
        <v>0</v>
      </c>
      <c r="L1716" t="n">
        <v>0</v>
      </c>
      <c r="M1716" t="n">
        <v>0</v>
      </c>
      <c r="N1716" t="n">
        <v>0</v>
      </c>
      <c r="O1716" t="n">
        <v>0</v>
      </c>
      <c r="P1716" t="n">
        <v>0</v>
      </c>
      <c r="Q1716" t="n">
        <v>0</v>
      </c>
      <c r="R1716" s="2" t="inlineStr"/>
    </row>
    <row r="1717" ht="15" customHeight="1">
      <c r="A1717" t="inlineStr">
        <is>
          <t>A 62262-2022</t>
        </is>
      </c>
      <c r="B1717" s="1" t="n">
        <v>44922</v>
      </c>
      <c r="C1717" s="1" t="n">
        <v>45346</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62260-2022</t>
        </is>
      </c>
      <c r="B1718" s="1" t="n">
        <v>44922</v>
      </c>
      <c r="C1718" s="1" t="n">
        <v>45346</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192-2023</t>
        </is>
      </c>
      <c r="B1719" s="1" t="n">
        <v>44922</v>
      </c>
      <c r="C1719" s="1" t="n">
        <v>45346</v>
      </c>
      <c r="D1719" t="inlineStr">
        <is>
          <t>VÄSTERNORRLANDS LÄN</t>
        </is>
      </c>
      <c r="E1719" t="inlineStr">
        <is>
          <t>SOLLEFTEÅ</t>
        </is>
      </c>
      <c r="G1719" t="n">
        <v>20.9</v>
      </c>
      <c r="H1719" t="n">
        <v>0</v>
      </c>
      <c r="I1719" t="n">
        <v>0</v>
      </c>
      <c r="J1719" t="n">
        <v>0</v>
      </c>
      <c r="K1719" t="n">
        <v>0</v>
      </c>
      <c r="L1719" t="n">
        <v>0</v>
      </c>
      <c r="M1719" t="n">
        <v>0</v>
      </c>
      <c r="N1719" t="n">
        <v>0</v>
      </c>
      <c r="O1719" t="n">
        <v>0</v>
      </c>
      <c r="P1719" t="n">
        <v>0</v>
      </c>
      <c r="Q1719" t="n">
        <v>0</v>
      </c>
      <c r="R1719" s="2" t="inlineStr"/>
    </row>
    <row r="1720" ht="15" customHeight="1">
      <c r="A1720" t="inlineStr">
        <is>
          <t>A 62406-2022</t>
        </is>
      </c>
      <c r="B1720" s="1" t="n">
        <v>44923</v>
      </c>
      <c r="C1720" s="1" t="n">
        <v>45346</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62507-2022</t>
        </is>
      </c>
      <c r="B1721" s="1" t="n">
        <v>44924</v>
      </c>
      <c r="C1721" s="1" t="n">
        <v>45346</v>
      </c>
      <c r="D1721" t="inlineStr">
        <is>
          <t>VÄSTERNORRLANDS LÄN</t>
        </is>
      </c>
      <c r="E1721" t="inlineStr">
        <is>
          <t>SOLLEFTEÅ</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62745-2022</t>
        </is>
      </c>
      <c r="B1722" s="1" t="n">
        <v>44925</v>
      </c>
      <c r="C1722" s="1" t="n">
        <v>45346</v>
      </c>
      <c r="D1722" t="inlineStr">
        <is>
          <t>VÄSTERNORRLANDS LÄN</t>
        </is>
      </c>
      <c r="E1722" t="inlineStr">
        <is>
          <t>SOLLEFTEÅ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62750-2022</t>
        </is>
      </c>
      <c r="B1723" s="1" t="n">
        <v>44925</v>
      </c>
      <c r="C1723" s="1" t="n">
        <v>45346</v>
      </c>
      <c r="D1723" t="inlineStr">
        <is>
          <t>VÄSTERNORRLANDS LÄN</t>
        </is>
      </c>
      <c r="E1723" t="inlineStr">
        <is>
          <t>SOLLEFTEÅ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62710-2022</t>
        </is>
      </c>
      <c r="B1724" s="1" t="n">
        <v>44925</v>
      </c>
      <c r="C1724" s="1" t="n">
        <v>45346</v>
      </c>
      <c r="D1724" t="inlineStr">
        <is>
          <t>VÄSTERNORRLANDS LÄN</t>
        </is>
      </c>
      <c r="E1724" t="inlineStr">
        <is>
          <t>SOLLEFTEÅ</t>
        </is>
      </c>
      <c r="F1724" t="inlineStr">
        <is>
          <t>Holmen skog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279-2023</t>
        </is>
      </c>
      <c r="B1725" s="1" t="n">
        <v>44928</v>
      </c>
      <c r="C1725" s="1" t="n">
        <v>45346</v>
      </c>
      <c r="D1725" t="inlineStr">
        <is>
          <t>VÄSTERNORRLANDS LÄN</t>
        </is>
      </c>
      <c r="E1725" t="inlineStr">
        <is>
          <t>SOLLEFTEÅ</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282-2023</t>
        </is>
      </c>
      <c r="B1726" s="1" t="n">
        <v>44928</v>
      </c>
      <c r="C1726" s="1" t="n">
        <v>45346</v>
      </c>
      <c r="D1726" t="inlineStr">
        <is>
          <t>VÄSTERNORRLANDS LÄN</t>
        </is>
      </c>
      <c r="E1726" t="inlineStr">
        <is>
          <t>SOLLEFTEÅ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714-2023</t>
        </is>
      </c>
      <c r="B1727" s="1" t="n">
        <v>44930</v>
      </c>
      <c r="C1727" s="1" t="n">
        <v>45346</v>
      </c>
      <c r="D1727" t="inlineStr">
        <is>
          <t>VÄSTERNORRLANDS LÄN</t>
        </is>
      </c>
      <c r="E1727" t="inlineStr">
        <is>
          <t>SOLLEFTEÅ</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918-2023</t>
        </is>
      </c>
      <c r="B1728" s="1" t="n">
        <v>44931</v>
      </c>
      <c r="C1728" s="1" t="n">
        <v>45346</v>
      </c>
      <c r="D1728" t="inlineStr">
        <is>
          <t>VÄSTERNORRLANDS LÄN</t>
        </is>
      </c>
      <c r="E1728" t="inlineStr">
        <is>
          <t>SOLLEFTEÅ</t>
        </is>
      </c>
      <c r="F1728" t="inlineStr">
        <is>
          <t>SCA</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965-2023</t>
        </is>
      </c>
      <c r="B1729" s="1" t="n">
        <v>44934</v>
      </c>
      <c r="C1729" s="1" t="n">
        <v>45346</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964-2023</t>
        </is>
      </c>
      <c r="B1730" s="1" t="n">
        <v>44934</v>
      </c>
      <c r="C1730" s="1" t="n">
        <v>45346</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1275-2023</t>
        </is>
      </c>
      <c r="B1731" s="1" t="n">
        <v>44936</v>
      </c>
      <c r="C1731" s="1" t="n">
        <v>45346</v>
      </c>
      <c r="D1731" t="inlineStr">
        <is>
          <t>VÄSTERNORRLANDS LÄN</t>
        </is>
      </c>
      <c r="E1731" t="inlineStr">
        <is>
          <t>SOLLEFTEÅ</t>
        </is>
      </c>
      <c r="G1731" t="n">
        <v>14.4</v>
      </c>
      <c r="H1731" t="n">
        <v>0</v>
      </c>
      <c r="I1731" t="n">
        <v>0</v>
      </c>
      <c r="J1731" t="n">
        <v>0</v>
      </c>
      <c r="K1731" t="n">
        <v>0</v>
      </c>
      <c r="L1731" t="n">
        <v>0</v>
      </c>
      <c r="M1731" t="n">
        <v>0</v>
      </c>
      <c r="N1731" t="n">
        <v>0</v>
      </c>
      <c r="O1731" t="n">
        <v>0</v>
      </c>
      <c r="P1731" t="n">
        <v>0</v>
      </c>
      <c r="Q1731" t="n">
        <v>0</v>
      </c>
      <c r="R1731" s="2" t="inlineStr"/>
    </row>
    <row r="1732" ht="15" customHeight="1">
      <c r="A1732" t="inlineStr">
        <is>
          <t>A 1803-2023</t>
        </is>
      </c>
      <c r="B1732" s="1" t="n">
        <v>44937</v>
      </c>
      <c r="C1732" s="1" t="n">
        <v>45346</v>
      </c>
      <c r="D1732" t="inlineStr">
        <is>
          <t>VÄSTERNORRLANDS LÄN</t>
        </is>
      </c>
      <c r="E1732" t="inlineStr">
        <is>
          <t>SOLLEFTEÅ</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1868-2023</t>
        </is>
      </c>
      <c r="B1733" s="1" t="n">
        <v>44938</v>
      </c>
      <c r="C1733" s="1" t="n">
        <v>45346</v>
      </c>
      <c r="D1733" t="inlineStr">
        <is>
          <t>VÄSTERNORRLANDS LÄN</t>
        </is>
      </c>
      <c r="E1733" t="inlineStr">
        <is>
          <t>SOLLEFTEÅ</t>
        </is>
      </c>
      <c r="F1733" t="inlineStr">
        <is>
          <t>SCA</t>
        </is>
      </c>
      <c r="G1733" t="n">
        <v>19.3</v>
      </c>
      <c r="H1733" t="n">
        <v>0</v>
      </c>
      <c r="I1733" t="n">
        <v>0</v>
      </c>
      <c r="J1733" t="n">
        <v>0</v>
      </c>
      <c r="K1733" t="n">
        <v>0</v>
      </c>
      <c r="L1733" t="n">
        <v>0</v>
      </c>
      <c r="M1733" t="n">
        <v>0</v>
      </c>
      <c r="N1733" t="n">
        <v>0</v>
      </c>
      <c r="O1733" t="n">
        <v>0</v>
      </c>
      <c r="P1733" t="n">
        <v>0</v>
      </c>
      <c r="Q1733" t="n">
        <v>0</v>
      </c>
      <c r="R1733" s="2" t="inlineStr"/>
    </row>
    <row r="1734" ht="15" customHeight="1">
      <c r="A1734" t="inlineStr">
        <is>
          <t>A 1874-2023</t>
        </is>
      </c>
      <c r="B1734" s="1" t="n">
        <v>44938</v>
      </c>
      <c r="C1734" s="1" t="n">
        <v>45346</v>
      </c>
      <c r="D1734" t="inlineStr">
        <is>
          <t>VÄSTERNORRLANDS LÄN</t>
        </is>
      </c>
      <c r="E1734" t="inlineStr">
        <is>
          <t>SOLLEFTEÅ</t>
        </is>
      </c>
      <c r="F1734" t="inlineStr">
        <is>
          <t>SCA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2058-2023</t>
        </is>
      </c>
      <c r="B1735" s="1" t="n">
        <v>44938</v>
      </c>
      <c r="C1735" s="1" t="n">
        <v>45346</v>
      </c>
      <c r="D1735" t="inlineStr">
        <is>
          <t>VÄSTERNORRLANDS LÄN</t>
        </is>
      </c>
      <c r="E1735" t="inlineStr">
        <is>
          <t>SOLLEFTEÅ</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2121-2023</t>
        </is>
      </c>
      <c r="B1736" s="1" t="n">
        <v>44939</v>
      </c>
      <c r="C1736" s="1" t="n">
        <v>45346</v>
      </c>
      <c r="D1736" t="inlineStr">
        <is>
          <t>VÄSTERNORRLANDS LÄN</t>
        </is>
      </c>
      <c r="E1736" t="inlineStr">
        <is>
          <t>SOLLEFTEÅ</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2119-2023</t>
        </is>
      </c>
      <c r="B1737" s="1" t="n">
        <v>44939</v>
      </c>
      <c r="C1737" s="1" t="n">
        <v>45346</v>
      </c>
      <c r="D1737" t="inlineStr">
        <is>
          <t>VÄSTERNORRLANDS LÄN</t>
        </is>
      </c>
      <c r="E1737" t="inlineStr">
        <is>
          <t>SOLLEFTEÅ</t>
        </is>
      </c>
      <c r="F1737" t="inlineStr">
        <is>
          <t>SCA</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2132-2023</t>
        </is>
      </c>
      <c r="B1738" s="1" t="n">
        <v>44939</v>
      </c>
      <c r="C1738" s="1" t="n">
        <v>45346</v>
      </c>
      <c r="D1738" t="inlineStr">
        <is>
          <t>VÄSTERNORRLANDS LÄN</t>
        </is>
      </c>
      <c r="E1738" t="inlineStr">
        <is>
          <t>SOLLEFTEÅ</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2120-2023</t>
        </is>
      </c>
      <c r="B1739" s="1" t="n">
        <v>44939</v>
      </c>
      <c r="C1739" s="1" t="n">
        <v>45346</v>
      </c>
      <c r="D1739" t="inlineStr">
        <is>
          <t>VÄSTERNORRLANDS LÄN</t>
        </is>
      </c>
      <c r="E1739" t="inlineStr">
        <is>
          <t>SOLLEFTEÅ</t>
        </is>
      </c>
      <c r="F1739" t="inlineStr">
        <is>
          <t>SCA</t>
        </is>
      </c>
      <c r="G1739" t="n">
        <v>126.9</v>
      </c>
      <c r="H1739" t="n">
        <v>0</v>
      </c>
      <c r="I1739" t="n">
        <v>0</v>
      </c>
      <c r="J1739" t="n">
        <v>0</v>
      </c>
      <c r="K1739" t="n">
        <v>0</v>
      </c>
      <c r="L1739" t="n">
        <v>0</v>
      </c>
      <c r="M1739" t="n">
        <v>0</v>
      </c>
      <c r="N1739" t="n">
        <v>0</v>
      </c>
      <c r="O1739" t="n">
        <v>0</v>
      </c>
      <c r="P1739" t="n">
        <v>0</v>
      </c>
      <c r="Q1739" t="n">
        <v>0</v>
      </c>
      <c r="R1739" s="2" t="inlineStr"/>
    </row>
    <row r="1740" ht="15" customHeight="1">
      <c r="A1740" t="inlineStr">
        <is>
          <t>A 2114-2023</t>
        </is>
      </c>
      <c r="B1740" s="1" t="n">
        <v>44939</v>
      </c>
      <c r="C1740" s="1" t="n">
        <v>45346</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2118-2023</t>
        </is>
      </c>
      <c r="B1741" s="1" t="n">
        <v>44939</v>
      </c>
      <c r="C1741" s="1" t="n">
        <v>45346</v>
      </c>
      <c r="D1741" t="inlineStr">
        <is>
          <t>VÄSTERNORRLANDS LÄN</t>
        </is>
      </c>
      <c r="E1741" t="inlineStr">
        <is>
          <t>SOLLEFTEÅ</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2139-2023</t>
        </is>
      </c>
      <c r="B1742" s="1" t="n">
        <v>44940</v>
      </c>
      <c r="C1742" s="1" t="n">
        <v>45346</v>
      </c>
      <c r="D1742" t="inlineStr">
        <is>
          <t>VÄSTERNORRLANDS LÄN</t>
        </is>
      </c>
      <c r="E1742" t="inlineStr">
        <is>
          <t>SOLLEFTEÅ</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2183-2023</t>
        </is>
      </c>
      <c r="B1743" s="1" t="n">
        <v>44942</v>
      </c>
      <c r="C1743" s="1" t="n">
        <v>45346</v>
      </c>
      <c r="D1743" t="inlineStr">
        <is>
          <t>VÄSTERNORRLANDS LÄN</t>
        </is>
      </c>
      <c r="E1743" t="inlineStr">
        <is>
          <t>SOLLEFTEÅ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2408-2023</t>
        </is>
      </c>
      <c r="B1744" s="1" t="n">
        <v>44942</v>
      </c>
      <c r="C1744" s="1" t="n">
        <v>45346</v>
      </c>
      <c r="D1744" t="inlineStr">
        <is>
          <t>VÄSTERNORRLANDS LÄN</t>
        </is>
      </c>
      <c r="E1744" t="inlineStr">
        <is>
          <t>SOLLEFTEÅ</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2412-2023</t>
        </is>
      </c>
      <c r="B1745" s="1" t="n">
        <v>44942</v>
      </c>
      <c r="C1745" s="1" t="n">
        <v>45346</v>
      </c>
      <c r="D1745" t="inlineStr">
        <is>
          <t>VÄSTERNORRLANDS LÄN</t>
        </is>
      </c>
      <c r="E1745" t="inlineStr">
        <is>
          <t>SOLLEFTEÅ</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2597-2023</t>
        </is>
      </c>
      <c r="B1746" s="1" t="n">
        <v>44943</v>
      </c>
      <c r="C1746" s="1" t="n">
        <v>45346</v>
      </c>
      <c r="D1746" t="inlineStr">
        <is>
          <t>VÄSTERNORRLANDS LÄN</t>
        </is>
      </c>
      <c r="E1746" t="inlineStr">
        <is>
          <t>SOLLEFTEÅ</t>
        </is>
      </c>
      <c r="F1746" t="inlineStr">
        <is>
          <t>SCA</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2756-2023</t>
        </is>
      </c>
      <c r="B1747" s="1" t="n">
        <v>44943</v>
      </c>
      <c r="C1747" s="1" t="n">
        <v>45346</v>
      </c>
      <c r="D1747" t="inlineStr">
        <is>
          <t>VÄSTERNORRLANDS LÄN</t>
        </is>
      </c>
      <c r="E1747" t="inlineStr">
        <is>
          <t>SOLLEFTEÅ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2598-2023</t>
        </is>
      </c>
      <c r="B1748" s="1" t="n">
        <v>44943</v>
      </c>
      <c r="C1748" s="1" t="n">
        <v>45346</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2927-2023</t>
        </is>
      </c>
      <c r="B1749" s="1" t="n">
        <v>44945</v>
      </c>
      <c r="C1749" s="1" t="n">
        <v>45346</v>
      </c>
      <c r="D1749" t="inlineStr">
        <is>
          <t>VÄSTERNORRLANDS LÄN</t>
        </is>
      </c>
      <c r="E1749" t="inlineStr">
        <is>
          <t>SOLLEFTEÅ</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3019-2023</t>
        </is>
      </c>
      <c r="B1750" s="1" t="n">
        <v>44945</v>
      </c>
      <c r="C1750" s="1" t="n">
        <v>45346</v>
      </c>
      <c r="D1750" t="inlineStr">
        <is>
          <t>VÄSTERNORRLANDS LÄN</t>
        </is>
      </c>
      <c r="E1750" t="inlineStr">
        <is>
          <t>SOLLEFTEÅ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3319-2023</t>
        </is>
      </c>
      <c r="B1751" s="1" t="n">
        <v>44949</v>
      </c>
      <c r="C1751" s="1" t="n">
        <v>45346</v>
      </c>
      <c r="D1751" t="inlineStr">
        <is>
          <t>VÄSTERNORRLANDS LÄN</t>
        </is>
      </c>
      <c r="E1751" t="inlineStr">
        <is>
          <t>SOLLEFTEÅ</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3692-2023</t>
        </is>
      </c>
      <c r="B1752" s="1" t="n">
        <v>44950</v>
      </c>
      <c r="C1752" s="1" t="n">
        <v>45346</v>
      </c>
      <c r="D1752" t="inlineStr">
        <is>
          <t>VÄSTERNORRLANDS LÄN</t>
        </is>
      </c>
      <c r="E1752" t="inlineStr">
        <is>
          <t>SOLLEFTEÅ</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3691-2023</t>
        </is>
      </c>
      <c r="B1753" s="1" t="n">
        <v>44950</v>
      </c>
      <c r="C1753" s="1" t="n">
        <v>45346</v>
      </c>
      <c r="D1753" t="inlineStr">
        <is>
          <t>VÄSTERNORRLANDS LÄN</t>
        </is>
      </c>
      <c r="E1753" t="inlineStr">
        <is>
          <t>SOLLEFTEÅ</t>
        </is>
      </c>
      <c r="F1753" t="inlineStr">
        <is>
          <t>SCA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3689-2023</t>
        </is>
      </c>
      <c r="B1754" s="1" t="n">
        <v>44950</v>
      </c>
      <c r="C1754" s="1" t="n">
        <v>45346</v>
      </c>
      <c r="D1754" t="inlineStr">
        <is>
          <t>VÄSTERNORRLANDS LÄN</t>
        </is>
      </c>
      <c r="E1754" t="inlineStr">
        <is>
          <t>SOLLEFTEÅ</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4154-2023</t>
        </is>
      </c>
      <c r="B1755" s="1" t="n">
        <v>44950</v>
      </c>
      <c r="C1755" s="1" t="n">
        <v>45346</v>
      </c>
      <c r="D1755" t="inlineStr">
        <is>
          <t>VÄSTERNORRLANDS LÄN</t>
        </is>
      </c>
      <c r="E1755" t="inlineStr">
        <is>
          <t>SOLLEFTEÅ</t>
        </is>
      </c>
      <c r="G1755" t="n">
        <v>9.699999999999999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4406-2023</t>
        </is>
      </c>
      <c r="B1756" s="1" t="n">
        <v>44951</v>
      </c>
      <c r="C1756" s="1" t="n">
        <v>45346</v>
      </c>
      <c r="D1756" t="inlineStr">
        <is>
          <t>VÄSTERNORRLANDS LÄN</t>
        </is>
      </c>
      <c r="E1756" t="inlineStr">
        <is>
          <t>SOLLEFTEÅ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4132-2023</t>
        </is>
      </c>
      <c r="B1757" s="1" t="n">
        <v>44952</v>
      </c>
      <c r="C1757" s="1" t="n">
        <v>45346</v>
      </c>
      <c r="D1757" t="inlineStr">
        <is>
          <t>VÄSTERNORRLANDS LÄN</t>
        </is>
      </c>
      <c r="E1757" t="inlineStr">
        <is>
          <t>SOLLEFTEÅ</t>
        </is>
      </c>
      <c r="F1757" t="inlineStr">
        <is>
          <t>SCA</t>
        </is>
      </c>
      <c r="G1757" t="n">
        <v>50.4</v>
      </c>
      <c r="H1757" t="n">
        <v>0</v>
      </c>
      <c r="I1757" t="n">
        <v>0</v>
      </c>
      <c r="J1757" t="n">
        <v>0</v>
      </c>
      <c r="K1757" t="n">
        <v>0</v>
      </c>
      <c r="L1757" t="n">
        <v>0</v>
      </c>
      <c r="M1757" t="n">
        <v>0</v>
      </c>
      <c r="N1757" t="n">
        <v>0</v>
      </c>
      <c r="O1757" t="n">
        <v>0</v>
      </c>
      <c r="P1757" t="n">
        <v>0</v>
      </c>
      <c r="Q1757" t="n">
        <v>0</v>
      </c>
      <c r="R1757" s="2" t="inlineStr"/>
    </row>
    <row r="1758" ht="15" customHeight="1">
      <c r="A1758" t="inlineStr">
        <is>
          <t>A 4138-2023</t>
        </is>
      </c>
      <c r="B1758" s="1" t="n">
        <v>44952</v>
      </c>
      <c r="C1758" s="1" t="n">
        <v>45346</v>
      </c>
      <c r="D1758" t="inlineStr">
        <is>
          <t>VÄSTERNORRLANDS LÄN</t>
        </is>
      </c>
      <c r="E1758" t="inlineStr">
        <is>
          <t>SOLLEFTEÅ</t>
        </is>
      </c>
      <c r="F1758" t="inlineStr">
        <is>
          <t>SCA</t>
        </is>
      </c>
      <c r="G1758" t="n">
        <v>70</v>
      </c>
      <c r="H1758" t="n">
        <v>0</v>
      </c>
      <c r="I1758" t="n">
        <v>0</v>
      </c>
      <c r="J1758" t="n">
        <v>0</v>
      </c>
      <c r="K1758" t="n">
        <v>0</v>
      </c>
      <c r="L1758" t="n">
        <v>0</v>
      </c>
      <c r="M1758" t="n">
        <v>0</v>
      </c>
      <c r="N1758" t="n">
        <v>0</v>
      </c>
      <c r="O1758" t="n">
        <v>0</v>
      </c>
      <c r="P1758" t="n">
        <v>0</v>
      </c>
      <c r="Q1758" t="n">
        <v>0</v>
      </c>
      <c r="R1758" s="2" t="inlineStr"/>
    </row>
    <row r="1759" ht="15" customHeight="1">
      <c r="A1759" t="inlineStr">
        <is>
          <t>A 4501-2023</t>
        </is>
      </c>
      <c r="B1759" s="1" t="n">
        <v>44952</v>
      </c>
      <c r="C1759" s="1" t="n">
        <v>45346</v>
      </c>
      <c r="D1759" t="inlineStr">
        <is>
          <t>VÄSTERNORRLANDS LÄN</t>
        </is>
      </c>
      <c r="E1759" t="inlineStr">
        <is>
          <t>SOLLEFTEÅ</t>
        </is>
      </c>
      <c r="F1759" t="inlineStr">
        <is>
          <t>Övriga Aktiebolag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4613-2023</t>
        </is>
      </c>
      <c r="B1760" s="1" t="n">
        <v>44956</v>
      </c>
      <c r="C1760" s="1" t="n">
        <v>45346</v>
      </c>
      <c r="D1760" t="inlineStr">
        <is>
          <t>VÄSTERNORRLANDS LÄN</t>
        </is>
      </c>
      <c r="E1760" t="inlineStr">
        <is>
          <t>SOLLEFTEÅ</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4611-2023</t>
        </is>
      </c>
      <c r="B1761" s="1" t="n">
        <v>44956</v>
      </c>
      <c r="C1761" s="1" t="n">
        <v>45346</v>
      </c>
      <c r="D1761" t="inlineStr">
        <is>
          <t>VÄSTERNORRLANDS LÄN</t>
        </is>
      </c>
      <c r="E1761" t="inlineStr">
        <is>
          <t>SOLLEFTEÅ</t>
        </is>
      </c>
      <c r="F1761" t="inlineStr">
        <is>
          <t>SCA</t>
        </is>
      </c>
      <c r="G1761" t="n">
        <v>19.2</v>
      </c>
      <c r="H1761" t="n">
        <v>0</v>
      </c>
      <c r="I1761" t="n">
        <v>0</v>
      </c>
      <c r="J1761" t="n">
        <v>0</v>
      </c>
      <c r="K1761" t="n">
        <v>0</v>
      </c>
      <c r="L1761" t="n">
        <v>0</v>
      </c>
      <c r="M1761" t="n">
        <v>0</v>
      </c>
      <c r="N1761" t="n">
        <v>0</v>
      </c>
      <c r="O1761" t="n">
        <v>0</v>
      </c>
      <c r="P1761" t="n">
        <v>0</v>
      </c>
      <c r="Q1761" t="n">
        <v>0</v>
      </c>
      <c r="R1761" s="2" t="inlineStr"/>
    </row>
    <row r="1762" ht="15" customHeight="1">
      <c r="A1762" t="inlineStr">
        <is>
          <t>A 4612-2023</t>
        </is>
      </c>
      <c r="B1762" s="1" t="n">
        <v>44956</v>
      </c>
      <c r="C1762" s="1" t="n">
        <v>45346</v>
      </c>
      <c r="D1762" t="inlineStr">
        <is>
          <t>VÄSTERNORRLANDS LÄN</t>
        </is>
      </c>
      <c r="E1762" t="inlineStr">
        <is>
          <t>SOLLEFTEÅ</t>
        </is>
      </c>
      <c r="F1762" t="inlineStr">
        <is>
          <t>SCA</t>
        </is>
      </c>
      <c r="G1762" t="n">
        <v>25.5</v>
      </c>
      <c r="H1762" t="n">
        <v>0</v>
      </c>
      <c r="I1762" t="n">
        <v>0</v>
      </c>
      <c r="J1762" t="n">
        <v>0</v>
      </c>
      <c r="K1762" t="n">
        <v>0</v>
      </c>
      <c r="L1762" t="n">
        <v>0</v>
      </c>
      <c r="M1762" t="n">
        <v>0</v>
      </c>
      <c r="N1762" t="n">
        <v>0</v>
      </c>
      <c r="O1762" t="n">
        <v>0</v>
      </c>
      <c r="P1762" t="n">
        <v>0</v>
      </c>
      <c r="Q1762" t="n">
        <v>0</v>
      </c>
      <c r="R1762" s="2" t="inlineStr"/>
    </row>
    <row r="1763" ht="15" customHeight="1">
      <c r="A1763" t="inlineStr">
        <is>
          <t>A 4623-2023</t>
        </is>
      </c>
      <c r="B1763" s="1" t="n">
        <v>44956</v>
      </c>
      <c r="C1763" s="1" t="n">
        <v>45346</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5001-2023</t>
        </is>
      </c>
      <c r="B1764" s="1" t="n">
        <v>44956</v>
      </c>
      <c r="C1764" s="1" t="n">
        <v>45346</v>
      </c>
      <c r="D1764" t="inlineStr">
        <is>
          <t>VÄSTERNORRLANDS LÄN</t>
        </is>
      </c>
      <c r="E1764" t="inlineStr">
        <is>
          <t>SOLLEFTEÅ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5168-2023</t>
        </is>
      </c>
      <c r="B1765" s="1" t="n">
        <v>44958</v>
      </c>
      <c r="C1765" s="1" t="n">
        <v>45346</v>
      </c>
      <c r="D1765" t="inlineStr">
        <is>
          <t>VÄSTERNORRLANDS LÄN</t>
        </is>
      </c>
      <c r="E1765" t="inlineStr">
        <is>
          <t>SOLLEFTEÅ</t>
        </is>
      </c>
      <c r="F1765" t="inlineStr">
        <is>
          <t>SCA</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5149-2023</t>
        </is>
      </c>
      <c r="B1766" s="1" t="n">
        <v>44958</v>
      </c>
      <c r="C1766" s="1" t="n">
        <v>45346</v>
      </c>
      <c r="D1766" t="inlineStr">
        <is>
          <t>VÄSTERNORRLANDS LÄN</t>
        </is>
      </c>
      <c r="E1766" t="inlineStr">
        <is>
          <t>SOLLEFTEÅ</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5161-2023</t>
        </is>
      </c>
      <c r="B1767" s="1" t="n">
        <v>44958</v>
      </c>
      <c r="C1767" s="1" t="n">
        <v>45346</v>
      </c>
      <c r="D1767" t="inlineStr">
        <is>
          <t>VÄSTERNORRLANDS LÄN</t>
        </is>
      </c>
      <c r="E1767" t="inlineStr">
        <is>
          <t>SOLLEFTEÅ</t>
        </is>
      </c>
      <c r="F1767" t="inlineStr">
        <is>
          <t>SCA</t>
        </is>
      </c>
      <c r="G1767" t="n">
        <v>30.3</v>
      </c>
      <c r="H1767" t="n">
        <v>0</v>
      </c>
      <c r="I1767" t="n">
        <v>0</v>
      </c>
      <c r="J1767" t="n">
        <v>0</v>
      </c>
      <c r="K1767" t="n">
        <v>0</v>
      </c>
      <c r="L1767" t="n">
        <v>0</v>
      </c>
      <c r="M1767" t="n">
        <v>0</v>
      </c>
      <c r="N1767" t="n">
        <v>0</v>
      </c>
      <c r="O1767" t="n">
        <v>0</v>
      </c>
      <c r="P1767" t="n">
        <v>0</v>
      </c>
      <c r="Q1767" t="n">
        <v>0</v>
      </c>
      <c r="R1767" s="2" t="inlineStr"/>
    </row>
    <row r="1768" ht="15" customHeight="1">
      <c r="A1768" t="inlineStr">
        <is>
          <t>A 5166-2023</t>
        </is>
      </c>
      <c r="B1768" s="1" t="n">
        <v>44958</v>
      </c>
      <c r="C1768" s="1" t="n">
        <v>45346</v>
      </c>
      <c r="D1768" t="inlineStr">
        <is>
          <t>VÄSTERNORRLANDS LÄN</t>
        </is>
      </c>
      <c r="E1768" t="inlineStr">
        <is>
          <t>SOLLEFTEÅ</t>
        </is>
      </c>
      <c r="F1768" t="inlineStr">
        <is>
          <t>SCA</t>
        </is>
      </c>
      <c r="G1768" t="n">
        <v>29.3</v>
      </c>
      <c r="H1768" t="n">
        <v>0</v>
      </c>
      <c r="I1768" t="n">
        <v>0</v>
      </c>
      <c r="J1768" t="n">
        <v>0</v>
      </c>
      <c r="K1768" t="n">
        <v>0</v>
      </c>
      <c r="L1768" t="n">
        <v>0</v>
      </c>
      <c r="M1768" t="n">
        <v>0</v>
      </c>
      <c r="N1768" t="n">
        <v>0</v>
      </c>
      <c r="O1768" t="n">
        <v>0</v>
      </c>
      <c r="P1768" t="n">
        <v>0</v>
      </c>
      <c r="Q1768" t="n">
        <v>0</v>
      </c>
      <c r="R1768" s="2" t="inlineStr"/>
    </row>
    <row r="1769" ht="15" customHeight="1">
      <c r="A1769" t="inlineStr">
        <is>
          <t>A 5167-2023</t>
        </is>
      </c>
      <c r="B1769" s="1" t="n">
        <v>44958</v>
      </c>
      <c r="C1769" s="1" t="n">
        <v>45346</v>
      </c>
      <c r="D1769" t="inlineStr">
        <is>
          <t>VÄSTERNORRLANDS LÄN</t>
        </is>
      </c>
      <c r="E1769" t="inlineStr">
        <is>
          <t>SOLLEFTEÅ</t>
        </is>
      </c>
      <c r="F1769" t="inlineStr">
        <is>
          <t>SCA</t>
        </is>
      </c>
      <c r="G1769" t="n">
        <v>14.8</v>
      </c>
      <c r="H1769" t="n">
        <v>0</v>
      </c>
      <c r="I1769" t="n">
        <v>0</v>
      </c>
      <c r="J1769" t="n">
        <v>0</v>
      </c>
      <c r="K1769" t="n">
        <v>0</v>
      </c>
      <c r="L1769" t="n">
        <v>0</v>
      </c>
      <c r="M1769" t="n">
        <v>0</v>
      </c>
      <c r="N1769" t="n">
        <v>0</v>
      </c>
      <c r="O1769" t="n">
        <v>0</v>
      </c>
      <c r="P1769" t="n">
        <v>0</v>
      </c>
      <c r="Q1769" t="n">
        <v>0</v>
      </c>
      <c r="R1769" s="2" t="inlineStr"/>
    </row>
    <row r="1770" ht="15" customHeight="1">
      <c r="A1770" t="inlineStr">
        <is>
          <t>A 5448-2023</t>
        </is>
      </c>
      <c r="B1770" s="1" t="n">
        <v>44959</v>
      </c>
      <c r="C1770" s="1" t="n">
        <v>45346</v>
      </c>
      <c r="D1770" t="inlineStr">
        <is>
          <t>VÄSTERNORRLANDS LÄN</t>
        </is>
      </c>
      <c r="E1770" t="inlineStr">
        <is>
          <t>SOLLEFTEÅ</t>
        </is>
      </c>
      <c r="F1770" t="inlineStr">
        <is>
          <t>SCA</t>
        </is>
      </c>
      <c r="G1770" t="n">
        <v>138.3</v>
      </c>
      <c r="H1770" t="n">
        <v>0</v>
      </c>
      <c r="I1770" t="n">
        <v>0</v>
      </c>
      <c r="J1770" t="n">
        <v>0</v>
      </c>
      <c r="K1770" t="n">
        <v>0</v>
      </c>
      <c r="L1770" t="n">
        <v>0</v>
      </c>
      <c r="M1770" t="n">
        <v>0</v>
      </c>
      <c r="N1770" t="n">
        <v>0</v>
      </c>
      <c r="O1770" t="n">
        <v>0</v>
      </c>
      <c r="P1770" t="n">
        <v>0</v>
      </c>
      <c r="Q1770" t="n">
        <v>0</v>
      </c>
      <c r="R1770" s="2" t="inlineStr"/>
    </row>
    <row r="1771" ht="15" customHeight="1">
      <c r="A1771" t="inlineStr">
        <is>
          <t>A 5451-2023</t>
        </is>
      </c>
      <c r="B1771" s="1" t="n">
        <v>44959</v>
      </c>
      <c r="C1771" s="1" t="n">
        <v>45346</v>
      </c>
      <c r="D1771" t="inlineStr">
        <is>
          <t>VÄSTERNORRLANDS LÄN</t>
        </is>
      </c>
      <c r="E1771" t="inlineStr">
        <is>
          <t>SOLLEFTEÅ</t>
        </is>
      </c>
      <c r="F1771" t="inlineStr">
        <is>
          <t>SCA</t>
        </is>
      </c>
      <c r="G1771" t="n">
        <v>20.1</v>
      </c>
      <c r="H1771" t="n">
        <v>0</v>
      </c>
      <c r="I1771" t="n">
        <v>0</v>
      </c>
      <c r="J1771" t="n">
        <v>0</v>
      </c>
      <c r="K1771" t="n">
        <v>0</v>
      </c>
      <c r="L1771" t="n">
        <v>0</v>
      </c>
      <c r="M1771" t="n">
        <v>0</v>
      </c>
      <c r="N1771" t="n">
        <v>0</v>
      </c>
      <c r="O1771" t="n">
        <v>0</v>
      </c>
      <c r="P1771" t="n">
        <v>0</v>
      </c>
      <c r="Q1771" t="n">
        <v>0</v>
      </c>
      <c r="R1771" s="2" t="inlineStr"/>
    </row>
    <row r="1772" ht="15" customHeight="1">
      <c r="A1772" t="inlineStr">
        <is>
          <t>A 6271-2023</t>
        </is>
      </c>
      <c r="B1772" s="1" t="n">
        <v>44959</v>
      </c>
      <c r="C1772" s="1" t="n">
        <v>45346</v>
      </c>
      <c r="D1772" t="inlineStr">
        <is>
          <t>VÄSTERNORRLANDS LÄN</t>
        </is>
      </c>
      <c r="E1772" t="inlineStr">
        <is>
          <t>SOLLEFTEÅ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5519-2023</t>
        </is>
      </c>
      <c r="B1773" s="1" t="n">
        <v>44960</v>
      </c>
      <c r="C1773" s="1" t="n">
        <v>45346</v>
      </c>
      <c r="D1773" t="inlineStr">
        <is>
          <t>VÄSTERNORRLANDS LÄN</t>
        </is>
      </c>
      <c r="E1773" t="inlineStr">
        <is>
          <t>SOLLEFTEÅ</t>
        </is>
      </c>
      <c r="F1773" t="inlineStr">
        <is>
          <t>Holmen skog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5529-2023</t>
        </is>
      </c>
      <c r="B1774" s="1" t="n">
        <v>44960</v>
      </c>
      <c r="C1774" s="1" t="n">
        <v>45346</v>
      </c>
      <c r="D1774" t="inlineStr">
        <is>
          <t>VÄSTERNORRLANDS LÄN</t>
        </is>
      </c>
      <c r="E1774" t="inlineStr">
        <is>
          <t>SOLLEFTEÅ</t>
        </is>
      </c>
      <c r="F1774" t="inlineStr">
        <is>
          <t>Holmen skog AB</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5952-2023</t>
        </is>
      </c>
      <c r="B1775" s="1" t="n">
        <v>44963</v>
      </c>
      <c r="C1775" s="1" t="n">
        <v>45346</v>
      </c>
      <c r="D1775" t="inlineStr">
        <is>
          <t>VÄSTERNORRLANDS LÄN</t>
        </is>
      </c>
      <c r="E1775" t="inlineStr">
        <is>
          <t>SOLLEFTEÅ</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6236-2023</t>
        </is>
      </c>
      <c r="B1776" s="1" t="n">
        <v>44964</v>
      </c>
      <c r="C1776" s="1" t="n">
        <v>45346</v>
      </c>
      <c r="D1776" t="inlineStr">
        <is>
          <t>VÄSTERNORRLANDS LÄN</t>
        </is>
      </c>
      <c r="E1776" t="inlineStr">
        <is>
          <t>SOLLEFTEÅ</t>
        </is>
      </c>
      <c r="F1776" t="inlineStr">
        <is>
          <t>SCA</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6235-2023</t>
        </is>
      </c>
      <c r="B1777" s="1" t="n">
        <v>44964</v>
      </c>
      <c r="C1777" s="1" t="n">
        <v>45346</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6474-2023</t>
        </is>
      </c>
      <c r="B1778" s="1" t="n">
        <v>44965</v>
      </c>
      <c r="C1778" s="1" t="n">
        <v>45346</v>
      </c>
      <c r="D1778" t="inlineStr">
        <is>
          <t>VÄSTERNORRLANDS LÄN</t>
        </is>
      </c>
      <c r="E1778" t="inlineStr">
        <is>
          <t>SOLLEFTEÅ</t>
        </is>
      </c>
      <c r="F1778" t="inlineStr">
        <is>
          <t>SCA</t>
        </is>
      </c>
      <c r="G1778" t="n">
        <v>47.3</v>
      </c>
      <c r="H1778" t="n">
        <v>0</v>
      </c>
      <c r="I1778" t="n">
        <v>0</v>
      </c>
      <c r="J1778" t="n">
        <v>0</v>
      </c>
      <c r="K1778" t="n">
        <v>0</v>
      </c>
      <c r="L1778" t="n">
        <v>0</v>
      </c>
      <c r="M1778" t="n">
        <v>0</v>
      </c>
      <c r="N1778" t="n">
        <v>0</v>
      </c>
      <c r="O1778" t="n">
        <v>0</v>
      </c>
      <c r="P1778" t="n">
        <v>0</v>
      </c>
      <c r="Q1778" t="n">
        <v>0</v>
      </c>
      <c r="R1778" s="2" t="inlineStr"/>
    </row>
    <row r="1779" ht="15" customHeight="1">
      <c r="A1779" t="inlineStr">
        <is>
          <t>A 7009-2023</t>
        </is>
      </c>
      <c r="B1779" s="1" t="n">
        <v>44967</v>
      </c>
      <c r="C1779" s="1" t="n">
        <v>45346</v>
      </c>
      <c r="D1779" t="inlineStr">
        <is>
          <t>VÄSTERNORRLANDS LÄN</t>
        </is>
      </c>
      <c r="E1779" t="inlineStr">
        <is>
          <t>SOLLEFTEÅ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7332-2023</t>
        </is>
      </c>
      <c r="B1780" s="1" t="n">
        <v>44970</v>
      </c>
      <c r="C1780" s="1" t="n">
        <v>45346</v>
      </c>
      <c r="D1780" t="inlineStr">
        <is>
          <t>VÄSTERNORRLANDS LÄN</t>
        </is>
      </c>
      <c r="E1780" t="inlineStr">
        <is>
          <t>SOLLEFTEÅ</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7324-2023</t>
        </is>
      </c>
      <c r="B1781" s="1" t="n">
        <v>44970</v>
      </c>
      <c r="C1781" s="1" t="n">
        <v>45346</v>
      </c>
      <c r="D1781" t="inlineStr">
        <is>
          <t>VÄSTERNORRLANDS LÄN</t>
        </is>
      </c>
      <c r="E1781" t="inlineStr">
        <is>
          <t>SOLLEFTEÅ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7325-2023</t>
        </is>
      </c>
      <c r="B1782" s="1" t="n">
        <v>44970</v>
      </c>
      <c r="C1782" s="1" t="n">
        <v>45346</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7330-2023</t>
        </is>
      </c>
      <c r="B1783" s="1" t="n">
        <v>44971</v>
      </c>
      <c r="C1783" s="1" t="n">
        <v>45346</v>
      </c>
      <c r="D1783" t="inlineStr">
        <is>
          <t>VÄSTERNORRLANDS LÄN</t>
        </is>
      </c>
      <c r="E1783" t="inlineStr">
        <is>
          <t>SOLLEFTEÅ</t>
        </is>
      </c>
      <c r="F1783" t="inlineStr">
        <is>
          <t>SCA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7331-2023</t>
        </is>
      </c>
      <c r="B1784" s="1" t="n">
        <v>44970</v>
      </c>
      <c r="C1784" s="1" t="n">
        <v>45346</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7333-2023</t>
        </is>
      </c>
      <c r="B1785" s="1" t="n">
        <v>44971</v>
      </c>
      <c r="C1785" s="1" t="n">
        <v>45346</v>
      </c>
      <c r="D1785" t="inlineStr">
        <is>
          <t>VÄSTERNORRLANDS LÄN</t>
        </is>
      </c>
      <c r="E1785" t="inlineStr">
        <is>
          <t>SOLLEFTEÅ</t>
        </is>
      </c>
      <c r="F1785" t="inlineStr">
        <is>
          <t>SCA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7713-2023</t>
        </is>
      </c>
      <c r="B1786" s="1" t="n">
        <v>44972</v>
      </c>
      <c r="C1786" s="1" t="n">
        <v>45346</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7721-2023</t>
        </is>
      </c>
      <c r="B1787" s="1" t="n">
        <v>44972</v>
      </c>
      <c r="C1787" s="1" t="n">
        <v>45346</v>
      </c>
      <c r="D1787" t="inlineStr">
        <is>
          <t>VÄSTERNORRLANDS LÄN</t>
        </is>
      </c>
      <c r="E1787" t="inlineStr">
        <is>
          <t>SOLLEFTEÅ</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8030-2023</t>
        </is>
      </c>
      <c r="B1788" s="1" t="n">
        <v>44973</v>
      </c>
      <c r="C1788" s="1" t="n">
        <v>45346</v>
      </c>
      <c r="D1788" t="inlineStr">
        <is>
          <t>VÄSTERNORRLANDS LÄN</t>
        </is>
      </c>
      <c r="E1788" t="inlineStr">
        <is>
          <t>SOLLEFTEÅ</t>
        </is>
      </c>
      <c r="F1788" t="inlineStr">
        <is>
          <t>SCA</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8959-2023</t>
        </is>
      </c>
      <c r="B1789" s="1" t="n">
        <v>44974</v>
      </c>
      <c r="C1789" s="1" t="n">
        <v>45346</v>
      </c>
      <c r="D1789" t="inlineStr">
        <is>
          <t>VÄSTERNORRLANDS LÄN</t>
        </is>
      </c>
      <c r="E1789" t="inlineStr">
        <is>
          <t>SOLLEFTEÅ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8640-2023</t>
        </is>
      </c>
      <c r="B1790" s="1" t="n">
        <v>44978</v>
      </c>
      <c r="C1790" s="1" t="n">
        <v>45346</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8658-2023</t>
        </is>
      </c>
      <c r="B1791" s="1" t="n">
        <v>44978</v>
      </c>
      <c r="C1791" s="1" t="n">
        <v>45346</v>
      </c>
      <c r="D1791" t="inlineStr">
        <is>
          <t>VÄSTERNORRLANDS LÄN</t>
        </is>
      </c>
      <c r="E1791" t="inlineStr">
        <is>
          <t>SOLLEFTEÅ</t>
        </is>
      </c>
      <c r="F1791" t="inlineStr">
        <is>
          <t>SCA</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8668-2023</t>
        </is>
      </c>
      <c r="B1792" s="1" t="n">
        <v>44978</v>
      </c>
      <c r="C1792" s="1" t="n">
        <v>45346</v>
      </c>
      <c r="D1792" t="inlineStr">
        <is>
          <t>VÄSTERNORRLANDS LÄN</t>
        </is>
      </c>
      <c r="E1792" t="inlineStr">
        <is>
          <t>SOLLEFTEÅ</t>
        </is>
      </c>
      <c r="F1792" t="inlineStr">
        <is>
          <t>SCA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8672-2023</t>
        </is>
      </c>
      <c r="B1793" s="1" t="n">
        <v>44977</v>
      </c>
      <c r="C1793" s="1" t="n">
        <v>45346</v>
      </c>
      <c r="D1793" t="inlineStr">
        <is>
          <t>VÄSTERNORRLANDS LÄN</t>
        </is>
      </c>
      <c r="E1793" t="inlineStr">
        <is>
          <t>SOLLEFTEÅ</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8656-2023</t>
        </is>
      </c>
      <c r="B1794" s="1" t="n">
        <v>44978</v>
      </c>
      <c r="C1794" s="1" t="n">
        <v>45346</v>
      </c>
      <c r="D1794" t="inlineStr">
        <is>
          <t>VÄSTERNORRLANDS LÄN</t>
        </is>
      </c>
      <c r="E1794" t="inlineStr">
        <is>
          <t>SOLLEFTEÅ</t>
        </is>
      </c>
      <c r="F1794" t="inlineStr">
        <is>
          <t>SCA</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8670-2023</t>
        </is>
      </c>
      <c r="B1795" s="1" t="n">
        <v>44977</v>
      </c>
      <c r="C1795" s="1" t="n">
        <v>45346</v>
      </c>
      <c r="D1795" t="inlineStr">
        <is>
          <t>VÄSTERNORRLANDS LÄN</t>
        </is>
      </c>
      <c r="E1795" t="inlineStr">
        <is>
          <t>SOLLEFTEÅ</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8667-2023</t>
        </is>
      </c>
      <c r="B1796" s="1" t="n">
        <v>44978</v>
      </c>
      <c r="C1796" s="1" t="n">
        <v>45346</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8671-2023</t>
        </is>
      </c>
      <c r="B1797" s="1" t="n">
        <v>44978</v>
      </c>
      <c r="C1797" s="1" t="n">
        <v>45346</v>
      </c>
      <c r="D1797" t="inlineStr">
        <is>
          <t>VÄSTERNORRLANDS LÄN</t>
        </is>
      </c>
      <c r="E1797" t="inlineStr">
        <is>
          <t>SOLLEFTEÅ</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8875-2023</t>
        </is>
      </c>
      <c r="B1798" s="1" t="n">
        <v>44978</v>
      </c>
      <c r="C1798" s="1" t="n">
        <v>45346</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8880-2023</t>
        </is>
      </c>
      <c r="B1799" s="1" t="n">
        <v>44978</v>
      </c>
      <c r="C1799" s="1" t="n">
        <v>45346</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9097-2023</t>
        </is>
      </c>
      <c r="B1800" s="1" t="n">
        <v>44979</v>
      </c>
      <c r="C1800" s="1" t="n">
        <v>45346</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9095-2023</t>
        </is>
      </c>
      <c r="B1801" s="1" t="n">
        <v>44979</v>
      </c>
      <c r="C1801" s="1" t="n">
        <v>45346</v>
      </c>
      <c r="D1801" t="inlineStr">
        <is>
          <t>VÄSTERNORRLANDS LÄN</t>
        </is>
      </c>
      <c r="E1801" t="inlineStr">
        <is>
          <t>SOLLEFTEÅ</t>
        </is>
      </c>
      <c r="F1801" t="inlineStr">
        <is>
          <t>SCA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9099-2023</t>
        </is>
      </c>
      <c r="B1802" s="1" t="n">
        <v>44979</v>
      </c>
      <c r="C1802" s="1" t="n">
        <v>45346</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9096-2023</t>
        </is>
      </c>
      <c r="B1803" s="1" t="n">
        <v>44979</v>
      </c>
      <c r="C1803" s="1" t="n">
        <v>45346</v>
      </c>
      <c r="D1803" t="inlineStr">
        <is>
          <t>VÄSTERNORRLANDS LÄN</t>
        </is>
      </c>
      <c r="E1803" t="inlineStr">
        <is>
          <t>SOLLEFTEÅ</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9104-2023</t>
        </is>
      </c>
      <c r="B1804" s="1" t="n">
        <v>44979</v>
      </c>
      <c r="C1804" s="1" t="n">
        <v>45346</v>
      </c>
      <c r="D1804" t="inlineStr">
        <is>
          <t>VÄSTERNORRLANDS LÄN</t>
        </is>
      </c>
      <c r="E1804" t="inlineStr">
        <is>
          <t>SOLLEFTEÅ</t>
        </is>
      </c>
      <c r="F1804" t="inlineStr">
        <is>
          <t>SCA</t>
        </is>
      </c>
      <c r="G1804" t="n">
        <v>22.1</v>
      </c>
      <c r="H1804" t="n">
        <v>0</v>
      </c>
      <c r="I1804" t="n">
        <v>0</v>
      </c>
      <c r="J1804" t="n">
        <v>0</v>
      </c>
      <c r="K1804" t="n">
        <v>0</v>
      </c>
      <c r="L1804" t="n">
        <v>0</v>
      </c>
      <c r="M1804" t="n">
        <v>0</v>
      </c>
      <c r="N1804" t="n">
        <v>0</v>
      </c>
      <c r="O1804" t="n">
        <v>0</v>
      </c>
      <c r="P1804" t="n">
        <v>0</v>
      </c>
      <c r="Q1804" t="n">
        <v>0</v>
      </c>
      <c r="R1804" s="2" t="inlineStr"/>
    </row>
    <row r="1805" ht="15" customHeight="1">
      <c r="A1805" t="inlineStr">
        <is>
          <t>A 9098-2023</t>
        </is>
      </c>
      <c r="B1805" s="1" t="n">
        <v>44979</v>
      </c>
      <c r="C1805" s="1" t="n">
        <v>45346</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9105-2023</t>
        </is>
      </c>
      <c r="B1806" s="1" t="n">
        <v>44979</v>
      </c>
      <c r="C1806" s="1" t="n">
        <v>45346</v>
      </c>
      <c r="D1806" t="inlineStr">
        <is>
          <t>VÄSTERNORRLANDS LÄN</t>
        </is>
      </c>
      <c r="E1806" t="inlineStr">
        <is>
          <t>SOLLEFTEÅ</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9358-2023</t>
        </is>
      </c>
      <c r="B1807" s="1" t="n">
        <v>44980</v>
      </c>
      <c r="C1807" s="1" t="n">
        <v>45346</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10256-2023</t>
        </is>
      </c>
      <c r="B1808" s="1" t="n">
        <v>44980</v>
      </c>
      <c r="C1808" s="1" t="n">
        <v>45346</v>
      </c>
      <c r="D1808" t="inlineStr">
        <is>
          <t>VÄSTERNORRLANDS LÄN</t>
        </is>
      </c>
      <c r="E1808" t="inlineStr">
        <is>
          <t>SOLLEFTEÅ</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9362-2023</t>
        </is>
      </c>
      <c r="B1809" s="1" t="n">
        <v>44980</v>
      </c>
      <c r="C1809" s="1" t="n">
        <v>45346</v>
      </c>
      <c r="D1809" t="inlineStr">
        <is>
          <t>VÄSTERNORRLANDS LÄN</t>
        </is>
      </c>
      <c r="E1809" t="inlineStr">
        <is>
          <t>SOLLEFTEÅ</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9549-2023</t>
        </is>
      </c>
      <c r="B1810" s="1" t="n">
        <v>44981</v>
      </c>
      <c r="C1810" s="1" t="n">
        <v>45346</v>
      </c>
      <c r="D1810" t="inlineStr">
        <is>
          <t>VÄSTERNORRLANDS LÄN</t>
        </is>
      </c>
      <c r="E1810" t="inlineStr">
        <is>
          <t>SOLLEFTEÅ</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10428-2023</t>
        </is>
      </c>
      <c r="B1811" s="1" t="n">
        <v>44981</v>
      </c>
      <c r="C1811" s="1" t="n">
        <v>45346</v>
      </c>
      <c r="D1811" t="inlineStr">
        <is>
          <t>VÄSTERNORRLANDS LÄN</t>
        </is>
      </c>
      <c r="E1811" t="inlineStr">
        <is>
          <t>SOLLEFTEÅ</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9617-2023</t>
        </is>
      </c>
      <c r="B1812" s="1" t="n">
        <v>44983</v>
      </c>
      <c r="C1812" s="1" t="n">
        <v>45346</v>
      </c>
      <c r="D1812" t="inlineStr">
        <is>
          <t>VÄSTERNORRLANDS LÄN</t>
        </is>
      </c>
      <c r="E1812" t="inlineStr">
        <is>
          <t>SOLLEFTEÅ</t>
        </is>
      </c>
      <c r="F1812" t="inlineStr">
        <is>
          <t>SCA</t>
        </is>
      </c>
      <c r="G1812" t="n">
        <v>39.6</v>
      </c>
      <c r="H1812" t="n">
        <v>0</v>
      </c>
      <c r="I1812" t="n">
        <v>0</v>
      </c>
      <c r="J1812" t="n">
        <v>0</v>
      </c>
      <c r="K1812" t="n">
        <v>0</v>
      </c>
      <c r="L1812" t="n">
        <v>0</v>
      </c>
      <c r="M1812" t="n">
        <v>0</v>
      </c>
      <c r="N1812" t="n">
        <v>0</v>
      </c>
      <c r="O1812" t="n">
        <v>0</v>
      </c>
      <c r="P1812" t="n">
        <v>0</v>
      </c>
      <c r="Q1812" t="n">
        <v>0</v>
      </c>
      <c r="R1812" s="2" t="inlineStr"/>
    </row>
    <row r="1813" ht="15" customHeight="1">
      <c r="A1813" t="inlineStr">
        <is>
          <t>A 9616-2023</t>
        </is>
      </c>
      <c r="B1813" s="1" t="n">
        <v>44983</v>
      </c>
      <c r="C1813" s="1" t="n">
        <v>45346</v>
      </c>
      <c r="D1813" t="inlineStr">
        <is>
          <t>VÄSTERNORRLANDS LÄN</t>
        </is>
      </c>
      <c r="E1813" t="inlineStr">
        <is>
          <t>SOLLEFTEÅ</t>
        </is>
      </c>
      <c r="F1813" t="inlineStr">
        <is>
          <t>SCA</t>
        </is>
      </c>
      <c r="G1813" t="n">
        <v>45.9</v>
      </c>
      <c r="H1813" t="n">
        <v>0</v>
      </c>
      <c r="I1813" t="n">
        <v>0</v>
      </c>
      <c r="J1813" t="n">
        <v>0</v>
      </c>
      <c r="K1813" t="n">
        <v>0</v>
      </c>
      <c r="L1813" t="n">
        <v>0</v>
      </c>
      <c r="M1813" t="n">
        <v>0</v>
      </c>
      <c r="N1813" t="n">
        <v>0</v>
      </c>
      <c r="O1813" t="n">
        <v>0</v>
      </c>
      <c r="P1813" t="n">
        <v>0</v>
      </c>
      <c r="Q1813" t="n">
        <v>0</v>
      </c>
      <c r="R1813" s="2" t="inlineStr"/>
    </row>
    <row r="1814" ht="15" customHeight="1">
      <c r="A1814" t="inlineStr">
        <is>
          <t>A 9614-2023</t>
        </is>
      </c>
      <c r="B1814" s="1" t="n">
        <v>44983</v>
      </c>
      <c r="C1814" s="1" t="n">
        <v>45346</v>
      </c>
      <c r="D1814" t="inlineStr">
        <is>
          <t>VÄSTERNORRLANDS LÄN</t>
        </is>
      </c>
      <c r="E1814" t="inlineStr">
        <is>
          <t>SOLLEFTEÅ</t>
        </is>
      </c>
      <c r="F1814" t="inlineStr">
        <is>
          <t>SCA</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9741-2023</t>
        </is>
      </c>
      <c r="B1815" s="1" t="n">
        <v>44984</v>
      </c>
      <c r="C1815" s="1" t="n">
        <v>45346</v>
      </c>
      <c r="D1815" t="inlineStr">
        <is>
          <t>VÄSTERNORRLANDS LÄN</t>
        </is>
      </c>
      <c r="E1815" t="inlineStr">
        <is>
          <t>SOLLEFTEÅ</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9829-2023</t>
        </is>
      </c>
      <c r="B1816" s="1" t="n">
        <v>44984</v>
      </c>
      <c r="C1816" s="1" t="n">
        <v>45346</v>
      </c>
      <c r="D1816" t="inlineStr">
        <is>
          <t>VÄSTERNORRLANDS LÄN</t>
        </is>
      </c>
      <c r="E1816" t="inlineStr">
        <is>
          <t>SOLLEFTEÅ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9858-2023</t>
        </is>
      </c>
      <c r="B1817" s="1" t="n">
        <v>44984</v>
      </c>
      <c r="C1817" s="1" t="n">
        <v>45346</v>
      </c>
      <c r="D1817" t="inlineStr">
        <is>
          <t>VÄSTERNORRLANDS LÄN</t>
        </is>
      </c>
      <c r="E1817" t="inlineStr">
        <is>
          <t>SOLLEFTEÅ</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9879-2023</t>
        </is>
      </c>
      <c r="B1818" s="1" t="n">
        <v>44984</v>
      </c>
      <c r="C1818" s="1" t="n">
        <v>45346</v>
      </c>
      <c r="D1818" t="inlineStr">
        <is>
          <t>VÄSTERNORRLANDS LÄN</t>
        </is>
      </c>
      <c r="E1818" t="inlineStr">
        <is>
          <t>SOLLEFTEÅ</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9871-2023</t>
        </is>
      </c>
      <c r="B1819" s="1" t="n">
        <v>44984</v>
      </c>
      <c r="C1819" s="1" t="n">
        <v>45346</v>
      </c>
      <c r="D1819" t="inlineStr">
        <is>
          <t>VÄSTERNORRLANDS LÄN</t>
        </is>
      </c>
      <c r="E1819" t="inlineStr">
        <is>
          <t>SOLLEFTEÅ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10079-2023</t>
        </is>
      </c>
      <c r="B1820" s="1" t="n">
        <v>44985</v>
      </c>
      <c r="C1820" s="1" t="n">
        <v>45346</v>
      </c>
      <c r="D1820" t="inlineStr">
        <is>
          <t>VÄSTERNORRLANDS LÄN</t>
        </is>
      </c>
      <c r="E1820" t="inlineStr">
        <is>
          <t>SOLLEFTEÅ</t>
        </is>
      </c>
      <c r="F1820" t="inlineStr">
        <is>
          <t>SCA</t>
        </is>
      </c>
      <c r="G1820" t="n">
        <v>32.7</v>
      </c>
      <c r="H1820" t="n">
        <v>0</v>
      </c>
      <c r="I1820" t="n">
        <v>0</v>
      </c>
      <c r="J1820" t="n">
        <v>0</v>
      </c>
      <c r="K1820" t="n">
        <v>0</v>
      </c>
      <c r="L1820" t="n">
        <v>0</v>
      </c>
      <c r="M1820" t="n">
        <v>0</v>
      </c>
      <c r="N1820" t="n">
        <v>0</v>
      </c>
      <c r="O1820" t="n">
        <v>0</v>
      </c>
      <c r="P1820" t="n">
        <v>0</v>
      </c>
      <c r="Q1820" t="n">
        <v>0</v>
      </c>
      <c r="R1820" s="2" t="inlineStr"/>
    </row>
    <row r="1821" ht="15" customHeight="1">
      <c r="A1821" t="inlineStr">
        <is>
          <t>A 10094-2023</t>
        </is>
      </c>
      <c r="B1821" s="1" t="n">
        <v>44985</v>
      </c>
      <c r="C1821" s="1" t="n">
        <v>45346</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10095-2023</t>
        </is>
      </c>
      <c r="B1822" s="1" t="n">
        <v>44985</v>
      </c>
      <c r="C1822" s="1" t="n">
        <v>45346</v>
      </c>
      <c r="D1822" t="inlineStr">
        <is>
          <t>VÄSTERNORRLANDS LÄN</t>
        </is>
      </c>
      <c r="E1822" t="inlineStr">
        <is>
          <t>SOLLEFTEÅ</t>
        </is>
      </c>
      <c r="F1822" t="inlineStr">
        <is>
          <t>SCA</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10077-2023</t>
        </is>
      </c>
      <c r="B1823" s="1" t="n">
        <v>44985</v>
      </c>
      <c r="C1823" s="1" t="n">
        <v>45346</v>
      </c>
      <c r="D1823" t="inlineStr">
        <is>
          <t>VÄSTERNORRLANDS LÄN</t>
        </is>
      </c>
      <c r="E1823" t="inlineStr">
        <is>
          <t>SOLLEFTEÅ</t>
        </is>
      </c>
      <c r="F1823" t="inlineStr">
        <is>
          <t>SCA</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10099-2023</t>
        </is>
      </c>
      <c r="B1824" s="1" t="n">
        <v>44985</v>
      </c>
      <c r="C1824" s="1" t="n">
        <v>45346</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10078-2023</t>
        </is>
      </c>
      <c r="B1825" s="1" t="n">
        <v>44985</v>
      </c>
      <c r="C1825" s="1" t="n">
        <v>45346</v>
      </c>
      <c r="D1825" t="inlineStr">
        <is>
          <t>VÄSTERNORRLANDS LÄN</t>
        </is>
      </c>
      <c r="E1825" t="inlineStr">
        <is>
          <t>SOLLEFTEÅ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10093-2023</t>
        </is>
      </c>
      <c r="B1826" s="1" t="n">
        <v>44985</v>
      </c>
      <c r="C1826" s="1" t="n">
        <v>45346</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10294-2023</t>
        </is>
      </c>
      <c r="B1827" s="1" t="n">
        <v>44986</v>
      </c>
      <c r="C1827" s="1" t="n">
        <v>45346</v>
      </c>
      <c r="D1827" t="inlineStr">
        <is>
          <t>VÄSTERNORRLANDS LÄN</t>
        </is>
      </c>
      <c r="E1827" t="inlineStr">
        <is>
          <t>SOLLEFTEÅ</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10311-2023</t>
        </is>
      </c>
      <c r="B1828" s="1" t="n">
        <v>44986</v>
      </c>
      <c r="C1828" s="1" t="n">
        <v>45346</v>
      </c>
      <c r="D1828" t="inlineStr">
        <is>
          <t>VÄSTERNORRLANDS LÄN</t>
        </is>
      </c>
      <c r="E1828" t="inlineStr">
        <is>
          <t>SOLLEFTEÅ</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11094-2023</t>
        </is>
      </c>
      <c r="B1829" s="1" t="n">
        <v>44986</v>
      </c>
      <c r="C1829" s="1" t="n">
        <v>45346</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10526-2023</t>
        </is>
      </c>
      <c r="B1830" s="1" t="n">
        <v>44987</v>
      </c>
      <c r="C1830" s="1" t="n">
        <v>45346</v>
      </c>
      <c r="D1830" t="inlineStr">
        <is>
          <t>VÄSTERNORRLANDS LÄN</t>
        </is>
      </c>
      <c r="E1830" t="inlineStr">
        <is>
          <t>SOLLEFTEÅ</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10541-2023</t>
        </is>
      </c>
      <c r="B1831" s="1" t="n">
        <v>44987</v>
      </c>
      <c r="C1831" s="1" t="n">
        <v>45346</v>
      </c>
      <c r="D1831" t="inlineStr">
        <is>
          <t>VÄSTERNORRLANDS LÄN</t>
        </is>
      </c>
      <c r="E1831" t="inlineStr">
        <is>
          <t>SOLLEFTEÅ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10549-2023</t>
        </is>
      </c>
      <c r="B1832" s="1" t="n">
        <v>44987</v>
      </c>
      <c r="C1832" s="1" t="n">
        <v>45346</v>
      </c>
      <c r="D1832" t="inlineStr">
        <is>
          <t>VÄSTERNORRLANDS LÄN</t>
        </is>
      </c>
      <c r="E1832" t="inlineStr">
        <is>
          <t>SOLLEFTEÅ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10777-2023</t>
        </is>
      </c>
      <c r="B1833" s="1" t="n">
        <v>44988</v>
      </c>
      <c r="C1833" s="1" t="n">
        <v>45346</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10771-2023</t>
        </is>
      </c>
      <c r="B1834" s="1" t="n">
        <v>44988</v>
      </c>
      <c r="C1834" s="1" t="n">
        <v>45346</v>
      </c>
      <c r="D1834" t="inlineStr">
        <is>
          <t>VÄSTERNORRLANDS LÄN</t>
        </is>
      </c>
      <c r="E1834" t="inlineStr">
        <is>
          <t>SOLLEFTEÅ</t>
        </is>
      </c>
      <c r="F1834" t="inlineStr">
        <is>
          <t>SCA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10783-2023</t>
        </is>
      </c>
      <c r="B1835" s="1" t="n">
        <v>44988</v>
      </c>
      <c r="C1835" s="1" t="n">
        <v>45346</v>
      </c>
      <c r="D1835" t="inlineStr">
        <is>
          <t>VÄSTERNORRLANDS LÄN</t>
        </is>
      </c>
      <c r="E1835" t="inlineStr">
        <is>
          <t>SOLLEFTEÅ</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10768-2023</t>
        </is>
      </c>
      <c r="B1836" s="1" t="n">
        <v>44988</v>
      </c>
      <c r="C1836" s="1" t="n">
        <v>45346</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10785-2023</t>
        </is>
      </c>
      <c r="B1837" s="1" t="n">
        <v>44988</v>
      </c>
      <c r="C1837" s="1" t="n">
        <v>45346</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11038-2023</t>
        </is>
      </c>
      <c r="B1838" s="1" t="n">
        <v>44991</v>
      </c>
      <c r="C1838" s="1" t="n">
        <v>45346</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11052-2023</t>
        </is>
      </c>
      <c r="B1839" s="1" t="n">
        <v>44991</v>
      </c>
      <c r="C1839" s="1" t="n">
        <v>45346</v>
      </c>
      <c r="D1839" t="inlineStr">
        <is>
          <t>VÄSTERNORRLANDS LÄN</t>
        </is>
      </c>
      <c r="E1839" t="inlineStr">
        <is>
          <t>SOLLEFTEÅ</t>
        </is>
      </c>
      <c r="F1839" t="inlineStr">
        <is>
          <t>SCA</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11039-2023</t>
        </is>
      </c>
      <c r="B1840" s="1" t="n">
        <v>44991</v>
      </c>
      <c r="C1840" s="1" t="n">
        <v>45346</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11301-2023</t>
        </is>
      </c>
      <c r="B1841" s="1" t="n">
        <v>44993</v>
      </c>
      <c r="C1841" s="1" t="n">
        <v>45346</v>
      </c>
      <c r="D1841" t="inlineStr">
        <is>
          <t>VÄSTERNORRLANDS LÄN</t>
        </is>
      </c>
      <c r="E1841" t="inlineStr">
        <is>
          <t>SOLLEFTEÅ</t>
        </is>
      </c>
      <c r="F1841" t="inlineStr">
        <is>
          <t>SCA</t>
        </is>
      </c>
      <c r="G1841" t="n">
        <v>19.9</v>
      </c>
      <c r="H1841" t="n">
        <v>0</v>
      </c>
      <c r="I1841" t="n">
        <v>0</v>
      </c>
      <c r="J1841" t="n">
        <v>0</v>
      </c>
      <c r="K1841" t="n">
        <v>0</v>
      </c>
      <c r="L1841" t="n">
        <v>0</v>
      </c>
      <c r="M1841" t="n">
        <v>0</v>
      </c>
      <c r="N1841" t="n">
        <v>0</v>
      </c>
      <c r="O1841" t="n">
        <v>0</v>
      </c>
      <c r="P1841" t="n">
        <v>0</v>
      </c>
      <c r="Q1841" t="n">
        <v>0</v>
      </c>
      <c r="R1841" s="2" t="inlineStr"/>
    </row>
    <row r="1842" ht="15" customHeight="1">
      <c r="A1842" t="inlineStr">
        <is>
          <t>A 11306-2023</t>
        </is>
      </c>
      <c r="B1842" s="1" t="n">
        <v>44993</v>
      </c>
      <c r="C1842" s="1" t="n">
        <v>45346</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11551-2023</t>
        </is>
      </c>
      <c r="B1843" s="1" t="n">
        <v>44993</v>
      </c>
      <c r="C1843" s="1" t="n">
        <v>45346</v>
      </c>
      <c r="D1843" t="inlineStr">
        <is>
          <t>VÄSTERNORRLANDS LÄN</t>
        </is>
      </c>
      <c r="E1843" t="inlineStr">
        <is>
          <t>SOLLEFTEÅ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11555-2023</t>
        </is>
      </c>
      <c r="B1844" s="1" t="n">
        <v>44993</v>
      </c>
      <c r="C1844" s="1" t="n">
        <v>45346</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11554-2023</t>
        </is>
      </c>
      <c r="B1845" s="1" t="n">
        <v>44993</v>
      </c>
      <c r="C1845" s="1" t="n">
        <v>45346</v>
      </c>
      <c r="D1845" t="inlineStr">
        <is>
          <t>VÄSTERNORRLANDS LÄN</t>
        </is>
      </c>
      <c r="E1845" t="inlineStr">
        <is>
          <t>SOLLEFTEÅ</t>
        </is>
      </c>
      <c r="F1845" t="inlineStr">
        <is>
          <t>SCA</t>
        </is>
      </c>
      <c r="G1845" t="n">
        <v>23.1</v>
      </c>
      <c r="H1845" t="n">
        <v>0</v>
      </c>
      <c r="I1845" t="n">
        <v>0</v>
      </c>
      <c r="J1845" t="n">
        <v>0</v>
      </c>
      <c r="K1845" t="n">
        <v>0</v>
      </c>
      <c r="L1845" t="n">
        <v>0</v>
      </c>
      <c r="M1845" t="n">
        <v>0</v>
      </c>
      <c r="N1845" t="n">
        <v>0</v>
      </c>
      <c r="O1845" t="n">
        <v>0</v>
      </c>
      <c r="P1845" t="n">
        <v>0</v>
      </c>
      <c r="Q1845" t="n">
        <v>0</v>
      </c>
      <c r="R1845" s="2" t="inlineStr"/>
    </row>
    <row r="1846" ht="15" customHeight="1">
      <c r="A1846" t="inlineStr">
        <is>
          <t>A 11831-2023</t>
        </is>
      </c>
      <c r="B1846" s="1" t="n">
        <v>44994</v>
      </c>
      <c r="C1846" s="1" t="n">
        <v>45346</v>
      </c>
      <c r="D1846" t="inlineStr">
        <is>
          <t>VÄSTERNORRLANDS LÄN</t>
        </is>
      </c>
      <c r="E1846" t="inlineStr">
        <is>
          <t>SOLLEFTEÅ</t>
        </is>
      </c>
      <c r="F1846" t="inlineStr">
        <is>
          <t>SCA</t>
        </is>
      </c>
      <c r="G1846" t="n">
        <v>14.8</v>
      </c>
      <c r="H1846" t="n">
        <v>0</v>
      </c>
      <c r="I1846" t="n">
        <v>0</v>
      </c>
      <c r="J1846" t="n">
        <v>0</v>
      </c>
      <c r="K1846" t="n">
        <v>0</v>
      </c>
      <c r="L1846" t="n">
        <v>0</v>
      </c>
      <c r="M1846" t="n">
        <v>0</v>
      </c>
      <c r="N1846" t="n">
        <v>0</v>
      </c>
      <c r="O1846" t="n">
        <v>0</v>
      </c>
      <c r="P1846" t="n">
        <v>0</v>
      </c>
      <c r="Q1846" t="n">
        <v>0</v>
      </c>
      <c r="R1846" s="2" t="inlineStr"/>
    </row>
    <row r="1847" ht="15" customHeight="1">
      <c r="A1847" t="inlineStr">
        <is>
          <t>A 12107-2023</t>
        </is>
      </c>
      <c r="B1847" s="1" t="n">
        <v>44995</v>
      </c>
      <c r="C1847" s="1" t="n">
        <v>45346</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12135-2023</t>
        </is>
      </c>
      <c r="B1848" s="1" t="n">
        <v>44995</v>
      </c>
      <c r="C1848" s="1" t="n">
        <v>45346</v>
      </c>
      <c r="D1848" t="inlineStr">
        <is>
          <t>VÄSTERNORRLANDS LÄN</t>
        </is>
      </c>
      <c r="E1848" t="inlineStr">
        <is>
          <t>SOLLEFTEÅ</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12038-2023</t>
        </is>
      </c>
      <c r="B1849" s="1" t="n">
        <v>44996</v>
      </c>
      <c r="C1849" s="1" t="n">
        <v>45346</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12053-2023</t>
        </is>
      </c>
      <c r="B1850" s="1" t="n">
        <v>44996</v>
      </c>
      <c r="C1850" s="1" t="n">
        <v>45346</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12129-2023</t>
        </is>
      </c>
      <c r="B1851" s="1" t="n">
        <v>44995</v>
      </c>
      <c r="C1851" s="1" t="n">
        <v>45346</v>
      </c>
      <c r="D1851" t="inlineStr">
        <is>
          <t>VÄSTERNORRLANDS LÄN</t>
        </is>
      </c>
      <c r="E1851" t="inlineStr">
        <is>
          <t>SOLLEFTEÅ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12164-2023</t>
        </is>
      </c>
      <c r="B1852" s="1" t="n">
        <v>44995</v>
      </c>
      <c r="C1852" s="1" t="n">
        <v>45346</v>
      </c>
      <c r="D1852" t="inlineStr">
        <is>
          <t>VÄSTERNORRLANDS LÄN</t>
        </is>
      </c>
      <c r="E1852" t="inlineStr">
        <is>
          <t>SOLLEFTEÅ</t>
        </is>
      </c>
      <c r="G1852" t="n">
        <v>18.3</v>
      </c>
      <c r="H1852" t="n">
        <v>0</v>
      </c>
      <c r="I1852" t="n">
        <v>0</v>
      </c>
      <c r="J1852" t="n">
        <v>0</v>
      </c>
      <c r="K1852" t="n">
        <v>0</v>
      </c>
      <c r="L1852" t="n">
        <v>0</v>
      </c>
      <c r="M1852" t="n">
        <v>0</v>
      </c>
      <c r="N1852" t="n">
        <v>0</v>
      </c>
      <c r="O1852" t="n">
        <v>0</v>
      </c>
      <c r="P1852" t="n">
        <v>0</v>
      </c>
      <c r="Q1852" t="n">
        <v>0</v>
      </c>
      <c r="R1852" s="2" t="inlineStr"/>
    </row>
    <row r="1853" ht="15" customHeight="1">
      <c r="A1853" t="inlineStr">
        <is>
          <t>A 12311-2023</t>
        </is>
      </c>
      <c r="B1853" s="1" t="n">
        <v>44995</v>
      </c>
      <c r="C1853" s="1" t="n">
        <v>45346</v>
      </c>
      <c r="D1853" t="inlineStr">
        <is>
          <t>VÄSTERNORRLANDS LÄN</t>
        </is>
      </c>
      <c r="E1853" t="inlineStr">
        <is>
          <t>SOLLEFTEÅ</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12054-2023</t>
        </is>
      </c>
      <c r="B1854" s="1" t="n">
        <v>44996</v>
      </c>
      <c r="C1854" s="1" t="n">
        <v>45346</v>
      </c>
      <c r="D1854" t="inlineStr">
        <is>
          <t>VÄSTERNORRLANDS LÄN</t>
        </is>
      </c>
      <c r="E1854" t="inlineStr">
        <is>
          <t>SOLLEFTEÅ</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12045-2023</t>
        </is>
      </c>
      <c r="B1855" s="1" t="n">
        <v>44996</v>
      </c>
      <c r="C1855" s="1" t="n">
        <v>45346</v>
      </c>
      <c r="D1855" t="inlineStr">
        <is>
          <t>VÄSTERNORRLANDS LÄN</t>
        </is>
      </c>
      <c r="E1855" t="inlineStr">
        <is>
          <t>SOLLEFTEÅ</t>
        </is>
      </c>
      <c r="F1855" t="inlineStr">
        <is>
          <t>SCA</t>
        </is>
      </c>
      <c r="G1855" t="n">
        <v>16.4</v>
      </c>
      <c r="H1855" t="n">
        <v>0</v>
      </c>
      <c r="I1855" t="n">
        <v>0</v>
      </c>
      <c r="J1855" t="n">
        <v>0</v>
      </c>
      <c r="K1855" t="n">
        <v>0</v>
      </c>
      <c r="L1855" t="n">
        <v>0</v>
      </c>
      <c r="M1855" t="n">
        <v>0</v>
      </c>
      <c r="N1855" t="n">
        <v>0</v>
      </c>
      <c r="O1855" t="n">
        <v>0</v>
      </c>
      <c r="P1855" t="n">
        <v>0</v>
      </c>
      <c r="Q1855" t="n">
        <v>0</v>
      </c>
      <c r="R1855" s="2" t="inlineStr"/>
    </row>
    <row r="1856" ht="15" customHeight="1">
      <c r="A1856" t="inlineStr">
        <is>
          <t>A 12429-2023</t>
        </is>
      </c>
      <c r="B1856" s="1" t="n">
        <v>44998</v>
      </c>
      <c r="C1856" s="1" t="n">
        <v>45346</v>
      </c>
      <c r="D1856" t="inlineStr">
        <is>
          <t>VÄSTERNORRLANDS LÄN</t>
        </is>
      </c>
      <c r="E1856" t="inlineStr">
        <is>
          <t>SOLLEFTEÅ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12515-2023</t>
        </is>
      </c>
      <c r="B1857" s="1" t="n">
        <v>45000</v>
      </c>
      <c r="C1857" s="1" t="n">
        <v>45346</v>
      </c>
      <c r="D1857" t="inlineStr">
        <is>
          <t>VÄSTERNORRLANDS LÄN</t>
        </is>
      </c>
      <c r="E1857" t="inlineStr">
        <is>
          <t>SOLLEFTEÅ</t>
        </is>
      </c>
      <c r="F1857" t="inlineStr">
        <is>
          <t>SCA</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12726-2023</t>
        </is>
      </c>
      <c r="B1858" s="1" t="n">
        <v>45000</v>
      </c>
      <c r="C1858" s="1" t="n">
        <v>45346</v>
      </c>
      <c r="D1858" t="inlineStr">
        <is>
          <t>VÄSTERNORRLANDS LÄN</t>
        </is>
      </c>
      <c r="E1858" t="inlineStr">
        <is>
          <t>SOLLEFTEÅ</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12512-2023</t>
        </is>
      </c>
      <c r="B1859" s="1" t="n">
        <v>45000</v>
      </c>
      <c r="C1859" s="1" t="n">
        <v>45346</v>
      </c>
      <c r="D1859" t="inlineStr">
        <is>
          <t>VÄSTERNORRLANDS LÄN</t>
        </is>
      </c>
      <c r="E1859" t="inlineStr">
        <is>
          <t>SOLLEFTEÅ</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12536-2023</t>
        </is>
      </c>
      <c r="B1860" s="1" t="n">
        <v>45000</v>
      </c>
      <c r="C1860" s="1" t="n">
        <v>45346</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12540-2023</t>
        </is>
      </c>
      <c r="B1861" s="1" t="n">
        <v>45000</v>
      </c>
      <c r="C1861" s="1" t="n">
        <v>45346</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12730-2023</t>
        </is>
      </c>
      <c r="B1862" s="1" t="n">
        <v>45000</v>
      </c>
      <c r="C1862" s="1" t="n">
        <v>45346</v>
      </c>
      <c r="D1862" t="inlineStr">
        <is>
          <t>VÄSTERNORRLANDS LÄN</t>
        </is>
      </c>
      <c r="E1862" t="inlineStr">
        <is>
          <t>SOLLEFTEÅ</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12735-2023</t>
        </is>
      </c>
      <c r="B1863" s="1" t="n">
        <v>45000</v>
      </c>
      <c r="C1863" s="1" t="n">
        <v>45346</v>
      </c>
      <c r="D1863" t="inlineStr">
        <is>
          <t>VÄSTERNORRLANDS LÄN</t>
        </is>
      </c>
      <c r="E1863" t="inlineStr">
        <is>
          <t>SOLLEFTEÅ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12539-2023</t>
        </is>
      </c>
      <c r="B1864" s="1" t="n">
        <v>45000</v>
      </c>
      <c r="C1864" s="1" t="n">
        <v>45346</v>
      </c>
      <c r="D1864" t="inlineStr">
        <is>
          <t>VÄSTERNORRLANDS LÄN</t>
        </is>
      </c>
      <c r="E1864" t="inlineStr">
        <is>
          <t>SOLLEFTEÅ</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12727-2023</t>
        </is>
      </c>
      <c r="B1865" s="1" t="n">
        <v>45000</v>
      </c>
      <c r="C1865" s="1" t="n">
        <v>45346</v>
      </c>
      <c r="D1865" t="inlineStr">
        <is>
          <t>VÄSTERNORRLANDS LÄN</t>
        </is>
      </c>
      <c r="E1865" t="inlineStr">
        <is>
          <t>SOLLEFTEÅ</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12733-2023</t>
        </is>
      </c>
      <c r="B1866" s="1" t="n">
        <v>45000</v>
      </c>
      <c r="C1866" s="1" t="n">
        <v>45346</v>
      </c>
      <c r="D1866" t="inlineStr">
        <is>
          <t>VÄSTERNORRLANDS LÄN</t>
        </is>
      </c>
      <c r="E1866" t="inlineStr">
        <is>
          <t>SOLLEFTEÅ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12747-2023</t>
        </is>
      </c>
      <c r="B1867" s="1" t="n">
        <v>45000</v>
      </c>
      <c r="C1867" s="1" t="n">
        <v>45346</v>
      </c>
      <c r="D1867" t="inlineStr">
        <is>
          <t>VÄSTERNORRLANDS LÄN</t>
        </is>
      </c>
      <c r="E1867" t="inlineStr">
        <is>
          <t>SOLLEFTEÅ</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12734-2023</t>
        </is>
      </c>
      <c r="B1868" s="1" t="n">
        <v>45000</v>
      </c>
      <c r="C1868" s="1" t="n">
        <v>45346</v>
      </c>
      <c r="D1868" t="inlineStr">
        <is>
          <t>VÄSTERNORRLANDS LÄN</t>
        </is>
      </c>
      <c r="E1868" t="inlineStr">
        <is>
          <t>SOLLEFTEÅ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12752-2023</t>
        </is>
      </c>
      <c r="B1869" s="1" t="n">
        <v>45000</v>
      </c>
      <c r="C1869" s="1" t="n">
        <v>45346</v>
      </c>
      <c r="D1869" t="inlineStr">
        <is>
          <t>VÄSTERNORRLANDS LÄN</t>
        </is>
      </c>
      <c r="E1869" t="inlineStr">
        <is>
          <t>SOLLEFTEÅ</t>
        </is>
      </c>
      <c r="F1869" t="inlineStr">
        <is>
          <t>SCA</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12746-2023</t>
        </is>
      </c>
      <c r="B1870" s="1" t="n">
        <v>45000</v>
      </c>
      <c r="C1870" s="1" t="n">
        <v>45346</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12755-2023</t>
        </is>
      </c>
      <c r="B1871" s="1" t="n">
        <v>45000</v>
      </c>
      <c r="C1871" s="1" t="n">
        <v>45346</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12820-2023</t>
        </is>
      </c>
      <c r="B1872" s="1" t="n">
        <v>45000</v>
      </c>
      <c r="C1872" s="1" t="n">
        <v>45346</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12972-2023</t>
        </is>
      </c>
      <c r="B1873" s="1" t="n">
        <v>45001</v>
      </c>
      <c r="C1873" s="1" t="n">
        <v>45346</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13066-2023</t>
        </is>
      </c>
      <c r="B1874" s="1" t="n">
        <v>45001</v>
      </c>
      <c r="C1874" s="1" t="n">
        <v>45346</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13050-2023</t>
        </is>
      </c>
      <c r="B1875" s="1" t="n">
        <v>45001</v>
      </c>
      <c r="C1875" s="1" t="n">
        <v>45346</v>
      </c>
      <c r="D1875" t="inlineStr">
        <is>
          <t>VÄSTERNORRLANDS LÄN</t>
        </is>
      </c>
      <c r="E1875" t="inlineStr">
        <is>
          <t>SOLLEFTEÅ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12996-2023</t>
        </is>
      </c>
      <c r="B1876" s="1" t="n">
        <v>45002</v>
      </c>
      <c r="C1876" s="1" t="n">
        <v>45346</v>
      </c>
      <c r="D1876" t="inlineStr">
        <is>
          <t>VÄSTERNORRLANDS LÄN</t>
        </is>
      </c>
      <c r="E1876" t="inlineStr">
        <is>
          <t>SOLLEFTEÅ</t>
        </is>
      </c>
      <c r="F1876" t="inlineStr">
        <is>
          <t>SCA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13009-2023</t>
        </is>
      </c>
      <c r="B1877" s="1" t="n">
        <v>45002</v>
      </c>
      <c r="C1877" s="1" t="n">
        <v>45346</v>
      </c>
      <c r="D1877" t="inlineStr">
        <is>
          <t>VÄSTERNORRLANDS LÄN</t>
        </is>
      </c>
      <c r="E1877" t="inlineStr">
        <is>
          <t>SOLLEFTEÅ</t>
        </is>
      </c>
      <c r="F1877" t="inlineStr">
        <is>
          <t>SCA</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13006-2023</t>
        </is>
      </c>
      <c r="B1878" s="1" t="n">
        <v>45002</v>
      </c>
      <c r="C1878" s="1" t="n">
        <v>45346</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12983-2023</t>
        </is>
      </c>
      <c r="B1879" s="1" t="n">
        <v>45002</v>
      </c>
      <c r="C1879" s="1" t="n">
        <v>45346</v>
      </c>
      <c r="D1879" t="inlineStr">
        <is>
          <t>VÄSTERNORRLANDS LÄN</t>
        </is>
      </c>
      <c r="E1879" t="inlineStr">
        <is>
          <t>SOLLEFTEÅ</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13008-2023</t>
        </is>
      </c>
      <c r="B1880" s="1" t="n">
        <v>45002</v>
      </c>
      <c r="C1880" s="1" t="n">
        <v>45346</v>
      </c>
      <c r="D1880" t="inlineStr">
        <is>
          <t>VÄSTERNORRLANDS LÄN</t>
        </is>
      </c>
      <c r="E1880" t="inlineStr">
        <is>
          <t>SOLLEFTEÅ</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13007-2023</t>
        </is>
      </c>
      <c r="B1881" s="1" t="n">
        <v>45002</v>
      </c>
      <c r="C1881" s="1" t="n">
        <v>45346</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13252-2023</t>
        </is>
      </c>
      <c r="B1882" s="1" t="n">
        <v>45002</v>
      </c>
      <c r="C1882" s="1" t="n">
        <v>45346</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13264-2023</t>
        </is>
      </c>
      <c r="B1883" s="1" t="n">
        <v>45002</v>
      </c>
      <c r="C1883" s="1" t="n">
        <v>45346</v>
      </c>
      <c r="D1883" t="inlineStr">
        <is>
          <t>VÄSTERNORRLANDS LÄN</t>
        </is>
      </c>
      <c r="E1883" t="inlineStr">
        <is>
          <t>SOLLEFTEÅ</t>
        </is>
      </c>
      <c r="F1883" t="inlineStr">
        <is>
          <t>SCA</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13292-2023</t>
        </is>
      </c>
      <c r="B1884" s="1" t="n">
        <v>45004</v>
      </c>
      <c r="C1884" s="1" t="n">
        <v>45346</v>
      </c>
      <c r="D1884" t="inlineStr">
        <is>
          <t>VÄSTERNORRLANDS LÄN</t>
        </is>
      </c>
      <c r="E1884" t="inlineStr">
        <is>
          <t>SOLLEFTEÅ</t>
        </is>
      </c>
      <c r="F1884" t="inlineStr">
        <is>
          <t>SCA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13489-2023</t>
        </is>
      </c>
      <c r="B1885" s="1" t="n">
        <v>45005</v>
      </c>
      <c r="C1885" s="1" t="n">
        <v>45346</v>
      </c>
      <c r="D1885" t="inlineStr">
        <is>
          <t>VÄSTERNORRLANDS LÄN</t>
        </is>
      </c>
      <c r="E1885" t="inlineStr">
        <is>
          <t>SOLLEFTEÅ</t>
        </is>
      </c>
      <c r="F1885" t="inlineStr">
        <is>
          <t>SCA</t>
        </is>
      </c>
      <c r="G1885" t="n">
        <v>26.3</v>
      </c>
      <c r="H1885" t="n">
        <v>0</v>
      </c>
      <c r="I1885" t="n">
        <v>0</v>
      </c>
      <c r="J1885" t="n">
        <v>0</v>
      </c>
      <c r="K1885" t="n">
        <v>0</v>
      </c>
      <c r="L1885" t="n">
        <v>0</v>
      </c>
      <c r="M1885" t="n">
        <v>0</v>
      </c>
      <c r="N1885" t="n">
        <v>0</v>
      </c>
      <c r="O1885" t="n">
        <v>0</v>
      </c>
      <c r="P1885" t="n">
        <v>0</v>
      </c>
      <c r="Q1885" t="n">
        <v>0</v>
      </c>
      <c r="R1885" s="2" t="inlineStr"/>
    </row>
    <row r="1886" ht="15" customHeight="1">
      <c r="A1886" t="inlineStr">
        <is>
          <t>A 13487-2023</t>
        </is>
      </c>
      <c r="B1886" s="1" t="n">
        <v>45005</v>
      </c>
      <c r="C1886" s="1" t="n">
        <v>45346</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13521-2023</t>
        </is>
      </c>
      <c r="B1887" s="1" t="n">
        <v>45005</v>
      </c>
      <c r="C1887" s="1" t="n">
        <v>45346</v>
      </c>
      <c r="D1887" t="inlineStr">
        <is>
          <t>VÄSTERNORRLANDS LÄN</t>
        </is>
      </c>
      <c r="E1887" t="inlineStr">
        <is>
          <t>SOLLEFTEÅ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13567-2023</t>
        </is>
      </c>
      <c r="B1888" s="1" t="n">
        <v>45005</v>
      </c>
      <c r="C1888" s="1" t="n">
        <v>45346</v>
      </c>
      <c r="D1888" t="inlineStr">
        <is>
          <t>VÄSTERNORRLANDS LÄN</t>
        </is>
      </c>
      <c r="E1888" t="inlineStr">
        <is>
          <t>SOLLEFTEÅ</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13570-2023</t>
        </is>
      </c>
      <c r="B1889" s="1" t="n">
        <v>45005</v>
      </c>
      <c r="C1889" s="1" t="n">
        <v>45346</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13499-2023</t>
        </is>
      </c>
      <c r="B1890" s="1" t="n">
        <v>45005</v>
      </c>
      <c r="C1890" s="1" t="n">
        <v>45346</v>
      </c>
      <c r="D1890" t="inlineStr">
        <is>
          <t>VÄSTERNORRLANDS LÄN</t>
        </is>
      </c>
      <c r="E1890" t="inlineStr">
        <is>
          <t>SOLLEFTEÅ</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13565-2023</t>
        </is>
      </c>
      <c r="B1891" s="1" t="n">
        <v>45005</v>
      </c>
      <c r="C1891" s="1" t="n">
        <v>45346</v>
      </c>
      <c r="D1891" t="inlineStr">
        <is>
          <t>VÄSTERNORRLANDS LÄN</t>
        </is>
      </c>
      <c r="E1891" t="inlineStr">
        <is>
          <t>SOLLEFTEÅ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13689-2023</t>
        </is>
      </c>
      <c r="B1892" s="1" t="n">
        <v>45006</v>
      </c>
      <c r="C1892" s="1" t="n">
        <v>45346</v>
      </c>
      <c r="D1892" t="inlineStr">
        <is>
          <t>VÄSTERNORRLANDS LÄN</t>
        </is>
      </c>
      <c r="E1892" t="inlineStr">
        <is>
          <t>SOLLEFTEÅ</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13695-2023</t>
        </is>
      </c>
      <c r="B1893" s="1" t="n">
        <v>45006</v>
      </c>
      <c r="C1893" s="1" t="n">
        <v>45346</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13697-2023</t>
        </is>
      </c>
      <c r="B1894" s="1" t="n">
        <v>45006</v>
      </c>
      <c r="C1894" s="1" t="n">
        <v>45346</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14109-2023</t>
        </is>
      </c>
      <c r="B1895" s="1" t="n">
        <v>45008</v>
      </c>
      <c r="C1895" s="1" t="n">
        <v>45346</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14134-2023</t>
        </is>
      </c>
      <c r="B1896" s="1" t="n">
        <v>45008</v>
      </c>
      <c r="C1896" s="1" t="n">
        <v>45346</v>
      </c>
      <c r="D1896" t="inlineStr">
        <is>
          <t>VÄSTERNORRLANDS LÄN</t>
        </is>
      </c>
      <c r="E1896" t="inlineStr">
        <is>
          <t>SOLLEFTEÅ</t>
        </is>
      </c>
      <c r="F1896" t="inlineStr">
        <is>
          <t>Övriga Aktiebolag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14718-2023</t>
        </is>
      </c>
      <c r="B1897" s="1" t="n">
        <v>45012</v>
      </c>
      <c r="C1897" s="1" t="n">
        <v>45346</v>
      </c>
      <c r="D1897" t="inlineStr">
        <is>
          <t>VÄSTERNORRLANDS LÄN</t>
        </is>
      </c>
      <c r="E1897" t="inlineStr">
        <is>
          <t>SOLLEFTEÅ</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14675-2023</t>
        </is>
      </c>
      <c r="B1898" s="1" t="n">
        <v>45014</v>
      </c>
      <c r="C1898" s="1" t="n">
        <v>45346</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14668-2023</t>
        </is>
      </c>
      <c r="B1899" s="1" t="n">
        <v>45014</v>
      </c>
      <c r="C1899" s="1" t="n">
        <v>45346</v>
      </c>
      <c r="D1899" t="inlineStr">
        <is>
          <t>VÄSTERNORRLANDS LÄN</t>
        </is>
      </c>
      <c r="E1899" t="inlineStr">
        <is>
          <t>SOLLEFTEÅ</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14674-2023</t>
        </is>
      </c>
      <c r="B1900" s="1" t="n">
        <v>45013</v>
      </c>
      <c r="C1900" s="1" t="n">
        <v>45346</v>
      </c>
      <c r="D1900" t="inlineStr">
        <is>
          <t>VÄSTERNORRLANDS LÄN</t>
        </is>
      </c>
      <c r="E1900" t="inlineStr">
        <is>
          <t>SOLLEFTEÅ</t>
        </is>
      </c>
      <c r="F1900" t="inlineStr">
        <is>
          <t>Övriga statliga verk och myndigheter</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14937-2023</t>
        </is>
      </c>
      <c r="B1901" s="1" t="n">
        <v>45014</v>
      </c>
      <c r="C1901" s="1" t="n">
        <v>45346</v>
      </c>
      <c r="D1901" t="inlineStr">
        <is>
          <t>VÄSTERNORRLANDS LÄN</t>
        </is>
      </c>
      <c r="E1901" t="inlineStr">
        <is>
          <t>SOLLEFTEÅ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14859-2023</t>
        </is>
      </c>
      <c r="B1902" s="1" t="n">
        <v>45015</v>
      </c>
      <c r="C1902" s="1" t="n">
        <v>45346</v>
      </c>
      <c r="D1902" t="inlineStr">
        <is>
          <t>VÄSTERNORRLANDS LÄN</t>
        </is>
      </c>
      <c r="E1902" t="inlineStr">
        <is>
          <t>SOLLEFTEÅ</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14875-2023</t>
        </is>
      </c>
      <c r="B1903" s="1" t="n">
        <v>45015</v>
      </c>
      <c r="C1903" s="1" t="n">
        <v>45346</v>
      </c>
      <c r="D1903" t="inlineStr">
        <is>
          <t>VÄSTERNORRLANDS LÄN</t>
        </is>
      </c>
      <c r="E1903" t="inlineStr">
        <is>
          <t>SOLLEFTEÅ</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15080-2023</t>
        </is>
      </c>
      <c r="B1904" s="1" t="n">
        <v>45016</v>
      </c>
      <c r="C1904" s="1" t="n">
        <v>45346</v>
      </c>
      <c r="D1904" t="inlineStr">
        <is>
          <t>VÄSTERNORRLANDS LÄN</t>
        </is>
      </c>
      <c r="E1904" t="inlineStr">
        <is>
          <t>SOLLEFTEÅ</t>
        </is>
      </c>
      <c r="F1904" t="inlineStr">
        <is>
          <t>SCA</t>
        </is>
      </c>
      <c r="G1904" t="n">
        <v>33.6</v>
      </c>
      <c r="H1904" t="n">
        <v>0</v>
      </c>
      <c r="I1904" t="n">
        <v>0</v>
      </c>
      <c r="J1904" t="n">
        <v>0</v>
      </c>
      <c r="K1904" t="n">
        <v>0</v>
      </c>
      <c r="L1904" t="n">
        <v>0</v>
      </c>
      <c r="M1904" t="n">
        <v>0</v>
      </c>
      <c r="N1904" t="n">
        <v>0</v>
      </c>
      <c r="O1904" t="n">
        <v>0</v>
      </c>
      <c r="P1904" t="n">
        <v>0</v>
      </c>
      <c r="Q1904" t="n">
        <v>0</v>
      </c>
      <c r="R1904" s="2" t="inlineStr"/>
    </row>
    <row r="1905" ht="15" customHeight="1">
      <c r="A1905" t="inlineStr">
        <is>
          <t>A 15632-2023</t>
        </is>
      </c>
      <c r="B1905" s="1" t="n">
        <v>45019</v>
      </c>
      <c r="C1905" s="1" t="n">
        <v>45346</v>
      </c>
      <c r="D1905" t="inlineStr">
        <is>
          <t>VÄSTERNORRLANDS LÄN</t>
        </is>
      </c>
      <c r="E1905" t="inlineStr">
        <is>
          <t>SOLLEFTEÅ</t>
        </is>
      </c>
      <c r="G1905" t="n">
        <v>12.8</v>
      </c>
      <c r="H1905" t="n">
        <v>0</v>
      </c>
      <c r="I1905" t="n">
        <v>0</v>
      </c>
      <c r="J1905" t="n">
        <v>0</v>
      </c>
      <c r="K1905" t="n">
        <v>0</v>
      </c>
      <c r="L1905" t="n">
        <v>0</v>
      </c>
      <c r="M1905" t="n">
        <v>0</v>
      </c>
      <c r="N1905" t="n">
        <v>0</v>
      </c>
      <c r="O1905" t="n">
        <v>0</v>
      </c>
      <c r="P1905" t="n">
        <v>0</v>
      </c>
      <c r="Q1905" t="n">
        <v>0</v>
      </c>
      <c r="R1905" s="2" t="inlineStr"/>
    </row>
    <row r="1906" ht="15" customHeight="1">
      <c r="A1906" t="inlineStr">
        <is>
          <t>A 15723-2023</t>
        </is>
      </c>
      <c r="B1906" s="1" t="n">
        <v>45020</v>
      </c>
      <c r="C1906" s="1" t="n">
        <v>45346</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15978-2023</t>
        </is>
      </c>
      <c r="B1907" s="1" t="n">
        <v>45023</v>
      </c>
      <c r="C1907" s="1" t="n">
        <v>45346</v>
      </c>
      <c r="D1907" t="inlineStr">
        <is>
          <t>VÄSTERNORRLANDS LÄN</t>
        </is>
      </c>
      <c r="E1907" t="inlineStr">
        <is>
          <t>SOLLEFTEÅ</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15987-2023</t>
        </is>
      </c>
      <c r="B1908" s="1" t="n">
        <v>45023</v>
      </c>
      <c r="C1908" s="1" t="n">
        <v>45346</v>
      </c>
      <c r="D1908" t="inlineStr">
        <is>
          <t>VÄSTERNORRLANDS LÄN</t>
        </is>
      </c>
      <c r="E1908" t="inlineStr">
        <is>
          <t>SOLLEFTEÅ</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15998-2023</t>
        </is>
      </c>
      <c r="B1909" s="1" t="n">
        <v>45024</v>
      </c>
      <c r="C1909" s="1" t="n">
        <v>45346</v>
      </c>
      <c r="D1909" t="inlineStr">
        <is>
          <t>VÄSTERNORRLANDS LÄN</t>
        </is>
      </c>
      <c r="E1909" t="inlineStr">
        <is>
          <t>SOLLEFTEÅ</t>
        </is>
      </c>
      <c r="F1909" t="inlineStr">
        <is>
          <t>SCA</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16189-2023</t>
        </is>
      </c>
      <c r="B1910" s="1" t="n">
        <v>45028</v>
      </c>
      <c r="C1910" s="1" t="n">
        <v>45346</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16190-2023</t>
        </is>
      </c>
      <c r="B1911" s="1" t="n">
        <v>45028</v>
      </c>
      <c r="C1911" s="1" t="n">
        <v>45346</v>
      </c>
      <c r="D1911" t="inlineStr">
        <is>
          <t>VÄSTERNORRLANDS LÄN</t>
        </is>
      </c>
      <c r="E1911" t="inlineStr">
        <is>
          <t>SOLLEFTEÅ</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16196-2023</t>
        </is>
      </c>
      <c r="B1912" s="1" t="n">
        <v>45028</v>
      </c>
      <c r="C1912" s="1" t="n">
        <v>45346</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16370-2023</t>
        </is>
      </c>
      <c r="B1913" s="1" t="n">
        <v>45029</v>
      </c>
      <c r="C1913" s="1" t="n">
        <v>45346</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16376-2023</t>
        </is>
      </c>
      <c r="B1914" s="1" t="n">
        <v>45029</v>
      </c>
      <c r="C1914" s="1" t="n">
        <v>45346</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16562-2023</t>
        </is>
      </c>
      <c r="B1915" s="1" t="n">
        <v>45029</v>
      </c>
      <c r="C1915" s="1" t="n">
        <v>45346</v>
      </c>
      <c r="D1915" t="inlineStr">
        <is>
          <t>VÄSTERNORRLANDS LÄN</t>
        </is>
      </c>
      <c r="E1915" t="inlineStr">
        <is>
          <t>SOLLEFTEÅ</t>
        </is>
      </c>
      <c r="F1915" t="inlineStr">
        <is>
          <t>SCA</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16760-2023</t>
        </is>
      </c>
      <c r="B1916" s="1" t="n">
        <v>45030</v>
      </c>
      <c r="C1916" s="1" t="n">
        <v>45346</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17007-2023</t>
        </is>
      </c>
      <c r="B1917" s="1" t="n">
        <v>45034</v>
      </c>
      <c r="C1917" s="1" t="n">
        <v>45346</v>
      </c>
      <c r="D1917" t="inlineStr">
        <is>
          <t>VÄSTERNORRLANDS LÄN</t>
        </is>
      </c>
      <c r="E1917" t="inlineStr">
        <is>
          <t>SOLLEFTEÅ</t>
        </is>
      </c>
      <c r="F1917" t="inlineStr">
        <is>
          <t>SCA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17064-2023</t>
        </is>
      </c>
      <c r="B1918" s="1" t="n">
        <v>45034</v>
      </c>
      <c r="C1918" s="1" t="n">
        <v>45346</v>
      </c>
      <c r="D1918" t="inlineStr">
        <is>
          <t>VÄSTERNORRLANDS LÄN</t>
        </is>
      </c>
      <c r="E1918" t="inlineStr">
        <is>
          <t>SOLLEFTEÅ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17218-2023</t>
        </is>
      </c>
      <c r="B1919" s="1" t="n">
        <v>45035</v>
      </c>
      <c r="C1919" s="1" t="n">
        <v>45346</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17219-2023</t>
        </is>
      </c>
      <c r="B1920" s="1" t="n">
        <v>45034</v>
      </c>
      <c r="C1920" s="1" t="n">
        <v>45346</v>
      </c>
      <c r="D1920" t="inlineStr">
        <is>
          <t>VÄSTERNORRLANDS LÄN</t>
        </is>
      </c>
      <c r="E1920" t="inlineStr">
        <is>
          <t>SOLLEFTEÅ</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17416-2023</t>
        </is>
      </c>
      <c r="B1921" s="1" t="n">
        <v>45036</v>
      </c>
      <c r="C1921" s="1" t="n">
        <v>45346</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17683-2023</t>
        </is>
      </c>
      <c r="B1922" s="1" t="n">
        <v>45035</v>
      </c>
      <c r="C1922" s="1" t="n">
        <v>45346</v>
      </c>
      <c r="D1922" t="inlineStr">
        <is>
          <t>VÄSTERNORRLANDS LÄN</t>
        </is>
      </c>
      <c r="E1922" t="inlineStr">
        <is>
          <t>SOLLEFTEÅ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17664-2023</t>
        </is>
      </c>
      <c r="B1923" s="1" t="n">
        <v>45037</v>
      </c>
      <c r="C1923" s="1" t="n">
        <v>45346</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18149-2023</t>
        </is>
      </c>
      <c r="B1924" s="1" t="n">
        <v>45040</v>
      </c>
      <c r="C1924" s="1" t="n">
        <v>45346</v>
      </c>
      <c r="D1924" t="inlineStr">
        <is>
          <t>VÄSTERNORRLANDS LÄN</t>
        </is>
      </c>
      <c r="E1924" t="inlineStr">
        <is>
          <t>SOLLEFTEÅ</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18160-2023</t>
        </is>
      </c>
      <c r="B1925" s="1" t="n">
        <v>45040</v>
      </c>
      <c r="C1925" s="1" t="n">
        <v>45346</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18167-2023</t>
        </is>
      </c>
      <c r="B1926" s="1" t="n">
        <v>45040</v>
      </c>
      <c r="C1926" s="1" t="n">
        <v>45346</v>
      </c>
      <c r="D1926" t="inlineStr">
        <is>
          <t>VÄSTERNORRLANDS LÄN</t>
        </is>
      </c>
      <c r="E1926" t="inlineStr">
        <is>
          <t>SOLLEFTEÅ</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18459-2023</t>
        </is>
      </c>
      <c r="B1927" s="1" t="n">
        <v>45041</v>
      </c>
      <c r="C1927" s="1" t="n">
        <v>45346</v>
      </c>
      <c r="D1927" t="inlineStr">
        <is>
          <t>VÄSTERNORRLANDS LÄN</t>
        </is>
      </c>
      <c r="E1927" t="inlineStr">
        <is>
          <t>SOLLEFTEÅ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18378-2023</t>
        </is>
      </c>
      <c r="B1928" s="1" t="n">
        <v>45041</v>
      </c>
      <c r="C1928" s="1" t="n">
        <v>45346</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18456-2023</t>
        </is>
      </c>
      <c r="B1929" s="1" t="n">
        <v>45041</v>
      </c>
      <c r="C1929" s="1" t="n">
        <v>45346</v>
      </c>
      <c r="D1929" t="inlineStr">
        <is>
          <t>VÄSTERNORRLANDS LÄN</t>
        </is>
      </c>
      <c r="E1929" t="inlineStr">
        <is>
          <t>SOLLEFTEÅ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18861-2023</t>
        </is>
      </c>
      <c r="B1930" s="1" t="n">
        <v>45042</v>
      </c>
      <c r="C1930" s="1" t="n">
        <v>45346</v>
      </c>
      <c r="D1930" t="inlineStr">
        <is>
          <t>VÄSTERNORRLANDS LÄN</t>
        </is>
      </c>
      <c r="E1930" t="inlineStr">
        <is>
          <t>SOLLEFTEÅ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18762-2023</t>
        </is>
      </c>
      <c r="B1931" s="1" t="n">
        <v>45043</v>
      </c>
      <c r="C1931" s="1" t="n">
        <v>45346</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18781-2023</t>
        </is>
      </c>
      <c r="B1932" s="1" t="n">
        <v>45043</v>
      </c>
      <c r="C1932" s="1" t="n">
        <v>45346</v>
      </c>
      <c r="D1932" t="inlineStr">
        <is>
          <t>VÄSTERNORRLANDS LÄN</t>
        </is>
      </c>
      <c r="E1932" t="inlineStr">
        <is>
          <t>SOLLEFTEÅ</t>
        </is>
      </c>
      <c r="F1932" t="inlineStr">
        <is>
          <t>SCA</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18785-2023</t>
        </is>
      </c>
      <c r="B1933" s="1" t="n">
        <v>45043</v>
      </c>
      <c r="C1933" s="1" t="n">
        <v>45346</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18753-2023</t>
        </is>
      </c>
      <c r="B1934" s="1" t="n">
        <v>45044</v>
      </c>
      <c r="C1934" s="1" t="n">
        <v>45346</v>
      </c>
      <c r="D1934" t="inlineStr">
        <is>
          <t>VÄSTERNORRLANDS LÄN</t>
        </is>
      </c>
      <c r="E1934" t="inlineStr">
        <is>
          <t>SOLLEFTEÅ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18761-2023</t>
        </is>
      </c>
      <c r="B1935" s="1" t="n">
        <v>45043</v>
      </c>
      <c r="C1935" s="1" t="n">
        <v>45346</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18782-2023</t>
        </is>
      </c>
      <c r="B1936" s="1" t="n">
        <v>45044</v>
      </c>
      <c r="C1936" s="1" t="n">
        <v>45346</v>
      </c>
      <c r="D1936" t="inlineStr">
        <is>
          <t>VÄSTERNORRLANDS LÄN</t>
        </is>
      </c>
      <c r="E1936" t="inlineStr">
        <is>
          <t>SOLLEFTEÅ</t>
        </is>
      </c>
      <c r="F1936" t="inlineStr">
        <is>
          <t>SCA</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18786-2023</t>
        </is>
      </c>
      <c r="B1937" s="1" t="n">
        <v>45043</v>
      </c>
      <c r="C1937" s="1" t="n">
        <v>45346</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18755-2023</t>
        </is>
      </c>
      <c r="B1938" s="1" t="n">
        <v>45043</v>
      </c>
      <c r="C1938" s="1" t="n">
        <v>45346</v>
      </c>
      <c r="D1938" t="inlineStr">
        <is>
          <t>VÄSTERNORRLANDS LÄN</t>
        </is>
      </c>
      <c r="E1938" t="inlineStr">
        <is>
          <t>SOLLEFTEÅ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18780-2023</t>
        </is>
      </c>
      <c r="B1939" s="1" t="n">
        <v>45044</v>
      </c>
      <c r="C1939" s="1" t="n">
        <v>45346</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18784-2023</t>
        </is>
      </c>
      <c r="B1940" s="1" t="n">
        <v>45044</v>
      </c>
      <c r="C1940" s="1" t="n">
        <v>45346</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18980-2023</t>
        </is>
      </c>
      <c r="B1941" s="1" t="n">
        <v>45044</v>
      </c>
      <c r="C1941" s="1" t="n">
        <v>45346</v>
      </c>
      <c r="D1941" t="inlineStr">
        <is>
          <t>VÄSTERNORRLANDS LÄN</t>
        </is>
      </c>
      <c r="E1941" t="inlineStr">
        <is>
          <t>SOLLEFTEÅ</t>
        </is>
      </c>
      <c r="F1941" t="inlineStr">
        <is>
          <t>Övriga statliga verk och myndigheter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18989-2023</t>
        </is>
      </c>
      <c r="B1942" s="1" t="n">
        <v>45044</v>
      </c>
      <c r="C1942" s="1" t="n">
        <v>45346</v>
      </c>
      <c r="D1942" t="inlineStr">
        <is>
          <t>VÄSTERNORRLANDS LÄN</t>
        </is>
      </c>
      <c r="E1942" t="inlineStr">
        <is>
          <t>SOLLEFTEÅ</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19154-2023</t>
        </is>
      </c>
      <c r="B1943" s="1" t="n">
        <v>45044</v>
      </c>
      <c r="C1943" s="1" t="n">
        <v>45346</v>
      </c>
      <c r="D1943" t="inlineStr">
        <is>
          <t>VÄSTERNORRLANDS LÄN</t>
        </is>
      </c>
      <c r="E1943" t="inlineStr">
        <is>
          <t>SOLLEFTEÅ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19433-2023</t>
        </is>
      </c>
      <c r="B1944" s="1" t="n">
        <v>45049</v>
      </c>
      <c r="C1944" s="1" t="n">
        <v>45346</v>
      </c>
      <c r="D1944" t="inlineStr">
        <is>
          <t>VÄSTERNORRLANDS LÄN</t>
        </is>
      </c>
      <c r="E1944" t="inlineStr">
        <is>
          <t>SOLLEFTEÅ</t>
        </is>
      </c>
      <c r="F1944" t="inlineStr">
        <is>
          <t>SCA</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19434-2023</t>
        </is>
      </c>
      <c r="B1945" s="1" t="n">
        <v>45049</v>
      </c>
      <c r="C1945" s="1" t="n">
        <v>45346</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19609-2023</t>
        </is>
      </c>
      <c r="B1946" s="1" t="n">
        <v>45050</v>
      </c>
      <c r="C1946" s="1" t="n">
        <v>45346</v>
      </c>
      <c r="D1946" t="inlineStr">
        <is>
          <t>VÄSTERNORRLANDS LÄN</t>
        </is>
      </c>
      <c r="E1946" t="inlineStr">
        <is>
          <t>SOLLEFTEÅ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19610-2023</t>
        </is>
      </c>
      <c r="B1947" s="1" t="n">
        <v>45050</v>
      </c>
      <c r="C1947" s="1" t="n">
        <v>45346</v>
      </c>
      <c r="D1947" t="inlineStr">
        <is>
          <t>VÄSTERNORRLANDS LÄN</t>
        </is>
      </c>
      <c r="E1947" t="inlineStr">
        <is>
          <t>SOLLEFTEÅ</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19615-2023</t>
        </is>
      </c>
      <c r="B1948" s="1" t="n">
        <v>45051</v>
      </c>
      <c r="C1948" s="1" t="n">
        <v>45346</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19625-2023</t>
        </is>
      </c>
      <c r="B1949" s="1" t="n">
        <v>45050</v>
      </c>
      <c r="C1949" s="1" t="n">
        <v>45346</v>
      </c>
      <c r="D1949" t="inlineStr">
        <is>
          <t>VÄSTERNORRLANDS LÄN</t>
        </is>
      </c>
      <c r="E1949" t="inlineStr">
        <is>
          <t>SOLLEFTEÅ</t>
        </is>
      </c>
      <c r="F1949" t="inlineStr">
        <is>
          <t>SCA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19614-2023</t>
        </is>
      </c>
      <c r="B1950" s="1" t="n">
        <v>45050</v>
      </c>
      <c r="C1950" s="1" t="n">
        <v>45346</v>
      </c>
      <c r="D1950" t="inlineStr">
        <is>
          <t>VÄSTERNORRLANDS LÄN</t>
        </is>
      </c>
      <c r="E1950" t="inlineStr">
        <is>
          <t>SOLLEFTEÅ</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19816-2023</t>
        </is>
      </c>
      <c r="B1951" s="1" t="n">
        <v>45052</v>
      </c>
      <c r="C1951" s="1" t="n">
        <v>45346</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19829-2023</t>
        </is>
      </c>
      <c r="B1952" s="1" t="n">
        <v>45052</v>
      </c>
      <c r="C1952" s="1" t="n">
        <v>45346</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19830-2023</t>
        </is>
      </c>
      <c r="B1953" s="1" t="n">
        <v>45052</v>
      </c>
      <c r="C1953" s="1" t="n">
        <v>45346</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20089-2023</t>
        </is>
      </c>
      <c r="B1954" s="1" t="n">
        <v>45055</v>
      </c>
      <c r="C1954" s="1" t="n">
        <v>45346</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20269-2023</t>
        </is>
      </c>
      <c r="B1955" s="1" t="n">
        <v>45055</v>
      </c>
      <c r="C1955" s="1" t="n">
        <v>45346</v>
      </c>
      <c r="D1955" t="inlineStr">
        <is>
          <t>VÄSTERNORRLANDS LÄN</t>
        </is>
      </c>
      <c r="E1955" t="inlineStr">
        <is>
          <t>SOLLEFTEÅ</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20268-2023</t>
        </is>
      </c>
      <c r="B1956" s="1" t="n">
        <v>45055</v>
      </c>
      <c r="C1956" s="1" t="n">
        <v>45346</v>
      </c>
      <c r="D1956" t="inlineStr">
        <is>
          <t>VÄSTERNORRLANDS LÄN</t>
        </is>
      </c>
      <c r="E1956" t="inlineStr">
        <is>
          <t>SOLLEFTEÅ</t>
        </is>
      </c>
      <c r="F1956" t="inlineStr">
        <is>
          <t>SCA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20266-2023</t>
        </is>
      </c>
      <c r="B1957" s="1" t="n">
        <v>45055</v>
      </c>
      <c r="C1957" s="1" t="n">
        <v>45346</v>
      </c>
      <c r="D1957" t="inlineStr">
        <is>
          <t>VÄSTERNORRLANDS LÄN</t>
        </is>
      </c>
      <c r="E1957" t="inlineStr">
        <is>
          <t>SOLLEFTEÅ</t>
        </is>
      </c>
      <c r="F1957" t="inlineStr">
        <is>
          <t>SCA</t>
        </is>
      </c>
      <c r="G1957" t="n">
        <v>21.3</v>
      </c>
      <c r="H1957" t="n">
        <v>0</v>
      </c>
      <c r="I1957" t="n">
        <v>0</v>
      </c>
      <c r="J1957" t="n">
        <v>0</v>
      </c>
      <c r="K1957" t="n">
        <v>0</v>
      </c>
      <c r="L1957" t="n">
        <v>0</v>
      </c>
      <c r="M1957" t="n">
        <v>0</v>
      </c>
      <c r="N1957" t="n">
        <v>0</v>
      </c>
      <c r="O1957" t="n">
        <v>0</v>
      </c>
      <c r="P1957" t="n">
        <v>0</v>
      </c>
      <c r="Q1957" t="n">
        <v>0</v>
      </c>
      <c r="R1957" s="2" t="inlineStr"/>
    </row>
    <row r="1958" ht="15" customHeight="1">
      <c r="A1958" t="inlineStr">
        <is>
          <t>A 20271-2023</t>
        </is>
      </c>
      <c r="B1958" s="1" t="n">
        <v>45056</v>
      </c>
      <c r="C1958" s="1" t="n">
        <v>45346</v>
      </c>
      <c r="D1958" t="inlineStr">
        <is>
          <t>VÄSTERNORRLANDS LÄN</t>
        </is>
      </c>
      <c r="E1958" t="inlineStr">
        <is>
          <t>SOLLEFTEÅ</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20461-2023</t>
        </is>
      </c>
      <c r="B1959" s="1" t="n">
        <v>45057</v>
      </c>
      <c r="C1959" s="1" t="n">
        <v>45346</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20460-2023</t>
        </is>
      </c>
      <c r="B1960" s="1" t="n">
        <v>45057</v>
      </c>
      <c r="C1960" s="1" t="n">
        <v>45346</v>
      </c>
      <c r="D1960" t="inlineStr">
        <is>
          <t>VÄSTERNORRLANDS LÄN</t>
        </is>
      </c>
      <c r="E1960" t="inlineStr">
        <is>
          <t>SOLLEFTEÅ</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20599-2023</t>
        </is>
      </c>
      <c r="B1961" s="1" t="n">
        <v>45058</v>
      </c>
      <c r="C1961" s="1" t="n">
        <v>45346</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20598-2023</t>
        </is>
      </c>
      <c r="B1962" s="1" t="n">
        <v>45058</v>
      </c>
      <c r="C1962" s="1" t="n">
        <v>45346</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21195-2023</t>
        </is>
      </c>
      <c r="B1963" s="1" t="n">
        <v>45057</v>
      </c>
      <c r="C1963" s="1" t="n">
        <v>45346</v>
      </c>
      <c r="D1963" t="inlineStr">
        <is>
          <t>VÄSTERNORRLANDS LÄN</t>
        </is>
      </c>
      <c r="E1963" t="inlineStr">
        <is>
          <t>SOLLEFTEÅ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20629-2023</t>
        </is>
      </c>
      <c r="B1964" s="1" t="n">
        <v>45058</v>
      </c>
      <c r="C1964" s="1" t="n">
        <v>45346</v>
      </c>
      <c r="D1964" t="inlineStr">
        <is>
          <t>VÄSTERNORRLANDS LÄN</t>
        </is>
      </c>
      <c r="E1964" t="inlineStr">
        <is>
          <t>SOLLEFTEÅ</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20628-2023</t>
        </is>
      </c>
      <c r="B1965" s="1" t="n">
        <v>45058</v>
      </c>
      <c r="C1965" s="1" t="n">
        <v>45346</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21230-2023</t>
        </is>
      </c>
      <c r="B1966" s="1" t="n">
        <v>45057</v>
      </c>
      <c r="C1966" s="1" t="n">
        <v>45346</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20754-2023</t>
        </is>
      </c>
      <c r="B1967" s="1" t="n">
        <v>45058</v>
      </c>
      <c r="C1967" s="1" t="n">
        <v>45346</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20859-2023</t>
        </is>
      </c>
      <c r="B1968" s="1" t="n">
        <v>45059</v>
      </c>
      <c r="C1968" s="1" t="n">
        <v>45346</v>
      </c>
      <c r="D1968" t="inlineStr">
        <is>
          <t>VÄSTERNORRLANDS LÄN</t>
        </is>
      </c>
      <c r="E1968" t="inlineStr">
        <is>
          <t>SOLLEFTEÅ</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20862-2023</t>
        </is>
      </c>
      <c r="B1969" s="1" t="n">
        <v>45059</v>
      </c>
      <c r="C1969" s="1" t="n">
        <v>45346</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20817-2023</t>
        </is>
      </c>
      <c r="B1970" s="1" t="n">
        <v>45058</v>
      </c>
      <c r="C1970" s="1" t="n">
        <v>45346</v>
      </c>
      <c r="D1970" t="inlineStr">
        <is>
          <t>VÄSTERNORRLANDS LÄN</t>
        </is>
      </c>
      <c r="E1970" t="inlineStr">
        <is>
          <t>SOLLEFTEÅ</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20873-2023</t>
        </is>
      </c>
      <c r="B1971" s="1" t="n">
        <v>45059</v>
      </c>
      <c r="C1971" s="1" t="n">
        <v>45346</v>
      </c>
      <c r="D1971" t="inlineStr">
        <is>
          <t>VÄSTERNORRLANDS LÄN</t>
        </is>
      </c>
      <c r="E1971" t="inlineStr">
        <is>
          <t>SOLLEFTEÅ</t>
        </is>
      </c>
      <c r="F1971" t="inlineStr">
        <is>
          <t>SCA</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20878-2023</t>
        </is>
      </c>
      <c r="B1972" s="1" t="n">
        <v>45059</v>
      </c>
      <c r="C1972" s="1" t="n">
        <v>45346</v>
      </c>
      <c r="D1972" t="inlineStr">
        <is>
          <t>VÄSTERNORRLANDS LÄN</t>
        </is>
      </c>
      <c r="E1972" t="inlineStr">
        <is>
          <t>SOLLEFTEÅ</t>
        </is>
      </c>
      <c r="F1972" t="inlineStr">
        <is>
          <t>SCA</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20872-2023</t>
        </is>
      </c>
      <c r="B1973" s="1" t="n">
        <v>45058</v>
      </c>
      <c r="C1973" s="1" t="n">
        <v>45346</v>
      </c>
      <c r="D1973" t="inlineStr">
        <is>
          <t>VÄSTERNORRLANDS LÄN</t>
        </is>
      </c>
      <c r="E1973" t="inlineStr">
        <is>
          <t>SOLLEFTEÅ</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21513-2023</t>
        </is>
      </c>
      <c r="B1974" s="1" t="n">
        <v>45061</v>
      </c>
      <c r="C1974" s="1" t="n">
        <v>45346</v>
      </c>
      <c r="D1974" t="inlineStr">
        <is>
          <t>VÄSTERNORRLANDS LÄN</t>
        </is>
      </c>
      <c r="E1974" t="inlineStr">
        <is>
          <t>SOLLEFTEÅ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21349-2023</t>
        </is>
      </c>
      <c r="B1975" s="1" t="n">
        <v>45063</v>
      </c>
      <c r="C1975" s="1" t="n">
        <v>45346</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21346-2023</t>
        </is>
      </c>
      <c r="B1976" s="1" t="n">
        <v>45063</v>
      </c>
      <c r="C1976" s="1" t="n">
        <v>45346</v>
      </c>
      <c r="D1976" t="inlineStr">
        <is>
          <t>VÄSTERNORRLANDS LÄN</t>
        </is>
      </c>
      <c r="E1976" t="inlineStr">
        <is>
          <t>SOLLEFTEÅ</t>
        </is>
      </c>
      <c r="F1976" t="inlineStr">
        <is>
          <t>SCA</t>
        </is>
      </c>
      <c r="G1976" t="n">
        <v>15.5</v>
      </c>
      <c r="H1976" t="n">
        <v>0</v>
      </c>
      <c r="I1976" t="n">
        <v>0</v>
      </c>
      <c r="J1976" t="n">
        <v>0</v>
      </c>
      <c r="K1976" t="n">
        <v>0</v>
      </c>
      <c r="L1976" t="n">
        <v>0</v>
      </c>
      <c r="M1976" t="n">
        <v>0</v>
      </c>
      <c r="N1976" t="n">
        <v>0</v>
      </c>
      <c r="O1976" t="n">
        <v>0</v>
      </c>
      <c r="P1976" t="n">
        <v>0</v>
      </c>
      <c r="Q1976" t="n">
        <v>0</v>
      </c>
      <c r="R1976" s="2" t="inlineStr"/>
    </row>
    <row r="1977" ht="15" customHeight="1">
      <c r="A1977" t="inlineStr">
        <is>
          <t>A 21340-2023</t>
        </is>
      </c>
      <c r="B1977" s="1" t="n">
        <v>45062</v>
      </c>
      <c r="C1977" s="1" t="n">
        <v>45346</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21344-2023</t>
        </is>
      </c>
      <c r="B1978" s="1" t="n">
        <v>45062</v>
      </c>
      <c r="C1978" s="1" t="n">
        <v>45346</v>
      </c>
      <c r="D1978" t="inlineStr">
        <is>
          <t>VÄSTERNORRLANDS LÄN</t>
        </is>
      </c>
      <c r="E1978" t="inlineStr">
        <is>
          <t>SOLLEFTEÅ</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21361-2023</t>
        </is>
      </c>
      <c r="B1979" s="1" t="n">
        <v>45063</v>
      </c>
      <c r="C1979" s="1" t="n">
        <v>45346</v>
      </c>
      <c r="D1979" t="inlineStr">
        <is>
          <t>VÄSTERNORRLANDS LÄN</t>
        </is>
      </c>
      <c r="E1979" t="inlineStr">
        <is>
          <t>SOLLEFTEÅ</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21690-2023</t>
        </is>
      </c>
      <c r="B1980" s="1" t="n">
        <v>45064</v>
      </c>
      <c r="C1980" s="1" t="n">
        <v>45346</v>
      </c>
      <c r="D1980" t="inlineStr">
        <is>
          <t>VÄSTERNORRLANDS LÄN</t>
        </is>
      </c>
      <c r="E1980" t="inlineStr">
        <is>
          <t>SOLLEFTEÅ</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21674-2023</t>
        </is>
      </c>
      <c r="B1981" s="1" t="n">
        <v>45064</v>
      </c>
      <c r="C1981" s="1" t="n">
        <v>45346</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22008-2023</t>
        </is>
      </c>
      <c r="B1982" s="1" t="n">
        <v>45068</v>
      </c>
      <c r="C1982" s="1" t="n">
        <v>45346</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22220-2023</t>
        </is>
      </c>
      <c r="B1983" s="1" t="n">
        <v>45070</v>
      </c>
      <c r="C1983" s="1" t="n">
        <v>45346</v>
      </c>
      <c r="D1983" t="inlineStr">
        <is>
          <t>VÄSTERNORRLANDS LÄN</t>
        </is>
      </c>
      <c r="E1983" t="inlineStr">
        <is>
          <t>SOLLEFTEÅ</t>
        </is>
      </c>
      <c r="G1983" t="n">
        <v>10.6</v>
      </c>
      <c r="H1983" t="n">
        <v>0</v>
      </c>
      <c r="I1983" t="n">
        <v>0</v>
      </c>
      <c r="J1983" t="n">
        <v>0</v>
      </c>
      <c r="K1983" t="n">
        <v>0</v>
      </c>
      <c r="L1983" t="n">
        <v>0</v>
      </c>
      <c r="M1983" t="n">
        <v>0</v>
      </c>
      <c r="N1983" t="n">
        <v>0</v>
      </c>
      <c r="O1983" t="n">
        <v>0</v>
      </c>
      <c r="P1983" t="n">
        <v>0</v>
      </c>
      <c r="Q1983" t="n">
        <v>0</v>
      </c>
      <c r="R1983" s="2" t="inlineStr"/>
    </row>
    <row r="1984" ht="15" customHeight="1">
      <c r="A1984" t="inlineStr">
        <is>
          <t>A 22229-2023</t>
        </is>
      </c>
      <c r="B1984" s="1" t="n">
        <v>45070</v>
      </c>
      <c r="C1984" s="1" t="n">
        <v>45346</v>
      </c>
      <c r="D1984" t="inlineStr">
        <is>
          <t>VÄSTERNORRLANDS LÄN</t>
        </is>
      </c>
      <c r="E1984" t="inlineStr">
        <is>
          <t>SOLLEFTEÅ</t>
        </is>
      </c>
      <c r="F1984" t="inlineStr">
        <is>
          <t>SCA</t>
        </is>
      </c>
      <c r="G1984" t="n">
        <v>20.8</v>
      </c>
      <c r="H1984" t="n">
        <v>0</v>
      </c>
      <c r="I1984" t="n">
        <v>0</v>
      </c>
      <c r="J1984" t="n">
        <v>0</v>
      </c>
      <c r="K1984" t="n">
        <v>0</v>
      </c>
      <c r="L1984" t="n">
        <v>0</v>
      </c>
      <c r="M1984" t="n">
        <v>0</v>
      </c>
      <c r="N1984" t="n">
        <v>0</v>
      </c>
      <c r="O1984" t="n">
        <v>0</v>
      </c>
      <c r="P1984" t="n">
        <v>0</v>
      </c>
      <c r="Q1984" t="n">
        <v>0</v>
      </c>
      <c r="R1984" s="2" t="inlineStr"/>
    </row>
    <row r="1985" ht="15" customHeight="1">
      <c r="A1985" t="inlineStr">
        <is>
          <t>A 22750-2023</t>
        </is>
      </c>
      <c r="B1985" s="1" t="n">
        <v>45072</v>
      </c>
      <c r="C1985" s="1" t="n">
        <v>45346</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22994-2023</t>
        </is>
      </c>
      <c r="B1986" s="1" t="n">
        <v>45072</v>
      </c>
      <c r="C1986" s="1" t="n">
        <v>45346</v>
      </c>
      <c r="D1986" t="inlineStr">
        <is>
          <t>VÄSTERNORRLANDS LÄN</t>
        </is>
      </c>
      <c r="E1986" t="inlineStr">
        <is>
          <t>SOLLEFTEÅ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22992-2023</t>
        </is>
      </c>
      <c r="B1987" s="1" t="n">
        <v>45072</v>
      </c>
      <c r="C1987" s="1" t="n">
        <v>45346</v>
      </c>
      <c r="D1987" t="inlineStr">
        <is>
          <t>VÄSTERNORRLANDS LÄN</t>
        </is>
      </c>
      <c r="E1987" t="inlineStr">
        <is>
          <t>SOLLEFTEÅ</t>
        </is>
      </c>
      <c r="F1987" t="inlineStr">
        <is>
          <t>SCA</t>
        </is>
      </c>
      <c r="G1987" t="n">
        <v>13.6</v>
      </c>
      <c r="H1987" t="n">
        <v>0</v>
      </c>
      <c r="I1987" t="n">
        <v>0</v>
      </c>
      <c r="J1987" t="n">
        <v>0</v>
      </c>
      <c r="K1987" t="n">
        <v>0</v>
      </c>
      <c r="L1987" t="n">
        <v>0</v>
      </c>
      <c r="M1987" t="n">
        <v>0</v>
      </c>
      <c r="N1987" t="n">
        <v>0</v>
      </c>
      <c r="O1987" t="n">
        <v>0</v>
      </c>
      <c r="P1987" t="n">
        <v>0</v>
      </c>
      <c r="Q1987" t="n">
        <v>0</v>
      </c>
      <c r="R1987" s="2" t="inlineStr"/>
    </row>
    <row r="1988" ht="15" customHeight="1">
      <c r="A1988" t="inlineStr">
        <is>
          <t>A 22995-2023</t>
        </is>
      </c>
      <c r="B1988" s="1" t="n">
        <v>45073</v>
      </c>
      <c r="C1988" s="1" t="n">
        <v>45346</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23488-2023</t>
        </is>
      </c>
      <c r="B1989" s="1" t="n">
        <v>45072</v>
      </c>
      <c r="C1989" s="1" t="n">
        <v>45346</v>
      </c>
      <c r="D1989" t="inlineStr">
        <is>
          <t>VÄSTERNORRLANDS LÄN</t>
        </is>
      </c>
      <c r="E1989" t="inlineStr">
        <is>
          <t>SOLLEFTEÅ</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23016-2023</t>
        </is>
      </c>
      <c r="B1990" s="1" t="n">
        <v>45073</v>
      </c>
      <c r="C1990" s="1" t="n">
        <v>45346</v>
      </c>
      <c r="D1990" t="inlineStr">
        <is>
          <t>VÄSTERNORRLANDS LÄN</t>
        </is>
      </c>
      <c r="E1990" t="inlineStr">
        <is>
          <t>SOLLEFTEÅ</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23286-2023</t>
        </is>
      </c>
      <c r="B1991" s="1" t="n">
        <v>45075</v>
      </c>
      <c r="C1991" s="1" t="n">
        <v>45346</v>
      </c>
      <c r="D1991" t="inlineStr">
        <is>
          <t>VÄSTERNORRLANDS LÄN</t>
        </is>
      </c>
      <c r="E1991" t="inlineStr">
        <is>
          <t>SOLLEFTEÅ</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23277-2023</t>
        </is>
      </c>
      <c r="B1992" s="1" t="n">
        <v>45075</v>
      </c>
      <c r="C1992" s="1" t="n">
        <v>45346</v>
      </c>
      <c r="D1992" t="inlineStr">
        <is>
          <t>VÄSTERNORRLANDS LÄN</t>
        </is>
      </c>
      <c r="E1992" t="inlineStr">
        <is>
          <t>SOLLEFTEÅ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23285-2023</t>
        </is>
      </c>
      <c r="B1993" s="1" t="n">
        <v>45075</v>
      </c>
      <c r="C1993" s="1" t="n">
        <v>45346</v>
      </c>
      <c r="D1993" t="inlineStr">
        <is>
          <t>VÄSTERNORRLANDS LÄN</t>
        </is>
      </c>
      <c r="E1993" t="inlineStr">
        <is>
          <t>SOLLEFTEÅ</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23289-2023</t>
        </is>
      </c>
      <c r="B1994" s="1" t="n">
        <v>45075</v>
      </c>
      <c r="C1994" s="1" t="n">
        <v>45346</v>
      </c>
      <c r="D1994" t="inlineStr">
        <is>
          <t>VÄSTERNORRLANDS LÄN</t>
        </is>
      </c>
      <c r="E1994" t="inlineStr">
        <is>
          <t>SOLLEFTEÅ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23287-2023</t>
        </is>
      </c>
      <c r="B1995" s="1" t="n">
        <v>45075</v>
      </c>
      <c r="C1995" s="1" t="n">
        <v>45346</v>
      </c>
      <c r="D1995" t="inlineStr">
        <is>
          <t>VÄSTERNORRLANDS LÄN</t>
        </is>
      </c>
      <c r="E1995" t="inlineStr">
        <is>
          <t>SOLLEFTEÅ</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23288-2023</t>
        </is>
      </c>
      <c r="B1996" s="1" t="n">
        <v>45075</v>
      </c>
      <c r="C1996" s="1" t="n">
        <v>45346</v>
      </c>
      <c r="D1996" t="inlineStr">
        <is>
          <t>VÄSTERNORRLANDS LÄN</t>
        </is>
      </c>
      <c r="E1996" t="inlineStr">
        <is>
          <t>SOLLEFTEÅ</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23523-2023</t>
        </is>
      </c>
      <c r="B1997" s="1" t="n">
        <v>45076</v>
      </c>
      <c r="C1997" s="1" t="n">
        <v>45346</v>
      </c>
      <c r="D1997" t="inlineStr">
        <is>
          <t>VÄSTERNORRLANDS LÄN</t>
        </is>
      </c>
      <c r="E1997" t="inlineStr">
        <is>
          <t>SOLLEFTEÅ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23527-2023</t>
        </is>
      </c>
      <c r="B1998" s="1" t="n">
        <v>45076</v>
      </c>
      <c r="C1998" s="1" t="n">
        <v>45346</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24306-2023</t>
        </is>
      </c>
      <c r="B1999" s="1" t="n">
        <v>45080</v>
      </c>
      <c r="C1999" s="1" t="n">
        <v>45346</v>
      </c>
      <c r="D1999" t="inlineStr">
        <is>
          <t>VÄSTERNORRLANDS LÄN</t>
        </is>
      </c>
      <c r="E1999" t="inlineStr">
        <is>
          <t>SOLLEFTEÅ</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24314-2023</t>
        </is>
      </c>
      <c r="B2000" s="1" t="n">
        <v>45079</v>
      </c>
      <c r="C2000" s="1" t="n">
        <v>45346</v>
      </c>
      <c r="D2000" t="inlineStr">
        <is>
          <t>VÄSTERNORRLANDS LÄN</t>
        </is>
      </c>
      <c r="E2000" t="inlineStr">
        <is>
          <t>SOLLEFTEÅ</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25259-2023</t>
        </is>
      </c>
      <c r="B2001" s="1" t="n">
        <v>45079</v>
      </c>
      <c r="C2001" s="1" t="n">
        <v>45346</v>
      </c>
      <c r="D2001" t="inlineStr">
        <is>
          <t>VÄSTERNORRLANDS LÄN</t>
        </is>
      </c>
      <c r="E2001" t="inlineStr">
        <is>
          <t>SOLLEFTEÅ</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25267-2023</t>
        </is>
      </c>
      <c r="B2002" s="1" t="n">
        <v>45079</v>
      </c>
      <c r="C2002" s="1" t="n">
        <v>45346</v>
      </c>
      <c r="D2002" t="inlineStr">
        <is>
          <t>VÄSTERNORRLANDS LÄN</t>
        </is>
      </c>
      <c r="E2002" t="inlineStr">
        <is>
          <t>SOLLEFTEÅ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24548-2023</t>
        </is>
      </c>
      <c r="B2003" s="1" t="n">
        <v>45082</v>
      </c>
      <c r="C2003" s="1" t="n">
        <v>45346</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25550-2023</t>
        </is>
      </c>
      <c r="B2004" s="1" t="n">
        <v>45082</v>
      </c>
      <c r="C2004" s="1" t="n">
        <v>45346</v>
      </c>
      <c r="D2004" t="inlineStr">
        <is>
          <t>VÄSTERNORRLANDS LÄN</t>
        </is>
      </c>
      <c r="E2004" t="inlineStr">
        <is>
          <t>SOLLEFTEÅ</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24595-2023</t>
        </is>
      </c>
      <c r="B2005" s="1" t="n">
        <v>45084</v>
      </c>
      <c r="C2005" s="1" t="n">
        <v>45346</v>
      </c>
      <c r="D2005" t="inlineStr">
        <is>
          <t>VÄSTERNORRLANDS LÄN</t>
        </is>
      </c>
      <c r="E2005" t="inlineStr">
        <is>
          <t>SOLLEFTEÅ</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24597-2023</t>
        </is>
      </c>
      <c r="B2006" s="1" t="n">
        <v>45083</v>
      </c>
      <c r="C2006" s="1" t="n">
        <v>45346</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24596-2023</t>
        </is>
      </c>
      <c r="B2007" s="1" t="n">
        <v>45084</v>
      </c>
      <c r="C2007" s="1" t="n">
        <v>45346</v>
      </c>
      <c r="D2007" t="inlineStr">
        <is>
          <t>VÄSTERNORRLANDS LÄN</t>
        </is>
      </c>
      <c r="E2007" t="inlineStr">
        <is>
          <t>SOLLEFTEÅ</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25795-2023</t>
        </is>
      </c>
      <c r="B2008" s="1" t="n">
        <v>45085</v>
      </c>
      <c r="C2008" s="1" t="n">
        <v>45346</v>
      </c>
      <c r="D2008" t="inlineStr">
        <is>
          <t>VÄSTERNORRLANDS LÄN</t>
        </is>
      </c>
      <c r="E2008" t="inlineStr">
        <is>
          <t>SOLLEFTEÅ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25848-2023</t>
        </is>
      </c>
      <c r="B2009" s="1" t="n">
        <v>45085</v>
      </c>
      <c r="C2009" s="1" t="n">
        <v>45346</v>
      </c>
      <c r="D2009" t="inlineStr">
        <is>
          <t>VÄSTERNORRLANDS LÄN</t>
        </is>
      </c>
      <c r="E2009" t="inlineStr">
        <is>
          <t>SOLLEFTEÅ</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25079-2023</t>
        </is>
      </c>
      <c r="B2010" s="1" t="n">
        <v>45086</v>
      </c>
      <c r="C2010" s="1" t="n">
        <v>45346</v>
      </c>
      <c r="D2010" t="inlineStr">
        <is>
          <t>VÄSTERNORRLANDS LÄN</t>
        </is>
      </c>
      <c r="E2010" t="inlineStr">
        <is>
          <t>SOLLEFTEÅ</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25310-2023</t>
        </is>
      </c>
      <c r="B2011" s="1" t="n">
        <v>45087</v>
      </c>
      <c r="C2011" s="1" t="n">
        <v>45346</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25314-2023</t>
        </is>
      </c>
      <c r="B2012" s="1" t="n">
        <v>45086</v>
      </c>
      <c r="C2012" s="1" t="n">
        <v>45346</v>
      </c>
      <c r="D2012" t="inlineStr">
        <is>
          <t>VÄSTERNORRLANDS LÄN</t>
        </is>
      </c>
      <c r="E2012" t="inlineStr">
        <is>
          <t>SOLLEFTEÅ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25392-2023</t>
        </is>
      </c>
      <c r="B2013" s="1" t="n">
        <v>45089</v>
      </c>
      <c r="C2013" s="1" t="n">
        <v>45346</v>
      </c>
      <c r="D2013" t="inlineStr">
        <is>
          <t>VÄSTERNORRLANDS LÄN</t>
        </is>
      </c>
      <c r="E2013" t="inlineStr">
        <is>
          <t>SOLLEFTEÅ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25987-2023</t>
        </is>
      </c>
      <c r="B2014" s="1" t="n">
        <v>45091</v>
      </c>
      <c r="C2014" s="1" t="n">
        <v>45346</v>
      </c>
      <c r="D2014" t="inlineStr">
        <is>
          <t>VÄSTERNORRLANDS LÄN</t>
        </is>
      </c>
      <c r="E2014" t="inlineStr">
        <is>
          <t>SOLLEFTEÅ</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26210-2023</t>
        </is>
      </c>
      <c r="B2015" s="1" t="n">
        <v>45090</v>
      </c>
      <c r="C2015" s="1" t="n">
        <v>45346</v>
      </c>
      <c r="D2015" t="inlineStr">
        <is>
          <t>VÄSTERNORRLANDS LÄN</t>
        </is>
      </c>
      <c r="E2015" t="inlineStr">
        <is>
          <t>SOLLEFTEÅ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25986-2023</t>
        </is>
      </c>
      <c r="B2016" s="1" t="n">
        <v>45090</v>
      </c>
      <c r="C2016" s="1" t="n">
        <v>45346</v>
      </c>
      <c r="D2016" t="inlineStr">
        <is>
          <t>VÄSTERNORRLANDS LÄN</t>
        </is>
      </c>
      <c r="E2016" t="inlineStr">
        <is>
          <t>SOLLEFTEÅ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26373-2023</t>
        </is>
      </c>
      <c r="B2017" s="1" t="n">
        <v>45092</v>
      </c>
      <c r="C2017" s="1" t="n">
        <v>45346</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27544-2023</t>
        </is>
      </c>
      <c r="B2018" s="1" t="n">
        <v>45092</v>
      </c>
      <c r="C2018" s="1" t="n">
        <v>45346</v>
      </c>
      <c r="D2018" t="inlineStr">
        <is>
          <t>VÄSTERNORRLANDS LÄN</t>
        </is>
      </c>
      <c r="E2018" t="inlineStr">
        <is>
          <t>SOLLEFTEÅ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27534-2023</t>
        </is>
      </c>
      <c r="B2019" s="1" t="n">
        <v>45092</v>
      </c>
      <c r="C2019" s="1" t="n">
        <v>45346</v>
      </c>
      <c r="D2019" t="inlineStr">
        <is>
          <t>VÄSTERNORRLANDS LÄN</t>
        </is>
      </c>
      <c r="E2019" t="inlineStr">
        <is>
          <t>SOLLEFTEÅ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27381-2023</t>
        </is>
      </c>
      <c r="B2020" s="1" t="n">
        <v>45097</v>
      </c>
      <c r="C2020" s="1" t="n">
        <v>45346</v>
      </c>
      <c r="D2020" t="inlineStr">
        <is>
          <t>VÄSTERNORRLANDS LÄN</t>
        </is>
      </c>
      <c r="E2020" t="inlineStr">
        <is>
          <t>SOLLEFTEÅ</t>
        </is>
      </c>
      <c r="F2020" t="inlineStr">
        <is>
          <t>SCA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27382-2023</t>
        </is>
      </c>
      <c r="B2021" s="1" t="n">
        <v>45097</v>
      </c>
      <c r="C2021" s="1" t="n">
        <v>45346</v>
      </c>
      <c r="D2021" t="inlineStr">
        <is>
          <t>VÄSTERNORRLANDS LÄN</t>
        </is>
      </c>
      <c r="E2021" t="inlineStr">
        <is>
          <t>SOLLEFTEÅ</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27384-2023</t>
        </is>
      </c>
      <c r="B2022" s="1" t="n">
        <v>45097</v>
      </c>
      <c r="C2022" s="1" t="n">
        <v>45346</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27392-2023</t>
        </is>
      </c>
      <c r="B2023" s="1" t="n">
        <v>45097</v>
      </c>
      <c r="C2023" s="1" t="n">
        <v>45346</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28653-2023</t>
        </is>
      </c>
      <c r="B2024" s="1" t="n">
        <v>45096</v>
      </c>
      <c r="C2024" s="1" t="n">
        <v>45346</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27383-2023</t>
        </is>
      </c>
      <c r="B2025" s="1" t="n">
        <v>45097</v>
      </c>
      <c r="C2025" s="1" t="n">
        <v>45346</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27391-2023</t>
        </is>
      </c>
      <c r="B2026" s="1" t="n">
        <v>45097</v>
      </c>
      <c r="C2026" s="1" t="n">
        <v>45346</v>
      </c>
      <c r="D2026" t="inlineStr">
        <is>
          <t>VÄSTERNORRLANDS LÄN</t>
        </is>
      </c>
      <c r="E2026" t="inlineStr">
        <is>
          <t>SOLLEFTEÅ</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27674-2023</t>
        </is>
      </c>
      <c r="B2027" s="1" t="n">
        <v>45097</v>
      </c>
      <c r="C2027" s="1" t="n">
        <v>45346</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29210-2023</t>
        </is>
      </c>
      <c r="B2028" s="1" t="n">
        <v>45097</v>
      </c>
      <c r="C2028" s="1" t="n">
        <v>45346</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29197-2023</t>
        </is>
      </c>
      <c r="B2029" s="1" t="n">
        <v>45097</v>
      </c>
      <c r="C2029" s="1" t="n">
        <v>45346</v>
      </c>
      <c r="D2029" t="inlineStr">
        <is>
          <t>VÄSTERNORRLANDS LÄN</t>
        </is>
      </c>
      <c r="E2029" t="inlineStr">
        <is>
          <t>SOLLEFTEÅ</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28384-2023</t>
        </is>
      </c>
      <c r="B2030" s="1" t="n">
        <v>45100</v>
      </c>
      <c r="C2030" s="1" t="n">
        <v>45346</v>
      </c>
      <c r="D2030" t="inlineStr">
        <is>
          <t>VÄSTERNORRLANDS LÄN</t>
        </is>
      </c>
      <c r="E2030" t="inlineStr">
        <is>
          <t>SOLLEFTEÅ</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28385-2023</t>
        </is>
      </c>
      <c r="B2031" s="1" t="n">
        <v>45099</v>
      </c>
      <c r="C2031" s="1" t="n">
        <v>45346</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28374-2023</t>
        </is>
      </c>
      <c r="B2032" s="1" t="n">
        <v>45099</v>
      </c>
      <c r="C2032" s="1" t="n">
        <v>45346</v>
      </c>
      <c r="D2032" t="inlineStr">
        <is>
          <t>VÄSTERNORRLANDS LÄN</t>
        </is>
      </c>
      <c r="E2032" t="inlineStr">
        <is>
          <t>SOLLEFTEÅ</t>
        </is>
      </c>
      <c r="F2032" t="inlineStr">
        <is>
          <t>SCA</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28366-2023</t>
        </is>
      </c>
      <c r="B2033" s="1" t="n">
        <v>45099</v>
      </c>
      <c r="C2033" s="1" t="n">
        <v>45346</v>
      </c>
      <c r="D2033" t="inlineStr">
        <is>
          <t>VÄSTERNORRLANDS LÄN</t>
        </is>
      </c>
      <c r="E2033" t="inlineStr">
        <is>
          <t>SOLLEFTEÅ</t>
        </is>
      </c>
      <c r="F2033" t="inlineStr">
        <is>
          <t>SCA</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28383-2023</t>
        </is>
      </c>
      <c r="B2034" s="1" t="n">
        <v>45099</v>
      </c>
      <c r="C2034" s="1" t="n">
        <v>45346</v>
      </c>
      <c r="D2034" t="inlineStr">
        <is>
          <t>VÄSTERNORRLANDS LÄN</t>
        </is>
      </c>
      <c r="E2034" t="inlineStr">
        <is>
          <t>SOLLEFTEÅ</t>
        </is>
      </c>
      <c r="F2034" t="inlineStr">
        <is>
          <t>SCA</t>
        </is>
      </c>
      <c r="G2034" t="n">
        <v>20.6</v>
      </c>
      <c r="H2034" t="n">
        <v>0</v>
      </c>
      <c r="I2034" t="n">
        <v>0</v>
      </c>
      <c r="J2034" t="n">
        <v>0</v>
      </c>
      <c r="K2034" t="n">
        <v>0</v>
      </c>
      <c r="L2034" t="n">
        <v>0</v>
      </c>
      <c r="M2034" t="n">
        <v>0</v>
      </c>
      <c r="N2034" t="n">
        <v>0</v>
      </c>
      <c r="O2034" t="n">
        <v>0</v>
      </c>
      <c r="P2034" t="n">
        <v>0</v>
      </c>
      <c r="Q2034" t="n">
        <v>0</v>
      </c>
      <c r="R2034" s="2" t="inlineStr"/>
    </row>
    <row r="2035" ht="15" customHeight="1">
      <c r="A2035" t="inlineStr">
        <is>
          <t>A 28375-2023</t>
        </is>
      </c>
      <c r="B2035" s="1" t="n">
        <v>45100</v>
      </c>
      <c r="C2035" s="1" t="n">
        <v>45346</v>
      </c>
      <c r="D2035" t="inlineStr">
        <is>
          <t>VÄSTERNORRLANDS LÄN</t>
        </is>
      </c>
      <c r="E2035" t="inlineStr">
        <is>
          <t>SOLLEFTEÅ</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30163-2023</t>
        </is>
      </c>
      <c r="B2036" s="1" t="n">
        <v>45099</v>
      </c>
      <c r="C2036" s="1" t="n">
        <v>45346</v>
      </c>
      <c r="D2036" t="inlineStr">
        <is>
          <t>VÄSTERNORRLANDS LÄN</t>
        </is>
      </c>
      <c r="E2036" t="inlineStr">
        <is>
          <t>SOLLEFTEÅ</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28736-2023</t>
        </is>
      </c>
      <c r="B2037" s="1" t="n">
        <v>45104</v>
      </c>
      <c r="C2037" s="1" t="n">
        <v>45346</v>
      </c>
      <c r="D2037" t="inlineStr">
        <is>
          <t>VÄSTERNORRLANDS LÄN</t>
        </is>
      </c>
      <c r="E2037" t="inlineStr">
        <is>
          <t>SOLLEFTEÅ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28749-2023</t>
        </is>
      </c>
      <c r="B2038" s="1" t="n">
        <v>45103</v>
      </c>
      <c r="C2038" s="1" t="n">
        <v>45346</v>
      </c>
      <c r="D2038" t="inlineStr">
        <is>
          <t>VÄSTERNORRLANDS LÄN</t>
        </is>
      </c>
      <c r="E2038" t="inlineStr">
        <is>
          <t>SOLLEFTEÅ</t>
        </is>
      </c>
      <c r="F2038" t="inlineStr">
        <is>
          <t>SCA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29065-2023</t>
        </is>
      </c>
      <c r="B2039" s="1" t="n">
        <v>45105</v>
      </c>
      <c r="C2039" s="1" t="n">
        <v>45346</v>
      </c>
      <c r="D2039" t="inlineStr">
        <is>
          <t>VÄSTERNORRLANDS LÄN</t>
        </is>
      </c>
      <c r="E2039" t="inlineStr">
        <is>
          <t>SOLLEFTEÅ</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29062-2023</t>
        </is>
      </c>
      <c r="B2040" s="1" t="n">
        <v>45104</v>
      </c>
      <c r="C2040" s="1" t="n">
        <v>45346</v>
      </c>
      <c r="D2040" t="inlineStr">
        <is>
          <t>VÄSTERNORRLANDS LÄN</t>
        </is>
      </c>
      <c r="E2040" t="inlineStr">
        <is>
          <t>SOLLEFTEÅ</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29064-2023</t>
        </is>
      </c>
      <c r="B2041" s="1" t="n">
        <v>45105</v>
      </c>
      <c r="C2041" s="1" t="n">
        <v>45346</v>
      </c>
      <c r="D2041" t="inlineStr">
        <is>
          <t>VÄSTERNORRLANDS LÄN</t>
        </is>
      </c>
      <c r="E2041" t="inlineStr">
        <is>
          <t>SOLLEFTEÅ</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29070-2023</t>
        </is>
      </c>
      <c r="B2042" s="1" t="n">
        <v>45105</v>
      </c>
      <c r="C2042" s="1" t="n">
        <v>45346</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29306-2023</t>
        </is>
      </c>
      <c r="B2043" s="1" t="n">
        <v>45106</v>
      </c>
      <c r="C2043" s="1" t="n">
        <v>45346</v>
      </c>
      <c r="D2043" t="inlineStr">
        <is>
          <t>VÄSTERNORRLANDS LÄN</t>
        </is>
      </c>
      <c r="E2043" t="inlineStr">
        <is>
          <t>SOLLEFTEÅ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29337-2023</t>
        </is>
      </c>
      <c r="B2044" s="1" t="n">
        <v>45105</v>
      </c>
      <c r="C2044" s="1" t="n">
        <v>45346</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29336-2023</t>
        </is>
      </c>
      <c r="B2045" s="1" t="n">
        <v>45105</v>
      </c>
      <c r="C2045" s="1" t="n">
        <v>45346</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29339-2023</t>
        </is>
      </c>
      <c r="B2046" s="1" t="n">
        <v>45105</v>
      </c>
      <c r="C2046" s="1" t="n">
        <v>45346</v>
      </c>
      <c r="D2046" t="inlineStr">
        <is>
          <t>VÄSTERNORRLANDS LÄN</t>
        </is>
      </c>
      <c r="E2046" t="inlineStr">
        <is>
          <t>SOLLEFTEÅ</t>
        </is>
      </c>
      <c r="F2046" t="inlineStr">
        <is>
          <t>SCA</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29614-2023</t>
        </is>
      </c>
      <c r="B2047" s="1" t="n">
        <v>45107</v>
      </c>
      <c r="C2047" s="1" t="n">
        <v>45346</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29446-2023</t>
        </is>
      </c>
      <c r="B2048" s="1" t="n">
        <v>45106</v>
      </c>
      <c r="C2048" s="1" t="n">
        <v>45346</v>
      </c>
      <c r="D2048" t="inlineStr">
        <is>
          <t>VÄSTERNORRLANDS LÄN</t>
        </is>
      </c>
      <c r="E2048" t="inlineStr">
        <is>
          <t>SOLLEFTEÅ</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29612-2023</t>
        </is>
      </c>
      <c r="B2049" s="1" t="n">
        <v>45106</v>
      </c>
      <c r="C2049" s="1" t="n">
        <v>45346</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29619-2023</t>
        </is>
      </c>
      <c r="B2050" s="1" t="n">
        <v>45106</v>
      </c>
      <c r="C2050" s="1" t="n">
        <v>45346</v>
      </c>
      <c r="D2050" t="inlineStr">
        <is>
          <t>VÄSTERNORRLANDS LÄN</t>
        </is>
      </c>
      <c r="E2050" t="inlineStr">
        <is>
          <t>SOLLEFTEÅ</t>
        </is>
      </c>
      <c r="F2050" t="inlineStr">
        <is>
          <t>SCA</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29611-2023</t>
        </is>
      </c>
      <c r="B2051" s="1" t="n">
        <v>45106</v>
      </c>
      <c r="C2051" s="1" t="n">
        <v>45346</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29832-2023</t>
        </is>
      </c>
      <c r="B2052" s="1" t="n">
        <v>45107</v>
      </c>
      <c r="C2052" s="1" t="n">
        <v>45346</v>
      </c>
      <c r="D2052" t="inlineStr">
        <is>
          <t>VÄSTERNORRLANDS LÄN</t>
        </is>
      </c>
      <c r="E2052" t="inlineStr">
        <is>
          <t>SOLLEFTEÅ</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29952-2023</t>
        </is>
      </c>
      <c r="B2053" s="1" t="n">
        <v>45107</v>
      </c>
      <c r="C2053" s="1" t="n">
        <v>45346</v>
      </c>
      <c r="D2053" t="inlineStr">
        <is>
          <t>VÄSTERNORRLANDS LÄN</t>
        </is>
      </c>
      <c r="E2053" t="inlineStr">
        <is>
          <t>SOLLEFTEÅ</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29944-2023</t>
        </is>
      </c>
      <c r="B2054" s="1" t="n">
        <v>45108</v>
      </c>
      <c r="C2054" s="1" t="n">
        <v>45346</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29956-2023</t>
        </is>
      </c>
      <c r="B2055" s="1" t="n">
        <v>45107</v>
      </c>
      <c r="C2055" s="1" t="n">
        <v>45346</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29949-2023</t>
        </is>
      </c>
      <c r="B2056" s="1" t="n">
        <v>45107</v>
      </c>
      <c r="C2056" s="1" t="n">
        <v>45346</v>
      </c>
      <c r="D2056" t="inlineStr">
        <is>
          <t>VÄSTERNORRLANDS LÄN</t>
        </is>
      </c>
      <c r="E2056" t="inlineStr">
        <is>
          <t>SOLLEFTEÅ</t>
        </is>
      </c>
      <c r="F2056" t="inlineStr">
        <is>
          <t>SCA</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29957-2023</t>
        </is>
      </c>
      <c r="B2057" s="1" t="n">
        <v>45107</v>
      </c>
      <c r="C2057" s="1" t="n">
        <v>45346</v>
      </c>
      <c r="D2057" t="inlineStr">
        <is>
          <t>VÄSTERNORRLANDS LÄN</t>
        </is>
      </c>
      <c r="E2057" t="inlineStr">
        <is>
          <t>SOLLEFTEÅ</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29946-2023</t>
        </is>
      </c>
      <c r="B2058" s="1" t="n">
        <v>45108</v>
      </c>
      <c r="C2058" s="1" t="n">
        <v>45346</v>
      </c>
      <c r="D2058" t="inlineStr">
        <is>
          <t>VÄSTERNORRLANDS LÄN</t>
        </is>
      </c>
      <c r="E2058" t="inlineStr">
        <is>
          <t>SOLLEFTEÅ</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29964-2023</t>
        </is>
      </c>
      <c r="B2059" s="1" t="n">
        <v>45108</v>
      </c>
      <c r="C2059" s="1" t="n">
        <v>45346</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30295-2023</t>
        </is>
      </c>
      <c r="B2060" s="1" t="n">
        <v>45110</v>
      </c>
      <c r="C2060" s="1" t="n">
        <v>45346</v>
      </c>
      <c r="D2060" t="inlineStr">
        <is>
          <t>VÄSTERNORRLANDS LÄN</t>
        </is>
      </c>
      <c r="E2060" t="inlineStr">
        <is>
          <t>SOLLEFTEÅ</t>
        </is>
      </c>
      <c r="F2060" t="inlineStr">
        <is>
          <t>SCA</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30567-2023</t>
        </is>
      </c>
      <c r="B2061" s="1" t="n">
        <v>45112</v>
      </c>
      <c r="C2061" s="1" t="n">
        <v>45346</v>
      </c>
      <c r="D2061" t="inlineStr">
        <is>
          <t>VÄSTERNORRLANDS LÄN</t>
        </is>
      </c>
      <c r="E2061" t="inlineStr">
        <is>
          <t>SOLLEFTEÅ</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30822-2023</t>
        </is>
      </c>
      <c r="B2062" s="1" t="n">
        <v>45113</v>
      </c>
      <c r="C2062" s="1" t="n">
        <v>45346</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30829-2023</t>
        </is>
      </c>
      <c r="B2063" s="1" t="n">
        <v>45113</v>
      </c>
      <c r="C2063" s="1" t="n">
        <v>45346</v>
      </c>
      <c r="D2063" t="inlineStr">
        <is>
          <t>VÄSTERNORRLANDS LÄN</t>
        </is>
      </c>
      <c r="E2063" t="inlineStr">
        <is>
          <t>SOLLEFTEÅ</t>
        </is>
      </c>
      <c r="F2063" t="inlineStr">
        <is>
          <t>SCA</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31177-2023</t>
        </is>
      </c>
      <c r="B2064" s="1" t="n">
        <v>45113</v>
      </c>
      <c r="C2064" s="1" t="n">
        <v>45346</v>
      </c>
      <c r="D2064" t="inlineStr">
        <is>
          <t>VÄSTERNORRLANDS LÄN</t>
        </is>
      </c>
      <c r="E2064" t="inlineStr">
        <is>
          <t>SOLLEFTEÅ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31179-2023</t>
        </is>
      </c>
      <c r="B2065" s="1" t="n">
        <v>45114</v>
      </c>
      <c r="C2065" s="1" t="n">
        <v>45346</v>
      </c>
      <c r="D2065" t="inlineStr">
        <is>
          <t>VÄSTERNORRLANDS LÄN</t>
        </is>
      </c>
      <c r="E2065" t="inlineStr">
        <is>
          <t>SOLLEFTEÅ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31178-2023</t>
        </is>
      </c>
      <c r="B2066" s="1" t="n">
        <v>45114</v>
      </c>
      <c r="C2066" s="1" t="n">
        <v>45346</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31387-2023</t>
        </is>
      </c>
      <c r="B2067" s="1" t="n">
        <v>45114</v>
      </c>
      <c r="C2067" s="1" t="n">
        <v>45346</v>
      </c>
      <c r="D2067" t="inlineStr">
        <is>
          <t>VÄSTERNORRLANDS LÄN</t>
        </is>
      </c>
      <c r="E2067" t="inlineStr">
        <is>
          <t>SOLLEFTEÅ</t>
        </is>
      </c>
      <c r="F2067" t="inlineStr">
        <is>
          <t>Övriga statliga verk och myndigheter</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33203-2023</t>
        </is>
      </c>
      <c r="B2068" s="1" t="n">
        <v>45114</v>
      </c>
      <c r="C2068" s="1" t="n">
        <v>45346</v>
      </c>
      <c r="D2068" t="inlineStr">
        <is>
          <t>VÄSTERNORRLANDS LÄN</t>
        </is>
      </c>
      <c r="E2068" t="inlineStr">
        <is>
          <t>SOLLEFTEÅ</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31913-2023</t>
        </is>
      </c>
      <c r="B2069" s="1" t="n">
        <v>45118</v>
      </c>
      <c r="C2069" s="1" t="n">
        <v>45346</v>
      </c>
      <c r="D2069" t="inlineStr">
        <is>
          <t>VÄSTERNORRLANDS LÄN</t>
        </is>
      </c>
      <c r="E2069" t="inlineStr">
        <is>
          <t>SOLLEFTEÅ</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31917-2023</t>
        </is>
      </c>
      <c r="B2070" s="1" t="n">
        <v>45119</v>
      </c>
      <c r="C2070" s="1" t="n">
        <v>45346</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31915-2023</t>
        </is>
      </c>
      <c r="B2071" s="1" t="n">
        <v>45119</v>
      </c>
      <c r="C2071" s="1" t="n">
        <v>45346</v>
      </c>
      <c r="D2071" t="inlineStr">
        <is>
          <t>VÄSTERNORRLANDS LÄN</t>
        </is>
      </c>
      <c r="E2071" t="inlineStr">
        <is>
          <t>SOLLEFTEÅ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31919-2023</t>
        </is>
      </c>
      <c r="B2072" s="1" t="n">
        <v>45118</v>
      </c>
      <c r="C2072" s="1" t="n">
        <v>45346</v>
      </c>
      <c r="D2072" t="inlineStr">
        <is>
          <t>VÄSTERNORRLANDS LÄN</t>
        </is>
      </c>
      <c r="E2072" t="inlineStr">
        <is>
          <t>SOLLEFTEÅ</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31923-2023</t>
        </is>
      </c>
      <c r="B2073" s="1" t="n">
        <v>45118</v>
      </c>
      <c r="C2073" s="1" t="n">
        <v>45346</v>
      </c>
      <c r="D2073" t="inlineStr">
        <is>
          <t>VÄSTERNORRLANDS LÄN</t>
        </is>
      </c>
      <c r="E2073" t="inlineStr">
        <is>
          <t>SOLLEFTEÅ</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31914-2023</t>
        </is>
      </c>
      <c r="B2074" s="1" t="n">
        <v>45118</v>
      </c>
      <c r="C2074" s="1" t="n">
        <v>45346</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31918-2023</t>
        </is>
      </c>
      <c r="B2075" s="1" t="n">
        <v>45118</v>
      </c>
      <c r="C2075" s="1" t="n">
        <v>45346</v>
      </c>
      <c r="D2075" t="inlineStr">
        <is>
          <t>VÄSTERNORRLANDS LÄN</t>
        </is>
      </c>
      <c r="E2075" t="inlineStr">
        <is>
          <t>SOLLEFTEÅ</t>
        </is>
      </c>
      <c r="F2075" t="inlineStr">
        <is>
          <t>SCA</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31922-2023</t>
        </is>
      </c>
      <c r="B2076" s="1" t="n">
        <v>45119</v>
      </c>
      <c r="C2076" s="1" t="n">
        <v>45346</v>
      </c>
      <c r="D2076" t="inlineStr">
        <is>
          <t>VÄSTERNORRLANDS LÄN</t>
        </is>
      </c>
      <c r="E2076" t="inlineStr">
        <is>
          <t>SOLLEFTEÅ</t>
        </is>
      </c>
      <c r="F2076" t="inlineStr">
        <is>
          <t>SCA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31916-2023</t>
        </is>
      </c>
      <c r="B2077" s="1" t="n">
        <v>45119</v>
      </c>
      <c r="C2077" s="1" t="n">
        <v>45346</v>
      </c>
      <c r="D2077" t="inlineStr">
        <is>
          <t>VÄSTERNORRLANDS LÄN</t>
        </is>
      </c>
      <c r="E2077" t="inlineStr">
        <is>
          <t>SOLLEFTEÅ</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31924-2023</t>
        </is>
      </c>
      <c r="B2078" s="1" t="n">
        <v>45118</v>
      </c>
      <c r="C2078" s="1" t="n">
        <v>45346</v>
      </c>
      <c r="D2078" t="inlineStr">
        <is>
          <t>VÄSTERNORRLANDS LÄN</t>
        </is>
      </c>
      <c r="E2078" t="inlineStr">
        <is>
          <t>SOLLEFTEÅ</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31921-2023</t>
        </is>
      </c>
      <c r="B2079" s="1" t="n">
        <v>45119</v>
      </c>
      <c r="C2079" s="1" t="n">
        <v>45346</v>
      </c>
      <c r="D2079" t="inlineStr">
        <is>
          <t>VÄSTERNORRLANDS LÄN</t>
        </is>
      </c>
      <c r="E2079" t="inlineStr">
        <is>
          <t>SOLLEFTEÅ</t>
        </is>
      </c>
      <c r="F2079" t="inlineStr">
        <is>
          <t>SCA</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31925-2023</t>
        </is>
      </c>
      <c r="B2080" s="1" t="n">
        <v>45118</v>
      </c>
      <c r="C2080" s="1" t="n">
        <v>45346</v>
      </c>
      <c r="D2080" t="inlineStr">
        <is>
          <t>VÄSTERNORRLANDS LÄN</t>
        </is>
      </c>
      <c r="E2080" t="inlineStr">
        <is>
          <t>SOLLEFTEÅ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32218-2023</t>
        </is>
      </c>
      <c r="B2081" s="1" t="n">
        <v>45120</v>
      </c>
      <c r="C2081" s="1" t="n">
        <v>45346</v>
      </c>
      <c r="D2081" t="inlineStr">
        <is>
          <t>VÄSTERNORRLANDS LÄN</t>
        </is>
      </c>
      <c r="E2081" t="inlineStr">
        <is>
          <t>SOLLEFTEÅ</t>
        </is>
      </c>
      <c r="F2081" t="inlineStr">
        <is>
          <t>SCA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33642-2023</t>
        </is>
      </c>
      <c r="B2082" s="1" t="n">
        <v>45119</v>
      </c>
      <c r="C2082" s="1" t="n">
        <v>45346</v>
      </c>
      <c r="D2082" t="inlineStr">
        <is>
          <t>VÄSTERNORRLANDS LÄN</t>
        </is>
      </c>
      <c r="E2082" t="inlineStr">
        <is>
          <t>SOLLEFTEÅ</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32216-2023</t>
        </is>
      </c>
      <c r="B2083" s="1" t="n">
        <v>45120</v>
      </c>
      <c r="C2083" s="1" t="n">
        <v>45346</v>
      </c>
      <c r="D2083" t="inlineStr">
        <is>
          <t>VÄSTERNORRLANDS LÄN</t>
        </is>
      </c>
      <c r="E2083" t="inlineStr">
        <is>
          <t>SOLLEFTEÅ</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32466-2023</t>
        </is>
      </c>
      <c r="B2084" s="1" t="n">
        <v>45120</v>
      </c>
      <c r="C2084" s="1" t="n">
        <v>45346</v>
      </c>
      <c r="D2084" t="inlineStr">
        <is>
          <t>VÄSTERNORRLANDS LÄN</t>
        </is>
      </c>
      <c r="E2084" t="inlineStr">
        <is>
          <t>SOLLEFTEÅ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32726-2023</t>
        </is>
      </c>
      <c r="B2085" s="1" t="n">
        <v>45121</v>
      </c>
      <c r="C2085" s="1" t="n">
        <v>45346</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32728-2023</t>
        </is>
      </c>
      <c r="B2086" s="1" t="n">
        <v>45121</v>
      </c>
      <c r="C2086" s="1" t="n">
        <v>45346</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32733-2023</t>
        </is>
      </c>
      <c r="B2087" s="1" t="n">
        <v>45121</v>
      </c>
      <c r="C2087" s="1" t="n">
        <v>45346</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32727-2023</t>
        </is>
      </c>
      <c r="B2088" s="1" t="n">
        <v>45121</v>
      </c>
      <c r="C2088" s="1" t="n">
        <v>45346</v>
      </c>
      <c r="D2088" t="inlineStr">
        <is>
          <t>VÄSTERNORRLANDS LÄN</t>
        </is>
      </c>
      <c r="E2088" t="inlineStr">
        <is>
          <t>SOLLEFTEÅ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32735-2023</t>
        </is>
      </c>
      <c r="B2089" s="1" t="n">
        <v>45121</v>
      </c>
      <c r="C2089" s="1" t="n">
        <v>45346</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32780-2023</t>
        </is>
      </c>
      <c r="B2090" s="1" t="n">
        <v>45123</v>
      </c>
      <c r="C2090" s="1" t="n">
        <v>45346</v>
      </c>
      <c r="D2090" t="inlineStr">
        <is>
          <t>VÄSTERNORRLANDS LÄN</t>
        </is>
      </c>
      <c r="E2090" t="inlineStr">
        <is>
          <t>SOLLEFTEÅ</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33964-2023</t>
        </is>
      </c>
      <c r="B2091" s="1" t="n">
        <v>45124</v>
      </c>
      <c r="C2091" s="1" t="n">
        <v>45346</v>
      </c>
      <c r="D2091" t="inlineStr">
        <is>
          <t>VÄSTERNORRLANDS LÄN</t>
        </is>
      </c>
      <c r="E2091" t="inlineStr">
        <is>
          <t>SOLLEFTEÅ</t>
        </is>
      </c>
      <c r="F2091" t="inlineStr">
        <is>
          <t>SCA</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33037-2023</t>
        </is>
      </c>
      <c r="B2092" s="1" t="n">
        <v>45126</v>
      </c>
      <c r="C2092" s="1" t="n">
        <v>45346</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34100-2023</t>
        </is>
      </c>
      <c r="B2093" s="1" t="n">
        <v>45125</v>
      </c>
      <c r="C2093" s="1" t="n">
        <v>45346</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33175-2023</t>
        </is>
      </c>
      <c r="B2094" s="1" t="n">
        <v>45126</v>
      </c>
      <c r="C2094" s="1" t="n">
        <v>45346</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33328-2023</t>
        </is>
      </c>
      <c r="B2095" s="1" t="n">
        <v>45127</v>
      </c>
      <c r="C2095" s="1" t="n">
        <v>45346</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34284-2023</t>
        </is>
      </c>
      <c r="B2096" s="1" t="n">
        <v>45128</v>
      </c>
      <c r="C2096" s="1" t="n">
        <v>45346</v>
      </c>
      <c r="D2096" t="inlineStr">
        <is>
          <t>VÄSTERNORRLANDS LÄN</t>
        </is>
      </c>
      <c r="E2096" t="inlineStr">
        <is>
          <t>SOLLEFTEÅ</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33591-2023</t>
        </is>
      </c>
      <c r="B2097" s="1" t="n">
        <v>45131</v>
      </c>
      <c r="C2097" s="1" t="n">
        <v>45346</v>
      </c>
      <c r="D2097" t="inlineStr">
        <is>
          <t>VÄSTERNORRLANDS LÄN</t>
        </is>
      </c>
      <c r="E2097" t="inlineStr">
        <is>
          <t>SOLLEFTEÅ</t>
        </is>
      </c>
      <c r="F2097" t="inlineStr">
        <is>
          <t>SCA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33709-2023</t>
        </is>
      </c>
      <c r="B2098" s="1" t="n">
        <v>45133</v>
      </c>
      <c r="C2098" s="1" t="n">
        <v>45346</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33713-2023</t>
        </is>
      </c>
      <c r="B2099" s="1" t="n">
        <v>45133</v>
      </c>
      <c r="C2099" s="1" t="n">
        <v>45346</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33999-2023</t>
        </is>
      </c>
      <c r="B2100" s="1" t="n">
        <v>45134</v>
      </c>
      <c r="C2100" s="1" t="n">
        <v>45346</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34309-2023</t>
        </is>
      </c>
      <c r="B2101" s="1" t="n">
        <v>45139</v>
      </c>
      <c r="C2101" s="1" t="n">
        <v>45346</v>
      </c>
      <c r="D2101" t="inlineStr">
        <is>
          <t>VÄSTERNORRLANDS LÄN</t>
        </is>
      </c>
      <c r="E2101" t="inlineStr">
        <is>
          <t>SOLLEFTEÅ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34306-2023</t>
        </is>
      </c>
      <c r="B2102" s="1" t="n">
        <v>45138</v>
      </c>
      <c r="C2102" s="1" t="n">
        <v>45346</v>
      </c>
      <c r="D2102" t="inlineStr">
        <is>
          <t>VÄSTERNORRLANDS LÄN</t>
        </is>
      </c>
      <c r="E2102" t="inlineStr">
        <is>
          <t>SOLLEFTEÅ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34310-2023</t>
        </is>
      </c>
      <c r="B2103" s="1" t="n">
        <v>45139</v>
      </c>
      <c r="C2103" s="1" t="n">
        <v>45346</v>
      </c>
      <c r="D2103" t="inlineStr">
        <is>
          <t>VÄSTERNORRLANDS LÄN</t>
        </is>
      </c>
      <c r="E2103" t="inlineStr">
        <is>
          <t>SOLLEFTEÅ</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34308-2023</t>
        </is>
      </c>
      <c r="B2104" s="1" t="n">
        <v>45138</v>
      </c>
      <c r="C2104" s="1" t="n">
        <v>45346</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34329-2023</t>
        </is>
      </c>
      <c r="B2105" s="1" t="n">
        <v>45139</v>
      </c>
      <c r="C2105" s="1" t="n">
        <v>45346</v>
      </c>
      <c r="D2105" t="inlineStr">
        <is>
          <t>VÄSTERNORRLANDS LÄN</t>
        </is>
      </c>
      <c r="E2105" t="inlineStr">
        <is>
          <t>SOLLEFTEÅ</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34330-2023</t>
        </is>
      </c>
      <c r="B2106" s="1" t="n">
        <v>45138</v>
      </c>
      <c r="C2106" s="1" t="n">
        <v>45346</v>
      </c>
      <c r="D2106" t="inlineStr">
        <is>
          <t>VÄSTERNORRLANDS LÄN</t>
        </is>
      </c>
      <c r="E2106" t="inlineStr">
        <is>
          <t>SOLLEFTEÅ</t>
        </is>
      </c>
      <c r="F2106" t="inlineStr">
        <is>
          <t>SCA</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34328-2023</t>
        </is>
      </c>
      <c r="B2107" s="1" t="n">
        <v>45139</v>
      </c>
      <c r="C2107" s="1" t="n">
        <v>45346</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34307-2023</t>
        </is>
      </c>
      <c r="B2108" s="1" t="n">
        <v>45138</v>
      </c>
      <c r="C2108" s="1" t="n">
        <v>45346</v>
      </c>
      <c r="D2108" t="inlineStr">
        <is>
          <t>VÄSTERNORRLANDS LÄN</t>
        </is>
      </c>
      <c r="E2108" t="inlineStr">
        <is>
          <t>SOLLEFTEÅ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34311-2023</t>
        </is>
      </c>
      <c r="B2109" s="1" t="n">
        <v>45139</v>
      </c>
      <c r="C2109" s="1" t="n">
        <v>45346</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34327-2023</t>
        </is>
      </c>
      <c r="B2110" s="1" t="n">
        <v>45139</v>
      </c>
      <c r="C2110" s="1" t="n">
        <v>45346</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34487-2023</t>
        </is>
      </c>
      <c r="B2111" s="1" t="n">
        <v>45140</v>
      </c>
      <c r="C2111" s="1" t="n">
        <v>45346</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34741-2023</t>
        </is>
      </c>
      <c r="B2112" s="1" t="n">
        <v>45139</v>
      </c>
      <c r="C2112" s="1" t="n">
        <v>45346</v>
      </c>
      <c r="D2112" t="inlineStr">
        <is>
          <t>VÄSTERNORRLANDS LÄN</t>
        </is>
      </c>
      <c r="E2112" t="inlineStr">
        <is>
          <t>SOLLEFTEÅ</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34737-2023</t>
        </is>
      </c>
      <c r="B2113" s="1" t="n">
        <v>45139</v>
      </c>
      <c r="C2113" s="1" t="n">
        <v>45346</v>
      </c>
      <c r="D2113" t="inlineStr">
        <is>
          <t>VÄSTERNORRLANDS LÄN</t>
        </is>
      </c>
      <c r="E2113" t="inlineStr">
        <is>
          <t>SOLLEFTEÅ</t>
        </is>
      </c>
      <c r="F2113" t="inlineStr">
        <is>
          <t>SCA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34687-2023</t>
        </is>
      </c>
      <c r="B2114" s="1" t="n">
        <v>45141</v>
      </c>
      <c r="C2114" s="1" t="n">
        <v>45346</v>
      </c>
      <c r="D2114" t="inlineStr">
        <is>
          <t>VÄSTERNORRLANDS LÄN</t>
        </is>
      </c>
      <c r="E2114" t="inlineStr">
        <is>
          <t>SOLLEFTEÅ</t>
        </is>
      </c>
      <c r="F2114" t="inlineStr">
        <is>
          <t>SCA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34699-2023</t>
        </is>
      </c>
      <c r="B2115" s="1" t="n">
        <v>45141</v>
      </c>
      <c r="C2115" s="1" t="n">
        <v>45346</v>
      </c>
      <c r="D2115" t="inlineStr">
        <is>
          <t>VÄSTERNORRLANDS LÄN</t>
        </is>
      </c>
      <c r="E2115" t="inlineStr">
        <is>
          <t>SOLLEFTEÅ</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34686-2023</t>
        </is>
      </c>
      <c r="B2116" s="1" t="n">
        <v>45141</v>
      </c>
      <c r="C2116" s="1" t="n">
        <v>45346</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34696-2023</t>
        </is>
      </c>
      <c r="B2117" s="1" t="n">
        <v>45141</v>
      </c>
      <c r="C2117" s="1" t="n">
        <v>45346</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34983-2023</t>
        </is>
      </c>
      <c r="B2118" s="1" t="n">
        <v>45141</v>
      </c>
      <c r="C2118" s="1" t="n">
        <v>45346</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34848-2023</t>
        </is>
      </c>
      <c r="B2119" s="1" t="n">
        <v>45142</v>
      </c>
      <c r="C2119" s="1" t="n">
        <v>45346</v>
      </c>
      <c r="D2119" t="inlineStr">
        <is>
          <t>VÄSTERNORRLANDS LÄN</t>
        </is>
      </c>
      <c r="E2119" t="inlineStr">
        <is>
          <t>SOLLEFTEÅ</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35147-2023</t>
        </is>
      </c>
      <c r="B2120" s="1" t="n">
        <v>45142</v>
      </c>
      <c r="C2120" s="1" t="n">
        <v>45346</v>
      </c>
      <c r="D2120" t="inlineStr">
        <is>
          <t>VÄSTERNORRLANDS LÄN</t>
        </is>
      </c>
      <c r="E2120" t="inlineStr">
        <is>
          <t>SOLLEFTEÅ</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35276-2023</t>
        </is>
      </c>
      <c r="B2121" s="1" t="n">
        <v>45146</v>
      </c>
      <c r="C2121" s="1" t="n">
        <v>45346</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35295-2023</t>
        </is>
      </c>
      <c r="B2122" s="1" t="n">
        <v>45145</v>
      </c>
      <c r="C2122" s="1" t="n">
        <v>45346</v>
      </c>
      <c r="D2122" t="inlineStr">
        <is>
          <t>VÄSTERNORRLANDS LÄN</t>
        </is>
      </c>
      <c r="E2122" t="inlineStr">
        <is>
          <t>SOLLEFTEÅ</t>
        </is>
      </c>
      <c r="F2122" t="inlineStr">
        <is>
          <t>SCA</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35277-2023</t>
        </is>
      </c>
      <c r="B2123" s="1" t="n">
        <v>45145</v>
      </c>
      <c r="C2123" s="1" t="n">
        <v>45346</v>
      </c>
      <c r="D2123" t="inlineStr">
        <is>
          <t>VÄSTERNORRLANDS LÄN</t>
        </is>
      </c>
      <c r="E2123" t="inlineStr">
        <is>
          <t>SOLLEFTEÅ</t>
        </is>
      </c>
      <c r="F2123" t="inlineStr">
        <is>
          <t>SCA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35352-2023</t>
        </is>
      </c>
      <c r="B2124" s="1" t="n">
        <v>45145</v>
      </c>
      <c r="C2124" s="1" t="n">
        <v>45346</v>
      </c>
      <c r="D2124" t="inlineStr">
        <is>
          <t>VÄSTERNORRLANDS LÄN</t>
        </is>
      </c>
      <c r="E2124" t="inlineStr">
        <is>
          <t>SOLLEFTEÅ</t>
        </is>
      </c>
      <c r="F2124" t="inlineStr">
        <is>
          <t>SCA</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35470-2023</t>
        </is>
      </c>
      <c r="B2125" s="1" t="n">
        <v>45146</v>
      </c>
      <c r="C2125" s="1" t="n">
        <v>45346</v>
      </c>
      <c r="D2125" t="inlineStr">
        <is>
          <t>VÄSTERNORRLANDS LÄN</t>
        </is>
      </c>
      <c r="E2125" t="inlineStr">
        <is>
          <t>SOLLEFTEÅ</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35511-2023</t>
        </is>
      </c>
      <c r="B2126" s="1" t="n">
        <v>45146</v>
      </c>
      <c r="C2126" s="1" t="n">
        <v>45346</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35505-2023</t>
        </is>
      </c>
      <c r="B2127" s="1" t="n">
        <v>45147</v>
      </c>
      <c r="C2127" s="1" t="n">
        <v>45346</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35509-2023</t>
        </is>
      </c>
      <c r="B2128" s="1" t="n">
        <v>45147</v>
      </c>
      <c r="C2128" s="1" t="n">
        <v>45346</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35569-2023</t>
        </is>
      </c>
      <c r="B2129" s="1" t="n">
        <v>45147</v>
      </c>
      <c r="C2129" s="1" t="n">
        <v>45346</v>
      </c>
      <c r="D2129" t="inlineStr">
        <is>
          <t>VÄSTERNORRLANDS LÄN</t>
        </is>
      </c>
      <c r="E2129" t="inlineStr">
        <is>
          <t>SOLLEFTEÅ</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35746-2023</t>
        </is>
      </c>
      <c r="B2130" s="1" t="n">
        <v>45148</v>
      </c>
      <c r="C2130" s="1" t="n">
        <v>45346</v>
      </c>
      <c r="D2130" t="inlineStr">
        <is>
          <t>VÄSTERNORRLANDS LÄN</t>
        </is>
      </c>
      <c r="E2130" t="inlineStr">
        <is>
          <t>SOLLEFTEÅ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35556-2023</t>
        </is>
      </c>
      <c r="B2131" s="1" t="n">
        <v>45147</v>
      </c>
      <c r="C2131" s="1" t="n">
        <v>45346</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35764-2023</t>
        </is>
      </c>
      <c r="B2132" s="1" t="n">
        <v>45147</v>
      </c>
      <c r="C2132" s="1" t="n">
        <v>45346</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35745-2023</t>
        </is>
      </c>
      <c r="B2133" s="1" t="n">
        <v>45148</v>
      </c>
      <c r="C2133" s="1" t="n">
        <v>45346</v>
      </c>
      <c r="D2133" t="inlineStr">
        <is>
          <t>VÄSTERNORRLANDS LÄN</t>
        </is>
      </c>
      <c r="E2133" t="inlineStr">
        <is>
          <t>SOLLEFTEÅ</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35761-2023</t>
        </is>
      </c>
      <c r="B2134" s="1" t="n">
        <v>45148</v>
      </c>
      <c r="C2134" s="1" t="n">
        <v>45346</v>
      </c>
      <c r="D2134" t="inlineStr">
        <is>
          <t>VÄSTERNORRLANDS LÄN</t>
        </is>
      </c>
      <c r="E2134" t="inlineStr">
        <is>
          <t>SOLLEFTEÅ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35945-2023</t>
        </is>
      </c>
      <c r="B2135" s="1" t="n">
        <v>45148</v>
      </c>
      <c r="C2135" s="1" t="n">
        <v>45346</v>
      </c>
      <c r="D2135" t="inlineStr">
        <is>
          <t>VÄSTERNORRLANDS LÄN</t>
        </is>
      </c>
      <c r="E2135" t="inlineStr">
        <is>
          <t>SOLLEFTEÅ</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35980-2023</t>
        </is>
      </c>
      <c r="B2136" s="1" t="n">
        <v>45149</v>
      </c>
      <c r="C2136" s="1" t="n">
        <v>45346</v>
      </c>
      <c r="D2136" t="inlineStr">
        <is>
          <t>VÄSTERNORRLANDS LÄN</t>
        </is>
      </c>
      <c r="E2136" t="inlineStr">
        <is>
          <t>SOLLEFTEÅ</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35975-2023</t>
        </is>
      </c>
      <c r="B2137" s="1" t="n">
        <v>45148</v>
      </c>
      <c r="C2137" s="1" t="n">
        <v>45346</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35974-2023</t>
        </is>
      </c>
      <c r="B2138" s="1" t="n">
        <v>45148</v>
      </c>
      <c r="C2138" s="1" t="n">
        <v>45346</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35978-2023</t>
        </is>
      </c>
      <c r="B2139" s="1" t="n">
        <v>45148</v>
      </c>
      <c r="C2139" s="1" t="n">
        <v>45346</v>
      </c>
      <c r="D2139" t="inlineStr">
        <is>
          <t>VÄSTERNORRLANDS LÄN</t>
        </is>
      </c>
      <c r="E2139" t="inlineStr">
        <is>
          <t>SOLLEFTEÅ</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35977-2023</t>
        </is>
      </c>
      <c r="B2140" s="1" t="n">
        <v>45149</v>
      </c>
      <c r="C2140" s="1" t="n">
        <v>45346</v>
      </c>
      <c r="D2140" t="inlineStr">
        <is>
          <t>VÄSTERNORRLANDS LÄN</t>
        </is>
      </c>
      <c r="E2140" t="inlineStr">
        <is>
          <t>SOLLEFTEÅ</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36211-2023</t>
        </is>
      </c>
      <c r="B2141" s="1" t="n">
        <v>45150</v>
      </c>
      <c r="C2141" s="1" t="n">
        <v>45346</v>
      </c>
      <c r="D2141" t="inlineStr">
        <is>
          <t>VÄSTERNORRLANDS LÄN</t>
        </is>
      </c>
      <c r="E2141" t="inlineStr">
        <is>
          <t>SOLLEFTEÅ</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36222-2023</t>
        </is>
      </c>
      <c r="B2142" s="1" t="n">
        <v>45150</v>
      </c>
      <c r="C2142" s="1" t="n">
        <v>45346</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36511-2023</t>
        </is>
      </c>
      <c r="B2143" s="1" t="n">
        <v>45153</v>
      </c>
      <c r="C2143" s="1" t="n">
        <v>45346</v>
      </c>
      <c r="D2143" t="inlineStr">
        <is>
          <t>VÄSTERNORRLANDS LÄN</t>
        </is>
      </c>
      <c r="E2143" t="inlineStr">
        <is>
          <t>SOLLEFTEÅ</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36514-2023</t>
        </is>
      </c>
      <c r="B2144" s="1" t="n">
        <v>45153</v>
      </c>
      <c r="C2144" s="1" t="n">
        <v>45346</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36508-2023</t>
        </is>
      </c>
      <c r="B2145" s="1" t="n">
        <v>45153</v>
      </c>
      <c r="C2145" s="1" t="n">
        <v>45346</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36512-2023</t>
        </is>
      </c>
      <c r="B2146" s="1" t="n">
        <v>45152</v>
      </c>
      <c r="C2146" s="1" t="n">
        <v>45346</v>
      </c>
      <c r="D2146" t="inlineStr">
        <is>
          <t>VÄSTERNORRLANDS LÄN</t>
        </is>
      </c>
      <c r="E2146" t="inlineStr">
        <is>
          <t>SOLLEFTEÅ</t>
        </is>
      </c>
      <c r="F2146" t="inlineStr">
        <is>
          <t>SCA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36513-2023</t>
        </is>
      </c>
      <c r="B2147" s="1" t="n">
        <v>45153</v>
      </c>
      <c r="C2147" s="1" t="n">
        <v>45346</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36770-2023</t>
        </is>
      </c>
      <c r="B2148" s="1" t="n">
        <v>45153</v>
      </c>
      <c r="C2148" s="1" t="n">
        <v>45346</v>
      </c>
      <c r="D2148" t="inlineStr">
        <is>
          <t>VÄSTERNORRLANDS LÄN</t>
        </is>
      </c>
      <c r="E2148" t="inlineStr">
        <is>
          <t>SOLLEFTEÅ</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36771-2023</t>
        </is>
      </c>
      <c r="B2149" s="1" t="n">
        <v>45153</v>
      </c>
      <c r="C2149" s="1" t="n">
        <v>45346</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36944-2023</t>
        </is>
      </c>
      <c r="B2150" s="1" t="n">
        <v>45154</v>
      </c>
      <c r="C2150" s="1" t="n">
        <v>45346</v>
      </c>
      <c r="D2150" t="inlineStr">
        <is>
          <t>VÄSTERNORRLANDS LÄN</t>
        </is>
      </c>
      <c r="E2150" t="inlineStr">
        <is>
          <t>SOLLEFTEÅ</t>
        </is>
      </c>
      <c r="F2150" t="inlineStr">
        <is>
          <t>Övriga Aktiebolag</t>
        </is>
      </c>
      <c r="G2150" t="n">
        <v>16.9</v>
      </c>
      <c r="H2150" t="n">
        <v>0</v>
      </c>
      <c r="I2150" t="n">
        <v>0</v>
      </c>
      <c r="J2150" t="n">
        <v>0</v>
      </c>
      <c r="K2150" t="n">
        <v>0</v>
      </c>
      <c r="L2150" t="n">
        <v>0</v>
      </c>
      <c r="M2150" t="n">
        <v>0</v>
      </c>
      <c r="N2150" t="n">
        <v>0</v>
      </c>
      <c r="O2150" t="n">
        <v>0</v>
      </c>
      <c r="P2150" t="n">
        <v>0</v>
      </c>
      <c r="Q2150" t="n">
        <v>0</v>
      </c>
      <c r="R2150" s="2" t="inlineStr"/>
    </row>
    <row r="2151" ht="15" customHeight="1">
      <c r="A2151" t="inlineStr">
        <is>
          <t>A 36976-2023</t>
        </is>
      </c>
      <c r="B2151" s="1" t="n">
        <v>45155</v>
      </c>
      <c r="C2151" s="1" t="n">
        <v>45346</v>
      </c>
      <c r="D2151" t="inlineStr">
        <is>
          <t>VÄSTERNORRLANDS LÄN</t>
        </is>
      </c>
      <c r="E2151" t="inlineStr">
        <is>
          <t>SOLLEFTEÅ</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36977-2023</t>
        </is>
      </c>
      <c r="B2152" s="1" t="n">
        <v>45155</v>
      </c>
      <c r="C2152" s="1" t="n">
        <v>45346</v>
      </c>
      <c r="D2152" t="inlineStr">
        <is>
          <t>VÄSTERNORRLANDS LÄN</t>
        </is>
      </c>
      <c r="E2152" t="inlineStr">
        <is>
          <t>SOLLEFTEÅ</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36967-2023</t>
        </is>
      </c>
      <c r="B2153" s="1" t="n">
        <v>45155</v>
      </c>
      <c r="C2153" s="1" t="n">
        <v>45346</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37269-2023</t>
        </is>
      </c>
      <c r="B2154" s="1" t="n">
        <v>45155</v>
      </c>
      <c r="C2154" s="1" t="n">
        <v>45346</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37412-2023</t>
        </is>
      </c>
      <c r="B2155" s="1" t="n">
        <v>45155</v>
      </c>
      <c r="C2155" s="1" t="n">
        <v>45346</v>
      </c>
      <c r="D2155" t="inlineStr">
        <is>
          <t>VÄSTERNORRLANDS LÄN</t>
        </is>
      </c>
      <c r="E2155" t="inlineStr">
        <is>
          <t>SOLLEFTEÅ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37381-2023</t>
        </is>
      </c>
      <c r="B2156" s="1" t="n">
        <v>45155</v>
      </c>
      <c r="C2156" s="1" t="n">
        <v>45346</v>
      </c>
      <c r="D2156" t="inlineStr">
        <is>
          <t>VÄSTERNORRLANDS LÄN</t>
        </is>
      </c>
      <c r="E2156" t="inlineStr">
        <is>
          <t>SOLLEFTEÅ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37484-2023</t>
        </is>
      </c>
      <c r="B2157" s="1" t="n">
        <v>45156</v>
      </c>
      <c r="C2157" s="1" t="n">
        <v>45346</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37615-2023</t>
        </is>
      </c>
      <c r="B2158" s="1" t="n">
        <v>45156</v>
      </c>
      <c r="C2158" s="1" t="n">
        <v>45346</v>
      </c>
      <c r="D2158" t="inlineStr">
        <is>
          <t>VÄSTERNORRLANDS LÄN</t>
        </is>
      </c>
      <c r="E2158" t="inlineStr">
        <is>
          <t>SOLLEFTEÅ</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37711-2023</t>
        </is>
      </c>
      <c r="B2159" s="1" t="n">
        <v>45156</v>
      </c>
      <c r="C2159" s="1" t="n">
        <v>45346</v>
      </c>
      <c r="D2159" t="inlineStr">
        <is>
          <t>VÄSTERNORRLANDS LÄN</t>
        </is>
      </c>
      <c r="E2159" t="inlineStr">
        <is>
          <t>SOLLEFTEÅ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37735-2023</t>
        </is>
      </c>
      <c r="B2160" s="1" t="n">
        <v>45156</v>
      </c>
      <c r="C2160" s="1" t="n">
        <v>45346</v>
      </c>
      <c r="D2160" t="inlineStr">
        <is>
          <t>VÄSTERNORRLANDS LÄN</t>
        </is>
      </c>
      <c r="E2160" t="inlineStr">
        <is>
          <t>SOLLEFTEÅ</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37486-2023</t>
        </is>
      </c>
      <c r="B2161" s="1" t="n">
        <v>45157</v>
      </c>
      <c r="C2161" s="1" t="n">
        <v>45346</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37691-2023</t>
        </is>
      </c>
      <c r="B2162" s="1" t="n">
        <v>45156</v>
      </c>
      <c r="C2162" s="1" t="n">
        <v>45346</v>
      </c>
      <c r="D2162" t="inlineStr">
        <is>
          <t>VÄSTERNORRLANDS LÄN</t>
        </is>
      </c>
      <c r="E2162" t="inlineStr">
        <is>
          <t>SOLLEFTEÅ</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37722-2023</t>
        </is>
      </c>
      <c r="B2163" s="1" t="n">
        <v>45156</v>
      </c>
      <c r="C2163" s="1" t="n">
        <v>45346</v>
      </c>
      <c r="D2163" t="inlineStr">
        <is>
          <t>VÄSTERNORRLANDS LÄN</t>
        </is>
      </c>
      <c r="E2163" t="inlineStr">
        <is>
          <t>SOLLEFTEÅ</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37611-2023</t>
        </is>
      </c>
      <c r="B2164" s="1" t="n">
        <v>45156</v>
      </c>
      <c r="C2164" s="1" t="n">
        <v>45346</v>
      </c>
      <c r="D2164" t="inlineStr">
        <is>
          <t>VÄSTERNORRLANDS LÄN</t>
        </is>
      </c>
      <c r="E2164" t="inlineStr">
        <is>
          <t>SOLLEFTEÅ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37671-2023</t>
        </is>
      </c>
      <c r="B2165" s="1" t="n">
        <v>45156</v>
      </c>
      <c r="C2165" s="1" t="n">
        <v>45346</v>
      </c>
      <c r="D2165" t="inlineStr">
        <is>
          <t>VÄSTERNORRLANDS LÄN</t>
        </is>
      </c>
      <c r="E2165" t="inlineStr">
        <is>
          <t>SOLLEFTEÅ</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37696-2023</t>
        </is>
      </c>
      <c r="B2166" s="1" t="n">
        <v>45156</v>
      </c>
      <c r="C2166" s="1" t="n">
        <v>45346</v>
      </c>
      <c r="D2166" t="inlineStr">
        <is>
          <t>VÄSTERNORRLANDS LÄN</t>
        </is>
      </c>
      <c r="E2166" t="inlineStr">
        <is>
          <t>SOLLEFTEÅ</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37726-2023</t>
        </is>
      </c>
      <c r="B2167" s="1" t="n">
        <v>45156</v>
      </c>
      <c r="C2167" s="1" t="n">
        <v>45346</v>
      </c>
      <c r="D2167" t="inlineStr">
        <is>
          <t>VÄSTERNORRLANDS LÄN</t>
        </is>
      </c>
      <c r="E2167" t="inlineStr">
        <is>
          <t>SOLLEFTEÅ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37483-2023</t>
        </is>
      </c>
      <c r="B2168" s="1" t="n">
        <v>45157</v>
      </c>
      <c r="C2168" s="1" t="n">
        <v>45346</v>
      </c>
      <c r="D2168" t="inlineStr">
        <is>
          <t>VÄSTERNORRLANDS LÄN</t>
        </is>
      </c>
      <c r="E2168" t="inlineStr">
        <is>
          <t>SOLLEFTEÅ</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37487-2023</t>
        </is>
      </c>
      <c r="B2169" s="1" t="n">
        <v>45157</v>
      </c>
      <c r="C2169" s="1" t="n">
        <v>45346</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37699-2023</t>
        </is>
      </c>
      <c r="B2170" s="1" t="n">
        <v>45156</v>
      </c>
      <c r="C2170" s="1" t="n">
        <v>45346</v>
      </c>
      <c r="D2170" t="inlineStr">
        <is>
          <t>VÄSTERNORRLANDS LÄN</t>
        </is>
      </c>
      <c r="E2170" t="inlineStr">
        <is>
          <t>SOLLEFTEÅ</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37731-2023</t>
        </is>
      </c>
      <c r="B2171" s="1" t="n">
        <v>45156</v>
      </c>
      <c r="C2171" s="1" t="n">
        <v>45346</v>
      </c>
      <c r="D2171" t="inlineStr">
        <is>
          <t>VÄSTERNORRLANDS LÄN</t>
        </is>
      </c>
      <c r="E2171" t="inlineStr">
        <is>
          <t>SOLLEFTEÅ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37807-2023</t>
        </is>
      </c>
      <c r="B2172" s="1" t="n">
        <v>45160</v>
      </c>
      <c r="C2172" s="1" t="n">
        <v>45346</v>
      </c>
      <c r="D2172" t="inlineStr">
        <is>
          <t>VÄSTERNORRLANDS LÄN</t>
        </is>
      </c>
      <c r="E2172" t="inlineStr">
        <is>
          <t>SOLLEFTEÅ</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38093-2023</t>
        </is>
      </c>
      <c r="B2173" s="1" t="n">
        <v>45160</v>
      </c>
      <c r="C2173" s="1" t="n">
        <v>45346</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38097-2023</t>
        </is>
      </c>
      <c r="B2174" s="1" t="n">
        <v>45160</v>
      </c>
      <c r="C2174" s="1" t="n">
        <v>45346</v>
      </c>
      <c r="D2174" t="inlineStr">
        <is>
          <t>VÄSTERNORRLANDS LÄN</t>
        </is>
      </c>
      <c r="E2174" t="inlineStr">
        <is>
          <t>SOLLEFTEÅ</t>
        </is>
      </c>
      <c r="F2174" t="inlineStr">
        <is>
          <t>SCA</t>
        </is>
      </c>
      <c r="G2174" t="n">
        <v>47.1</v>
      </c>
      <c r="H2174" t="n">
        <v>0</v>
      </c>
      <c r="I2174" t="n">
        <v>0</v>
      </c>
      <c r="J2174" t="n">
        <v>0</v>
      </c>
      <c r="K2174" t="n">
        <v>0</v>
      </c>
      <c r="L2174" t="n">
        <v>0</v>
      </c>
      <c r="M2174" t="n">
        <v>0</v>
      </c>
      <c r="N2174" t="n">
        <v>0</v>
      </c>
      <c r="O2174" t="n">
        <v>0</v>
      </c>
      <c r="P2174" t="n">
        <v>0</v>
      </c>
      <c r="Q2174" t="n">
        <v>0</v>
      </c>
      <c r="R2174" s="2" t="inlineStr"/>
    </row>
    <row r="2175" ht="15" customHeight="1">
      <c r="A2175" t="inlineStr">
        <is>
          <t>A 38092-2023</t>
        </is>
      </c>
      <c r="B2175" s="1" t="n">
        <v>45161</v>
      </c>
      <c r="C2175" s="1" t="n">
        <v>45346</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38100-2023</t>
        </is>
      </c>
      <c r="B2176" s="1" t="n">
        <v>45161</v>
      </c>
      <c r="C2176" s="1" t="n">
        <v>45346</v>
      </c>
      <c r="D2176" t="inlineStr">
        <is>
          <t>VÄSTERNORRLANDS LÄN</t>
        </is>
      </c>
      <c r="E2176" t="inlineStr">
        <is>
          <t>SOLLEFTEÅ</t>
        </is>
      </c>
      <c r="F2176" t="inlineStr">
        <is>
          <t>SCA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38375-2023</t>
        </is>
      </c>
      <c r="B2177" s="1" t="n">
        <v>45161</v>
      </c>
      <c r="C2177" s="1" t="n">
        <v>45346</v>
      </c>
      <c r="D2177" t="inlineStr">
        <is>
          <t>VÄSTERNORRLANDS LÄN</t>
        </is>
      </c>
      <c r="E2177" t="inlineStr">
        <is>
          <t>SOLLEFTEÅ</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39077-2023</t>
        </is>
      </c>
      <c r="B2178" s="1" t="n">
        <v>45164</v>
      </c>
      <c r="C2178" s="1" t="n">
        <v>45346</v>
      </c>
      <c r="D2178" t="inlineStr">
        <is>
          <t>VÄSTERNORRLANDS LÄN</t>
        </is>
      </c>
      <c r="E2178" t="inlineStr">
        <is>
          <t>SOLLEFTEÅ</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39399-2023</t>
        </is>
      </c>
      <c r="B2179" s="1" t="n">
        <v>45163</v>
      </c>
      <c r="C2179" s="1" t="n">
        <v>45346</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39058-2023</t>
        </is>
      </c>
      <c r="B2180" s="1" t="n">
        <v>45164</v>
      </c>
      <c r="C2180" s="1" t="n">
        <v>45346</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39379-2023</t>
        </is>
      </c>
      <c r="B2181" s="1" t="n">
        <v>45163</v>
      </c>
      <c r="C2181" s="1" t="n">
        <v>45346</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39496-2023</t>
        </is>
      </c>
      <c r="B2182" s="1" t="n">
        <v>45167</v>
      </c>
      <c r="C2182" s="1" t="n">
        <v>45346</v>
      </c>
      <c r="D2182" t="inlineStr">
        <is>
          <t>VÄSTERNORRLANDS LÄN</t>
        </is>
      </c>
      <c r="E2182" t="inlineStr">
        <is>
          <t>SOLLEFTEÅ</t>
        </is>
      </c>
      <c r="F2182" t="inlineStr">
        <is>
          <t>SCA</t>
        </is>
      </c>
      <c r="G2182" t="n">
        <v>9.4</v>
      </c>
      <c r="H2182" t="n">
        <v>0</v>
      </c>
      <c r="I2182" t="n">
        <v>0</v>
      </c>
      <c r="J2182" t="n">
        <v>0</v>
      </c>
      <c r="K2182" t="n">
        <v>0</v>
      </c>
      <c r="L2182" t="n">
        <v>0</v>
      </c>
      <c r="M2182" t="n">
        <v>0</v>
      </c>
      <c r="N2182" t="n">
        <v>0</v>
      </c>
      <c r="O2182" t="n">
        <v>0</v>
      </c>
      <c r="P2182" t="n">
        <v>0</v>
      </c>
      <c r="Q2182" t="n">
        <v>0</v>
      </c>
      <c r="R2182" s="2" t="inlineStr"/>
    </row>
    <row r="2183" ht="15" customHeight="1">
      <c r="A2183" t="inlineStr">
        <is>
          <t>A 39497-2023</t>
        </is>
      </c>
      <c r="B2183" s="1" t="n">
        <v>45167</v>
      </c>
      <c r="C2183" s="1" t="n">
        <v>45346</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39727-2023</t>
        </is>
      </c>
      <c r="B2184" s="1" t="n">
        <v>45166</v>
      </c>
      <c r="C2184" s="1" t="n">
        <v>45346</v>
      </c>
      <c r="D2184" t="inlineStr">
        <is>
          <t>VÄSTERNORRLANDS LÄN</t>
        </is>
      </c>
      <c r="E2184" t="inlineStr">
        <is>
          <t>SOLLEFTEÅ</t>
        </is>
      </c>
      <c r="F2184" t="inlineStr">
        <is>
          <t>SCA</t>
        </is>
      </c>
      <c r="G2184" t="n">
        <v>45.3</v>
      </c>
      <c r="H2184" t="n">
        <v>0</v>
      </c>
      <c r="I2184" t="n">
        <v>0</v>
      </c>
      <c r="J2184" t="n">
        <v>0</v>
      </c>
      <c r="K2184" t="n">
        <v>0</v>
      </c>
      <c r="L2184" t="n">
        <v>0</v>
      </c>
      <c r="M2184" t="n">
        <v>0</v>
      </c>
      <c r="N2184" t="n">
        <v>0</v>
      </c>
      <c r="O2184" t="n">
        <v>0</v>
      </c>
      <c r="P2184" t="n">
        <v>0</v>
      </c>
      <c r="Q2184" t="n">
        <v>0</v>
      </c>
      <c r="R2184" s="2" t="inlineStr"/>
    </row>
    <row r="2185" ht="15" customHeight="1">
      <c r="A2185" t="inlineStr">
        <is>
          <t>A 39495-2023</t>
        </is>
      </c>
      <c r="B2185" s="1" t="n">
        <v>45167</v>
      </c>
      <c r="C2185" s="1" t="n">
        <v>45346</v>
      </c>
      <c r="D2185" t="inlineStr">
        <is>
          <t>VÄSTERNORRLANDS LÄN</t>
        </is>
      </c>
      <c r="E2185" t="inlineStr">
        <is>
          <t>SOLLEFTEÅ</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40098-2023</t>
        </is>
      </c>
      <c r="B2186" s="1" t="n">
        <v>45169</v>
      </c>
      <c r="C2186" s="1" t="n">
        <v>45346</v>
      </c>
      <c r="D2186" t="inlineStr">
        <is>
          <t>VÄSTERNORRLANDS LÄN</t>
        </is>
      </c>
      <c r="E2186" t="inlineStr">
        <is>
          <t>SOLLEFTEÅ</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40099-2023</t>
        </is>
      </c>
      <c r="B2187" s="1" t="n">
        <v>45169</v>
      </c>
      <c r="C2187" s="1" t="n">
        <v>45346</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40115-2023</t>
        </is>
      </c>
      <c r="B2188" s="1" t="n">
        <v>45169</v>
      </c>
      <c r="C2188" s="1" t="n">
        <v>45346</v>
      </c>
      <c r="D2188" t="inlineStr">
        <is>
          <t>VÄSTERNORRLANDS LÄN</t>
        </is>
      </c>
      <c r="E2188" t="inlineStr">
        <is>
          <t>SOLLEFTEÅ</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40202-2023</t>
        </is>
      </c>
      <c r="B2189" s="1" t="n">
        <v>45169</v>
      </c>
      <c r="C2189" s="1" t="n">
        <v>45346</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40403-2023</t>
        </is>
      </c>
      <c r="B2190" s="1" t="n">
        <v>45170</v>
      </c>
      <c r="C2190" s="1" t="n">
        <v>45346</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40404-2023</t>
        </is>
      </c>
      <c r="B2191" s="1" t="n">
        <v>45170</v>
      </c>
      <c r="C2191" s="1" t="n">
        <v>45346</v>
      </c>
      <c r="D2191" t="inlineStr">
        <is>
          <t>VÄSTERNORRLANDS LÄN</t>
        </is>
      </c>
      <c r="E2191" t="inlineStr">
        <is>
          <t>SOLLEFTEÅ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40429-2023</t>
        </is>
      </c>
      <c r="B2192" s="1" t="n">
        <v>45169</v>
      </c>
      <c r="C2192" s="1" t="n">
        <v>45346</v>
      </c>
      <c r="D2192" t="inlineStr">
        <is>
          <t>VÄSTERNORRLANDS LÄN</t>
        </is>
      </c>
      <c r="E2192" t="inlineStr">
        <is>
          <t>SOLLEFTEÅ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40421-2023</t>
        </is>
      </c>
      <c r="B2193" s="1" t="n">
        <v>45170</v>
      </c>
      <c r="C2193" s="1" t="n">
        <v>45346</v>
      </c>
      <c r="D2193" t="inlineStr">
        <is>
          <t>VÄSTERNORRLANDS LÄN</t>
        </is>
      </c>
      <c r="E2193" t="inlineStr">
        <is>
          <t>SOLLEFTEÅ</t>
        </is>
      </c>
      <c r="F2193" t="inlineStr">
        <is>
          <t>SCA</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40766-2023</t>
        </is>
      </c>
      <c r="B2194" s="1" t="n">
        <v>45170</v>
      </c>
      <c r="C2194" s="1" t="n">
        <v>45346</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40764-2023</t>
        </is>
      </c>
      <c r="B2195" s="1" t="n">
        <v>45170</v>
      </c>
      <c r="C2195" s="1" t="n">
        <v>45346</v>
      </c>
      <c r="D2195" t="inlineStr">
        <is>
          <t>VÄSTERNORRLANDS LÄN</t>
        </is>
      </c>
      <c r="E2195" t="inlineStr">
        <is>
          <t>SOLLEFTEÅ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41145-2023</t>
        </is>
      </c>
      <c r="B2196" s="1" t="n">
        <v>45174</v>
      </c>
      <c r="C2196" s="1" t="n">
        <v>45346</v>
      </c>
      <c r="D2196" t="inlineStr">
        <is>
          <t>VÄSTERNORRLANDS LÄN</t>
        </is>
      </c>
      <c r="E2196" t="inlineStr">
        <is>
          <t>SOLLEFTEÅ</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41146-2023</t>
        </is>
      </c>
      <c r="B2197" s="1" t="n">
        <v>45174</v>
      </c>
      <c r="C2197" s="1" t="n">
        <v>45346</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41143-2023</t>
        </is>
      </c>
      <c r="B2198" s="1" t="n">
        <v>45174</v>
      </c>
      <c r="C2198" s="1" t="n">
        <v>45346</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41257-2023</t>
        </is>
      </c>
      <c r="B2199" s="1" t="n">
        <v>45174</v>
      </c>
      <c r="C2199" s="1" t="n">
        <v>45346</v>
      </c>
      <c r="D2199" t="inlineStr">
        <is>
          <t>VÄSTERNORRLANDS LÄN</t>
        </is>
      </c>
      <c r="E2199" t="inlineStr">
        <is>
          <t>SOLLEFTEÅ</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41655-2023</t>
        </is>
      </c>
      <c r="B2200" s="1" t="n">
        <v>45176</v>
      </c>
      <c r="C2200" s="1" t="n">
        <v>45346</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41933-2023</t>
        </is>
      </c>
      <c r="B2201" s="1" t="n">
        <v>45177</v>
      </c>
      <c r="C2201" s="1" t="n">
        <v>45346</v>
      </c>
      <c r="D2201" t="inlineStr">
        <is>
          <t>VÄSTERNORRLANDS LÄN</t>
        </is>
      </c>
      <c r="E2201" t="inlineStr">
        <is>
          <t>SOLLEFTEÅ</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41924-2023</t>
        </is>
      </c>
      <c r="B2202" s="1" t="n">
        <v>45176</v>
      </c>
      <c r="C2202" s="1" t="n">
        <v>45346</v>
      </c>
      <c r="D2202" t="inlineStr">
        <is>
          <t>VÄSTERNORRLANDS LÄN</t>
        </is>
      </c>
      <c r="E2202" t="inlineStr">
        <is>
          <t>SOLLEFTEÅ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42150-2023</t>
        </is>
      </c>
      <c r="B2203" s="1" t="n">
        <v>45178</v>
      </c>
      <c r="C2203" s="1" t="n">
        <v>45346</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42162-2023</t>
        </is>
      </c>
      <c r="B2204" s="1" t="n">
        <v>45178</v>
      </c>
      <c r="C2204" s="1" t="n">
        <v>45346</v>
      </c>
      <c r="D2204" t="inlineStr">
        <is>
          <t>VÄSTERNORRLANDS LÄN</t>
        </is>
      </c>
      <c r="E2204" t="inlineStr">
        <is>
          <t>SOLLEFTEÅ</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42140-2023</t>
        </is>
      </c>
      <c r="B2205" s="1" t="n">
        <v>45178</v>
      </c>
      <c r="C2205" s="1" t="n">
        <v>45346</v>
      </c>
      <c r="D2205" t="inlineStr">
        <is>
          <t>VÄSTERNORRLANDS LÄN</t>
        </is>
      </c>
      <c r="E2205" t="inlineStr">
        <is>
          <t>SOLLEFTEÅ</t>
        </is>
      </c>
      <c r="G2205" t="n">
        <v>13.3</v>
      </c>
      <c r="H2205" t="n">
        <v>0</v>
      </c>
      <c r="I2205" t="n">
        <v>0</v>
      </c>
      <c r="J2205" t="n">
        <v>0</v>
      </c>
      <c r="K2205" t="n">
        <v>0</v>
      </c>
      <c r="L2205" t="n">
        <v>0</v>
      </c>
      <c r="M2205" t="n">
        <v>0</v>
      </c>
      <c r="N2205" t="n">
        <v>0</v>
      </c>
      <c r="O2205" t="n">
        <v>0</v>
      </c>
      <c r="P2205" t="n">
        <v>0</v>
      </c>
      <c r="Q2205" t="n">
        <v>0</v>
      </c>
      <c r="R2205" s="2" t="inlineStr"/>
    </row>
    <row r="2206" ht="15" customHeight="1">
      <c r="A2206" t="inlineStr">
        <is>
          <t>A 42160-2023</t>
        </is>
      </c>
      <c r="B2206" s="1" t="n">
        <v>45177</v>
      </c>
      <c r="C2206" s="1" t="n">
        <v>45346</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42164-2023</t>
        </is>
      </c>
      <c r="B2207" s="1" t="n">
        <v>45178</v>
      </c>
      <c r="C2207" s="1" t="n">
        <v>45346</v>
      </c>
      <c r="D2207" t="inlineStr">
        <is>
          <t>VÄSTERNORRLANDS LÄN</t>
        </is>
      </c>
      <c r="E2207" t="inlineStr">
        <is>
          <t>SOLLEFTEÅ</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42147-2023</t>
        </is>
      </c>
      <c r="B2208" s="1" t="n">
        <v>45177</v>
      </c>
      <c r="C2208" s="1" t="n">
        <v>45346</v>
      </c>
      <c r="D2208" t="inlineStr">
        <is>
          <t>VÄSTERNORRLANDS LÄN</t>
        </is>
      </c>
      <c r="E2208" t="inlineStr">
        <is>
          <t>SOLLEFTEÅ</t>
        </is>
      </c>
      <c r="G2208" t="n">
        <v>24.4</v>
      </c>
      <c r="H2208" t="n">
        <v>0</v>
      </c>
      <c r="I2208" t="n">
        <v>0</v>
      </c>
      <c r="J2208" t="n">
        <v>0</v>
      </c>
      <c r="K2208" t="n">
        <v>0</v>
      </c>
      <c r="L2208" t="n">
        <v>0</v>
      </c>
      <c r="M2208" t="n">
        <v>0</v>
      </c>
      <c r="N2208" t="n">
        <v>0</v>
      </c>
      <c r="O2208" t="n">
        <v>0</v>
      </c>
      <c r="P2208" t="n">
        <v>0</v>
      </c>
      <c r="Q2208" t="n">
        <v>0</v>
      </c>
      <c r="R2208" s="2" t="inlineStr"/>
    </row>
    <row r="2209" ht="15" customHeight="1">
      <c r="A2209" t="inlineStr">
        <is>
          <t>A 42440-2023</t>
        </is>
      </c>
      <c r="B2209" s="1" t="n">
        <v>45180</v>
      </c>
      <c r="C2209" s="1" t="n">
        <v>45346</v>
      </c>
      <c r="D2209" t="inlineStr">
        <is>
          <t>VÄSTERNORRLANDS LÄN</t>
        </is>
      </c>
      <c r="E2209" t="inlineStr">
        <is>
          <t>SOLLEFTEÅ</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42514-2023</t>
        </is>
      </c>
      <c r="B2210" s="1" t="n">
        <v>45181</v>
      </c>
      <c r="C2210" s="1" t="n">
        <v>45346</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42512-2023</t>
        </is>
      </c>
      <c r="B2211" s="1" t="n">
        <v>45181</v>
      </c>
      <c r="C2211" s="1" t="n">
        <v>45346</v>
      </c>
      <c r="D2211" t="inlineStr">
        <is>
          <t>VÄSTERNORRLANDS LÄN</t>
        </is>
      </c>
      <c r="E2211" t="inlineStr">
        <is>
          <t>SOLLEFTEÅ</t>
        </is>
      </c>
      <c r="F2211" t="inlineStr">
        <is>
          <t>SCA</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43487-2023</t>
        </is>
      </c>
      <c r="B2212" s="1" t="n">
        <v>45181</v>
      </c>
      <c r="C2212" s="1" t="n">
        <v>45346</v>
      </c>
      <c r="D2212" t="inlineStr">
        <is>
          <t>VÄSTERNORRLANDS LÄN</t>
        </is>
      </c>
      <c r="E2212" t="inlineStr">
        <is>
          <t>SOLLEFTEÅ</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43177-2023</t>
        </is>
      </c>
      <c r="B2213" s="1" t="n">
        <v>45181</v>
      </c>
      <c r="C2213" s="1" t="n">
        <v>45346</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43512-2023</t>
        </is>
      </c>
      <c r="B2214" s="1" t="n">
        <v>45181</v>
      </c>
      <c r="C2214" s="1" t="n">
        <v>45346</v>
      </c>
      <c r="D2214" t="inlineStr">
        <is>
          <t>VÄSTERNORRLANDS LÄN</t>
        </is>
      </c>
      <c r="E2214" t="inlineStr">
        <is>
          <t>SOLLEFTEÅ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44533-2023</t>
        </is>
      </c>
      <c r="B2215" s="1" t="n">
        <v>45183</v>
      </c>
      <c r="C2215" s="1" t="n">
        <v>45346</v>
      </c>
      <c r="D2215" t="inlineStr">
        <is>
          <t>VÄSTERNORRLANDS LÄN</t>
        </is>
      </c>
      <c r="E2215" t="inlineStr">
        <is>
          <t>SOLLEFTEÅ</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43531-2023</t>
        </is>
      </c>
      <c r="B2216" s="1" t="n">
        <v>45184</v>
      </c>
      <c r="C2216" s="1" t="n">
        <v>45346</v>
      </c>
      <c r="D2216" t="inlineStr">
        <is>
          <t>VÄSTERNORRLANDS LÄN</t>
        </is>
      </c>
      <c r="E2216" t="inlineStr">
        <is>
          <t>SOLLEFTEÅ</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43504-2023</t>
        </is>
      </c>
      <c r="B2217" s="1" t="n">
        <v>45184</v>
      </c>
      <c r="C2217" s="1" t="n">
        <v>45346</v>
      </c>
      <c r="D2217" t="inlineStr">
        <is>
          <t>VÄSTERNORRLANDS LÄN</t>
        </is>
      </c>
      <c r="E2217" t="inlineStr">
        <is>
          <t>SOLLEFTEÅ</t>
        </is>
      </c>
      <c r="F2217" t="inlineStr">
        <is>
          <t>Holmen skog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43954-2023</t>
        </is>
      </c>
      <c r="B2218" s="1" t="n">
        <v>45187</v>
      </c>
      <c r="C2218" s="1" t="n">
        <v>45346</v>
      </c>
      <c r="D2218" t="inlineStr">
        <is>
          <t>VÄSTERNORRLANDS LÄN</t>
        </is>
      </c>
      <c r="E2218" t="inlineStr">
        <is>
          <t>SOLLEFTEÅ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45193-2023</t>
        </is>
      </c>
      <c r="B2219" s="1" t="n">
        <v>45187</v>
      </c>
      <c r="C2219" s="1" t="n">
        <v>45346</v>
      </c>
      <c r="D2219" t="inlineStr">
        <is>
          <t>VÄSTERNORRLANDS LÄN</t>
        </is>
      </c>
      <c r="E2219" t="inlineStr">
        <is>
          <t>SOLLEFTEÅ</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44389-2023</t>
        </is>
      </c>
      <c r="B2220" s="1" t="n">
        <v>45189</v>
      </c>
      <c r="C2220" s="1" t="n">
        <v>45346</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44393-2023</t>
        </is>
      </c>
      <c r="B2221" s="1" t="n">
        <v>45189</v>
      </c>
      <c r="C2221" s="1" t="n">
        <v>45346</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44388-2023</t>
        </is>
      </c>
      <c r="B2222" s="1" t="n">
        <v>45189</v>
      </c>
      <c r="C2222" s="1" t="n">
        <v>45346</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44392-2023</t>
        </is>
      </c>
      <c r="B2223" s="1" t="n">
        <v>45189</v>
      </c>
      <c r="C2223" s="1" t="n">
        <v>45346</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44408-2023</t>
        </is>
      </c>
      <c r="B2224" s="1" t="n">
        <v>45189</v>
      </c>
      <c r="C2224" s="1" t="n">
        <v>45346</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44391-2023</t>
        </is>
      </c>
      <c r="B2225" s="1" t="n">
        <v>45189</v>
      </c>
      <c r="C2225" s="1" t="n">
        <v>45346</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44407-2023</t>
        </is>
      </c>
      <c r="B2226" s="1" t="n">
        <v>45189</v>
      </c>
      <c r="C2226" s="1" t="n">
        <v>45346</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45644-2023</t>
        </is>
      </c>
      <c r="B2227" s="1" t="n">
        <v>45188</v>
      </c>
      <c r="C2227" s="1" t="n">
        <v>45346</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c r="U2227">
        <f>HYPERLINK("https://klasma.github.io/Logging_2283/knärot/A 45644-2023 karta knärot.png", "A 45644-2023")</f>
        <v/>
      </c>
      <c r="V2227">
        <f>HYPERLINK("https://klasma.github.io/Logging_2283/klagomål/A 45644-2023 FSC-klagomål.docx", "A 45644-2023")</f>
        <v/>
      </c>
      <c r="W2227">
        <f>HYPERLINK("https://klasma.github.io/Logging_2283/klagomålsmail/A 45644-2023 FSC-klagomål mail.docx", "A 45644-2023")</f>
        <v/>
      </c>
      <c r="X2227">
        <f>HYPERLINK("https://klasma.github.io/Logging_2283/tillsyn/A 45644-2023 tillsynsbegäran.docx", "A 45644-2023")</f>
        <v/>
      </c>
      <c r="Y2227">
        <f>HYPERLINK("https://klasma.github.io/Logging_2283/tillsynsmail/A 45644-2023 tillsynsbegäran mail.docx", "A 45644-2023")</f>
        <v/>
      </c>
    </row>
    <row r="2228" ht="15" customHeight="1">
      <c r="A2228" t="inlineStr">
        <is>
          <t>A 44410-2023</t>
        </is>
      </c>
      <c r="B2228" s="1" t="n">
        <v>45189</v>
      </c>
      <c r="C2228" s="1" t="n">
        <v>45346</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44905-2023</t>
        </is>
      </c>
      <c r="B2229" s="1" t="n">
        <v>45189</v>
      </c>
      <c r="C2229" s="1" t="n">
        <v>45346</v>
      </c>
      <c r="D2229" t="inlineStr">
        <is>
          <t>VÄSTERNORRLANDS LÄN</t>
        </is>
      </c>
      <c r="E2229" t="inlineStr">
        <is>
          <t>SOLLEFTEÅ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44781-2023</t>
        </is>
      </c>
      <c r="B2230" s="1" t="n">
        <v>45190</v>
      </c>
      <c r="C2230" s="1" t="n">
        <v>45346</v>
      </c>
      <c r="D2230" t="inlineStr">
        <is>
          <t>VÄSTERNORRLANDS LÄN</t>
        </is>
      </c>
      <c r="E2230" t="inlineStr">
        <is>
          <t>SOLLEFTEÅ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45007-2023</t>
        </is>
      </c>
      <c r="B2231" s="1" t="n">
        <v>45190</v>
      </c>
      <c r="C2231" s="1" t="n">
        <v>45346</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45015-2023</t>
        </is>
      </c>
      <c r="B2232" s="1" t="n">
        <v>45191</v>
      </c>
      <c r="C2232" s="1" t="n">
        <v>45346</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44984-2023</t>
        </is>
      </c>
      <c r="B2233" s="1" t="n">
        <v>45191</v>
      </c>
      <c r="C2233" s="1" t="n">
        <v>45346</v>
      </c>
      <c r="D2233" t="inlineStr">
        <is>
          <t>VÄSTERNORRLANDS LÄN</t>
        </is>
      </c>
      <c r="E2233" t="inlineStr">
        <is>
          <t>SOLLEFTEÅ</t>
        </is>
      </c>
      <c r="F2233" t="inlineStr">
        <is>
          <t>SCA</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45016-2023</t>
        </is>
      </c>
      <c r="B2234" s="1" t="n">
        <v>45191</v>
      </c>
      <c r="C2234" s="1" t="n">
        <v>45346</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44986-2023</t>
        </is>
      </c>
      <c r="B2235" s="1" t="n">
        <v>45190</v>
      </c>
      <c r="C2235" s="1" t="n">
        <v>45346</v>
      </c>
      <c r="D2235" t="inlineStr">
        <is>
          <t>VÄSTERNORRLANDS LÄN</t>
        </is>
      </c>
      <c r="E2235" t="inlineStr">
        <is>
          <t>SOLLEFTEÅ</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44994-2023</t>
        </is>
      </c>
      <c r="B2236" s="1" t="n">
        <v>45190</v>
      </c>
      <c r="C2236" s="1" t="n">
        <v>45346</v>
      </c>
      <c r="D2236" t="inlineStr">
        <is>
          <t>VÄSTERNORRLANDS LÄN</t>
        </is>
      </c>
      <c r="E2236" t="inlineStr">
        <is>
          <t>SOLLEFTEÅ</t>
        </is>
      </c>
      <c r="F2236" t="inlineStr">
        <is>
          <t>SCA</t>
        </is>
      </c>
      <c r="G2236" t="n">
        <v>26.8</v>
      </c>
      <c r="H2236" t="n">
        <v>0</v>
      </c>
      <c r="I2236" t="n">
        <v>0</v>
      </c>
      <c r="J2236" t="n">
        <v>0</v>
      </c>
      <c r="K2236" t="n">
        <v>0</v>
      </c>
      <c r="L2236" t="n">
        <v>0</v>
      </c>
      <c r="M2236" t="n">
        <v>0</v>
      </c>
      <c r="N2236" t="n">
        <v>0</v>
      </c>
      <c r="O2236" t="n">
        <v>0</v>
      </c>
      <c r="P2236" t="n">
        <v>0</v>
      </c>
      <c r="Q2236" t="n">
        <v>0</v>
      </c>
      <c r="R2236" s="2" t="inlineStr"/>
    </row>
    <row r="2237" ht="15" customHeight="1">
      <c r="A2237" t="inlineStr">
        <is>
          <t>A 44998-2023</t>
        </is>
      </c>
      <c r="B2237" s="1" t="n">
        <v>45191</v>
      </c>
      <c r="C2237" s="1" t="n">
        <v>45346</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45014-2023</t>
        </is>
      </c>
      <c r="B2238" s="1" t="n">
        <v>45191</v>
      </c>
      <c r="C2238" s="1" t="n">
        <v>45346</v>
      </c>
      <c r="D2238" t="inlineStr">
        <is>
          <t>VÄSTERNORRLANDS LÄN</t>
        </is>
      </c>
      <c r="E2238" t="inlineStr">
        <is>
          <t>SOLLEFTEÅ</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45017-2023</t>
        </is>
      </c>
      <c r="B2239" s="1" t="n">
        <v>45190</v>
      </c>
      <c r="C2239" s="1" t="n">
        <v>45346</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46212-2023</t>
        </is>
      </c>
      <c r="B2240" s="1" t="n">
        <v>45190</v>
      </c>
      <c r="C2240" s="1" t="n">
        <v>45346</v>
      </c>
      <c r="D2240" t="inlineStr">
        <is>
          <t>VÄSTERNORRLANDS LÄN</t>
        </is>
      </c>
      <c r="E2240" t="inlineStr">
        <is>
          <t>SOLLEFTEÅ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46207-2023</t>
        </is>
      </c>
      <c r="B2241" s="1" t="n">
        <v>45190</v>
      </c>
      <c r="C2241" s="1" t="n">
        <v>45346</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46357-2023</t>
        </is>
      </c>
      <c r="B2242" s="1" t="n">
        <v>45191</v>
      </c>
      <c r="C2242" s="1" t="n">
        <v>45346</v>
      </c>
      <c r="D2242" t="inlineStr">
        <is>
          <t>VÄSTERNORRLANDS LÄN</t>
        </is>
      </c>
      <c r="E2242" t="inlineStr">
        <is>
          <t>SOLLEFTEÅ</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46344-2023</t>
        </is>
      </c>
      <c r="B2243" s="1" t="n">
        <v>45191</v>
      </c>
      <c r="C2243" s="1" t="n">
        <v>45346</v>
      </c>
      <c r="D2243" t="inlineStr">
        <is>
          <t>VÄSTERNORRLANDS LÄN</t>
        </is>
      </c>
      <c r="E2243" t="inlineStr">
        <is>
          <t>SOLLEFTEÅ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45570-2023</t>
        </is>
      </c>
      <c r="B2244" s="1" t="n">
        <v>45194</v>
      </c>
      <c r="C2244" s="1" t="n">
        <v>45346</v>
      </c>
      <c r="D2244" t="inlineStr">
        <is>
          <t>VÄSTERNORRLANDS LÄN</t>
        </is>
      </c>
      <c r="E2244" t="inlineStr">
        <is>
          <t>SOLLEFTEÅ</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45958-2023</t>
        </is>
      </c>
      <c r="B2245" s="1" t="n">
        <v>45195</v>
      </c>
      <c r="C2245" s="1" t="n">
        <v>45346</v>
      </c>
      <c r="D2245" t="inlineStr">
        <is>
          <t>VÄSTERNORRLANDS LÄN</t>
        </is>
      </c>
      <c r="E2245" t="inlineStr">
        <is>
          <t>SOLLEFTEÅ</t>
        </is>
      </c>
      <c r="F2245" t="inlineStr">
        <is>
          <t>SCA</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45973-2023</t>
        </is>
      </c>
      <c r="B2246" s="1" t="n">
        <v>45195</v>
      </c>
      <c r="C2246" s="1" t="n">
        <v>45346</v>
      </c>
      <c r="D2246" t="inlineStr">
        <is>
          <t>VÄSTERNORRLANDS LÄN</t>
        </is>
      </c>
      <c r="E2246" t="inlineStr">
        <is>
          <t>SOLLEFTEÅ</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46256-2023</t>
        </is>
      </c>
      <c r="B2247" s="1" t="n">
        <v>45197</v>
      </c>
      <c r="C2247" s="1" t="n">
        <v>45346</v>
      </c>
      <c r="D2247" t="inlineStr">
        <is>
          <t>VÄSTERNORRLANDS LÄN</t>
        </is>
      </c>
      <c r="E2247" t="inlineStr">
        <is>
          <t>SOLLEFTEÅ</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47329-2023</t>
        </is>
      </c>
      <c r="B2248" s="1" t="n">
        <v>45196</v>
      </c>
      <c r="C2248" s="1" t="n">
        <v>45346</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47327-2023</t>
        </is>
      </c>
      <c r="B2249" s="1" t="n">
        <v>45196</v>
      </c>
      <c r="C2249" s="1" t="n">
        <v>45346</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46553-2023</t>
        </is>
      </c>
      <c r="B2250" s="1" t="n">
        <v>45198</v>
      </c>
      <c r="C2250" s="1" t="n">
        <v>45346</v>
      </c>
      <c r="D2250" t="inlineStr">
        <is>
          <t>VÄSTERNORRLANDS LÄN</t>
        </is>
      </c>
      <c r="E2250" t="inlineStr">
        <is>
          <t>SOLLEFTEÅ</t>
        </is>
      </c>
      <c r="F2250" t="inlineStr">
        <is>
          <t>SCA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46550-2023</t>
        </is>
      </c>
      <c r="B2251" s="1" t="n">
        <v>45198</v>
      </c>
      <c r="C2251" s="1" t="n">
        <v>45346</v>
      </c>
      <c r="D2251" t="inlineStr">
        <is>
          <t>VÄSTERNORRLANDS LÄN</t>
        </is>
      </c>
      <c r="E2251" t="inlineStr">
        <is>
          <t>SOLLEFTEÅ</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46554-2023</t>
        </is>
      </c>
      <c r="B2252" s="1" t="n">
        <v>45198</v>
      </c>
      <c r="C2252" s="1" t="n">
        <v>45346</v>
      </c>
      <c r="D2252" t="inlineStr">
        <is>
          <t>VÄSTERNORRLANDS LÄN</t>
        </is>
      </c>
      <c r="E2252" t="inlineStr">
        <is>
          <t>SOLLEFTEÅ</t>
        </is>
      </c>
      <c r="F2252" t="inlineStr">
        <is>
          <t>SCA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46555-2023</t>
        </is>
      </c>
      <c r="B2253" s="1" t="n">
        <v>45198</v>
      </c>
      <c r="C2253" s="1" t="n">
        <v>45346</v>
      </c>
      <c r="D2253" t="inlineStr">
        <is>
          <t>VÄSTERNORRLANDS LÄN</t>
        </is>
      </c>
      <c r="E2253" t="inlineStr">
        <is>
          <t>SOLLEFTEÅ</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46804-2023</t>
        </is>
      </c>
      <c r="B2254" s="1" t="n">
        <v>45198</v>
      </c>
      <c r="C2254" s="1" t="n">
        <v>45346</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47741-2023</t>
        </is>
      </c>
      <c r="B2255" s="1" t="n">
        <v>45198</v>
      </c>
      <c r="C2255" s="1" t="n">
        <v>45346</v>
      </c>
      <c r="D2255" t="inlineStr">
        <is>
          <t>VÄSTERNORRLANDS LÄN</t>
        </is>
      </c>
      <c r="E2255" t="inlineStr">
        <is>
          <t>SOLLEFTEÅ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47159-2023</t>
        </is>
      </c>
      <c r="B2256" s="1" t="n">
        <v>45201</v>
      </c>
      <c r="C2256" s="1" t="n">
        <v>45346</v>
      </c>
      <c r="D2256" t="inlineStr">
        <is>
          <t>VÄSTERNORRLANDS LÄN</t>
        </is>
      </c>
      <c r="E2256" t="inlineStr">
        <is>
          <t>SOLLEFTEÅ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47167-2023</t>
        </is>
      </c>
      <c r="B2257" s="1" t="n">
        <v>45202</v>
      </c>
      <c r="C2257" s="1" t="n">
        <v>45346</v>
      </c>
      <c r="D2257" t="inlineStr">
        <is>
          <t>VÄSTERNORRLANDS LÄN</t>
        </is>
      </c>
      <c r="E2257" t="inlineStr">
        <is>
          <t>SOLLEFTEÅ</t>
        </is>
      </c>
      <c r="F2257" t="inlineStr">
        <is>
          <t>SCA</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47175-2023</t>
        </is>
      </c>
      <c r="B2258" s="1" t="n">
        <v>45202</v>
      </c>
      <c r="C2258" s="1" t="n">
        <v>45346</v>
      </c>
      <c r="D2258" t="inlineStr">
        <is>
          <t>VÄSTERNORRLANDS LÄN</t>
        </is>
      </c>
      <c r="E2258" t="inlineStr">
        <is>
          <t>SOLLEFTEÅ</t>
        </is>
      </c>
      <c r="F2258" t="inlineStr">
        <is>
          <t>SCA</t>
        </is>
      </c>
      <c r="G2258" t="n">
        <v>14.7</v>
      </c>
      <c r="H2258" t="n">
        <v>0</v>
      </c>
      <c r="I2258" t="n">
        <v>0</v>
      </c>
      <c r="J2258" t="n">
        <v>0</v>
      </c>
      <c r="K2258" t="n">
        <v>0</v>
      </c>
      <c r="L2258" t="n">
        <v>0</v>
      </c>
      <c r="M2258" t="n">
        <v>0</v>
      </c>
      <c r="N2258" t="n">
        <v>0</v>
      </c>
      <c r="O2258" t="n">
        <v>0</v>
      </c>
      <c r="P2258" t="n">
        <v>0</v>
      </c>
      <c r="Q2258" t="n">
        <v>0</v>
      </c>
      <c r="R2258" s="2" t="inlineStr"/>
    </row>
    <row r="2259" ht="15" customHeight="1">
      <c r="A2259" t="inlineStr">
        <is>
          <t>A 47170-2023</t>
        </is>
      </c>
      <c r="B2259" s="1" t="n">
        <v>45202</v>
      </c>
      <c r="C2259" s="1" t="n">
        <v>45346</v>
      </c>
      <c r="D2259" t="inlineStr">
        <is>
          <t>VÄSTERNORRLANDS LÄN</t>
        </is>
      </c>
      <c r="E2259" t="inlineStr">
        <is>
          <t>SOLLEFTEÅ</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47174-2023</t>
        </is>
      </c>
      <c r="B2260" s="1" t="n">
        <v>45202</v>
      </c>
      <c r="C2260" s="1" t="n">
        <v>45346</v>
      </c>
      <c r="D2260" t="inlineStr">
        <is>
          <t>VÄSTERNORRLANDS LÄN</t>
        </is>
      </c>
      <c r="E2260" t="inlineStr">
        <is>
          <t>SOLLEFTEÅ</t>
        </is>
      </c>
      <c r="F2260" t="inlineStr">
        <is>
          <t>SCA</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47177-2023</t>
        </is>
      </c>
      <c r="B2261" s="1" t="n">
        <v>45201</v>
      </c>
      <c r="C2261" s="1" t="n">
        <v>45346</v>
      </c>
      <c r="D2261" t="inlineStr">
        <is>
          <t>VÄSTERNORRLANDS LÄN</t>
        </is>
      </c>
      <c r="E2261" t="inlineStr">
        <is>
          <t>SOLLEFTEÅ</t>
        </is>
      </c>
      <c r="F2261" t="inlineStr">
        <is>
          <t>SCA</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47181-2023</t>
        </is>
      </c>
      <c r="B2262" s="1" t="n">
        <v>45202</v>
      </c>
      <c r="C2262" s="1" t="n">
        <v>45346</v>
      </c>
      <c r="D2262" t="inlineStr">
        <is>
          <t>VÄSTERNORRLANDS LÄN</t>
        </is>
      </c>
      <c r="E2262" t="inlineStr">
        <is>
          <t>SOLLEFTEÅ</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47185-2023</t>
        </is>
      </c>
      <c r="B2263" s="1" t="n">
        <v>45201</v>
      </c>
      <c r="C2263" s="1" t="n">
        <v>45346</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47490-2023</t>
        </is>
      </c>
      <c r="B2264" s="1" t="n">
        <v>45203</v>
      </c>
      <c r="C2264" s="1" t="n">
        <v>45346</v>
      </c>
      <c r="D2264" t="inlineStr">
        <is>
          <t>VÄSTERNORRLANDS LÄN</t>
        </is>
      </c>
      <c r="E2264" t="inlineStr">
        <is>
          <t>SOLLEFTEÅ</t>
        </is>
      </c>
      <c r="F2264" t="inlineStr">
        <is>
          <t>SCA</t>
        </is>
      </c>
      <c r="G2264" t="n">
        <v>12.6</v>
      </c>
      <c r="H2264" t="n">
        <v>0</v>
      </c>
      <c r="I2264" t="n">
        <v>0</v>
      </c>
      <c r="J2264" t="n">
        <v>0</v>
      </c>
      <c r="K2264" t="n">
        <v>0</v>
      </c>
      <c r="L2264" t="n">
        <v>0</v>
      </c>
      <c r="M2264" t="n">
        <v>0</v>
      </c>
      <c r="N2264" t="n">
        <v>0</v>
      </c>
      <c r="O2264" t="n">
        <v>0</v>
      </c>
      <c r="P2264" t="n">
        <v>0</v>
      </c>
      <c r="Q2264" t="n">
        <v>0</v>
      </c>
      <c r="R2264" s="2" t="inlineStr"/>
    </row>
    <row r="2265" ht="15" customHeight="1">
      <c r="A2265" t="inlineStr">
        <is>
          <t>A 47457-2023</t>
        </is>
      </c>
      <c r="B2265" s="1" t="n">
        <v>45202</v>
      </c>
      <c r="C2265" s="1" t="n">
        <v>45346</v>
      </c>
      <c r="D2265" t="inlineStr">
        <is>
          <t>VÄSTERNORRLANDS LÄN</t>
        </is>
      </c>
      <c r="E2265" t="inlineStr">
        <is>
          <t>SOLLEFTEÅ</t>
        </is>
      </c>
      <c r="F2265" t="inlineStr">
        <is>
          <t>Holmen skog AB</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47477-2023</t>
        </is>
      </c>
      <c r="B2266" s="1" t="n">
        <v>45203</v>
      </c>
      <c r="C2266" s="1" t="n">
        <v>45346</v>
      </c>
      <c r="D2266" t="inlineStr">
        <is>
          <t>VÄSTERNORRLANDS LÄN</t>
        </is>
      </c>
      <c r="E2266" t="inlineStr">
        <is>
          <t>SOLLEFTEÅ</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47794-2023</t>
        </is>
      </c>
      <c r="B2267" s="1" t="n">
        <v>45204</v>
      </c>
      <c r="C2267" s="1" t="n">
        <v>45346</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48077-2023</t>
        </is>
      </c>
      <c r="B2268" s="1" t="n">
        <v>45205</v>
      </c>
      <c r="C2268" s="1" t="n">
        <v>45346</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48085-2023</t>
        </is>
      </c>
      <c r="B2269" s="1" t="n">
        <v>45205</v>
      </c>
      <c r="C2269" s="1" t="n">
        <v>45346</v>
      </c>
      <c r="D2269" t="inlineStr">
        <is>
          <t>VÄSTERNORRLANDS LÄN</t>
        </is>
      </c>
      <c r="E2269" t="inlineStr">
        <is>
          <t>SOLLEFTEÅ</t>
        </is>
      </c>
      <c r="F2269" t="inlineStr">
        <is>
          <t>SCA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48089-2023</t>
        </is>
      </c>
      <c r="B2270" s="1" t="n">
        <v>45204</v>
      </c>
      <c r="C2270" s="1" t="n">
        <v>45346</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48083-2023</t>
        </is>
      </c>
      <c r="B2271" s="1" t="n">
        <v>45204</v>
      </c>
      <c r="C2271" s="1" t="n">
        <v>45346</v>
      </c>
      <c r="D2271" t="inlineStr">
        <is>
          <t>VÄSTERNORRLANDS LÄN</t>
        </is>
      </c>
      <c r="E2271" t="inlineStr">
        <is>
          <t>SOLLEFTEÅ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48086-2023</t>
        </is>
      </c>
      <c r="B2272" s="1" t="n">
        <v>45205</v>
      </c>
      <c r="C2272" s="1" t="n">
        <v>45346</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48090-2023</t>
        </is>
      </c>
      <c r="B2273" s="1" t="n">
        <v>45205</v>
      </c>
      <c r="C2273" s="1" t="n">
        <v>45346</v>
      </c>
      <c r="D2273" t="inlineStr">
        <is>
          <t>VÄSTERNORRLANDS LÄN</t>
        </is>
      </c>
      <c r="E2273" t="inlineStr">
        <is>
          <t>SOLLEFTEÅ</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48072-2023</t>
        </is>
      </c>
      <c r="B2274" s="1" t="n">
        <v>45205</v>
      </c>
      <c r="C2274" s="1" t="n">
        <v>45346</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48088-2023</t>
        </is>
      </c>
      <c r="B2275" s="1" t="n">
        <v>45205</v>
      </c>
      <c r="C2275" s="1" t="n">
        <v>45346</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48964-2023</t>
        </is>
      </c>
      <c r="B2276" s="1" t="n">
        <v>45204</v>
      </c>
      <c r="C2276" s="1" t="n">
        <v>45346</v>
      </c>
      <c r="D2276" t="inlineStr">
        <is>
          <t>VÄSTERNORRLANDS LÄN</t>
        </is>
      </c>
      <c r="E2276" t="inlineStr">
        <is>
          <t>SOLLEFTEÅ</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49417-2023</t>
        </is>
      </c>
      <c r="B2277" s="1" t="n">
        <v>45205</v>
      </c>
      <c r="C2277" s="1" t="n">
        <v>45346</v>
      </c>
      <c r="D2277" t="inlineStr">
        <is>
          <t>VÄSTERNORRLANDS LÄN</t>
        </is>
      </c>
      <c r="E2277" t="inlineStr">
        <is>
          <t>SOLLEFTEÅ</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48767-2023</t>
        </is>
      </c>
      <c r="B2278" s="1" t="n">
        <v>45208</v>
      </c>
      <c r="C2278" s="1" t="n">
        <v>45346</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48528-2023</t>
        </is>
      </c>
      <c r="B2279" s="1" t="n">
        <v>45208</v>
      </c>
      <c r="C2279" s="1" t="n">
        <v>45346</v>
      </c>
      <c r="D2279" t="inlineStr">
        <is>
          <t>VÄSTERNORRLANDS LÄN</t>
        </is>
      </c>
      <c r="E2279" t="inlineStr">
        <is>
          <t>SOLLEFTEÅ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48570-2023</t>
        </is>
      </c>
      <c r="B2280" s="1" t="n">
        <v>45208</v>
      </c>
      <c r="C2280" s="1" t="n">
        <v>45346</v>
      </c>
      <c r="D2280" t="inlineStr">
        <is>
          <t>VÄSTERNORRLANDS LÄN</t>
        </is>
      </c>
      <c r="E2280" t="inlineStr">
        <is>
          <t>SOLLEFTEÅ</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48999-2023</t>
        </is>
      </c>
      <c r="B2281" s="1" t="n">
        <v>45209</v>
      </c>
      <c r="C2281" s="1" t="n">
        <v>45346</v>
      </c>
      <c r="D2281" t="inlineStr">
        <is>
          <t>VÄSTERNORRLANDS LÄN</t>
        </is>
      </c>
      <c r="E2281" t="inlineStr">
        <is>
          <t>SOLLEFTEÅ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49036-2023</t>
        </is>
      </c>
      <c r="B2282" s="1" t="n">
        <v>45210</v>
      </c>
      <c r="C2282" s="1" t="n">
        <v>45346</v>
      </c>
      <c r="D2282" t="inlineStr">
        <is>
          <t>VÄSTERNORRLANDS LÄN</t>
        </is>
      </c>
      <c r="E2282" t="inlineStr">
        <is>
          <t>SOLLEFTEÅ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50313-2023</t>
        </is>
      </c>
      <c r="B2283" s="1" t="n">
        <v>45209</v>
      </c>
      <c r="C2283" s="1" t="n">
        <v>45346</v>
      </c>
      <c r="D2283" t="inlineStr">
        <is>
          <t>VÄSTERNORRLANDS LÄN</t>
        </is>
      </c>
      <c r="E2283" t="inlineStr">
        <is>
          <t>SOLLEFTEÅ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49313-2023</t>
        </is>
      </c>
      <c r="B2284" s="1" t="n">
        <v>45211</v>
      </c>
      <c r="C2284" s="1" t="n">
        <v>45346</v>
      </c>
      <c r="D2284" t="inlineStr">
        <is>
          <t>VÄSTERNORRLANDS LÄN</t>
        </is>
      </c>
      <c r="E2284" t="inlineStr">
        <is>
          <t>SOLLEFTEÅ</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49317-2023</t>
        </is>
      </c>
      <c r="B2285" s="1" t="n">
        <v>45210</v>
      </c>
      <c r="C2285" s="1" t="n">
        <v>45346</v>
      </c>
      <c r="D2285" t="inlineStr">
        <is>
          <t>VÄSTERNORRLANDS LÄN</t>
        </is>
      </c>
      <c r="E2285" t="inlineStr">
        <is>
          <t>SOLLEFTEÅ</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49323-2023</t>
        </is>
      </c>
      <c r="B2286" s="1" t="n">
        <v>45211</v>
      </c>
      <c r="C2286" s="1" t="n">
        <v>45346</v>
      </c>
      <c r="D2286" t="inlineStr">
        <is>
          <t>VÄSTERNORRLANDS LÄN</t>
        </is>
      </c>
      <c r="E2286" t="inlineStr">
        <is>
          <t>SOLLEFTEÅ</t>
        </is>
      </c>
      <c r="F2286" t="inlineStr">
        <is>
          <t>SCA</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49324-2023</t>
        </is>
      </c>
      <c r="B2287" s="1" t="n">
        <v>45210</v>
      </c>
      <c r="C2287" s="1" t="n">
        <v>45346</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50698-2023</t>
        </is>
      </c>
      <c r="B2288" s="1" t="n">
        <v>45210</v>
      </c>
      <c r="C2288" s="1" t="n">
        <v>45346</v>
      </c>
      <c r="D2288" t="inlineStr">
        <is>
          <t>VÄSTERNORRLANDS LÄN</t>
        </is>
      </c>
      <c r="E2288" t="inlineStr">
        <is>
          <t>SOLLEFTEÅ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50745-2023</t>
        </is>
      </c>
      <c r="B2289" s="1" t="n">
        <v>45210</v>
      </c>
      <c r="C2289" s="1" t="n">
        <v>45346</v>
      </c>
      <c r="D2289" t="inlineStr">
        <is>
          <t>VÄSTERNORRLANDS LÄN</t>
        </is>
      </c>
      <c r="E2289" t="inlineStr">
        <is>
          <t>SOLLEFTEÅ</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50716-2023</t>
        </is>
      </c>
      <c r="B2290" s="1" t="n">
        <v>45210</v>
      </c>
      <c r="C2290" s="1" t="n">
        <v>45346</v>
      </c>
      <c r="D2290" t="inlineStr">
        <is>
          <t>VÄSTERNORRLANDS LÄN</t>
        </is>
      </c>
      <c r="E2290" t="inlineStr">
        <is>
          <t>SOLLEFTEÅ</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50674-2023</t>
        </is>
      </c>
      <c r="B2291" s="1" t="n">
        <v>45210</v>
      </c>
      <c r="C2291" s="1" t="n">
        <v>45346</v>
      </c>
      <c r="D2291" t="inlineStr">
        <is>
          <t>VÄSTERNORRLANDS LÄN</t>
        </is>
      </c>
      <c r="E2291" t="inlineStr">
        <is>
          <t>SOLLEFTEÅ</t>
        </is>
      </c>
      <c r="G2291" t="n">
        <v>11.8</v>
      </c>
      <c r="H2291" t="n">
        <v>0</v>
      </c>
      <c r="I2291" t="n">
        <v>0</v>
      </c>
      <c r="J2291" t="n">
        <v>0</v>
      </c>
      <c r="K2291" t="n">
        <v>0</v>
      </c>
      <c r="L2291" t="n">
        <v>0</v>
      </c>
      <c r="M2291" t="n">
        <v>0</v>
      </c>
      <c r="N2291" t="n">
        <v>0</v>
      </c>
      <c r="O2291" t="n">
        <v>0</v>
      </c>
      <c r="P2291" t="n">
        <v>0</v>
      </c>
      <c r="Q2291" t="n">
        <v>0</v>
      </c>
      <c r="R2291" s="2" t="inlineStr"/>
    </row>
    <row r="2292" ht="15" customHeight="1">
      <c r="A2292" t="inlineStr">
        <is>
          <t>A 50688-2023</t>
        </is>
      </c>
      <c r="B2292" s="1" t="n">
        <v>45210</v>
      </c>
      <c r="C2292" s="1" t="n">
        <v>45346</v>
      </c>
      <c r="D2292" t="inlineStr">
        <is>
          <t>VÄSTERNORRLANDS LÄN</t>
        </is>
      </c>
      <c r="E2292" t="inlineStr">
        <is>
          <t>SOLLEFTEÅ</t>
        </is>
      </c>
      <c r="G2292" t="n">
        <v>15.6</v>
      </c>
      <c r="H2292" t="n">
        <v>0</v>
      </c>
      <c r="I2292" t="n">
        <v>0</v>
      </c>
      <c r="J2292" t="n">
        <v>0</v>
      </c>
      <c r="K2292" t="n">
        <v>0</v>
      </c>
      <c r="L2292" t="n">
        <v>0</v>
      </c>
      <c r="M2292" t="n">
        <v>0</v>
      </c>
      <c r="N2292" t="n">
        <v>0</v>
      </c>
      <c r="O2292" t="n">
        <v>0</v>
      </c>
      <c r="P2292" t="n">
        <v>0</v>
      </c>
      <c r="Q2292" t="n">
        <v>0</v>
      </c>
      <c r="R2292" s="2" t="inlineStr"/>
    </row>
    <row r="2293" ht="15" customHeight="1">
      <c r="A2293" t="inlineStr">
        <is>
          <t>A 50708-2023</t>
        </is>
      </c>
      <c r="B2293" s="1" t="n">
        <v>45210</v>
      </c>
      <c r="C2293" s="1" t="n">
        <v>45346</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49649-2023</t>
        </is>
      </c>
      <c r="B2294" s="1" t="n">
        <v>45212</v>
      </c>
      <c r="C2294" s="1" t="n">
        <v>45346</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49810-2023</t>
        </is>
      </c>
      <c r="B2295" s="1" t="n">
        <v>45212</v>
      </c>
      <c r="C2295" s="1" t="n">
        <v>45346</v>
      </c>
      <c r="D2295" t="inlineStr">
        <is>
          <t>VÄSTERNORRLANDS LÄN</t>
        </is>
      </c>
      <c r="E2295" t="inlineStr">
        <is>
          <t>SOLLEFTEÅ</t>
        </is>
      </c>
      <c r="F2295" t="inlineStr">
        <is>
          <t>Holmen skog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50226-2023</t>
        </is>
      </c>
      <c r="B2296" s="1" t="n">
        <v>45216</v>
      </c>
      <c r="C2296" s="1" t="n">
        <v>45346</v>
      </c>
      <c r="D2296" t="inlineStr">
        <is>
          <t>VÄSTERNORRLANDS LÄN</t>
        </is>
      </c>
      <c r="E2296" t="inlineStr">
        <is>
          <t>SOLLEFTEÅ</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51522-2023</t>
        </is>
      </c>
      <c r="B2297" s="1" t="n">
        <v>45215</v>
      </c>
      <c r="C2297" s="1" t="n">
        <v>45346</v>
      </c>
      <c r="D2297" t="inlineStr">
        <is>
          <t>VÄSTERNORRLANDS LÄN</t>
        </is>
      </c>
      <c r="E2297" t="inlineStr">
        <is>
          <t>SOLLEFTEÅ</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51515-2023</t>
        </is>
      </c>
      <c r="B2298" s="1" t="n">
        <v>45215</v>
      </c>
      <c r="C2298" s="1" t="n">
        <v>45346</v>
      </c>
      <c r="D2298" t="inlineStr">
        <is>
          <t>VÄSTERNORRLANDS LÄN</t>
        </is>
      </c>
      <c r="E2298" t="inlineStr">
        <is>
          <t>SOLLEFTEÅ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51681-2023</t>
        </is>
      </c>
      <c r="B2299" s="1" t="n">
        <v>45215</v>
      </c>
      <c r="C2299" s="1" t="n">
        <v>45346</v>
      </c>
      <c r="D2299" t="inlineStr">
        <is>
          <t>VÄSTERNORRLANDS LÄN</t>
        </is>
      </c>
      <c r="E2299" t="inlineStr">
        <is>
          <t>SOLLEFTEÅ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51677-2023</t>
        </is>
      </c>
      <c r="B2300" s="1" t="n">
        <v>45215</v>
      </c>
      <c r="C2300" s="1" t="n">
        <v>45346</v>
      </c>
      <c r="D2300" t="inlineStr">
        <is>
          <t>VÄSTERNORRLANDS LÄN</t>
        </is>
      </c>
      <c r="E2300" t="inlineStr">
        <is>
          <t>SOLLEFTEÅ</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51690-2023</t>
        </is>
      </c>
      <c r="B2301" s="1" t="n">
        <v>45215</v>
      </c>
      <c r="C2301" s="1" t="n">
        <v>45346</v>
      </c>
      <c r="D2301" t="inlineStr">
        <is>
          <t>VÄSTERNORRLANDS LÄN</t>
        </is>
      </c>
      <c r="E2301" t="inlineStr">
        <is>
          <t>SOLLEFTEÅ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50507-2023</t>
        </is>
      </c>
      <c r="B2302" s="1" t="n">
        <v>45217</v>
      </c>
      <c r="C2302" s="1" t="n">
        <v>45346</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50767-2023</t>
        </is>
      </c>
      <c r="B2303" s="1" t="n">
        <v>45217</v>
      </c>
      <c r="C2303" s="1" t="n">
        <v>45346</v>
      </c>
      <c r="D2303" t="inlineStr">
        <is>
          <t>VÄSTERNORRLANDS LÄN</t>
        </is>
      </c>
      <c r="E2303" t="inlineStr">
        <is>
          <t>SOLLEFTEÅ</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50841-2023</t>
        </is>
      </c>
      <c r="B2304" s="1" t="n">
        <v>45217</v>
      </c>
      <c r="C2304" s="1" t="n">
        <v>45346</v>
      </c>
      <c r="D2304" t="inlineStr">
        <is>
          <t>VÄSTERNORRLANDS LÄN</t>
        </is>
      </c>
      <c r="E2304" t="inlineStr">
        <is>
          <t>SOLLEFTEÅ</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50615-2023</t>
        </is>
      </c>
      <c r="B2305" s="1" t="n">
        <v>45217</v>
      </c>
      <c r="C2305" s="1" t="n">
        <v>45346</v>
      </c>
      <c r="D2305" t="inlineStr">
        <is>
          <t>VÄSTERNORRLANDS LÄN</t>
        </is>
      </c>
      <c r="E2305" t="inlineStr">
        <is>
          <t>SOLLEFTEÅ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50757-2023</t>
        </is>
      </c>
      <c r="B2306" s="1" t="n">
        <v>45217</v>
      </c>
      <c r="C2306" s="1" t="n">
        <v>45346</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50844-2023</t>
        </is>
      </c>
      <c r="B2307" s="1" t="n">
        <v>45217</v>
      </c>
      <c r="C2307" s="1" t="n">
        <v>45346</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52266-2023</t>
        </is>
      </c>
      <c r="B2308" s="1" t="n">
        <v>45217</v>
      </c>
      <c r="C2308" s="1" t="n">
        <v>45346</v>
      </c>
      <c r="D2308" t="inlineStr">
        <is>
          <t>VÄSTERNORRLANDS LÄN</t>
        </is>
      </c>
      <c r="E2308" t="inlineStr">
        <is>
          <t>SOLLEFTEÅ</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52267-2023</t>
        </is>
      </c>
      <c r="B2309" s="1" t="n">
        <v>45217</v>
      </c>
      <c r="C2309" s="1" t="n">
        <v>45346</v>
      </c>
      <c r="D2309" t="inlineStr">
        <is>
          <t>VÄSTERNORRLANDS LÄN</t>
        </is>
      </c>
      <c r="E2309" t="inlineStr">
        <is>
          <t>SOLLEFTEÅ</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51107-2023</t>
        </is>
      </c>
      <c r="B2310" s="1" t="n">
        <v>45219</v>
      </c>
      <c r="C2310" s="1" t="n">
        <v>45346</v>
      </c>
      <c r="D2310" t="inlineStr">
        <is>
          <t>VÄSTERNORRLANDS LÄN</t>
        </is>
      </c>
      <c r="E2310" t="inlineStr">
        <is>
          <t>SOLLEFTEÅ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51106-2023</t>
        </is>
      </c>
      <c r="B2311" s="1" t="n">
        <v>45219</v>
      </c>
      <c r="C2311" s="1" t="n">
        <v>45346</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51800-2023</t>
        </is>
      </c>
      <c r="B2312" s="1" t="n">
        <v>45222</v>
      </c>
      <c r="C2312" s="1" t="n">
        <v>45346</v>
      </c>
      <c r="D2312" t="inlineStr">
        <is>
          <t>VÄSTERNORRLANDS LÄN</t>
        </is>
      </c>
      <c r="E2312" t="inlineStr">
        <is>
          <t>SOLLEFTEÅ</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51801-2023</t>
        </is>
      </c>
      <c r="B2313" s="1" t="n">
        <v>45222</v>
      </c>
      <c r="C2313" s="1" t="n">
        <v>45346</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53375-2023</t>
        </is>
      </c>
      <c r="B2314" s="1" t="n">
        <v>45222</v>
      </c>
      <c r="C2314" s="1" t="n">
        <v>45346</v>
      </c>
      <c r="D2314" t="inlineStr">
        <is>
          <t>VÄSTERNORRLANDS LÄN</t>
        </is>
      </c>
      <c r="E2314" t="inlineStr">
        <is>
          <t>SOLLEFTEÅ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53224-2023</t>
        </is>
      </c>
      <c r="B2315" s="1" t="n">
        <v>45222</v>
      </c>
      <c r="C2315" s="1" t="n">
        <v>45346</v>
      </c>
      <c r="D2315" t="inlineStr">
        <is>
          <t>VÄSTERNORRLANDS LÄN</t>
        </is>
      </c>
      <c r="E2315" t="inlineStr">
        <is>
          <t>SOLLEFTEÅ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53231-2023</t>
        </is>
      </c>
      <c r="B2316" s="1" t="n">
        <v>45222</v>
      </c>
      <c r="C2316" s="1" t="n">
        <v>45346</v>
      </c>
      <c r="D2316" t="inlineStr">
        <is>
          <t>VÄSTERNORRLANDS LÄN</t>
        </is>
      </c>
      <c r="E2316" t="inlineStr">
        <is>
          <t>SOLLEFTEÅ</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53379-2023</t>
        </is>
      </c>
      <c r="B2317" s="1" t="n">
        <v>45222</v>
      </c>
      <c r="C2317" s="1" t="n">
        <v>45346</v>
      </c>
      <c r="D2317" t="inlineStr">
        <is>
          <t>VÄSTERNORRLANDS LÄN</t>
        </is>
      </c>
      <c r="E2317" t="inlineStr">
        <is>
          <t>SOLLEFTEÅ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51802-2023</t>
        </is>
      </c>
      <c r="B2318" s="1" t="n">
        <v>45223</v>
      </c>
      <c r="C2318" s="1" t="n">
        <v>45346</v>
      </c>
      <c r="D2318" t="inlineStr">
        <is>
          <t>VÄSTERNORRLANDS LÄN</t>
        </is>
      </c>
      <c r="E2318" t="inlineStr">
        <is>
          <t>SOLLEFTEÅ</t>
        </is>
      </c>
      <c r="F2318" t="inlineStr">
        <is>
          <t>SCA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53394-2023</t>
        </is>
      </c>
      <c r="B2319" s="1" t="n">
        <v>45222</v>
      </c>
      <c r="C2319" s="1" t="n">
        <v>45346</v>
      </c>
      <c r="D2319" t="inlineStr">
        <is>
          <t>VÄSTERNORRLANDS LÄN</t>
        </is>
      </c>
      <c r="E2319" t="inlineStr">
        <is>
          <t>SOLLEFTEÅ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52136-2023</t>
        </is>
      </c>
      <c r="B2320" s="1" t="n">
        <v>45224</v>
      </c>
      <c r="C2320" s="1" t="n">
        <v>45346</v>
      </c>
      <c r="D2320" t="inlineStr">
        <is>
          <t>VÄSTERNORRLANDS LÄN</t>
        </is>
      </c>
      <c r="E2320" t="inlineStr">
        <is>
          <t>SOLLEFTEÅ</t>
        </is>
      </c>
      <c r="F2320" t="inlineStr">
        <is>
          <t>SCA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52087-2023</t>
        </is>
      </c>
      <c r="B2321" s="1" t="n">
        <v>45223</v>
      </c>
      <c r="C2321" s="1" t="n">
        <v>45346</v>
      </c>
      <c r="D2321" t="inlineStr">
        <is>
          <t>VÄSTERNORRLANDS LÄN</t>
        </is>
      </c>
      <c r="E2321" t="inlineStr">
        <is>
          <t>SOLLEFTEÅ</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53550-2023</t>
        </is>
      </c>
      <c r="B2322" s="1" t="n">
        <v>45223</v>
      </c>
      <c r="C2322" s="1" t="n">
        <v>45346</v>
      </c>
      <c r="D2322" t="inlineStr">
        <is>
          <t>VÄSTERNORRLANDS LÄN</t>
        </is>
      </c>
      <c r="E2322" t="inlineStr">
        <is>
          <t>SOLLEFTEÅ</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53855-2023</t>
        </is>
      </c>
      <c r="B2323" s="1" t="n">
        <v>45224</v>
      </c>
      <c r="C2323" s="1" t="n">
        <v>45346</v>
      </c>
      <c r="D2323" t="inlineStr">
        <is>
          <t>VÄSTERNORRLANDS LÄN</t>
        </is>
      </c>
      <c r="E2323" t="inlineStr">
        <is>
          <t>SOLLEFTEÅ</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53850-2023</t>
        </is>
      </c>
      <c r="B2324" s="1" t="n">
        <v>45224</v>
      </c>
      <c r="C2324" s="1" t="n">
        <v>45346</v>
      </c>
      <c r="D2324" t="inlineStr">
        <is>
          <t>VÄSTERNORRLANDS LÄN</t>
        </is>
      </c>
      <c r="E2324" t="inlineStr">
        <is>
          <t>SOLLEFTEÅ</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53939-2023</t>
        </is>
      </c>
      <c r="B2325" s="1" t="n">
        <v>45224</v>
      </c>
      <c r="C2325" s="1" t="n">
        <v>45346</v>
      </c>
      <c r="D2325" t="inlineStr">
        <is>
          <t>VÄSTERNORRLANDS LÄN</t>
        </is>
      </c>
      <c r="E2325" t="inlineStr">
        <is>
          <t>SOLLEFTEÅ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52445-2023</t>
        </is>
      </c>
      <c r="B2326" s="1" t="n">
        <v>45225</v>
      </c>
      <c r="C2326" s="1" t="n">
        <v>45346</v>
      </c>
      <c r="D2326" t="inlineStr">
        <is>
          <t>VÄSTERNORRLANDS LÄN</t>
        </is>
      </c>
      <c r="E2326" t="inlineStr">
        <is>
          <t>SOLLEFTEÅ</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54307-2023</t>
        </is>
      </c>
      <c r="B2327" s="1" t="n">
        <v>45225</v>
      </c>
      <c r="C2327" s="1" t="n">
        <v>45346</v>
      </c>
      <c r="D2327" t="inlineStr">
        <is>
          <t>VÄSTERNORRLANDS LÄN</t>
        </is>
      </c>
      <c r="E2327" t="inlineStr">
        <is>
          <t>SOLLEFTEÅ</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53040-2023</t>
        </is>
      </c>
      <c r="B2328" s="1" t="n">
        <v>45226</v>
      </c>
      <c r="C2328" s="1" t="n">
        <v>45346</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54526-2023</t>
        </is>
      </c>
      <c r="B2329" s="1" t="n">
        <v>45226</v>
      </c>
      <c r="C2329" s="1" t="n">
        <v>45346</v>
      </c>
      <c r="D2329" t="inlineStr">
        <is>
          <t>VÄSTERNORRLANDS LÄN</t>
        </is>
      </c>
      <c r="E2329" t="inlineStr">
        <is>
          <t>SOLLEFTEÅ</t>
        </is>
      </c>
      <c r="G2329" t="n">
        <v>23.8</v>
      </c>
      <c r="H2329" t="n">
        <v>0</v>
      </c>
      <c r="I2329" t="n">
        <v>0</v>
      </c>
      <c r="J2329" t="n">
        <v>0</v>
      </c>
      <c r="K2329" t="n">
        <v>0</v>
      </c>
      <c r="L2329" t="n">
        <v>0</v>
      </c>
      <c r="M2329" t="n">
        <v>0</v>
      </c>
      <c r="N2329" t="n">
        <v>0</v>
      </c>
      <c r="O2329" t="n">
        <v>0</v>
      </c>
      <c r="P2329" t="n">
        <v>0</v>
      </c>
      <c r="Q2329" t="n">
        <v>0</v>
      </c>
      <c r="R2329" s="2" t="inlineStr"/>
    </row>
    <row r="2330" ht="15" customHeight="1">
      <c r="A2330" t="inlineStr">
        <is>
          <t>A 53057-2023</t>
        </is>
      </c>
      <c r="B2330" s="1" t="n">
        <v>45226</v>
      </c>
      <c r="C2330" s="1" t="n">
        <v>45346</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53049-2023</t>
        </is>
      </c>
      <c r="B2331" s="1" t="n">
        <v>45226</v>
      </c>
      <c r="C2331" s="1" t="n">
        <v>45346</v>
      </c>
      <c r="D2331" t="inlineStr">
        <is>
          <t>VÄSTERNORRLANDS LÄN</t>
        </is>
      </c>
      <c r="E2331" t="inlineStr">
        <is>
          <t>SOLLEFTEÅ</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53041-2023</t>
        </is>
      </c>
      <c r="B2332" s="1" t="n">
        <v>45226</v>
      </c>
      <c r="C2332" s="1" t="n">
        <v>45346</v>
      </c>
      <c r="D2332" t="inlineStr">
        <is>
          <t>VÄSTERNORRLANDS LÄN</t>
        </is>
      </c>
      <c r="E2332" t="inlineStr">
        <is>
          <t>SOLLEFTEÅ</t>
        </is>
      </c>
      <c r="F2332" t="inlineStr">
        <is>
          <t>SCA</t>
        </is>
      </c>
      <c r="G2332" t="n">
        <v>50.2</v>
      </c>
      <c r="H2332" t="n">
        <v>0</v>
      </c>
      <c r="I2332" t="n">
        <v>0</v>
      </c>
      <c r="J2332" t="n">
        <v>0</v>
      </c>
      <c r="K2332" t="n">
        <v>0</v>
      </c>
      <c r="L2332" t="n">
        <v>0</v>
      </c>
      <c r="M2332" t="n">
        <v>0</v>
      </c>
      <c r="N2332" t="n">
        <v>0</v>
      </c>
      <c r="O2332" t="n">
        <v>0</v>
      </c>
      <c r="P2332" t="n">
        <v>0</v>
      </c>
      <c r="Q2332" t="n">
        <v>0</v>
      </c>
      <c r="R2332" s="2" t="inlineStr"/>
    </row>
    <row r="2333" ht="15" customHeight="1">
      <c r="A2333" t="inlineStr">
        <is>
          <t>A 53048-2023</t>
        </is>
      </c>
      <c r="B2333" s="1" t="n">
        <v>45226</v>
      </c>
      <c r="C2333" s="1" t="n">
        <v>45346</v>
      </c>
      <c r="D2333" t="inlineStr">
        <is>
          <t>VÄSTERNORRLANDS LÄN</t>
        </is>
      </c>
      <c r="E2333" t="inlineStr">
        <is>
          <t>SOLLEFTEÅ</t>
        </is>
      </c>
      <c r="F2333" t="inlineStr">
        <is>
          <t>SCA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53452-2023</t>
        </is>
      </c>
      <c r="B2334" s="1" t="n">
        <v>45229</v>
      </c>
      <c r="C2334" s="1" t="n">
        <v>45346</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53453-2023</t>
        </is>
      </c>
      <c r="B2335" s="1" t="n">
        <v>45230</v>
      </c>
      <c r="C2335" s="1" t="n">
        <v>45346</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53669-2023</t>
        </is>
      </c>
      <c r="B2336" s="1" t="n">
        <v>45230</v>
      </c>
      <c r="C2336" s="1" t="n">
        <v>45346</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54016-2023</t>
        </is>
      </c>
      <c r="B2337" s="1" t="n">
        <v>45231</v>
      </c>
      <c r="C2337" s="1" t="n">
        <v>45346</v>
      </c>
      <c r="D2337" t="inlineStr">
        <is>
          <t>VÄSTERNORRLANDS LÄN</t>
        </is>
      </c>
      <c r="E2337" t="inlineStr">
        <is>
          <t>SOLLEFTEÅ</t>
        </is>
      </c>
      <c r="F2337" t="inlineStr">
        <is>
          <t>Holmen skog AB</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54020-2023</t>
        </is>
      </c>
      <c r="B2338" s="1" t="n">
        <v>45231</v>
      </c>
      <c r="C2338" s="1" t="n">
        <v>45346</v>
      </c>
      <c r="D2338" t="inlineStr">
        <is>
          <t>VÄSTERNORRLANDS LÄN</t>
        </is>
      </c>
      <c r="E2338" t="inlineStr">
        <is>
          <t>SOLLEFTEÅ</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54034-2023</t>
        </is>
      </c>
      <c r="B2339" s="1" t="n">
        <v>45231</v>
      </c>
      <c r="C2339" s="1" t="n">
        <v>45346</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54033-2023</t>
        </is>
      </c>
      <c r="B2340" s="1" t="n">
        <v>45231</v>
      </c>
      <c r="C2340" s="1" t="n">
        <v>45346</v>
      </c>
      <c r="D2340" t="inlineStr">
        <is>
          <t>VÄSTERNORRLANDS LÄN</t>
        </is>
      </c>
      <c r="E2340" t="inlineStr">
        <is>
          <t>SOLLEFTEÅ</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54035-2023</t>
        </is>
      </c>
      <c r="B2341" s="1" t="n">
        <v>45231</v>
      </c>
      <c r="C2341" s="1" t="n">
        <v>45346</v>
      </c>
      <c r="D2341" t="inlineStr">
        <is>
          <t>VÄSTERNORRLANDS LÄN</t>
        </is>
      </c>
      <c r="E2341" t="inlineStr">
        <is>
          <t>SOLLEFTEÅ</t>
        </is>
      </c>
      <c r="G2341" t="n">
        <v>12.7</v>
      </c>
      <c r="H2341" t="n">
        <v>0</v>
      </c>
      <c r="I2341" t="n">
        <v>0</v>
      </c>
      <c r="J2341" t="n">
        <v>0</v>
      </c>
      <c r="K2341" t="n">
        <v>0</v>
      </c>
      <c r="L2341" t="n">
        <v>0</v>
      </c>
      <c r="M2341" t="n">
        <v>0</v>
      </c>
      <c r="N2341" t="n">
        <v>0</v>
      </c>
      <c r="O2341" t="n">
        <v>0</v>
      </c>
      <c r="P2341" t="n">
        <v>0</v>
      </c>
      <c r="Q2341" t="n">
        <v>0</v>
      </c>
      <c r="R2341" s="2" t="inlineStr"/>
    </row>
    <row r="2342" ht="15" customHeight="1">
      <c r="A2342" t="inlineStr">
        <is>
          <t>A 54048-2023</t>
        </is>
      </c>
      <c r="B2342" s="1" t="n">
        <v>45232</v>
      </c>
      <c r="C2342" s="1" t="n">
        <v>45346</v>
      </c>
      <c r="D2342" t="inlineStr">
        <is>
          <t>VÄSTERNORRLANDS LÄN</t>
        </is>
      </c>
      <c r="E2342" t="inlineStr">
        <is>
          <t>SOLLEFTEÅ</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54036-2023</t>
        </is>
      </c>
      <c r="B2343" s="1" t="n">
        <v>45231</v>
      </c>
      <c r="C2343" s="1" t="n">
        <v>45346</v>
      </c>
      <c r="D2343" t="inlineStr">
        <is>
          <t>VÄSTERNORRLANDS LÄN</t>
        </is>
      </c>
      <c r="E2343" t="inlineStr">
        <is>
          <t>SOLLEFTEÅ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54045-2023</t>
        </is>
      </c>
      <c r="B2344" s="1" t="n">
        <v>45232</v>
      </c>
      <c r="C2344" s="1" t="n">
        <v>45346</v>
      </c>
      <c r="D2344" t="inlineStr">
        <is>
          <t>VÄSTERNORRLANDS LÄN</t>
        </is>
      </c>
      <c r="E2344" t="inlineStr">
        <is>
          <t>SOLLEFTEÅ</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54049-2023</t>
        </is>
      </c>
      <c r="B2345" s="1" t="n">
        <v>45231</v>
      </c>
      <c r="C2345" s="1" t="n">
        <v>45346</v>
      </c>
      <c r="D2345" t="inlineStr">
        <is>
          <t>VÄSTERNORRLANDS LÄN</t>
        </is>
      </c>
      <c r="E2345" t="inlineStr">
        <is>
          <t>SOLLEFTEÅ</t>
        </is>
      </c>
      <c r="F2345" t="inlineStr">
        <is>
          <t>SCA</t>
        </is>
      </c>
      <c r="G2345" t="n">
        <v>9.800000000000001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54092-2023</t>
        </is>
      </c>
      <c r="B2346" s="1" t="n">
        <v>45232</v>
      </c>
      <c r="C2346" s="1" t="n">
        <v>45346</v>
      </c>
      <c r="D2346" t="inlineStr">
        <is>
          <t>VÄSTERNORRLANDS LÄN</t>
        </is>
      </c>
      <c r="E2346" t="inlineStr">
        <is>
          <t>SOLLEFTEÅ</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54088-2023</t>
        </is>
      </c>
      <c r="B2347" s="1" t="n">
        <v>45232</v>
      </c>
      <c r="C2347" s="1" t="n">
        <v>45346</v>
      </c>
      <c r="D2347" t="inlineStr">
        <is>
          <t>VÄSTERNORRLANDS LÄN</t>
        </is>
      </c>
      <c r="E2347" t="inlineStr">
        <is>
          <t>SOLLEFTEÅ</t>
        </is>
      </c>
      <c r="F2347" t="inlineStr">
        <is>
          <t>Holmen skog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54198-2023</t>
        </is>
      </c>
      <c r="B2348" s="1" t="n">
        <v>45232</v>
      </c>
      <c r="C2348" s="1" t="n">
        <v>45346</v>
      </c>
      <c r="D2348" t="inlineStr">
        <is>
          <t>VÄSTERNORRLANDS LÄN</t>
        </is>
      </c>
      <c r="E2348" t="inlineStr">
        <is>
          <t>SOLLEFTEÅ</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54330-2023</t>
        </is>
      </c>
      <c r="B2349" s="1" t="n">
        <v>45232</v>
      </c>
      <c r="C2349" s="1" t="n">
        <v>45346</v>
      </c>
      <c r="D2349" t="inlineStr">
        <is>
          <t>VÄSTERNORRLANDS LÄN</t>
        </is>
      </c>
      <c r="E2349" t="inlineStr">
        <is>
          <t>SOLLEFTEÅ</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54351-2023</t>
        </is>
      </c>
      <c r="B2350" s="1" t="n">
        <v>45232</v>
      </c>
      <c r="C2350" s="1" t="n">
        <v>45346</v>
      </c>
      <c r="D2350" t="inlineStr">
        <is>
          <t>VÄSTERNORRLANDS LÄN</t>
        </is>
      </c>
      <c r="E2350" t="inlineStr">
        <is>
          <t>SOLLEFTEÅ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54195-2023</t>
        </is>
      </c>
      <c r="B2351" s="1" t="n">
        <v>45232</v>
      </c>
      <c r="C2351" s="1" t="n">
        <v>45346</v>
      </c>
      <c r="D2351" t="inlineStr">
        <is>
          <t>VÄSTERNORRLANDS LÄN</t>
        </is>
      </c>
      <c r="E2351" t="inlineStr">
        <is>
          <t>SOLLEFTEÅ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54620-2023</t>
        </is>
      </c>
      <c r="B2352" s="1" t="n">
        <v>45233</v>
      </c>
      <c r="C2352" s="1" t="n">
        <v>45346</v>
      </c>
      <c r="D2352" t="inlineStr">
        <is>
          <t>VÄSTERNORRLANDS LÄN</t>
        </is>
      </c>
      <c r="E2352" t="inlineStr">
        <is>
          <t>SOLLEFTEÅ</t>
        </is>
      </c>
      <c r="F2352" t="inlineStr">
        <is>
          <t>SCA</t>
        </is>
      </c>
      <c r="G2352" t="n">
        <v>11.8</v>
      </c>
      <c r="H2352" t="n">
        <v>0</v>
      </c>
      <c r="I2352" t="n">
        <v>0</v>
      </c>
      <c r="J2352" t="n">
        <v>0</v>
      </c>
      <c r="K2352" t="n">
        <v>0</v>
      </c>
      <c r="L2352" t="n">
        <v>0</v>
      </c>
      <c r="M2352" t="n">
        <v>0</v>
      </c>
      <c r="N2352" t="n">
        <v>0</v>
      </c>
      <c r="O2352" t="n">
        <v>0</v>
      </c>
      <c r="P2352" t="n">
        <v>0</v>
      </c>
      <c r="Q2352" t="n">
        <v>0</v>
      </c>
      <c r="R2352" s="2" t="inlineStr"/>
    </row>
    <row r="2353" ht="15" customHeight="1">
      <c r="A2353" t="inlineStr">
        <is>
          <t>A 54617-2023</t>
        </is>
      </c>
      <c r="B2353" s="1" t="n">
        <v>45234</v>
      </c>
      <c r="C2353" s="1" t="n">
        <v>45346</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54607-2023</t>
        </is>
      </c>
      <c r="B2354" s="1" t="n">
        <v>45233</v>
      </c>
      <c r="C2354" s="1" t="n">
        <v>45346</v>
      </c>
      <c r="D2354" t="inlineStr">
        <is>
          <t>VÄSTERNORRLANDS LÄN</t>
        </is>
      </c>
      <c r="E2354" t="inlineStr">
        <is>
          <t>SOLLEFTEÅ</t>
        </is>
      </c>
      <c r="F2354" t="inlineStr">
        <is>
          <t>SCA</t>
        </is>
      </c>
      <c r="G2354" t="n">
        <v>9.300000000000001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54622-2023</t>
        </is>
      </c>
      <c r="B2355" s="1" t="n">
        <v>45233</v>
      </c>
      <c r="C2355" s="1" t="n">
        <v>45346</v>
      </c>
      <c r="D2355" t="inlineStr">
        <is>
          <t>VÄSTERNORRLANDS LÄN</t>
        </is>
      </c>
      <c r="E2355" t="inlineStr">
        <is>
          <t>SOLLEFTEÅ</t>
        </is>
      </c>
      <c r="F2355" t="inlineStr">
        <is>
          <t>SCA</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54618-2023</t>
        </is>
      </c>
      <c r="B2356" s="1" t="n">
        <v>45233</v>
      </c>
      <c r="C2356" s="1" t="n">
        <v>45346</v>
      </c>
      <c r="D2356" t="inlineStr">
        <is>
          <t>VÄSTERNORRLANDS LÄN</t>
        </is>
      </c>
      <c r="E2356" t="inlineStr">
        <is>
          <t>SOLLEFTEÅ</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54642-2023</t>
        </is>
      </c>
      <c r="B2357" s="1" t="n">
        <v>45234</v>
      </c>
      <c r="C2357" s="1" t="n">
        <v>45346</v>
      </c>
      <c r="D2357" t="inlineStr">
        <is>
          <t>VÄSTERNORRLANDS LÄN</t>
        </is>
      </c>
      <c r="E2357" t="inlineStr">
        <is>
          <t>SOLLEFTEÅ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54641-2023</t>
        </is>
      </c>
      <c r="B2358" s="1" t="n">
        <v>45234</v>
      </c>
      <c r="C2358" s="1" t="n">
        <v>45346</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54979-2023</t>
        </is>
      </c>
      <c r="B2359" s="1" t="n">
        <v>45236</v>
      </c>
      <c r="C2359" s="1" t="n">
        <v>45346</v>
      </c>
      <c r="D2359" t="inlineStr">
        <is>
          <t>VÄSTERNORRLANDS LÄN</t>
        </is>
      </c>
      <c r="E2359" t="inlineStr">
        <is>
          <t>SOLLEFTEÅ</t>
        </is>
      </c>
      <c r="F2359" t="inlineStr">
        <is>
          <t>SCA</t>
        </is>
      </c>
      <c r="G2359" t="n">
        <v>11.8</v>
      </c>
      <c r="H2359" t="n">
        <v>0</v>
      </c>
      <c r="I2359" t="n">
        <v>0</v>
      </c>
      <c r="J2359" t="n">
        <v>0</v>
      </c>
      <c r="K2359" t="n">
        <v>0</v>
      </c>
      <c r="L2359" t="n">
        <v>0</v>
      </c>
      <c r="M2359" t="n">
        <v>0</v>
      </c>
      <c r="N2359" t="n">
        <v>0</v>
      </c>
      <c r="O2359" t="n">
        <v>0</v>
      </c>
      <c r="P2359" t="n">
        <v>0</v>
      </c>
      <c r="Q2359" t="n">
        <v>0</v>
      </c>
      <c r="R2359" s="2" t="inlineStr"/>
    </row>
    <row r="2360" ht="15" customHeight="1">
      <c r="A2360" t="inlineStr">
        <is>
          <t>A 56148-2023</t>
        </is>
      </c>
      <c r="B2360" s="1" t="n">
        <v>45236</v>
      </c>
      <c r="C2360" s="1" t="n">
        <v>45346</v>
      </c>
      <c r="D2360" t="inlineStr">
        <is>
          <t>VÄSTERNORRLANDS LÄN</t>
        </is>
      </c>
      <c r="E2360" t="inlineStr">
        <is>
          <t>SOLLEFTEÅ</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54978-2023</t>
        </is>
      </c>
      <c r="B2361" s="1" t="n">
        <v>45237</v>
      </c>
      <c r="C2361" s="1" t="n">
        <v>45346</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55005-2023</t>
        </is>
      </c>
      <c r="B2362" s="1" t="n">
        <v>45236</v>
      </c>
      <c r="C2362" s="1" t="n">
        <v>45346</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56356-2023</t>
        </is>
      </c>
      <c r="B2363" s="1" t="n">
        <v>45236</v>
      </c>
      <c r="C2363" s="1" t="n">
        <v>45346</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56416-2023</t>
        </is>
      </c>
      <c r="B2364" s="1" t="n">
        <v>45237</v>
      </c>
      <c r="C2364" s="1" t="n">
        <v>45346</v>
      </c>
      <c r="D2364" t="inlineStr">
        <is>
          <t>VÄSTERNORRLANDS LÄN</t>
        </is>
      </c>
      <c r="E2364" t="inlineStr">
        <is>
          <t>SOLLEFTEÅ</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56431-2023</t>
        </is>
      </c>
      <c r="B2365" s="1" t="n">
        <v>45237</v>
      </c>
      <c r="C2365" s="1" t="n">
        <v>45346</v>
      </c>
      <c r="D2365" t="inlineStr">
        <is>
          <t>VÄSTERNORRLANDS LÄN</t>
        </is>
      </c>
      <c r="E2365" t="inlineStr">
        <is>
          <t>SOLLEFTEÅ</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55338-2023</t>
        </is>
      </c>
      <c r="B2366" s="1" t="n">
        <v>45238</v>
      </c>
      <c r="C2366" s="1" t="n">
        <v>45346</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56424-2023</t>
        </is>
      </c>
      <c r="B2367" s="1" t="n">
        <v>45237</v>
      </c>
      <c r="C2367" s="1" t="n">
        <v>45346</v>
      </c>
      <c r="D2367" t="inlineStr">
        <is>
          <t>VÄSTERNORRLANDS LÄN</t>
        </is>
      </c>
      <c r="E2367" t="inlineStr">
        <is>
          <t>SOLLEFTEÅ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55637-2023</t>
        </is>
      </c>
      <c r="B2368" s="1" t="n">
        <v>45238</v>
      </c>
      <c r="C2368" s="1" t="n">
        <v>45346</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55653-2023</t>
        </is>
      </c>
      <c r="B2369" s="1" t="n">
        <v>45239</v>
      </c>
      <c r="C2369" s="1" t="n">
        <v>45346</v>
      </c>
      <c r="D2369" t="inlineStr">
        <is>
          <t>VÄSTERNORRLANDS LÄN</t>
        </is>
      </c>
      <c r="E2369" t="inlineStr">
        <is>
          <t>SOLLEFTEÅ</t>
        </is>
      </c>
      <c r="F2369" t="inlineStr">
        <is>
          <t>SCA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55622-2023</t>
        </is>
      </c>
      <c r="B2370" s="1" t="n">
        <v>45238</v>
      </c>
      <c r="C2370" s="1" t="n">
        <v>45346</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55638-2023</t>
        </is>
      </c>
      <c r="B2371" s="1" t="n">
        <v>45238</v>
      </c>
      <c r="C2371" s="1" t="n">
        <v>45346</v>
      </c>
      <c r="D2371" t="inlineStr">
        <is>
          <t>VÄSTERNORRLANDS LÄN</t>
        </is>
      </c>
      <c r="E2371" t="inlineStr">
        <is>
          <t>SOLLEFTEÅ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55650-2023</t>
        </is>
      </c>
      <c r="B2372" s="1" t="n">
        <v>45239</v>
      </c>
      <c r="C2372" s="1" t="n">
        <v>45346</v>
      </c>
      <c r="D2372" t="inlineStr">
        <is>
          <t>VÄSTERNORRLANDS LÄN</t>
        </is>
      </c>
      <c r="E2372" t="inlineStr">
        <is>
          <t>SOLLEFTEÅ</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55654-2023</t>
        </is>
      </c>
      <c r="B2373" s="1" t="n">
        <v>45239</v>
      </c>
      <c r="C2373" s="1" t="n">
        <v>45346</v>
      </c>
      <c r="D2373" t="inlineStr">
        <is>
          <t>VÄSTERNORRLANDS LÄN</t>
        </is>
      </c>
      <c r="E2373" t="inlineStr">
        <is>
          <t>SOLLEFTEÅ</t>
        </is>
      </c>
      <c r="F2373" t="inlineStr">
        <is>
          <t>SCA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55652-2023</t>
        </is>
      </c>
      <c r="B2374" s="1" t="n">
        <v>45238</v>
      </c>
      <c r="C2374" s="1" t="n">
        <v>45346</v>
      </c>
      <c r="D2374" t="inlineStr">
        <is>
          <t>VÄSTERNORRLANDS LÄN</t>
        </is>
      </c>
      <c r="E2374" t="inlineStr">
        <is>
          <t>SOLLEFTEÅ</t>
        </is>
      </c>
      <c r="F2374" t="inlineStr">
        <is>
          <t>SCA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55651-2023</t>
        </is>
      </c>
      <c r="B2375" s="1" t="n">
        <v>45238</v>
      </c>
      <c r="C2375" s="1" t="n">
        <v>45346</v>
      </c>
      <c r="D2375" t="inlineStr">
        <is>
          <t>VÄSTERNORRLANDS LÄN</t>
        </is>
      </c>
      <c r="E2375" t="inlineStr">
        <is>
          <t>SOLLEFTEÅ</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55687-2023</t>
        </is>
      </c>
      <c r="B2376" s="1" t="n">
        <v>45239</v>
      </c>
      <c r="C2376" s="1" t="n">
        <v>45346</v>
      </c>
      <c r="D2376" t="inlineStr">
        <is>
          <t>VÄSTERNORRLANDS LÄN</t>
        </is>
      </c>
      <c r="E2376" t="inlineStr">
        <is>
          <t>SOLLEFTEÅ</t>
        </is>
      </c>
      <c r="F2376" t="inlineStr">
        <is>
          <t>Holmen skog AB</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55859-2023</t>
        </is>
      </c>
      <c r="B2377" s="1" t="n">
        <v>45239</v>
      </c>
      <c r="C2377" s="1" t="n">
        <v>45346</v>
      </c>
      <c r="D2377" t="inlineStr">
        <is>
          <t>VÄSTERNORRLANDS LÄN</t>
        </is>
      </c>
      <c r="E2377" t="inlineStr">
        <is>
          <t>SOLLEFTEÅ</t>
        </is>
      </c>
      <c r="F2377" t="inlineStr">
        <is>
          <t>Kommuner</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55910-2023</t>
        </is>
      </c>
      <c r="B2378" s="1" t="n">
        <v>45239</v>
      </c>
      <c r="C2378" s="1" t="n">
        <v>45346</v>
      </c>
      <c r="D2378" t="inlineStr">
        <is>
          <t>VÄSTERNORRLANDS LÄN</t>
        </is>
      </c>
      <c r="E2378" t="inlineStr">
        <is>
          <t>SOLLEFTEÅ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55912-2023</t>
        </is>
      </c>
      <c r="B2379" s="1" t="n">
        <v>45239</v>
      </c>
      <c r="C2379" s="1" t="n">
        <v>45346</v>
      </c>
      <c r="D2379" t="inlineStr">
        <is>
          <t>VÄSTERNORRLANDS LÄN</t>
        </is>
      </c>
      <c r="E2379" t="inlineStr">
        <is>
          <t>SOLLEFTEÅ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55929-2023</t>
        </is>
      </c>
      <c r="B2380" s="1" t="n">
        <v>45239</v>
      </c>
      <c r="C2380" s="1" t="n">
        <v>45346</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57010-2023</t>
        </is>
      </c>
      <c r="B2381" s="1" t="n">
        <v>45239</v>
      </c>
      <c r="C2381" s="1" t="n">
        <v>45346</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56261-2023</t>
        </is>
      </c>
      <c r="B2382" s="1" t="n">
        <v>45240</v>
      </c>
      <c r="C2382" s="1" t="n">
        <v>45346</v>
      </c>
      <c r="D2382" t="inlineStr">
        <is>
          <t>VÄSTERNORRLANDS LÄN</t>
        </is>
      </c>
      <c r="E2382" t="inlineStr">
        <is>
          <t>SOLLEFTEÅ</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56249-2023</t>
        </is>
      </c>
      <c r="B2383" s="1" t="n">
        <v>45240</v>
      </c>
      <c r="C2383" s="1" t="n">
        <v>45346</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56201-2023</t>
        </is>
      </c>
      <c r="B2384" s="1" t="n">
        <v>45240</v>
      </c>
      <c r="C2384" s="1" t="n">
        <v>45346</v>
      </c>
      <c r="D2384" t="inlineStr">
        <is>
          <t>VÄSTERNORRLANDS LÄN</t>
        </is>
      </c>
      <c r="E2384" t="inlineStr">
        <is>
          <t>SOLLEFTEÅ</t>
        </is>
      </c>
      <c r="G2384" t="n">
        <v>43.3</v>
      </c>
      <c r="H2384" t="n">
        <v>0</v>
      </c>
      <c r="I2384" t="n">
        <v>0</v>
      </c>
      <c r="J2384" t="n">
        <v>0</v>
      </c>
      <c r="K2384" t="n">
        <v>0</v>
      </c>
      <c r="L2384" t="n">
        <v>0</v>
      </c>
      <c r="M2384" t="n">
        <v>0</v>
      </c>
      <c r="N2384" t="n">
        <v>0</v>
      </c>
      <c r="O2384" t="n">
        <v>0</v>
      </c>
      <c r="P2384" t="n">
        <v>0</v>
      </c>
      <c r="Q2384" t="n">
        <v>0</v>
      </c>
      <c r="R2384" s="2" t="inlineStr"/>
    </row>
    <row r="2385" ht="15" customHeight="1">
      <c r="A2385" t="inlineStr">
        <is>
          <t>A 56262-2023</t>
        </is>
      </c>
      <c r="B2385" s="1" t="n">
        <v>45240</v>
      </c>
      <c r="C2385" s="1" t="n">
        <v>45346</v>
      </c>
      <c r="D2385" t="inlineStr">
        <is>
          <t>VÄSTERNORRLANDS LÄN</t>
        </is>
      </c>
      <c r="E2385" t="inlineStr">
        <is>
          <t>SOLLEFTEÅ</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56234-2023</t>
        </is>
      </c>
      <c r="B2386" s="1" t="n">
        <v>45240</v>
      </c>
      <c r="C2386" s="1" t="n">
        <v>45346</v>
      </c>
      <c r="D2386" t="inlineStr">
        <is>
          <t>VÄSTERNORRLANDS LÄN</t>
        </is>
      </c>
      <c r="E2386" t="inlineStr">
        <is>
          <t>SOLLEFTEÅ</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56260-2023</t>
        </is>
      </c>
      <c r="B2387" s="1" t="n">
        <v>45240</v>
      </c>
      <c r="C2387" s="1" t="n">
        <v>45346</v>
      </c>
      <c r="D2387" t="inlineStr">
        <is>
          <t>VÄSTERNORRLANDS LÄN</t>
        </is>
      </c>
      <c r="E2387" t="inlineStr">
        <is>
          <t>SOLLEFTEÅ</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56256-2023</t>
        </is>
      </c>
      <c r="B2388" s="1" t="n">
        <v>45240</v>
      </c>
      <c r="C2388" s="1" t="n">
        <v>45346</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56244-2023</t>
        </is>
      </c>
      <c r="B2389" s="1" t="n">
        <v>45240</v>
      </c>
      <c r="C2389" s="1" t="n">
        <v>45346</v>
      </c>
      <c r="D2389" t="inlineStr">
        <is>
          <t>VÄSTERNORRLANDS LÄN</t>
        </is>
      </c>
      <c r="E2389" t="inlineStr">
        <is>
          <t>SOLLEFTEÅ</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56134-2023</t>
        </is>
      </c>
      <c r="B2390" s="1" t="n">
        <v>45240</v>
      </c>
      <c r="C2390" s="1" t="n">
        <v>45346</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56137-2023</t>
        </is>
      </c>
      <c r="B2391" s="1" t="n">
        <v>45240</v>
      </c>
      <c r="C2391" s="1" t="n">
        <v>45346</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56139-2023</t>
        </is>
      </c>
      <c r="B2392" s="1" t="n">
        <v>45240</v>
      </c>
      <c r="C2392" s="1" t="n">
        <v>45346</v>
      </c>
      <c r="D2392" t="inlineStr">
        <is>
          <t>VÄSTERNORRLANDS LÄN</t>
        </is>
      </c>
      <c r="E2392" t="inlineStr">
        <is>
          <t>SOLLEFTEÅ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56310-2023</t>
        </is>
      </c>
      <c r="B2393" s="1" t="n">
        <v>45242</v>
      </c>
      <c r="C2393" s="1" t="n">
        <v>45346</v>
      </c>
      <c r="D2393" t="inlineStr">
        <is>
          <t>VÄSTERNORRLANDS LÄN</t>
        </is>
      </c>
      <c r="E2393" t="inlineStr">
        <is>
          <t>SOLLEFTEÅ</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57518-2023</t>
        </is>
      </c>
      <c r="B2394" s="1" t="n">
        <v>45242</v>
      </c>
      <c r="C2394" s="1" t="n">
        <v>45346</v>
      </c>
      <c r="D2394" t="inlineStr">
        <is>
          <t>VÄSTERNORRLANDS LÄN</t>
        </is>
      </c>
      <c r="E2394" t="inlineStr">
        <is>
          <t>SOLLEFTEÅ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56311-2023</t>
        </is>
      </c>
      <c r="B2395" s="1" t="n">
        <v>45242</v>
      </c>
      <c r="C2395" s="1" t="n">
        <v>45346</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56684-2023</t>
        </is>
      </c>
      <c r="B2396" s="1" t="n">
        <v>45244</v>
      </c>
      <c r="C2396" s="1" t="n">
        <v>45346</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56685-2023</t>
        </is>
      </c>
      <c r="B2397" s="1" t="n">
        <v>45244</v>
      </c>
      <c r="C2397" s="1" t="n">
        <v>45346</v>
      </c>
      <c r="D2397" t="inlineStr">
        <is>
          <t>VÄSTERNORRLANDS LÄN</t>
        </is>
      </c>
      <c r="E2397" t="inlineStr">
        <is>
          <t>SOLLEFTEÅ</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56697-2023</t>
        </is>
      </c>
      <c r="B2398" s="1" t="n">
        <v>45243</v>
      </c>
      <c r="C2398" s="1" t="n">
        <v>45346</v>
      </c>
      <c r="D2398" t="inlineStr">
        <is>
          <t>VÄSTERNORRLANDS LÄN</t>
        </is>
      </c>
      <c r="E2398" t="inlineStr">
        <is>
          <t>SOLLEFTEÅ</t>
        </is>
      </c>
      <c r="F2398" t="inlineStr">
        <is>
          <t>SCA</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57080-2023</t>
        </is>
      </c>
      <c r="B2399" s="1" t="n">
        <v>45244</v>
      </c>
      <c r="C2399" s="1" t="n">
        <v>45346</v>
      </c>
      <c r="D2399" t="inlineStr">
        <is>
          <t>VÄSTERNORRLANDS LÄN</t>
        </is>
      </c>
      <c r="E2399" t="inlineStr">
        <is>
          <t>SOLLEFTEÅ</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57066-2023</t>
        </is>
      </c>
      <c r="B2400" s="1" t="n">
        <v>45245</v>
      </c>
      <c r="C2400" s="1" t="n">
        <v>45346</v>
      </c>
      <c r="D2400" t="inlineStr">
        <is>
          <t>VÄSTERNORRLANDS LÄN</t>
        </is>
      </c>
      <c r="E2400" t="inlineStr">
        <is>
          <t>SOLLEFTEÅ</t>
        </is>
      </c>
      <c r="F2400" t="inlineStr">
        <is>
          <t>SCA</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57837-2023</t>
        </is>
      </c>
      <c r="B2401" s="1" t="n">
        <v>45244</v>
      </c>
      <c r="C2401" s="1" t="n">
        <v>45346</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57384-2023</t>
        </is>
      </c>
      <c r="B2402" s="1" t="n">
        <v>45245</v>
      </c>
      <c r="C2402" s="1" t="n">
        <v>45346</v>
      </c>
      <c r="D2402" t="inlineStr">
        <is>
          <t>VÄSTERNORRLANDS LÄN</t>
        </is>
      </c>
      <c r="E2402" t="inlineStr">
        <is>
          <t>SOLLEFTEÅ</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57394-2023</t>
        </is>
      </c>
      <c r="B2403" s="1" t="n">
        <v>45246</v>
      </c>
      <c r="C2403" s="1" t="n">
        <v>45346</v>
      </c>
      <c r="D2403" t="inlineStr">
        <is>
          <t>VÄSTERNORRLANDS LÄN</t>
        </is>
      </c>
      <c r="E2403" t="inlineStr">
        <is>
          <t>SOLLEFTEÅ</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57395-2023</t>
        </is>
      </c>
      <c r="B2404" s="1" t="n">
        <v>45246</v>
      </c>
      <c r="C2404" s="1" t="n">
        <v>45346</v>
      </c>
      <c r="D2404" t="inlineStr">
        <is>
          <t>VÄSTERNORRLANDS LÄN</t>
        </is>
      </c>
      <c r="E2404" t="inlineStr">
        <is>
          <t>SOLLEFTEÅ</t>
        </is>
      </c>
      <c r="F2404" t="inlineStr">
        <is>
          <t>SCA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57411-2023</t>
        </is>
      </c>
      <c r="B2405" s="1" t="n">
        <v>45245</v>
      </c>
      <c r="C2405" s="1" t="n">
        <v>45346</v>
      </c>
      <c r="D2405" t="inlineStr">
        <is>
          <t>VÄSTERNORRLANDS LÄN</t>
        </is>
      </c>
      <c r="E2405" t="inlineStr">
        <is>
          <t>SOLLEFTEÅ</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58298-2023</t>
        </is>
      </c>
      <c r="B2406" s="1" t="n">
        <v>45245</v>
      </c>
      <c r="C2406" s="1" t="n">
        <v>45346</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57655-2023</t>
        </is>
      </c>
      <c r="B2407" s="1" t="n">
        <v>45246</v>
      </c>
      <c r="C2407" s="1" t="n">
        <v>45346</v>
      </c>
      <c r="D2407" t="inlineStr">
        <is>
          <t>VÄSTERNORRLANDS LÄN</t>
        </is>
      </c>
      <c r="E2407" t="inlineStr">
        <is>
          <t>SOLLEFTEÅ</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58085-2023</t>
        </is>
      </c>
      <c r="B2408" s="1" t="n">
        <v>45247</v>
      </c>
      <c r="C2408" s="1" t="n">
        <v>45346</v>
      </c>
      <c r="D2408" t="inlineStr">
        <is>
          <t>VÄSTERNORRLANDS LÄN</t>
        </is>
      </c>
      <c r="E2408" t="inlineStr">
        <is>
          <t>SOLLEFTEÅ</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58155-2023</t>
        </is>
      </c>
      <c r="B2409" s="1" t="n">
        <v>45250</v>
      </c>
      <c r="C2409" s="1" t="n">
        <v>45346</v>
      </c>
      <c r="D2409" t="inlineStr">
        <is>
          <t>VÄSTERNORRLANDS LÄN</t>
        </is>
      </c>
      <c r="E2409" t="inlineStr">
        <is>
          <t>SOLLEFTEÅ</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58923-2023</t>
        </is>
      </c>
      <c r="B2410" s="1" t="n">
        <v>45250</v>
      </c>
      <c r="C2410" s="1" t="n">
        <v>45346</v>
      </c>
      <c r="D2410" t="inlineStr">
        <is>
          <t>VÄSTERNORRLANDS LÄN</t>
        </is>
      </c>
      <c r="E2410" t="inlineStr">
        <is>
          <t>SOLLEFTEÅ</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58938-2023</t>
        </is>
      </c>
      <c r="B2411" s="1" t="n">
        <v>45250</v>
      </c>
      <c r="C2411" s="1" t="n">
        <v>45346</v>
      </c>
      <c r="D2411" t="inlineStr">
        <is>
          <t>VÄSTERNORRLANDS LÄN</t>
        </is>
      </c>
      <c r="E2411" t="inlineStr">
        <is>
          <t>SOLLEFTEÅ</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58427-2023</t>
        </is>
      </c>
      <c r="B2412" s="1" t="n">
        <v>45250</v>
      </c>
      <c r="C2412" s="1" t="n">
        <v>45346</v>
      </c>
      <c r="D2412" t="inlineStr">
        <is>
          <t>VÄSTERNORRLANDS LÄN</t>
        </is>
      </c>
      <c r="E2412" t="inlineStr">
        <is>
          <t>SOLLEFTEÅ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58891-2023</t>
        </is>
      </c>
      <c r="B2413" s="1" t="n">
        <v>45250</v>
      </c>
      <c r="C2413" s="1" t="n">
        <v>45346</v>
      </c>
      <c r="D2413" t="inlineStr">
        <is>
          <t>VÄSTERNORRLANDS LÄN</t>
        </is>
      </c>
      <c r="E2413" t="inlineStr">
        <is>
          <t>SOLLEFTEÅ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58933-2023</t>
        </is>
      </c>
      <c r="B2414" s="1" t="n">
        <v>45250</v>
      </c>
      <c r="C2414" s="1" t="n">
        <v>45346</v>
      </c>
      <c r="D2414" t="inlineStr">
        <is>
          <t>VÄSTERNORRLANDS LÄN</t>
        </is>
      </c>
      <c r="E2414" t="inlineStr">
        <is>
          <t>SOLLEFTEÅ</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59098-2023</t>
        </is>
      </c>
      <c r="B2415" s="1" t="n">
        <v>45253</v>
      </c>
      <c r="C2415" s="1" t="n">
        <v>45346</v>
      </c>
      <c r="D2415" t="inlineStr">
        <is>
          <t>VÄSTERNORRLANDS LÄN</t>
        </is>
      </c>
      <c r="E2415" t="inlineStr">
        <is>
          <t>SOLLEFTEÅ</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59339-2023</t>
        </is>
      </c>
      <c r="B2416" s="1" t="n">
        <v>45253</v>
      </c>
      <c r="C2416" s="1" t="n">
        <v>45346</v>
      </c>
      <c r="D2416" t="inlineStr">
        <is>
          <t>VÄSTERNORRLANDS LÄN</t>
        </is>
      </c>
      <c r="E2416" t="inlineStr">
        <is>
          <t>SOLLEFTEÅ</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59346-2023</t>
        </is>
      </c>
      <c r="B2417" s="1" t="n">
        <v>45253</v>
      </c>
      <c r="C2417" s="1" t="n">
        <v>45346</v>
      </c>
      <c r="D2417" t="inlineStr">
        <is>
          <t>VÄSTERNORRLANDS LÄN</t>
        </is>
      </c>
      <c r="E2417" t="inlineStr">
        <is>
          <t>SOLLEFTEÅ</t>
        </is>
      </c>
      <c r="F2417" t="inlineStr">
        <is>
          <t>Holmen skog AB</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59461-2023</t>
        </is>
      </c>
      <c r="B2418" s="1" t="n">
        <v>45253</v>
      </c>
      <c r="C2418" s="1" t="n">
        <v>45346</v>
      </c>
      <c r="D2418" t="inlineStr">
        <is>
          <t>VÄSTERNORRLANDS LÄN</t>
        </is>
      </c>
      <c r="E2418" t="inlineStr">
        <is>
          <t>SOLLEFTEÅ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59579-2023</t>
        </is>
      </c>
      <c r="B2419" s="1" t="n">
        <v>45253</v>
      </c>
      <c r="C2419" s="1" t="n">
        <v>45346</v>
      </c>
      <c r="D2419" t="inlineStr">
        <is>
          <t>VÄSTERNORRLANDS LÄN</t>
        </is>
      </c>
      <c r="E2419" t="inlineStr">
        <is>
          <t>SOLLEFTEÅ</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59501-2023</t>
        </is>
      </c>
      <c r="B2420" s="1" t="n">
        <v>45254</v>
      </c>
      <c r="C2420" s="1" t="n">
        <v>45346</v>
      </c>
      <c r="D2420" t="inlineStr">
        <is>
          <t>VÄSTERNORRLANDS LÄN</t>
        </is>
      </c>
      <c r="E2420" t="inlineStr">
        <is>
          <t>SOLLEFTEÅ</t>
        </is>
      </c>
      <c r="F2420" t="inlineStr">
        <is>
          <t>Holmen skog AB</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59583-2023</t>
        </is>
      </c>
      <c r="B2421" s="1" t="n">
        <v>45254</v>
      </c>
      <c r="C2421" s="1" t="n">
        <v>45346</v>
      </c>
      <c r="D2421" t="inlineStr">
        <is>
          <t>VÄSTERNORRLANDS LÄN</t>
        </is>
      </c>
      <c r="E2421" t="inlineStr">
        <is>
          <t>SOLLEFTEÅ</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59657-2023</t>
        </is>
      </c>
      <c r="B2422" s="1" t="n">
        <v>45255</v>
      </c>
      <c r="C2422" s="1" t="n">
        <v>45346</v>
      </c>
      <c r="D2422" t="inlineStr">
        <is>
          <t>VÄSTERNORRLANDS LÄN</t>
        </is>
      </c>
      <c r="E2422" t="inlineStr">
        <is>
          <t>SOLLEFTEÅ</t>
        </is>
      </c>
      <c r="F2422" t="inlineStr">
        <is>
          <t>SCA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59593-2023</t>
        </is>
      </c>
      <c r="B2423" s="1" t="n">
        <v>45254</v>
      </c>
      <c r="C2423" s="1" t="n">
        <v>45346</v>
      </c>
      <c r="D2423" t="inlineStr">
        <is>
          <t>VÄSTERNORRLANDS LÄN</t>
        </is>
      </c>
      <c r="E2423" t="inlineStr">
        <is>
          <t>SOLLEFTEÅ</t>
        </is>
      </c>
      <c r="F2423" t="inlineStr">
        <is>
          <t>Holmen skog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59662-2023</t>
        </is>
      </c>
      <c r="B2424" s="1" t="n">
        <v>45255</v>
      </c>
      <c r="C2424" s="1" t="n">
        <v>45346</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59879-2023</t>
        </is>
      </c>
      <c r="B2425" s="1" t="n">
        <v>45254</v>
      </c>
      <c r="C2425" s="1" t="n">
        <v>45346</v>
      </c>
      <c r="D2425" t="inlineStr">
        <is>
          <t>VÄSTERNORRLANDS LÄN</t>
        </is>
      </c>
      <c r="E2425" t="inlineStr">
        <is>
          <t>SOLLEFTEÅ</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60039-2023</t>
        </is>
      </c>
      <c r="B2426" s="1" t="n">
        <v>45254</v>
      </c>
      <c r="C2426" s="1" t="n">
        <v>45346</v>
      </c>
      <c r="D2426" t="inlineStr">
        <is>
          <t>VÄSTERNORRLANDS LÄN</t>
        </is>
      </c>
      <c r="E2426" t="inlineStr">
        <is>
          <t>SOLLEFTEÅ</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59794-2023</t>
        </is>
      </c>
      <c r="B2427" s="1" t="n">
        <v>45257</v>
      </c>
      <c r="C2427" s="1" t="n">
        <v>45346</v>
      </c>
      <c r="D2427" t="inlineStr">
        <is>
          <t>VÄSTERNORRLANDS LÄN</t>
        </is>
      </c>
      <c r="E2427" t="inlineStr">
        <is>
          <t>SOLLEFTEÅ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60099-2023</t>
        </is>
      </c>
      <c r="B2428" s="1" t="n">
        <v>45257</v>
      </c>
      <c r="C2428" s="1" t="n">
        <v>45346</v>
      </c>
      <c r="D2428" t="inlineStr">
        <is>
          <t>VÄSTERNORRLANDS LÄN</t>
        </is>
      </c>
      <c r="E2428" t="inlineStr">
        <is>
          <t>SOLLEFTEÅ</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60329-2023</t>
        </is>
      </c>
      <c r="B2429" s="1" t="n">
        <v>45258</v>
      </c>
      <c r="C2429" s="1" t="n">
        <v>45346</v>
      </c>
      <c r="D2429" t="inlineStr">
        <is>
          <t>VÄSTERNORRLANDS LÄN</t>
        </is>
      </c>
      <c r="E2429" t="inlineStr">
        <is>
          <t>SOLLEFTEÅ</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60462-2023</t>
        </is>
      </c>
      <c r="B2430" s="1" t="n">
        <v>45258</v>
      </c>
      <c r="C2430" s="1" t="n">
        <v>45346</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60328-2023</t>
        </is>
      </c>
      <c r="B2431" s="1" t="n">
        <v>45258</v>
      </c>
      <c r="C2431" s="1" t="n">
        <v>45346</v>
      </c>
      <c r="D2431" t="inlineStr">
        <is>
          <t>VÄSTERNORRLANDS LÄN</t>
        </is>
      </c>
      <c r="E2431" t="inlineStr">
        <is>
          <t>SOLLEFTEÅ</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60480-2023</t>
        </is>
      </c>
      <c r="B2432" s="1" t="n">
        <v>45258</v>
      </c>
      <c r="C2432" s="1" t="n">
        <v>45346</v>
      </c>
      <c r="D2432" t="inlineStr">
        <is>
          <t>VÄSTERNORRLANDS LÄN</t>
        </is>
      </c>
      <c r="E2432" t="inlineStr">
        <is>
          <t>SOLLEFTEÅ</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61034-2023</t>
        </is>
      </c>
      <c r="B2433" s="1" t="n">
        <v>45259</v>
      </c>
      <c r="C2433" s="1" t="n">
        <v>45346</v>
      </c>
      <c r="D2433" t="inlineStr">
        <is>
          <t>VÄSTERNORRLANDS LÄN</t>
        </is>
      </c>
      <c r="E2433" t="inlineStr">
        <is>
          <t>SOLLEFTEÅ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61028-2023</t>
        </is>
      </c>
      <c r="B2434" s="1" t="n">
        <v>45259</v>
      </c>
      <c r="C2434" s="1" t="n">
        <v>45346</v>
      </c>
      <c r="D2434" t="inlineStr">
        <is>
          <t>VÄSTERNORRLANDS LÄN</t>
        </is>
      </c>
      <c r="E2434" t="inlineStr">
        <is>
          <t>SOLLEFTEÅ</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60883-2023</t>
        </is>
      </c>
      <c r="B2435" s="1" t="n">
        <v>45259</v>
      </c>
      <c r="C2435" s="1" t="n">
        <v>45346</v>
      </c>
      <c r="D2435" t="inlineStr">
        <is>
          <t>VÄSTERNORRLANDS LÄN</t>
        </is>
      </c>
      <c r="E2435" t="inlineStr">
        <is>
          <t>SOLLEFTEÅ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60861-2023</t>
        </is>
      </c>
      <c r="B2436" s="1" t="n">
        <v>45260</v>
      </c>
      <c r="C2436" s="1" t="n">
        <v>45346</v>
      </c>
      <c r="D2436" t="inlineStr">
        <is>
          <t>VÄSTERNORRLANDS LÄN</t>
        </is>
      </c>
      <c r="E2436" t="inlineStr">
        <is>
          <t>SOLLEFTEÅ</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61213-2023</t>
        </is>
      </c>
      <c r="B2437" s="1" t="n">
        <v>45260</v>
      </c>
      <c r="C2437" s="1" t="n">
        <v>45346</v>
      </c>
      <c r="D2437" t="inlineStr">
        <is>
          <t>VÄSTERNORRLANDS LÄN</t>
        </is>
      </c>
      <c r="E2437" t="inlineStr">
        <is>
          <t>SOLLEFTEÅ</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61137-2023</t>
        </is>
      </c>
      <c r="B2438" s="1" t="n">
        <v>45261</v>
      </c>
      <c r="C2438" s="1" t="n">
        <v>45346</v>
      </c>
      <c r="D2438" t="inlineStr">
        <is>
          <t>VÄSTERNORRLANDS LÄN</t>
        </is>
      </c>
      <c r="E2438" t="inlineStr">
        <is>
          <t>SOLLEFTEÅ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61138-2023</t>
        </is>
      </c>
      <c r="B2439" s="1" t="n">
        <v>45261</v>
      </c>
      <c r="C2439" s="1" t="n">
        <v>45346</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61081-2023</t>
        </is>
      </c>
      <c r="B2440" s="1" t="n">
        <v>45261</v>
      </c>
      <c r="C2440" s="1" t="n">
        <v>45346</v>
      </c>
      <c r="D2440" t="inlineStr">
        <is>
          <t>VÄSTERNORRLANDS LÄN</t>
        </is>
      </c>
      <c r="E2440" t="inlineStr">
        <is>
          <t>SOLLEFTEÅ</t>
        </is>
      </c>
      <c r="F2440" t="inlineStr">
        <is>
          <t>Holmen skog AB</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61469-2023</t>
        </is>
      </c>
      <c r="B2441" s="1" t="n">
        <v>45264</v>
      </c>
      <c r="C2441" s="1" t="n">
        <v>45346</v>
      </c>
      <c r="D2441" t="inlineStr">
        <is>
          <t>VÄSTERNORRLANDS LÄN</t>
        </is>
      </c>
      <c r="E2441" t="inlineStr">
        <is>
          <t>SOLLEFTEÅ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61473-2023</t>
        </is>
      </c>
      <c r="B2442" s="1" t="n">
        <v>45264</v>
      </c>
      <c r="C2442" s="1" t="n">
        <v>45346</v>
      </c>
      <c r="D2442" t="inlineStr">
        <is>
          <t>VÄSTERNORRLANDS LÄN</t>
        </is>
      </c>
      <c r="E2442" t="inlineStr">
        <is>
          <t>SOLLEFTEÅ</t>
        </is>
      </c>
      <c r="G2442" t="n">
        <v>18.8</v>
      </c>
      <c r="H2442" t="n">
        <v>0</v>
      </c>
      <c r="I2442" t="n">
        <v>0</v>
      </c>
      <c r="J2442" t="n">
        <v>0</v>
      </c>
      <c r="K2442" t="n">
        <v>0</v>
      </c>
      <c r="L2442" t="n">
        <v>0</v>
      </c>
      <c r="M2442" t="n">
        <v>0</v>
      </c>
      <c r="N2442" t="n">
        <v>0</v>
      </c>
      <c r="O2442" t="n">
        <v>0</v>
      </c>
      <c r="P2442" t="n">
        <v>0</v>
      </c>
      <c r="Q2442" t="n">
        <v>0</v>
      </c>
      <c r="R2442" s="2" t="inlineStr"/>
    </row>
    <row r="2443" ht="15" customHeight="1">
      <c r="A2443" t="inlineStr">
        <is>
          <t>A 61485-2023</t>
        </is>
      </c>
      <c r="B2443" s="1" t="n">
        <v>45264</v>
      </c>
      <c r="C2443" s="1" t="n">
        <v>45346</v>
      </c>
      <c r="D2443" t="inlineStr">
        <is>
          <t>VÄSTERNORRLANDS LÄN</t>
        </is>
      </c>
      <c r="E2443" t="inlineStr">
        <is>
          <t>SOLLEFTEÅ</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61462-2023</t>
        </is>
      </c>
      <c r="B2444" s="1" t="n">
        <v>45264</v>
      </c>
      <c r="C2444" s="1" t="n">
        <v>45346</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61470-2023</t>
        </is>
      </c>
      <c r="B2445" s="1" t="n">
        <v>45264</v>
      </c>
      <c r="C2445" s="1" t="n">
        <v>45346</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61809-2023</t>
        </is>
      </c>
      <c r="B2446" s="1" t="n">
        <v>45264</v>
      </c>
      <c r="C2446" s="1" t="n">
        <v>45346</v>
      </c>
      <c r="D2446" t="inlineStr">
        <is>
          <t>VÄSTERNORRLANDS LÄN</t>
        </is>
      </c>
      <c r="E2446" t="inlineStr">
        <is>
          <t>SOLLEFTEÅ</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61805-2023</t>
        </is>
      </c>
      <c r="B2447" s="1" t="n">
        <v>45264</v>
      </c>
      <c r="C2447" s="1" t="n">
        <v>45346</v>
      </c>
      <c r="D2447" t="inlineStr">
        <is>
          <t>VÄSTERNORRLANDS LÄN</t>
        </is>
      </c>
      <c r="E2447" t="inlineStr">
        <is>
          <t>SOLLEFTEÅ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61784-2023</t>
        </is>
      </c>
      <c r="B2448" s="1" t="n">
        <v>45265</v>
      </c>
      <c r="C2448" s="1" t="n">
        <v>45346</v>
      </c>
      <c r="D2448" t="inlineStr">
        <is>
          <t>VÄSTERNORRLANDS LÄN</t>
        </is>
      </c>
      <c r="E2448" t="inlineStr">
        <is>
          <t>SOLLEFTEÅ</t>
        </is>
      </c>
      <c r="F2448" t="inlineStr">
        <is>
          <t>SCA</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62098-2023</t>
        </is>
      </c>
      <c r="B2449" s="1" t="n">
        <v>45266</v>
      </c>
      <c r="C2449" s="1" t="n">
        <v>45346</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62099-2023</t>
        </is>
      </c>
      <c r="B2450" s="1" t="n">
        <v>45266</v>
      </c>
      <c r="C2450" s="1" t="n">
        <v>45346</v>
      </c>
      <c r="D2450" t="inlineStr">
        <is>
          <t>VÄSTERNORRLANDS LÄN</t>
        </is>
      </c>
      <c r="E2450" t="inlineStr">
        <is>
          <t>SOLLEFTEÅ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62115-2023</t>
        </is>
      </c>
      <c r="B2451" s="1" t="n">
        <v>45266</v>
      </c>
      <c r="C2451" s="1" t="n">
        <v>45346</v>
      </c>
      <c r="D2451" t="inlineStr">
        <is>
          <t>VÄSTERNORRLANDS LÄN</t>
        </is>
      </c>
      <c r="E2451" t="inlineStr">
        <is>
          <t>SOLLEFTEÅ</t>
        </is>
      </c>
      <c r="F2451" t="inlineStr">
        <is>
          <t>SCA</t>
        </is>
      </c>
      <c r="G2451" t="n">
        <v>43.1</v>
      </c>
      <c r="H2451" t="n">
        <v>0</v>
      </c>
      <c r="I2451" t="n">
        <v>0</v>
      </c>
      <c r="J2451" t="n">
        <v>0</v>
      </c>
      <c r="K2451" t="n">
        <v>0</v>
      </c>
      <c r="L2451" t="n">
        <v>0</v>
      </c>
      <c r="M2451" t="n">
        <v>0</v>
      </c>
      <c r="N2451" t="n">
        <v>0</v>
      </c>
      <c r="O2451" t="n">
        <v>0</v>
      </c>
      <c r="P2451" t="n">
        <v>0</v>
      </c>
      <c r="Q2451" t="n">
        <v>0</v>
      </c>
      <c r="R2451" s="2" t="inlineStr"/>
    </row>
    <row r="2452" ht="15" customHeight="1">
      <c r="A2452" t="inlineStr">
        <is>
          <t>A 62096-2023</t>
        </is>
      </c>
      <c r="B2452" s="1" t="n">
        <v>45266</v>
      </c>
      <c r="C2452" s="1" t="n">
        <v>45346</v>
      </c>
      <c r="D2452" t="inlineStr">
        <is>
          <t>VÄSTERNORRLANDS LÄN</t>
        </is>
      </c>
      <c r="E2452" t="inlineStr">
        <is>
          <t>SOLLEFTEÅ</t>
        </is>
      </c>
      <c r="F2452" t="inlineStr">
        <is>
          <t>Kyrkan</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62100-2023</t>
        </is>
      </c>
      <c r="B2453" s="1" t="n">
        <v>45266</v>
      </c>
      <c r="C2453" s="1" t="n">
        <v>45346</v>
      </c>
      <c r="D2453" t="inlineStr">
        <is>
          <t>VÄSTERNORRLANDS LÄN</t>
        </is>
      </c>
      <c r="E2453" t="inlineStr">
        <is>
          <t>SOLLEFTEÅ</t>
        </is>
      </c>
      <c r="G2453" t="n">
        <v>16.6</v>
      </c>
      <c r="H2453" t="n">
        <v>0</v>
      </c>
      <c r="I2453" t="n">
        <v>0</v>
      </c>
      <c r="J2453" t="n">
        <v>0</v>
      </c>
      <c r="K2453" t="n">
        <v>0</v>
      </c>
      <c r="L2453" t="n">
        <v>0</v>
      </c>
      <c r="M2453" t="n">
        <v>0</v>
      </c>
      <c r="N2453" t="n">
        <v>0</v>
      </c>
      <c r="O2453" t="n">
        <v>0</v>
      </c>
      <c r="P2453" t="n">
        <v>0</v>
      </c>
      <c r="Q2453" t="n">
        <v>0</v>
      </c>
      <c r="R2453" s="2" t="inlineStr"/>
    </row>
    <row r="2454" ht="15" customHeight="1">
      <c r="A2454" t="inlineStr">
        <is>
          <t>A 62093-2023</t>
        </is>
      </c>
      <c r="B2454" s="1" t="n">
        <v>45266</v>
      </c>
      <c r="C2454" s="1" t="n">
        <v>45346</v>
      </c>
      <c r="D2454" t="inlineStr">
        <is>
          <t>VÄSTERNORRLANDS LÄN</t>
        </is>
      </c>
      <c r="E2454" t="inlineStr">
        <is>
          <t>SOLLEFTEÅ</t>
        </is>
      </c>
      <c r="G2454" t="n">
        <v>18.1</v>
      </c>
      <c r="H2454" t="n">
        <v>0</v>
      </c>
      <c r="I2454" t="n">
        <v>0</v>
      </c>
      <c r="J2454" t="n">
        <v>0</v>
      </c>
      <c r="K2454" t="n">
        <v>0</v>
      </c>
      <c r="L2454" t="n">
        <v>0</v>
      </c>
      <c r="M2454" t="n">
        <v>0</v>
      </c>
      <c r="N2454" t="n">
        <v>0</v>
      </c>
      <c r="O2454" t="n">
        <v>0</v>
      </c>
      <c r="P2454" t="n">
        <v>0</v>
      </c>
      <c r="Q2454" t="n">
        <v>0</v>
      </c>
      <c r="R2454" s="2" t="inlineStr"/>
    </row>
    <row r="2455" ht="15" customHeight="1">
      <c r="A2455" t="inlineStr">
        <is>
          <t>A 62097-2023</t>
        </is>
      </c>
      <c r="B2455" s="1" t="n">
        <v>45266</v>
      </c>
      <c r="C2455" s="1" t="n">
        <v>45346</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62363-2023</t>
        </is>
      </c>
      <c r="B2456" s="1" t="n">
        <v>45267</v>
      </c>
      <c r="C2456" s="1" t="n">
        <v>45346</v>
      </c>
      <c r="D2456" t="inlineStr">
        <is>
          <t>VÄSTERNORRLANDS LÄN</t>
        </is>
      </c>
      <c r="E2456" t="inlineStr">
        <is>
          <t>SOLLEFTEÅ</t>
        </is>
      </c>
      <c r="F2456" t="inlineStr">
        <is>
          <t>SCA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62357-2023</t>
        </is>
      </c>
      <c r="B2457" s="1" t="n">
        <v>45267</v>
      </c>
      <c r="C2457" s="1" t="n">
        <v>45346</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62343-2023</t>
        </is>
      </c>
      <c r="B2458" s="1" t="n">
        <v>45267</v>
      </c>
      <c r="C2458" s="1" t="n">
        <v>45346</v>
      </c>
      <c r="D2458" t="inlineStr">
        <is>
          <t>VÄSTERNORRLANDS LÄN</t>
        </is>
      </c>
      <c r="E2458" t="inlineStr">
        <is>
          <t>SOLLEFTEÅ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62364-2023</t>
        </is>
      </c>
      <c r="B2459" s="1" t="n">
        <v>45267</v>
      </c>
      <c r="C2459" s="1" t="n">
        <v>45346</v>
      </c>
      <c r="D2459" t="inlineStr">
        <is>
          <t>VÄSTERNORRLANDS LÄN</t>
        </is>
      </c>
      <c r="E2459" t="inlineStr">
        <is>
          <t>SOLLEFTEÅ</t>
        </is>
      </c>
      <c r="F2459" t="inlineStr">
        <is>
          <t>SCA</t>
        </is>
      </c>
      <c r="G2459" t="n">
        <v>22.1</v>
      </c>
      <c r="H2459" t="n">
        <v>0</v>
      </c>
      <c r="I2459" t="n">
        <v>0</v>
      </c>
      <c r="J2459" t="n">
        <v>0</v>
      </c>
      <c r="K2459" t="n">
        <v>0</v>
      </c>
      <c r="L2459" t="n">
        <v>0</v>
      </c>
      <c r="M2459" t="n">
        <v>0</v>
      </c>
      <c r="N2459" t="n">
        <v>0</v>
      </c>
      <c r="O2459" t="n">
        <v>0</v>
      </c>
      <c r="P2459" t="n">
        <v>0</v>
      </c>
      <c r="Q2459" t="n">
        <v>0</v>
      </c>
      <c r="R2459" s="2" t="inlineStr"/>
    </row>
    <row r="2460" ht="15" customHeight="1">
      <c r="A2460" t="inlineStr">
        <is>
          <t>A 62523-2023</t>
        </is>
      </c>
      <c r="B2460" s="1" t="n">
        <v>45267</v>
      </c>
      <c r="C2460" s="1" t="n">
        <v>45346</v>
      </c>
      <c r="D2460" t="inlineStr">
        <is>
          <t>VÄSTERNORRLANDS LÄN</t>
        </is>
      </c>
      <c r="E2460" t="inlineStr">
        <is>
          <t>SOLLEFTEÅ</t>
        </is>
      </c>
      <c r="G2460" t="n">
        <v>33.6</v>
      </c>
      <c r="H2460" t="n">
        <v>0</v>
      </c>
      <c r="I2460" t="n">
        <v>0</v>
      </c>
      <c r="J2460" t="n">
        <v>0</v>
      </c>
      <c r="K2460" t="n">
        <v>0</v>
      </c>
      <c r="L2460" t="n">
        <v>0</v>
      </c>
      <c r="M2460" t="n">
        <v>0</v>
      </c>
      <c r="N2460" t="n">
        <v>0</v>
      </c>
      <c r="O2460" t="n">
        <v>0</v>
      </c>
      <c r="P2460" t="n">
        <v>0</v>
      </c>
      <c r="Q2460" t="n">
        <v>0</v>
      </c>
      <c r="R2460" s="2" t="inlineStr"/>
    </row>
    <row r="2461" ht="15" customHeight="1">
      <c r="A2461" t="inlineStr">
        <is>
          <t>A 62527-2023</t>
        </is>
      </c>
      <c r="B2461" s="1" t="n">
        <v>45267</v>
      </c>
      <c r="C2461" s="1" t="n">
        <v>45346</v>
      </c>
      <c r="D2461" t="inlineStr">
        <is>
          <t>VÄSTERNORRLANDS LÄN</t>
        </is>
      </c>
      <c r="E2461" t="inlineStr">
        <is>
          <t>SOLLEFTEÅ</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62827-2023</t>
        </is>
      </c>
      <c r="B2462" s="1" t="n">
        <v>45271</v>
      </c>
      <c r="C2462" s="1" t="n">
        <v>45346</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63144-2023</t>
        </is>
      </c>
      <c r="B2463" s="1" t="n">
        <v>45272</v>
      </c>
      <c r="C2463" s="1" t="n">
        <v>45346</v>
      </c>
      <c r="D2463" t="inlineStr">
        <is>
          <t>VÄSTERNORRLANDS LÄN</t>
        </is>
      </c>
      <c r="E2463" t="inlineStr">
        <is>
          <t>SOLLEFTEÅ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63138-2023</t>
        </is>
      </c>
      <c r="B2464" s="1" t="n">
        <v>45272</v>
      </c>
      <c r="C2464" s="1" t="n">
        <v>45346</v>
      </c>
      <c r="D2464" t="inlineStr">
        <is>
          <t>VÄSTERNORRLANDS LÄN</t>
        </is>
      </c>
      <c r="E2464" t="inlineStr">
        <is>
          <t>SOLLEFTEÅ</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63261-2023</t>
        </is>
      </c>
      <c r="B2465" s="1" t="n">
        <v>45273</v>
      </c>
      <c r="C2465" s="1" t="n">
        <v>45346</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63259-2023</t>
        </is>
      </c>
      <c r="B2466" s="1" t="n">
        <v>45273</v>
      </c>
      <c r="C2466" s="1" t="n">
        <v>45346</v>
      </c>
      <c r="D2466" t="inlineStr">
        <is>
          <t>VÄSTERNORRLANDS LÄN</t>
        </is>
      </c>
      <c r="E2466" t="inlineStr">
        <is>
          <t>SOLLEFTEÅ</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63413-2023</t>
        </is>
      </c>
      <c r="B2467" s="1" t="n">
        <v>45274</v>
      </c>
      <c r="C2467" s="1" t="n">
        <v>45346</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63462-2023</t>
        </is>
      </c>
      <c r="B2468" s="1" t="n">
        <v>45274</v>
      </c>
      <c r="C2468" s="1" t="n">
        <v>45346</v>
      </c>
      <c r="D2468" t="inlineStr">
        <is>
          <t>VÄSTERNORRLANDS LÄN</t>
        </is>
      </c>
      <c r="E2468" t="inlineStr">
        <is>
          <t>SOLLEFTEÅ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63422-2023</t>
        </is>
      </c>
      <c r="B2469" s="1" t="n">
        <v>45274</v>
      </c>
      <c r="C2469" s="1" t="n">
        <v>45346</v>
      </c>
      <c r="D2469" t="inlineStr">
        <is>
          <t>VÄSTERNORRLANDS LÄN</t>
        </is>
      </c>
      <c r="E2469" t="inlineStr">
        <is>
          <t>SOLLEFTEÅ</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63529-2023</t>
        </is>
      </c>
      <c r="B2470" s="1" t="n">
        <v>45274</v>
      </c>
      <c r="C2470" s="1" t="n">
        <v>45346</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63547-2023</t>
        </is>
      </c>
      <c r="B2471" s="1" t="n">
        <v>45274</v>
      </c>
      <c r="C2471" s="1" t="n">
        <v>45346</v>
      </c>
      <c r="D2471" t="inlineStr">
        <is>
          <t>VÄSTERNORRLANDS LÄN</t>
        </is>
      </c>
      <c r="E2471" t="inlineStr">
        <is>
          <t>SOLLEFTEÅ</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63707-2023</t>
        </is>
      </c>
      <c r="B2472" s="1" t="n">
        <v>45275</v>
      </c>
      <c r="C2472" s="1" t="n">
        <v>45346</v>
      </c>
      <c r="D2472" t="inlineStr">
        <is>
          <t>VÄSTERNORRLANDS LÄN</t>
        </is>
      </c>
      <c r="E2472" t="inlineStr">
        <is>
          <t>SOLLEFTEÅ</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63712-2023</t>
        </is>
      </c>
      <c r="B2473" s="1" t="n">
        <v>45275</v>
      </c>
      <c r="C2473" s="1" t="n">
        <v>45346</v>
      </c>
      <c r="D2473" t="inlineStr">
        <is>
          <t>VÄSTERNORRLANDS LÄN</t>
        </is>
      </c>
      <c r="E2473" t="inlineStr">
        <is>
          <t>SOLLEFTEÅ</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63652-2023</t>
        </is>
      </c>
      <c r="B2474" s="1" t="n">
        <v>45275</v>
      </c>
      <c r="C2474" s="1" t="n">
        <v>45346</v>
      </c>
      <c r="D2474" t="inlineStr">
        <is>
          <t>VÄSTERNORRLANDS LÄN</t>
        </is>
      </c>
      <c r="E2474" t="inlineStr">
        <is>
          <t>SOLLEFTEÅ</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63979-2023</t>
        </is>
      </c>
      <c r="B2475" s="1" t="n">
        <v>45278</v>
      </c>
      <c r="C2475" s="1" t="n">
        <v>45346</v>
      </c>
      <c r="D2475" t="inlineStr">
        <is>
          <t>VÄSTERNORRLANDS LÄN</t>
        </is>
      </c>
      <c r="E2475" t="inlineStr">
        <is>
          <t>SOLLEFTEÅ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64014-2023</t>
        </is>
      </c>
      <c r="B2476" s="1" t="n">
        <v>45278</v>
      </c>
      <c r="C2476" s="1" t="n">
        <v>45346</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64013-2023</t>
        </is>
      </c>
      <c r="B2477" s="1" t="n">
        <v>45278</v>
      </c>
      <c r="C2477" s="1" t="n">
        <v>45346</v>
      </c>
      <c r="D2477" t="inlineStr">
        <is>
          <t>VÄSTERNORRLANDS LÄN</t>
        </is>
      </c>
      <c r="E2477" t="inlineStr">
        <is>
          <t>SOLLEFTEÅ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64111-2023</t>
        </is>
      </c>
      <c r="B2478" s="1" t="n">
        <v>45279</v>
      </c>
      <c r="C2478" s="1" t="n">
        <v>45346</v>
      </c>
      <c r="D2478" t="inlineStr">
        <is>
          <t>VÄSTERNORRLANDS LÄN</t>
        </is>
      </c>
      <c r="E2478" t="inlineStr">
        <is>
          <t>SOLLEFTEÅ</t>
        </is>
      </c>
      <c r="G2478" t="n">
        <v>19.9</v>
      </c>
      <c r="H2478" t="n">
        <v>0</v>
      </c>
      <c r="I2478" t="n">
        <v>0</v>
      </c>
      <c r="J2478" t="n">
        <v>0</v>
      </c>
      <c r="K2478" t="n">
        <v>0</v>
      </c>
      <c r="L2478" t="n">
        <v>0</v>
      </c>
      <c r="M2478" t="n">
        <v>0</v>
      </c>
      <c r="N2478" t="n">
        <v>0</v>
      </c>
      <c r="O2478" t="n">
        <v>0</v>
      </c>
      <c r="P2478" t="n">
        <v>0</v>
      </c>
      <c r="Q2478" t="n">
        <v>0</v>
      </c>
      <c r="R2478" s="2" t="inlineStr"/>
    </row>
    <row r="2479" ht="15" customHeight="1">
      <c r="A2479" t="inlineStr">
        <is>
          <t>A 64115-2023</t>
        </is>
      </c>
      <c r="B2479" s="1" t="n">
        <v>45279</v>
      </c>
      <c r="C2479" s="1" t="n">
        <v>45346</v>
      </c>
      <c r="D2479" t="inlineStr">
        <is>
          <t>VÄSTERNORRLANDS LÄN</t>
        </is>
      </c>
      <c r="E2479" t="inlineStr">
        <is>
          <t>SOLLEFTEÅ</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64120-2023</t>
        </is>
      </c>
      <c r="B2480" s="1" t="n">
        <v>45279</v>
      </c>
      <c r="C2480" s="1" t="n">
        <v>45346</v>
      </c>
      <c r="D2480" t="inlineStr">
        <is>
          <t>VÄSTERNORRLANDS LÄN</t>
        </is>
      </c>
      <c r="E2480" t="inlineStr">
        <is>
          <t>SOLLEFTEÅ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64131-2023</t>
        </is>
      </c>
      <c r="B2481" s="1" t="n">
        <v>45279</v>
      </c>
      <c r="C2481" s="1" t="n">
        <v>45346</v>
      </c>
      <c r="D2481" t="inlineStr">
        <is>
          <t>VÄSTERNORRLANDS LÄN</t>
        </is>
      </c>
      <c r="E2481" t="inlineStr">
        <is>
          <t>SOLLEFTEÅ</t>
        </is>
      </c>
      <c r="G2481" t="n">
        <v>12.9</v>
      </c>
      <c r="H2481" t="n">
        <v>0</v>
      </c>
      <c r="I2481" t="n">
        <v>0</v>
      </c>
      <c r="J2481" t="n">
        <v>0</v>
      </c>
      <c r="K2481" t="n">
        <v>0</v>
      </c>
      <c r="L2481" t="n">
        <v>0</v>
      </c>
      <c r="M2481" t="n">
        <v>0</v>
      </c>
      <c r="N2481" t="n">
        <v>0</v>
      </c>
      <c r="O2481" t="n">
        <v>0</v>
      </c>
      <c r="P2481" t="n">
        <v>0</v>
      </c>
      <c r="Q2481" t="n">
        <v>0</v>
      </c>
      <c r="R2481" s="2" t="inlineStr"/>
    </row>
    <row r="2482" ht="15" customHeight="1">
      <c r="A2482" t="inlineStr">
        <is>
          <t>A 64133-2023</t>
        </is>
      </c>
      <c r="B2482" s="1" t="n">
        <v>45279</v>
      </c>
      <c r="C2482" s="1" t="n">
        <v>45346</v>
      </c>
      <c r="D2482" t="inlineStr">
        <is>
          <t>VÄSTERNORRLANDS LÄN</t>
        </is>
      </c>
      <c r="E2482" t="inlineStr">
        <is>
          <t>SOLLEFTEÅ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64502-2023</t>
        </is>
      </c>
      <c r="B2483" s="1" t="n">
        <v>45280</v>
      </c>
      <c r="C2483" s="1" t="n">
        <v>45346</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64617-2023</t>
        </is>
      </c>
      <c r="B2484" s="1" t="n">
        <v>45281</v>
      </c>
      <c r="C2484" s="1" t="n">
        <v>45346</v>
      </c>
      <c r="D2484" t="inlineStr">
        <is>
          <t>VÄSTERNORRLANDS LÄN</t>
        </is>
      </c>
      <c r="E2484" t="inlineStr">
        <is>
          <t>SOLLEFTEÅ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64961-2023</t>
        </is>
      </c>
      <c r="B2485" s="1" t="n">
        <v>45282</v>
      </c>
      <c r="C2485" s="1" t="n">
        <v>45346</v>
      </c>
      <c r="D2485" t="inlineStr">
        <is>
          <t>VÄSTERNORRLANDS LÄN</t>
        </is>
      </c>
      <c r="E2485" t="inlineStr">
        <is>
          <t>SOLLEFTEÅ</t>
        </is>
      </c>
      <c r="F2485" t="inlineStr">
        <is>
          <t>SCA</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64959-2023</t>
        </is>
      </c>
      <c r="B2486" s="1" t="n">
        <v>45282</v>
      </c>
      <c r="C2486" s="1" t="n">
        <v>45346</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64891-2023</t>
        </is>
      </c>
      <c r="B2487" s="1" t="n">
        <v>45282</v>
      </c>
      <c r="C2487" s="1" t="n">
        <v>45346</v>
      </c>
      <c r="D2487" t="inlineStr">
        <is>
          <t>VÄSTERNORRLANDS LÄN</t>
        </is>
      </c>
      <c r="E2487" t="inlineStr">
        <is>
          <t>SOLLEFTEÅ</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65148-2023</t>
        </is>
      </c>
      <c r="B2488" s="1" t="n">
        <v>45288</v>
      </c>
      <c r="C2488" s="1" t="n">
        <v>45346</v>
      </c>
      <c r="D2488" t="inlineStr">
        <is>
          <t>VÄSTERNORRLANDS LÄN</t>
        </is>
      </c>
      <c r="E2488" t="inlineStr">
        <is>
          <t>SOLLEFTEÅ</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394-2024</t>
        </is>
      </c>
      <c r="B2489" s="1" t="n">
        <v>45296</v>
      </c>
      <c r="C2489" s="1" t="n">
        <v>45346</v>
      </c>
      <c r="D2489" t="inlineStr">
        <is>
          <t>VÄSTERNORRLANDS LÄN</t>
        </is>
      </c>
      <c r="E2489" t="inlineStr">
        <is>
          <t>SOLLEFTEÅ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388-2024</t>
        </is>
      </c>
      <c r="B2490" s="1" t="n">
        <v>45296</v>
      </c>
      <c r="C2490" s="1" t="n">
        <v>45346</v>
      </c>
      <c r="D2490" t="inlineStr">
        <is>
          <t>VÄSTERNORRLANDS LÄN</t>
        </is>
      </c>
      <c r="E2490" t="inlineStr">
        <is>
          <t>SOLLEFTEÅ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457-2024</t>
        </is>
      </c>
      <c r="B2491" s="1" t="n">
        <v>45297</v>
      </c>
      <c r="C2491" s="1" t="n">
        <v>45346</v>
      </c>
      <c r="D2491" t="inlineStr">
        <is>
          <t>VÄSTERNORRLANDS LÄN</t>
        </is>
      </c>
      <c r="E2491" t="inlineStr">
        <is>
          <t>SOLLEFTEÅ</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656-2024</t>
        </is>
      </c>
      <c r="B2492" s="1" t="n">
        <v>45299</v>
      </c>
      <c r="C2492" s="1" t="n">
        <v>45346</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858-2024</t>
        </is>
      </c>
      <c r="B2493" s="1" t="n">
        <v>45301</v>
      </c>
      <c r="C2493" s="1" t="n">
        <v>45346</v>
      </c>
      <c r="D2493" t="inlineStr">
        <is>
          <t>VÄSTERNORRLANDS LÄN</t>
        </is>
      </c>
      <c r="E2493" t="inlineStr">
        <is>
          <t>SOLLEFTEÅ</t>
        </is>
      </c>
      <c r="F2493" t="inlineStr">
        <is>
          <t>SCA</t>
        </is>
      </c>
      <c r="G2493" t="n">
        <v>56.2</v>
      </c>
      <c r="H2493" t="n">
        <v>0</v>
      </c>
      <c r="I2493" t="n">
        <v>0</v>
      </c>
      <c r="J2493" t="n">
        <v>0</v>
      </c>
      <c r="K2493" t="n">
        <v>0</v>
      </c>
      <c r="L2493" t="n">
        <v>0</v>
      </c>
      <c r="M2493" t="n">
        <v>0</v>
      </c>
      <c r="N2493" t="n">
        <v>0</v>
      </c>
      <c r="O2493" t="n">
        <v>0</v>
      </c>
      <c r="P2493" t="n">
        <v>0</v>
      </c>
      <c r="Q2493" t="n">
        <v>0</v>
      </c>
      <c r="R2493" s="2" t="inlineStr"/>
    </row>
    <row r="2494" ht="15" customHeight="1">
      <c r="A2494" t="inlineStr">
        <is>
          <t>A 1006-2024</t>
        </is>
      </c>
      <c r="B2494" s="1" t="n">
        <v>45301</v>
      </c>
      <c r="C2494" s="1" t="n">
        <v>45346</v>
      </c>
      <c r="D2494" t="inlineStr">
        <is>
          <t>VÄSTERNORRLANDS LÄN</t>
        </is>
      </c>
      <c r="E2494" t="inlineStr">
        <is>
          <t>SOLLEFTEÅ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1047-2024</t>
        </is>
      </c>
      <c r="B2495" s="1" t="n">
        <v>45301</v>
      </c>
      <c r="C2495" s="1" t="n">
        <v>45346</v>
      </c>
      <c r="D2495" t="inlineStr">
        <is>
          <t>VÄSTERNORRLANDS LÄN</t>
        </is>
      </c>
      <c r="E2495" t="inlineStr">
        <is>
          <t>SOLLEFTEÅ</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1054-2024</t>
        </is>
      </c>
      <c r="B2496" s="1" t="n">
        <v>45302</v>
      </c>
      <c r="C2496" s="1" t="n">
        <v>45346</v>
      </c>
      <c r="D2496" t="inlineStr">
        <is>
          <t>VÄSTERNORRLANDS LÄN</t>
        </is>
      </c>
      <c r="E2496" t="inlineStr">
        <is>
          <t>SOLLEFTEÅ</t>
        </is>
      </c>
      <c r="F2496" t="inlineStr">
        <is>
          <t>SCA</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1269-2024</t>
        </is>
      </c>
      <c r="B2497" s="1" t="n">
        <v>45302</v>
      </c>
      <c r="C2497" s="1" t="n">
        <v>45346</v>
      </c>
      <c r="D2497" t="inlineStr">
        <is>
          <t>VÄSTERNORRLANDS LÄN</t>
        </is>
      </c>
      <c r="E2497" t="inlineStr">
        <is>
          <t>SOLLEFTEÅ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1268-2024</t>
        </is>
      </c>
      <c r="B2498" s="1" t="n">
        <v>45302</v>
      </c>
      <c r="C2498" s="1" t="n">
        <v>45346</v>
      </c>
      <c r="D2498" t="inlineStr">
        <is>
          <t>VÄSTERNORRLANDS LÄN</t>
        </is>
      </c>
      <c r="E2498" t="inlineStr">
        <is>
          <t>SOLLEFTEÅ</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1173-2024</t>
        </is>
      </c>
      <c r="B2499" s="1" t="n">
        <v>45302</v>
      </c>
      <c r="C2499" s="1" t="n">
        <v>45346</v>
      </c>
      <c r="D2499" t="inlineStr">
        <is>
          <t>VÄSTERNORRLANDS LÄN</t>
        </is>
      </c>
      <c r="E2499" t="inlineStr">
        <is>
          <t>SOLLEFTEÅ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1459-2024</t>
        </is>
      </c>
      <c r="B2500" s="1" t="n">
        <v>45303</v>
      </c>
      <c r="C2500" s="1" t="n">
        <v>45346</v>
      </c>
      <c r="D2500" t="inlineStr">
        <is>
          <t>VÄSTERNORRLANDS LÄN</t>
        </is>
      </c>
      <c r="E2500" t="inlineStr">
        <is>
          <t>SOLLEFTEÅ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1678-2024</t>
        </is>
      </c>
      <c r="B2501" s="1" t="n">
        <v>45307</v>
      </c>
      <c r="C2501" s="1" t="n">
        <v>45346</v>
      </c>
      <c r="D2501" t="inlineStr">
        <is>
          <t>VÄSTERNORRLANDS LÄN</t>
        </is>
      </c>
      <c r="E2501" t="inlineStr">
        <is>
          <t>SOLLEFTEÅ</t>
        </is>
      </c>
      <c r="F2501" t="inlineStr">
        <is>
          <t>SCA</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1679-2024</t>
        </is>
      </c>
      <c r="B2502" s="1" t="n">
        <v>45306</v>
      </c>
      <c r="C2502" s="1" t="n">
        <v>45346</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1844-2024</t>
        </is>
      </c>
      <c r="B2503" s="1" t="n">
        <v>45307</v>
      </c>
      <c r="C2503" s="1" t="n">
        <v>45346</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1840-2024</t>
        </is>
      </c>
      <c r="B2504" s="1" t="n">
        <v>45307</v>
      </c>
      <c r="C2504" s="1" t="n">
        <v>45346</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1848-2024</t>
        </is>
      </c>
      <c r="B2505" s="1" t="n">
        <v>45307</v>
      </c>
      <c r="C2505" s="1" t="n">
        <v>45346</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1880-2024</t>
        </is>
      </c>
      <c r="B2506" s="1" t="n">
        <v>45307</v>
      </c>
      <c r="C2506" s="1" t="n">
        <v>45346</v>
      </c>
      <c r="D2506" t="inlineStr">
        <is>
          <t>VÄSTERNORRLANDS LÄN</t>
        </is>
      </c>
      <c r="E2506" t="inlineStr">
        <is>
          <t>SOLLEFTEÅ</t>
        </is>
      </c>
      <c r="F2506" t="inlineStr">
        <is>
          <t>SCA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1878-2024</t>
        </is>
      </c>
      <c r="B2507" s="1" t="n">
        <v>45307</v>
      </c>
      <c r="C2507" s="1" t="n">
        <v>45346</v>
      </c>
      <c r="D2507" t="inlineStr">
        <is>
          <t>VÄSTERNORRLANDS LÄN</t>
        </is>
      </c>
      <c r="E2507" t="inlineStr">
        <is>
          <t>SOLLEFTEÅ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2232-2024</t>
        </is>
      </c>
      <c r="B2508" s="1" t="n">
        <v>45309</v>
      </c>
      <c r="C2508" s="1" t="n">
        <v>45346</v>
      </c>
      <c r="D2508" t="inlineStr">
        <is>
          <t>VÄSTERNORRLANDS LÄN</t>
        </is>
      </c>
      <c r="E2508" t="inlineStr">
        <is>
          <t>SOLLEFTEÅ</t>
        </is>
      </c>
      <c r="F2508" t="inlineStr">
        <is>
          <t>SCA</t>
        </is>
      </c>
      <c r="G2508" t="n">
        <v>58.3</v>
      </c>
      <c r="H2508" t="n">
        <v>0</v>
      </c>
      <c r="I2508" t="n">
        <v>0</v>
      </c>
      <c r="J2508" t="n">
        <v>0</v>
      </c>
      <c r="K2508" t="n">
        <v>0</v>
      </c>
      <c r="L2508" t="n">
        <v>0</v>
      </c>
      <c r="M2508" t="n">
        <v>0</v>
      </c>
      <c r="N2508" t="n">
        <v>0</v>
      </c>
      <c r="O2508" t="n">
        <v>0</v>
      </c>
      <c r="P2508" t="n">
        <v>0</v>
      </c>
      <c r="Q2508" t="n">
        <v>0</v>
      </c>
      <c r="R2508" s="2" t="inlineStr"/>
    </row>
    <row r="2509" ht="15" customHeight="1">
      <c r="A2509" t="inlineStr">
        <is>
          <t>A 2223-2024</t>
        </is>
      </c>
      <c r="B2509" s="1" t="n">
        <v>45309</v>
      </c>
      <c r="C2509" s="1" t="n">
        <v>45346</v>
      </c>
      <c r="D2509" t="inlineStr">
        <is>
          <t>VÄSTERNORRLANDS LÄN</t>
        </is>
      </c>
      <c r="E2509" t="inlineStr">
        <is>
          <t>SOLLEFTEÅ</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2229-2024</t>
        </is>
      </c>
      <c r="B2510" s="1" t="n">
        <v>45309</v>
      </c>
      <c r="C2510" s="1" t="n">
        <v>45346</v>
      </c>
      <c r="D2510" t="inlineStr">
        <is>
          <t>VÄSTERNORRLANDS LÄN</t>
        </is>
      </c>
      <c r="E2510" t="inlineStr">
        <is>
          <t>SOLLEFTEÅ</t>
        </is>
      </c>
      <c r="F2510" t="inlineStr">
        <is>
          <t>SCA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2233-2024</t>
        </is>
      </c>
      <c r="B2511" s="1" t="n">
        <v>45309</v>
      </c>
      <c r="C2511" s="1" t="n">
        <v>45346</v>
      </c>
      <c r="D2511" t="inlineStr">
        <is>
          <t>VÄSTERNORRLANDS LÄN</t>
        </is>
      </c>
      <c r="E2511" t="inlineStr">
        <is>
          <t>SOLLEFTEÅ</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2423-2024</t>
        </is>
      </c>
      <c r="B2512" s="1" t="n">
        <v>45310</v>
      </c>
      <c r="C2512" s="1" t="n">
        <v>45346</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2425-2024</t>
        </is>
      </c>
      <c r="B2513" s="1" t="n">
        <v>45310</v>
      </c>
      <c r="C2513" s="1" t="n">
        <v>45346</v>
      </c>
      <c r="D2513" t="inlineStr">
        <is>
          <t>VÄSTERNORRLANDS LÄN</t>
        </is>
      </c>
      <c r="E2513" t="inlineStr">
        <is>
          <t>SOLLEFTEÅ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2515-2024</t>
        </is>
      </c>
      <c r="B2514" s="1" t="n">
        <v>45313</v>
      </c>
      <c r="C2514" s="1" t="n">
        <v>45346</v>
      </c>
      <c r="D2514" t="inlineStr">
        <is>
          <t>VÄSTERNORRLANDS LÄN</t>
        </is>
      </c>
      <c r="E2514" t="inlineStr">
        <is>
          <t>SOLLEFTEÅ</t>
        </is>
      </c>
      <c r="F2514" t="inlineStr">
        <is>
          <t>Kommuner</t>
        </is>
      </c>
      <c r="G2514" t="n">
        <v>8.699999999999999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2816-2024</t>
        </is>
      </c>
      <c r="B2515" s="1" t="n">
        <v>45314</v>
      </c>
      <c r="C2515" s="1" t="n">
        <v>45346</v>
      </c>
      <c r="D2515" t="inlineStr">
        <is>
          <t>VÄSTERNORRLANDS LÄN</t>
        </is>
      </c>
      <c r="E2515" t="inlineStr">
        <is>
          <t>SOLLEFTEÅ</t>
        </is>
      </c>
      <c r="F2515" t="inlineStr">
        <is>
          <t>Holmen skog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2703-2024</t>
        </is>
      </c>
      <c r="B2516" s="1" t="n">
        <v>45314</v>
      </c>
      <c r="C2516" s="1" t="n">
        <v>45346</v>
      </c>
      <c r="D2516" t="inlineStr">
        <is>
          <t>VÄSTERNORRLANDS LÄN</t>
        </is>
      </c>
      <c r="E2516" t="inlineStr">
        <is>
          <t>SOLLEFTEÅ</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2850-2024</t>
        </is>
      </c>
      <c r="B2517" s="1" t="n">
        <v>45315</v>
      </c>
      <c r="C2517" s="1" t="n">
        <v>45346</v>
      </c>
      <c r="D2517" t="inlineStr">
        <is>
          <t>VÄSTERNORRLANDS LÄN</t>
        </is>
      </c>
      <c r="E2517" t="inlineStr">
        <is>
          <t>SOLLEFTEÅ</t>
        </is>
      </c>
      <c r="G2517" t="n">
        <v>15.1</v>
      </c>
      <c r="H2517" t="n">
        <v>0</v>
      </c>
      <c r="I2517" t="n">
        <v>0</v>
      </c>
      <c r="J2517" t="n">
        <v>0</v>
      </c>
      <c r="K2517" t="n">
        <v>0</v>
      </c>
      <c r="L2517" t="n">
        <v>0</v>
      </c>
      <c r="M2517" t="n">
        <v>0</v>
      </c>
      <c r="N2517" t="n">
        <v>0</v>
      </c>
      <c r="O2517" t="n">
        <v>0</v>
      </c>
      <c r="P2517" t="n">
        <v>0</v>
      </c>
      <c r="Q2517" t="n">
        <v>0</v>
      </c>
      <c r="R2517" s="2" t="inlineStr"/>
    </row>
    <row r="2518" ht="15" customHeight="1">
      <c r="A2518" t="inlineStr">
        <is>
          <t>A 3234-2024</t>
        </is>
      </c>
      <c r="B2518" s="1" t="n">
        <v>45316</v>
      </c>
      <c r="C2518" s="1" t="n">
        <v>45346</v>
      </c>
      <c r="D2518" t="inlineStr">
        <is>
          <t>VÄSTERNORRLANDS LÄN</t>
        </is>
      </c>
      <c r="E2518" t="inlineStr">
        <is>
          <t>SOLLEFTEÅ</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3211-2024</t>
        </is>
      </c>
      <c r="B2519" s="1" t="n">
        <v>45316</v>
      </c>
      <c r="C2519" s="1" t="n">
        <v>45346</v>
      </c>
      <c r="D2519" t="inlineStr">
        <is>
          <t>VÄSTERNORRLANDS LÄN</t>
        </is>
      </c>
      <c r="E2519" t="inlineStr">
        <is>
          <t>SOLLEFTEÅ</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3231-2024</t>
        </is>
      </c>
      <c r="B2520" s="1" t="n">
        <v>45316</v>
      </c>
      <c r="C2520" s="1" t="n">
        <v>45346</v>
      </c>
      <c r="D2520" t="inlineStr">
        <is>
          <t>VÄSTERNORRLANDS LÄN</t>
        </is>
      </c>
      <c r="E2520" t="inlineStr">
        <is>
          <t>SOLLEFTEÅ</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3241-2024</t>
        </is>
      </c>
      <c r="B2521" s="1" t="n">
        <v>45316</v>
      </c>
      <c r="C2521" s="1" t="n">
        <v>45346</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3252-2024</t>
        </is>
      </c>
      <c r="B2522" s="1" t="n">
        <v>45316</v>
      </c>
      <c r="C2522" s="1" t="n">
        <v>45346</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3388-2024</t>
        </is>
      </c>
      <c r="B2523" s="1" t="n">
        <v>45317</v>
      </c>
      <c r="C2523" s="1" t="n">
        <v>45346</v>
      </c>
      <c r="D2523" t="inlineStr">
        <is>
          <t>VÄSTERNORRLANDS LÄN</t>
        </is>
      </c>
      <c r="E2523" t="inlineStr">
        <is>
          <t>SOLLEFTEÅ</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3621-2024</t>
        </is>
      </c>
      <c r="B2524" s="1" t="n">
        <v>45320</v>
      </c>
      <c r="C2524" s="1" t="n">
        <v>45346</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3633-2024</t>
        </is>
      </c>
      <c r="B2525" s="1" t="n">
        <v>45320</v>
      </c>
      <c r="C2525" s="1" t="n">
        <v>45346</v>
      </c>
      <c r="D2525" t="inlineStr">
        <is>
          <t>VÄSTERNORRLANDS LÄN</t>
        </is>
      </c>
      <c r="E2525" t="inlineStr">
        <is>
          <t>SOLLEFTEÅ</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3832-2024</t>
        </is>
      </c>
      <c r="B2526" s="1" t="n">
        <v>45321</v>
      </c>
      <c r="C2526" s="1" t="n">
        <v>45346</v>
      </c>
      <c r="D2526" t="inlineStr">
        <is>
          <t>VÄSTERNORRLANDS LÄN</t>
        </is>
      </c>
      <c r="E2526" t="inlineStr">
        <is>
          <t>SOLLEFTEÅ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3847-2024</t>
        </is>
      </c>
      <c r="B2527" s="1" t="n">
        <v>45322</v>
      </c>
      <c r="C2527" s="1" t="n">
        <v>45346</v>
      </c>
      <c r="D2527" t="inlineStr">
        <is>
          <t>VÄSTERNORRLANDS LÄN</t>
        </is>
      </c>
      <c r="E2527" t="inlineStr">
        <is>
          <t>SOLLEFTEÅ</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3990-2024</t>
        </is>
      </c>
      <c r="B2528" s="1" t="n">
        <v>45322</v>
      </c>
      <c r="C2528" s="1" t="n">
        <v>45346</v>
      </c>
      <c r="D2528" t="inlineStr">
        <is>
          <t>VÄSTERNORRLANDS LÄN</t>
        </is>
      </c>
      <c r="E2528" t="inlineStr">
        <is>
          <t>SOLLEFTEÅ</t>
        </is>
      </c>
      <c r="F2528" t="inlineStr">
        <is>
          <t>SCA</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3998-2024</t>
        </is>
      </c>
      <c r="B2529" s="1" t="n">
        <v>45322</v>
      </c>
      <c r="C2529" s="1" t="n">
        <v>45346</v>
      </c>
      <c r="D2529" t="inlineStr">
        <is>
          <t>VÄSTERNORRLANDS LÄN</t>
        </is>
      </c>
      <c r="E2529" t="inlineStr">
        <is>
          <t>SOLLEFTEÅ</t>
        </is>
      </c>
      <c r="F2529" t="inlineStr">
        <is>
          <t>SCA</t>
        </is>
      </c>
      <c r="G2529" t="n">
        <v>23.9</v>
      </c>
      <c r="H2529" t="n">
        <v>0</v>
      </c>
      <c r="I2529" t="n">
        <v>0</v>
      </c>
      <c r="J2529" t="n">
        <v>0</v>
      </c>
      <c r="K2529" t="n">
        <v>0</v>
      </c>
      <c r="L2529" t="n">
        <v>0</v>
      </c>
      <c r="M2529" t="n">
        <v>0</v>
      </c>
      <c r="N2529" t="n">
        <v>0</v>
      </c>
      <c r="O2529" t="n">
        <v>0</v>
      </c>
      <c r="P2529" t="n">
        <v>0</v>
      </c>
      <c r="Q2529" t="n">
        <v>0</v>
      </c>
      <c r="R2529" s="2" t="inlineStr"/>
    </row>
    <row r="2530" ht="15" customHeight="1">
      <c r="A2530" t="inlineStr">
        <is>
          <t>A 3991-2024</t>
        </is>
      </c>
      <c r="B2530" s="1" t="n">
        <v>45322</v>
      </c>
      <c r="C2530" s="1" t="n">
        <v>45346</v>
      </c>
      <c r="D2530" t="inlineStr">
        <is>
          <t>VÄSTERNORRLANDS LÄN</t>
        </is>
      </c>
      <c r="E2530" t="inlineStr">
        <is>
          <t>SOLLEFTEÅ</t>
        </is>
      </c>
      <c r="F2530" t="inlineStr">
        <is>
          <t>SCA</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4064-2024</t>
        </is>
      </c>
      <c r="B2531" s="1" t="n">
        <v>45323</v>
      </c>
      <c r="C2531" s="1" t="n">
        <v>45346</v>
      </c>
      <c r="D2531" t="inlineStr">
        <is>
          <t>VÄSTERNORRLANDS LÄN</t>
        </is>
      </c>
      <c r="E2531" t="inlineStr">
        <is>
          <t>SOLLEFTEÅ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4061-2024</t>
        </is>
      </c>
      <c r="B2532" s="1" t="n">
        <v>45323</v>
      </c>
      <c r="C2532" s="1" t="n">
        <v>45346</v>
      </c>
      <c r="D2532" t="inlineStr">
        <is>
          <t>VÄSTERNORRLANDS LÄN</t>
        </is>
      </c>
      <c r="E2532" t="inlineStr">
        <is>
          <t>SOLLEFTEÅ</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4168-2024</t>
        </is>
      </c>
      <c r="B2533" s="1" t="n">
        <v>45323</v>
      </c>
      <c r="C2533" s="1" t="n">
        <v>45346</v>
      </c>
      <c r="D2533" t="inlineStr">
        <is>
          <t>VÄSTERNORRLANDS LÄN</t>
        </is>
      </c>
      <c r="E2533" t="inlineStr">
        <is>
          <t>SOLLEFTEÅ</t>
        </is>
      </c>
      <c r="F2533" t="inlineStr">
        <is>
          <t>SCA</t>
        </is>
      </c>
      <c r="G2533" t="n">
        <v>22.1</v>
      </c>
      <c r="H2533" t="n">
        <v>0</v>
      </c>
      <c r="I2533" t="n">
        <v>0</v>
      </c>
      <c r="J2533" t="n">
        <v>0</v>
      </c>
      <c r="K2533" t="n">
        <v>0</v>
      </c>
      <c r="L2533" t="n">
        <v>0</v>
      </c>
      <c r="M2533" t="n">
        <v>0</v>
      </c>
      <c r="N2533" t="n">
        <v>0</v>
      </c>
      <c r="O2533" t="n">
        <v>0</v>
      </c>
      <c r="P2533" t="n">
        <v>0</v>
      </c>
      <c r="Q2533" t="n">
        <v>0</v>
      </c>
      <c r="R2533" s="2" t="inlineStr"/>
    </row>
    <row r="2534" ht="15" customHeight="1">
      <c r="A2534" t="inlineStr">
        <is>
          <t>A 4167-2024</t>
        </is>
      </c>
      <c r="B2534" s="1" t="n">
        <v>45323</v>
      </c>
      <c r="C2534" s="1" t="n">
        <v>45346</v>
      </c>
      <c r="D2534" t="inlineStr">
        <is>
          <t>VÄSTERNORRLANDS LÄN</t>
        </is>
      </c>
      <c r="E2534" t="inlineStr">
        <is>
          <t>SOLLEFTEÅ</t>
        </is>
      </c>
      <c r="F2534" t="inlineStr">
        <is>
          <t>SCA</t>
        </is>
      </c>
      <c r="G2534" t="n">
        <v>13.7</v>
      </c>
      <c r="H2534" t="n">
        <v>0</v>
      </c>
      <c r="I2534" t="n">
        <v>0</v>
      </c>
      <c r="J2534" t="n">
        <v>0</v>
      </c>
      <c r="K2534" t="n">
        <v>0</v>
      </c>
      <c r="L2534" t="n">
        <v>0</v>
      </c>
      <c r="M2534" t="n">
        <v>0</v>
      </c>
      <c r="N2534" t="n">
        <v>0</v>
      </c>
      <c r="O2534" t="n">
        <v>0</v>
      </c>
      <c r="P2534" t="n">
        <v>0</v>
      </c>
      <c r="Q2534" t="n">
        <v>0</v>
      </c>
      <c r="R2534" s="2" t="inlineStr"/>
    </row>
    <row r="2535" ht="15" customHeight="1">
      <c r="A2535" t="inlineStr">
        <is>
          <t>A 4348-2024</t>
        </is>
      </c>
      <c r="B2535" s="1" t="n">
        <v>45324</v>
      </c>
      <c r="C2535" s="1" t="n">
        <v>45346</v>
      </c>
      <c r="D2535" t="inlineStr">
        <is>
          <t>VÄSTERNORRLANDS LÄN</t>
        </is>
      </c>
      <c r="E2535" t="inlineStr">
        <is>
          <t>SOLLEFTEÅ</t>
        </is>
      </c>
      <c r="F2535" t="inlineStr">
        <is>
          <t>SCA</t>
        </is>
      </c>
      <c r="G2535" t="n">
        <v>14.4</v>
      </c>
      <c r="H2535" t="n">
        <v>0</v>
      </c>
      <c r="I2535" t="n">
        <v>0</v>
      </c>
      <c r="J2535" t="n">
        <v>0</v>
      </c>
      <c r="K2535" t="n">
        <v>0</v>
      </c>
      <c r="L2535" t="n">
        <v>0</v>
      </c>
      <c r="M2535" t="n">
        <v>0</v>
      </c>
      <c r="N2535" t="n">
        <v>0</v>
      </c>
      <c r="O2535" t="n">
        <v>0</v>
      </c>
      <c r="P2535" t="n">
        <v>0</v>
      </c>
      <c r="Q2535" t="n">
        <v>0</v>
      </c>
      <c r="R2535" s="2" t="inlineStr"/>
    </row>
    <row r="2536" ht="15" customHeight="1">
      <c r="A2536" t="inlineStr">
        <is>
          <t>A 4352-2024</t>
        </is>
      </c>
      <c r="B2536" s="1" t="n">
        <v>45324</v>
      </c>
      <c r="C2536" s="1" t="n">
        <v>45346</v>
      </c>
      <c r="D2536" t="inlineStr">
        <is>
          <t>VÄSTERNORRLANDS LÄN</t>
        </is>
      </c>
      <c r="E2536" t="inlineStr">
        <is>
          <t>SOLLEFTEÅ</t>
        </is>
      </c>
      <c r="F2536" t="inlineStr">
        <is>
          <t>SCA</t>
        </is>
      </c>
      <c r="G2536" t="n">
        <v>24.7</v>
      </c>
      <c r="H2536" t="n">
        <v>0</v>
      </c>
      <c r="I2536" t="n">
        <v>0</v>
      </c>
      <c r="J2536" t="n">
        <v>0</v>
      </c>
      <c r="K2536" t="n">
        <v>0</v>
      </c>
      <c r="L2536" t="n">
        <v>0</v>
      </c>
      <c r="M2536" t="n">
        <v>0</v>
      </c>
      <c r="N2536" t="n">
        <v>0</v>
      </c>
      <c r="O2536" t="n">
        <v>0</v>
      </c>
      <c r="P2536" t="n">
        <v>0</v>
      </c>
      <c r="Q2536" t="n">
        <v>0</v>
      </c>
      <c r="R2536" s="2" t="inlineStr"/>
    </row>
    <row r="2537" ht="15" customHeight="1">
      <c r="A2537" t="inlineStr">
        <is>
          <t>A 4349-2024</t>
        </is>
      </c>
      <c r="B2537" s="1" t="n">
        <v>45324</v>
      </c>
      <c r="C2537" s="1" t="n">
        <v>45346</v>
      </c>
      <c r="D2537" t="inlineStr">
        <is>
          <t>VÄSTERNORRLANDS LÄN</t>
        </is>
      </c>
      <c r="E2537" t="inlineStr">
        <is>
          <t>SOLLEFTEÅ</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4347-2024</t>
        </is>
      </c>
      <c r="B2538" s="1" t="n">
        <v>45324</v>
      </c>
      <c r="C2538" s="1" t="n">
        <v>45346</v>
      </c>
      <c r="D2538" t="inlineStr">
        <is>
          <t>VÄSTERNORRLANDS LÄN</t>
        </is>
      </c>
      <c r="E2538" t="inlineStr">
        <is>
          <t>SOLLEFTEÅ</t>
        </is>
      </c>
      <c r="F2538" t="inlineStr">
        <is>
          <t>SCA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4546-2024</t>
        </is>
      </c>
      <c r="B2539" s="1" t="n">
        <v>45327</v>
      </c>
      <c r="C2539" s="1" t="n">
        <v>45346</v>
      </c>
      <c r="D2539" t="inlineStr">
        <is>
          <t>VÄSTERNORRLANDS LÄN</t>
        </is>
      </c>
      <c r="E2539" t="inlineStr">
        <is>
          <t>SOLLEFTEÅ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4595-2024</t>
        </is>
      </c>
      <c r="B2540" s="1" t="n">
        <v>45327</v>
      </c>
      <c r="C2540" s="1" t="n">
        <v>45346</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4808-2024</t>
        </is>
      </c>
      <c r="B2541" s="1" t="n">
        <v>45328</v>
      </c>
      <c r="C2541" s="1" t="n">
        <v>45346</v>
      </c>
      <c r="D2541" t="inlineStr">
        <is>
          <t>VÄSTERNORRLANDS LÄN</t>
        </is>
      </c>
      <c r="E2541" t="inlineStr">
        <is>
          <t>SOLLEFTEÅ</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4812-2024</t>
        </is>
      </c>
      <c r="B2542" s="1" t="n">
        <v>45328</v>
      </c>
      <c r="C2542" s="1" t="n">
        <v>45346</v>
      </c>
      <c r="D2542" t="inlineStr">
        <is>
          <t>VÄSTERNORRLANDS LÄN</t>
        </is>
      </c>
      <c r="E2542" t="inlineStr">
        <is>
          <t>SOLLEFTEÅ</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4809-2024</t>
        </is>
      </c>
      <c r="B2543" s="1" t="n">
        <v>45328</v>
      </c>
      <c r="C2543" s="1" t="n">
        <v>45346</v>
      </c>
      <c r="D2543" t="inlineStr">
        <is>
          <t>VÄSTERNORRLANDS LÄN</t>
        </is>
      </c>
      <c r="E2543" t="inlineStr">
        <is>
          <t>SOLLEFTEÅ</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4813-2024</t>
        </is>
      </c>
      <c r="B2544" s="1" t="n">
        <v>45328</v>
      </c>
      <c r="C2544" s="1" t="n">
        <v>45346</v>
      </c>
      <c r="D2544" t="inlineStr">
        <is>
          <t>VÄSTERNORRLANDS LÄN</t>
        </is>
      </c>
      <c r="E2544" t="inlineStr">
        <is>
          <t>SOLLEFTEÅ</t>
        </is>
      </c>
      <c r="F2544" t="inlineStr">
        <is>
          <t>SCA</t>
        </is>
      </c>
      <c r="G2544" t="n">
        <v>26.6</v>
      </c>
      <c r="H2544" t="n">
        <v>0</v>
      </c>
      <c r="I2544" t="n">
        <v>0</v>
      </c>
      <c r="J2544" t="n">
        <v>0</v>
      </c>
      <c r="K2544" t="n">
        <v>0</v>
      </c>
      <c r="L2544" t="n">
        <v>0</v>
      </c>
      <c r="M2544" t="n">
        <v>0</v>
      </c>
      <c r="N2544" t="n">
        <v>0</v>
      </c>
      <c r="O2544" t="n">
        <v>0</v>
      </c>
      <c r="P2544" t="n">
        <v>0</v>
      </c>
      <c r="Q2544" t="n">
        <v>0</v>
      </c>
      <c r="R2544" s="2" t="inlineStr"/>
    </row>
    <row r="2545" ht="15" customHeight="1">
      <c r="A2545" t="inlineStr">
        <is>
          <t>A 5035-2024</t>
        </is>
      </c>
      <c r="B2545" s="1" t="n">
        <v>45329</v>
      </c>
      <c r="C2545" s="1" t="n">
        <v>45346</v>
      </c>
      <c r="D2545" t="inlineStr">
        <is>
          <t>VÄSTERNORRLANDS LÄN</t>
        </is>
      </c>
      <c r="E2545" t="inlineStr">
        <is>
          <t>SOLLEFTEÅ</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5059-2024</t>
        </is>
      </c>
      <c r="B2546" s="1" t="n">
        <v>45329</v>
      </c>
      <c r="C2546" s="1" t="n">
        <v>45346</v>
      </c>
      <c r="D2546" t="inlineStr">
        <is>
          <t>VÄSTERNORRLANDS LÄN</t>
        </is>
      </c>
      <c r="E2546" t="inlineStr">
        <is>
          <t>SOLLEFTEÅ</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5036-2024</t>
        </is>
      </c>
      <c r="B2547" s="1" t="n">
        <v>45329</v>
      </c>
      <c r="C2547" s="1" t="n">
        <v>45346</v>
      </c>
      <c r="D2547" t="inlineStr">
        <is>
          <t>VÄSTERNORRLANDS LÄN</t>
        </is>
      </c>
      <c r="E2547" t="inlineStr">
        <is>
          <t>SOLLEFTEÅ</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5040-2024</t>
        </is>
      </c>
      <c r="B2548" s="1" t="n">
        <v>45329</v>
      </c>
      <c r="C2548" s="1" t="n">
        <v>45346</v>
      </c>
      <c r="D2548" t="inlineStr">
        <is>
          <t>VÄSTERNORRLANDS LÄN</t>
        </is>
      </c>
      <c r="E2548" t="inlineStr">
        <is>
          <t>SOLLEFTEÅ</t>
        </is>
      </c>
      <c r="F2548" t="inlineStr">
        <is>
          <t>Övriga Aktiebolag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5064-2024</t>
        </is>
      </c>
      <c r="B2549" s="1" t="n">
        <v>45329</v>
      </c>
      <c r="C2549" s="1" t="n">
        <v>45346</v>
      </c>
      <c r="D2549" t="inlineStr">
        <is>
          <t>VÄSTERNORRLANDS LÄN</t>
        </is>
      </c>
      <c r="E2549" t="inlineStr">
        <is>
          <t>SOLLEFTEÅ</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4857-2024</t>
        </is>
      </c>
      <c r="B2550" s="1" t="n">
        <v>45329</v>
      </c>
      <c r="C2550" s="1" t="n">
        <v>45346</v>
      </c>
      <c r="D2550" t="inlineStr">
        <is>
          <t>VÄSTERNORRLANDS LÄN</t>
        </is>
      </c>
      <c r="E2550" t="inlineStr">
        <is>
          <t>SOLLEFTEÅ</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5072-2024</t>
        </is>
      </c>
      <c r="B2551" s="1" t="n">
        <v>45330</v>
      </c>
      <c r="C2551" s="1" t="n">
        <v>45346</v>
      </c>
      <c r="D2551" t="inlineStr">
        <is>
          <t>VÄSTERNORRLANDS LÄN</t>
        </is>
      </c>
      <c r="E2551" t="inlineStr">
        <is>
          <t>SOLLEFTEÅ</t>
        </is>
      </c>
      <c r="F2551" t="inlineStr">
        <is>
          <t>Övriga Aktiebolag</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5034-2024</t>
        </is>
      </c>
      <c r="B2552" s="1" t="n">
        <v>45329</v>
      </c>
      <c r="C2552" s="1" t="n">
        <v>45346</v>
      </c>
      <c r="D2552" t="inlineStr">
        <is>
          <t>VÄSTERNORRLANDS LÄN</t>
        </is>
      </c>
      <c r="E2552" t="inlineStr">
        <is>
          <t>SOLLEFTEÅ</t>
        </is>
      </c>
      <c r="F2552" t="inlineStr">
        <is>
          <t>Övriga Aktiebolag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5038-2024</t>
        </is>
      </c>
      <c r="B2553" s="1" t="n">
        <v>45329</v>
      </c>
      <c r="C2553" s="1" t="n">
        <v>45346</v>
      </c>
      <c r="D2553" t="inlineStr">
        <is>
          <t>VÄSTERNORRLANDS LÄN</t>
        </is>
      </c>
      <c r="E2553" t="inlineStr">
        <is>
          <t>SOLLEFTEÅ</t>
        </is>
      </c>
      <c r="F2553" t="inlineStr">
        <is>
          <t>Övriga Aktiebolag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5063-2024</t>
        </is>
      </c>
      <c r="B2554" s="1" t="n">
        <v>45329</v>
      </c>
      <c r="C2554" s="1" t="n">
        <v>45346</v>
      </c>
      <c r="D2554" t="inlineStr">
        <is>
          <t>VÄSTERNORRLANDS LÄN</t>
        </is>
      </c>
      <c r="E2554" t="inlineStr">
        <is>
          <t>SOLLEFTEÅ</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5075-2024</t>
        </is>
      </c>
      <c r="B2555" s="1" t="n">
        <v>45329</v>
      </c>
      <c r="C2555" s="1" t="n">
        <v>45346</v>
      </c>
      <c r="D2555" t="inlineStr">
        <is>
          <t>VÄSTERNORRLANDS LÄN</t>
        </is>
      </c>
      <c r="E2555" t="inlineStr">
        <is>
          <t>SOLLEFTEÅ</t>
        </is>
      </c>
      <c r="F2555" t="inlineStr">
        <is>
          <t>Övriga Aktiebolag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5058-2024</t>
        </is>
      </c>
      <c r="B2556" s="1" t="n">
        <v>45329</v>
      </c>
      <c r="C2556" s="1" t="n">
        <v>45346</v>
      </c>
      <c r="D2556" t="inlineStr">
        <is>
          <t>VÄSTERNORRLANDS LÄN</t>
        </is>
      </c>
      <c r="E2556" t="inlineStr">
        <is>
          <t>SOLLEFTEÅ</t>
        </is>
      </c>
      <c r="F2556" t="inlineStr">
        <is>
          <t>SCA</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5062-2024</t>
        </is>
      </c>
      <c r="B2557" s="1" t="n">
        <v>45329</v>
      </c>
      <c r="C2557" s="1" t="n">
        <v>45346</v>
      </c>
      <c r="D2557" t="inlineStr">
        <is>
          <t>VÄSTERNORRLANDS LÄN</t>
        </is>
      </c>
      <c r="E2557" t="inlineStr">
        <is>
          <t>SOLLEFTEÅ</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5074-2024</t>
        </is>
      </c>
      <c r="B2558" s="1" t="n">
        <v>45330</v>
      </c>
      <c r="C2558" s="1" t="n">
        <v>45346</v>
      </c>
      <c r="D2558" t="inlineStr">
        <is>
          <t>VÄSTERNORRLANDS LÄN</t>
        </is>
      </c>
      <c r="E2558" t="inlineStr">
        <is>
          <t>SOLLEFTEÅ</t>
        </is>
      </c>
      <c r="F2558" t="inlineStr">
        <is>
          <t>Övriga Aktiebolag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5057-2024</t>
        </is>
      </c>
      <c r="B2559" s="1" t="n">
        <v>45329</v>
      </c>
      <c r="C2559" s="1" t="n">
        <v>45346</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5061-2024</t>
        </is>
      </c>
      <c r="B2560" s="1" t="n">
        <v>45329</v>
      </c>
      <c r="C2560" s="1" t="n">
        <v>45346</v>
      </c>
      <c r="D2560" t="inlineStr">
        <is>
          <t>VÄSTERNORRLANDS LÄN</t>
        </is>
      </c>
      <c r="E2560" t="inlineStr">
        <is>
          <t>SOLLEFTEÅ</t>
        </is>
      </c>
      <c r="F2560" t="inlineStr">
        <is>
          <t>SCA</t>
        </is>
      </c>
      <c r="G2560" t="n">
        <v>34.1</v>
      </c>
      <c r="H2560" t="n">
        <v>0</v>
      </c>
      <c r="I2560" t="n">
        <v>0</v>
      </c>
      <c r="J2560" t="n">
        <v>0</v>
      </c>
      <c r="K2560" t="n">
        <v>0</v>
      </c>
      <c r="L2560" t="n">
        <v>0</v>
      </c>
      <c r="M2560" t="n">
        <v>0</v>
      </c>
      <c r="N2560" t="n">
        <v>0</v>
      </c>
      <c r="O2560" t="n">
        <v>0</v>
      </c>
      <c r="P2560" t="n">
        <v>0</v>
      </c>
      <c r="Q2560" t="n">
        <v>0</v>
      </c>
      <c r="R2560" s="2" t="inlineStr"/>
    </row>
    <row r="2561" ht="15" customHeight="1">
      <c r="A2561" t="inlineStr">
        <is>
          <t>A 5073-2024</t>
        </is>
      </c>
      <c r="B2561" s="1" t="n">
        <v>45330</v>
      </c>
      <c r="C2561" s="1" t="n">
        <v>45346</v>
      </c>
      <c r="D2561" t="inlineStr">
        <is>
          <t>VÄSTERNORRLANDS LÄN</t>
        </is>
      </c>
      <c r="E2561" t="inlineStr">
        <is>
          <t>SOLLEFTEÅ</t>
        </is>
      </c>
      <c r="F2561" t="inlineStr">
        <is>
          <t>Övriga Aktiebolag</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5255-2024</t>
        </is>
      </c>
      <c r="B2562" s="1" t="n">
        <v>45330</v>
      </c>
      <c r="C2562" s="1" t="n">
        <v>45346</v>
      </c>
      <c r="D2562" t="inlineStr">
        <is>
          <t>VÄSTERNORRLANDS LÄN</t>
        </is>
      </c>
      <c r="E2562" t="inlineStr">
        <is>
          <t>SOLLEFTEÅ</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5253-2024</t>
        </is>
      </c>
      <c r="B2563" s="1" t="n">
        <v>45330</v>
      </c>
      <c r="C2563" s="1" t="n">
        <v>45346</v>
      </c>
      <c r="D2563" t="inlineStr">
        <is>
          <t>VÄSTERNORRLANDS LÄN</t>
        </is>
      </c>
      <c r="E2563" t="inlineStr">
        <is>
          <t>SOLLEFTEÅ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5256-2024</t>
        </is>
      </c>
      <c r="B2564" s="1" t="n">
        <v>45330</v>
      </c>
      <c r="C2564" s="1" t="n">
        <v>45346</v>
      </c>
      <c r="D2564" t="inlineStr">
        <is>
          <t>VÄSTERNORRLANDS LÄN</t>
        </is>
      </c>
      <c r="E2564" t="inlineStr">
        <is>
          <t>SOLLEFTEÅ</t>
        </is>
      </c>
      <c r="F2564" t="inlineStr">
        <is>
          <t>SCA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5254-2024</t>
        </is>
      </c>
      <c r="B2565" s="1" t="n">
        <v>45330</v>
      </c>
      <c r="C2565" s="1" t="n">
        <v>45346</v>
      </c>
      <c r="D2565" t="inlineStr">
        <is>
          <t>VÄSTERNORRLANDS LÄN</t>
        </is>
      </c>
      <c r="E2565" t="inlineStr">
        <is>
          <t>SOLLEFTEÅ</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5446-2024</t>
        </is>
      </c>
      <c r="B2566" s="1" t="n">
        <v>45331</v>
      </c>
      <c r="C2566" s="1" t="n">
        <v>45346</v>
      </c>
      <c r="D2566" t="inlineStr">
        <is>
          <t>VÄSTERNORRLANDS LÄN</t>
        </is>
      </c>
      <c r="E2566" t="inlineStr">
        <is>
          <t>SOLLEFTEÅ</t>
        </is>
      </c>
      <c r="F2566" t="inlineStr">
        <is>
          <t>SCA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5452-2024</t>
        </is>
      </c>
      <c r="B2567" s="1" t="n">
        <v>45331</v>
      </c>
      <c r="C2567" s="1" t="n">
        <v>45346</v>
      </c>
      <c r="D2567" t="inlineStr">
        <is>
          <t>VÄSTERNORRLANDS LÄN</t>
        </is>
      </c>
      <c r="E2567" t="inlineStr">
        <is>
          <t>SOLLEFTEÅ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5734-2024</t>
        </is>
      </c>
      <c r="B2568" s="1" t="n">
        <v>45334</v>
      </c>
      <c r="C2568" s="1" t="n">
        <v>45346</v>
      </c>
      <c r="D2568" t="inlineStr">
        <is>
          <t>VÄSTERNORRLANDS LÄN</t>
        </is>
      </c>
      <c r="E2568" t="inlineStr">
        <is>
          <t>SOLLEFTEÅ</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5877-2024</t>
        </is>
      </c>
      <c r="B2569" s="1" t="n">
        <v>45335</v>
      </c>
      <c r="C2569" s="1" t="n">
        <v>45346</v>
      </c>
      <c r="D2569" t="inlineStr">
        <is>
          <t>VÄSTERNORRLANDS LÄN</t>
        </is>
      </c>
      <c r="E2569" t="inlineStr">
        <is>
          <t>SOLLEFTEÅ</t>
        </is>
      </c>
      <c r="F2569" t="inlineStr">
        <is>
          <t>Övriga Aktiebolag</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5909-2024</t>
        </is>
      </c>
      <c r="B2570" s="1" t="n">
        <v>45335</v>
      </c>
      <c r="C2570" s="1" t="n">
        <v>45346</v>
      </c>
      <c r="D2570" t="inlineStr">
        <is>
          <t>VÄSTERNORRLANDS LÄN</t>
        </is>
      </c>
      <c r="E2570" t="inlineStr">
        <is>
          <t>SOLLEFTEÅ</t>
        </is>
      </c>
      <c r="F2570" t="inlineStr">
        <is>
          <t>SCA</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5917-2024</t>
        </is>
      </c>
      <c r="B2571" s="1" t="n">
        <v>45335</v>
      </c>
      <c r="C2571" s="1" t="n">
        <v>45346</v>
      </c>
      <c r="D2571" t="inlineStr">
        <is>
          <t>VÄSTERNORRLANDS LÄN</t>
        </is>
      </c>
      <c r="E2571" t="inlineStr">
        <is>
          <t>SOLLEFTEÅ</t>
        </is>
      </c>
      <c r="F2571" t="inlineStr">
        <is>
          <t>SCA</t>
        </is>
      </c>
      <c r="G2571" t="n">
        <v>21.2</v>
      </c>
      <c r="H2571" t="n">
        <v>0</v>
      </c>
      <c r="I2571" t="n">
        <v>0</v>
      </c>
      <c r="J2571" t="n">
        <v>0</v>
      </c>
      <c r="K2571" t="n">
        <v>0</v>
      </c>
      <c r="L2571" t="n">
        <v>0</v>
      </c>
      <c r="M2571" t="n">
        <v>0</v>
      </c>
      <c r="N2571" t="n">
        <v>0</v>
      </c>
      <c r="O2571" t="n">
        <v>0</v>
      </c>
      <c r="P2571" t="n">
        <v>0</v>
      </c>
      <c r="Q2571" t="n">
        <v>0</v>
      </c>
      <c r="R2571" s="2" t="inlineStr"/>
    </row>
    <row r="2572" ht="15" customHeight="1">
      <c r="A2572" t="inlineStr">
        <is>
          <t>A 5854-2024</t>
        </is>
      </c>
      <c r="B2572" s="1" t="n">
        <v>45335</v>
      </c>
      <c r="C2572" s="1" t="n">
        <v>45346</v>
      </c>
      <c r="D2572" t="inlineStr">
        <is>
          <t>VÄSTERNORRLANDS LÄN</t>
        </is>
      </c>
      <c r="E2572" t="inlineStr">
        <is>
          <t>SOLLEFTEÅ</t>
        </is>
      </c>
      <c r="F2572" t="inlineStr">
        <is>
          <t>Övriga Aktiebolag</t>
        </is>
      </c>
      <c r="G2572" t="n">
        <v>24.9</v>
      </c>
      <c r="H2572" t="n">
        <v>0</v>
      </c>
      <c r="I2572" t="n">
        <v>0</v>
      </c>
      <c r="J2572" t="n">
        <v>0</v>
      </c>
      <c r="K2572" t="n">
        <v>0</v>
      </c>
      <c r="L2572" t="n">
        <v>0</v>
      </c>
      <c r="M2572" t="n">
        <v>0</v>
      </c>
      <c r="N2572" t="n">
        <v>0</v>
      </c>
      <c r="O2572" t="n">
        <v>0</v>
      </c>
      <c r="P2572" t="n">
        <v>0</v>
      </c>
      <c r="Q2572" t="n">
        <v>0</v>
      </c>
      <c r="R2572" s="2" t="inlineStr"/>
    </row>
    <row r="2573" ht="15" customHeight="1">
      <c r="A2573" t="inlineStr">
        <is>
          <t>A 5874-2024</t>
        </is>
      </c>
      <c r="B2573" s="1" t="n">
        <v>45335</v>
      </c>
      <c r="C2573" s="1" t="n">
        <v>45346</v>
      </c>
      <c r="D2573" t="inlineStr">
        <is>
          <t>VÄSTERNORRLANDS LÄN</t>
        </is>
      </c>
      <c r="E2573" t="inlineStr">
        <is>
          <t>SOLLEFTEÅ</t>
        </is>
      </c>
      <c r="F2573" t="inlineStr">
        <is>
          <t>Övriga Aktiebolag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5882-2024</t>
        </is>
      </c>
      <c r="B2574" s="1" t="n">
        <v>45335</v>
      </c>
      <c r="C2574" s="1" t="n">
        <v>45346</v>
      </c>
      <c r="D2574" t="inlineStr">
        <is>
          <t>VÄSTERNORRLANDS LÄN</t>
        </is>
      </c>
      <c r="E2574" t="inlineStr">
        <is>
          <t>SOLLEFTEÅ</t>
        </is>
      </c>
      <c r="F2574" t="inlineStr">
        <is>
          <t>Övriga Aktiebolag</t>
        </is>
      </c>
      <c r="G2574" t="n">
        <v>13.2</v>
      </c>
      <c r="H2574" t="n">
        <v>0</v>
      </c>
      <c r="I2574" t="n">
        <v>0</v>
      </c>
      <c r="J2574" t="n">
        <v>0</v>
      </c>
      <c r="K2574" t="n">
        <v>0</v>
      </c>
      <c r="L2574" t="n">
        <v>0</v>
      </c>
      <c r="M2574" t="n">
        <v>0</v>
      </c>
      <c r="N2574" t="n">
        <v>0</v>
      </c>
      <c r="O2574" t="n">
        <v>0</v>
      </c>
      <c r="P2574" t="n">
        <v>0</v>
      </c>
      <c r="Q2574" t="n">
        <v>0</v>
      </c>
      <c r="R2574" s="2" t="inlineStr"/>
    </row>
    <row r="2575" ht="15" customHeight="1">
      <c r="A2575" t="inlineStr">
        <is>
          <t>A 5867-2024</t>
        </is>
      </c>
      <c r="B2575" s="1" t="n">
        <v>45335</v>
      </c>
      <c r="C2575" s="1" t="n">
        <v>45346</v>
      </c>
      <c r="D2575" t="inlineStr">
        <is>
          <t>VÄSTERNORRLANDS LÄN</t>
        </is>
      </c>
      <c r="E2575" t="inlineStr">
        <is>
          <t>SOLLEFTEÅ</t>
        </is>
      </c>
      <c r="F2575" t="inlineStr">
        <is>
          <t>Övriga Aktiebolag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5871-2024</t>
        </is>
      </c>
      <c r="B2576" s="1" t="n">
        <v>45335</v>
      </c>
      <c r="C2576" s="1" t="n">
        <v>45346</v>
      </c>
      <c r="D2576" t="inlineStr">
        <is>
          <t>VÄSTERNORRLANDS LÄN</t>
        </is>
      </c>
      <c r="E2576" t="inlineStr">
        <is>
          <t>SOLLEFTEÅ</t>
        </is>
      </c>
      <c r="F2576" t="inlineStr">
        <is>
          <t>Övriga Aktiebolag</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5919-2024</t>
        </is>
      </c>
      <c r="B2577" s="1" t="n">
        <v>45335</v>
      </c>
      <c r="C2577" s="1" t="n">
        <v>45346</v>
      </c>
      <c r="D2577" t="inlineStr">
        <is>
          <t>VÄSTERNORRLANDS LÄN</t>
        </is>
      </c>
      <c r="E2577" t="inlineStr">
        <is>
          <t>SOLLEFTEÅ</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5934-2024</t>
        </is>
      </c>
      <c r="B2578" s="1" t="n">
        <v>45336</v>
      </c>
      <c r="C2578" s="1" t="n">
        <v>45346</v>
      </c>
      <c r="D2578" t="inlineStr">
        <is>
          <t>VÄSTERNORRLANDS LÄN</t>
        </is>
      </c>
      <c r="E2578" t="inlineStr">
        <is>
          <t>SOLLEFTEÅ</t>
        </is>
      </c>
      <c r="F2578" t="inlineStr">
        <is>
          <t>Holmen skog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6058-2024</t>
        </is>
      </c>
      <c r="B2579" s="1" t="n">
        <v>45336</v>
      </c>
      <c r="C2579" s="1" t="n">
        <v>45346</v>
      </c>
      <c r="D2579" t="inlineStr">
        <is>
          <t>VÄSTERNORRLANDS LÄN</t>
        </is>
      </c>
      <c r="E2579" t="inlineStr">
        <is>
          <t>SOLLEFTEÅ</t>
        </is>
      </c>
      <c r="F2579" t="inlineStr">
        <is>
          <t>Övriga Aktiebolag</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6066-2024</t>
        </is>
      </c>
      <c r="B2580" s="1" t="n">
        <v>45336</v>
      </c>
      <c r="C2580" s="1" t="n">
        <v>45346</v>
      </c>
      <c r="D2580" t="inlineStr">
        <is>
          <t>VÄSTERNORRLANDS LÄN</t>
        </is>
      </c>
      <c r="E2580" t="inlineStr">
        <is>
          <t>SOLLEFTEÅ</t>
        </is>
      </c>
      <c r="F2580" t="inlineStr">
        <is>
          <t>Övriga Aktiebolag</t>
        </is>
      </c>
      <c r="G2580" t="n">
        <v>14.8</v>
      </c>
      <c r="H2580" t="n">
        <v>0</v>
      </c>
      <c r="I2580" t="n">
        <v>0</v>
      </c>
      <c r="J2580" t="n">
        <v>0</v>
      </c>
      <c r="K2580" t="n">
        <v>0</v>
      </c>
      <c r="L2580" t="n">
        <v>0</v>
      </c>
      <c r="M2580" t="n">
        <v>0</v>
      </c>
      <c r="N2580" t="n">
        <v>0</v>
      </c>
      <c r="O2580" t="n">
        <v>0</v>
      </c>
      <c r="P2580" t="n">
        <v>0</v>
      </c>
      <c r="Q2580" t="n">
        <v>0</v>
      </c>
      <c r="R2580" s="2" t="inlineStr"/>
    </row>
    <row r="2581" ht="15" customHeight="1">
      <c r="A2581" t="inlineStr">
        <is>
          <t>A 6064-2024</t>
        </is>
      </c>
      <c r="B2581" s="1" t="n">
        <v>45336</v>
      </c>
      <c r="C2581" s="1" t="n">
        <v>45346</v>
      </c>
      <c r="D2581" t="inlineStr">
        <is>
          <t>VÄSTERNORRLANDS LÄN</t>
        </is>
      </c>
      <c r="E2581" t="inlineStr">
        <is>
          <t>SOLLEFTEÅ</t>
        </is>
      </c>
      <c r="F2581" t="inlineStr">
        <is>
          <t>Övriga Aktiebolag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6068-2024</t>
        </is>
      </c>
      <c r="B2582" s="1" t="n">
        <v>45336</v>
      </c>
      <c r="C2582" s="1" t="n">
        <v>45346</v>
      </c>
      <c r="D2582" t="inlineStr">
        <is>
          <t>VÄSTERNORRLANDS LÄN</t>
        </is>
      </c>
      <c r="E2582" t="inlineStr">
        <is>
          <t>SOLLEFTEÅ</t>
        </is>
      </c>
      <c r="F2582" t="inlineStr">
        <is>
          <t>Övriga Aktiebolag</t>
        </is>
      </c>
      <c r="G2582" t="n">
        <v>12.6</v>
      </c>
      <c r="H2582" t="n">
        <v>0</v>
      </c>
      <c r="I2582" t="n">
        <v>0</v>
      </c>
      <c r="J2582" t="n">
        <v>0</v>
      </c>
      <c r="K2582" t="n">
        <v>0</v>
      </c>
      <c r="L2582" t="n">
        <v>0</v>
      </c>
      <c r="M2582" t="n">
        <v>0</v>
      </c>
      <c r="N2582" t="n">
        <v>0</v>
      </c>
      <c r="O2582" t="n">
        <v>0</v>
      </c>
      <c r="P2582" t="n">
        <v>0</v>
      </c>
      <c r="Q2582" t="n">
        <v>0</v>
      </c>
      <c r="R2582" s="2" t="inlineStr"/>
    </row>
    <row r="2583" ht="15" customHeight="1">
      <c r="A2583" t="inlineStr">
        <is>
          <t>A 6057-2024</t>
        </is>
      </c>
      <c r="B2583" s="1" t="n">
        <v>45336</v>
      </c>
      <c r="C2583" s="1" t="n">
        <v>45346</v>
      </c>
      <c r="D2583" t="inlineStr">
        <is>
          <t>VÄSTERNORRLANDS LÄN</t>
        </is>
      </c>
      <c r="E2583" t="inlineStr">
        <is>
          <t>SOLLEFTEÅ</t>
        </is>
      </c>
      <c r="F2583" t="inlineStr">
        <is>
          <t>Övriga Aktiebolag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6059-2024</t>
        </is>
      </c>
      <c r="B2584" s="1" t="n">
        <v>45336</v>
      </c>
      <c r="C2584" s="1" t="n">
        <v>45346</v>
      </c>
      <c r="D2584" t="inlineStr">
        <is>
          <t>VÄSTERNORRLANDS LÄN</t>
        </is>
      </c>
      <c r="E2584" t="inlineStr">
        <is>
          <t>SOLLEFTEÅ</t>
        </is>
      </c>
      <c r="F2584" t="inlineStr">
        <is>
          <t>Övriga Aktiebolag</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6063-2024</t>
        </is>
      </c>
      <c r="B2585" s="1" t="n">
        <v>45336</v>
      </c>
      <c r="C2585" s="1" t="n">
        <v>45346</v>
      </c>
      <c r="D2585" t="inlineStr">
        <is>
          <t>VÄSTERNORRLANDS LÄN</t>
        </is>
      </c>
      <c r="E2585" t="inlineStr">
        <is>
          <t>SOLLEFTEÅ</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6067-2024</t>
        </is>
      </c>
      <c r="B2586" s="1" t="n">
        <v>45336</v>
      </c>
      <c r="C2586" s="1" t="n">
        <v>45346</v>
      </c>
      <c r="D2586" t="inlineStr">
        <is>
          <t>VÄSTERNORRLANDS LÄN</t>
        </is>
      </c>
      <c r="E2586" t="inlineStr">
        <is>
          <t>SOLLEFTEÅ</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6065-2024</t>
        </is>
      </c>
      <c r="B2587" s="1" t="n">
        <v>45336</v>
      </c>
      <c r="C2587" s="1" t="n">
        <v>45346</v>
      </c>
      <c r="D2587" t="inlineStr">
        <is>
          <t>VÄSTERNORRLANDS LÄN</t>
        </is>
      </c>
      <c r="E2587" t="inlineStr">
        <is>
          <t>SOLLEFTEÅ</t>
        </is>
      </c>
      <c r="F2587" t="inlineStr">
        <is>
          <t>Övriga Aktiebolag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6125-2024</t>
        </is>
      </c>
      <c r="B2588" s="1" t="n">
        <v>45337</v>
      </c>
      <c r="C2588" s="1" t="n">
        <v>45346</v>
      </c>
      <c r="D2588" t="inlineStr">
        <is>
          <t>VÄSTERNORRLANDS LÄN</t>
        </is>
      </c>
      <c r="E2588" t="inlineStr">
        <is>
          <t>SOLLEFTEÅ</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45346</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6282-2024</t>
        </is>
      </c>
      <c r="B2590" s="1" t="n">
        <v>45337</v>
      </c>
      <c r="C2590" s="1" t="n">
        <v>45346</v>
      </c>
      <c r="D2590" t="inlineStr">
        <is>
          <t>VÄSTERNORRLANDS LÄN</t>
        </is>
      </c>
      <c r="E2590" t="inlineStr">
        <is>
          <t>SOLLEFTEÅ</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6279-2024</t>
        </is>
      </c>
      <c r="B2591" s="1" t="n">
        <v>45337</v>
      </c>
      <c r="C2591" s="1" t="n">
        <v>45346</v>
      </c>
      <c r="D2591" t="inlineStr">
        <is>
          <t>VÄSTERNORRLANDS LÄN</t>
        </is>
      </c>
      <c r="E2591" t="inlineStr">
        <is>
          <t>SOLLEFTEÅ</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6352-2024</t>
        </is>
      </c>
      <c r="B2592" s="1" t="n">
        <v>45338</v>
      </c>
      <c r="C2592" s="1" t="n">
        <v>45346</v>
      </c>
      <c r="D2592" t="inlineStr">
        <is>
          <t>VÄSTERNORRLANDS LÄN</t>
        </is>
      </c>
      <c r="E2592" t="inlineStr">
        <is>
          <t>SOLLEFTEÅ</t>
        </is>
      </c>
      <c r="F2592" t="inlineStr">
        <is>
          <t>Holmen skog AB</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6480-2024</t>
        </is>
      </c>
      <c r="B2593" s="1" t="n">
        <v>45338</v>
      </c>
      <c r="C2593" s="1" t="n">
        <v>45346</v>
      </c>
      <c r="D2593" t="inlineStr">
        <is>
          <t>VÄSTERNORRLANDS LÄN</t>
        </is>
      </c>
      <c r="E2593" t="inlineStr">
        <is>
          <t>SOLLEFTEÅ</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6633-2024</t>
        </is>
      </c>
      <c r="B2594" s="1" t="n">
        <v>45341</v>
      </c>
      <c r="C2594" s="1" t="n">
        <v>45346</v>
      </c>
      <c r="D2594" t="inlineStr">
        <is>
          <t>VÄSTERNORRLANDS LÄN</t>
        </is>
      </c>
      <c r="E2594" t="inlineStr">
        <is>
          <t>SOLLEFTEÅ</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6692-2024</t>
        </is>
      </c>
      <c r="B2595" s="1" t="n">
        <v>45341</v>
      </c>
      <c r="C2595" s="1" t="n">
        <v>45346</v>
      </c>
      <c r="D2595" t="inlineStr">
        <is>
          <t>VÄSTERNORRLANDS LÄN</t>
        </is>
      </c>
      <c r="E2595" t="inlineStr">
        <is>
          <t>SOLLEFTEÅ</t>
        </is>
      </c>
      <c r="F2595" t="inlineStr">
        <is>
          <t>SCA</t>
        </is>
      </c>
      <c r="G2595" t="n">
        <v>15.4</v>
      </c>
      <c r="H2595" t="n">
        <v>0</v>
      </c>
      <c r="I2595" t="n">
        <v>0</v>
      </c>
      <c r="J2595" t="n">
        <v>0</v>
      </c>
      <c r="K2595" t="n">
        <v>0</v>
      </c>
      <c r="L2595" t="n">
        <v>0</v>
      </c>
      <c r="M2595" t="n">
        <v>0</v>
      </c>
      <c r="N2595" t="n">
        <v>0</v>
      </c>
      <c r="O2595" t="n">
        <v>0</v>
      </c>
      <c r="P2595" t="n">
        <v>0</v>
      </c>
      <c r="Q2595" t="n">
        <v>0</v>
      </c>
      <c r="R2595" s="2" t="inlineStr"/>
    </row>
    <row r="2596" ht="15" customHeight="1">
      <c r="A2596" t="inlineStr">
        <is>
          <t>A 6700-2024</t>
        </is>
      </c>
      <c r="B2596" s="1" t="n">
        <v>45341</v>
      </c>
      <c r="C2596" s="1" t="n">
        <v>45346</v>
      </c>
      <c r="D2596" t="inlineStr">
        <is>
          <t>VÄSTERNORRLANDS LÄN</t>
        </is>
      </c>
      <c r="E2596" t="inlineStr">
        <is>
          <t>SOLLEFTEÅ</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6697-2024</t>
        </is>
      </c>
      <c r="B2597" s="1" t="n">
        <v>45341</v>
      </c>
      <c r="C2597" s="1" t="n">
        <v>45346</v>
      </c>
      <c r="D2597" t="inlineStr">
        <is>
          <t>VÄSTERNORRLANDS LÄN</t>
        </is>
      </c>
      <c r="E2597" t="inlineStr">
        <is>
          <t>SOLLEFTEÅ</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6816-2024</t>
        </is>
      </c>
      <c r="B2598" s="1" t="n">
        <v>45342</v>
      </c>
      <c r="C2598" s="1" t="n">
        <v>45346</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45346</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6891-2024</t>
        </is>
      </c>
      <c r="B2600" s="1" t="n">
        <v>45342</v>
      </c>
      <c r="C2600" s="1" t="n">
        <v>45346</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6799-2024</t>
        </is>
      </c>
      <c r="B2601" s="1" t="n">
        <v>45342</v>
      </c>
      <c r="C2601" s="1" t="n">
        <v>45346</v>
      </c>
      <c r="D2601" t="inlineStr">
        <is>
          <t>VÄSTERNORRLANDS LÄN</t>
        </is>
      </c>
      <c r="E2601" t="inlineStr">
        <is>
          <t>SOLLEFTEÅ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45346</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45346</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7109-2024</t>
        </is>
      </c>
      <c r="B2604" s="1" t="n">
        <v>45343</v>
      </c>
      <c r="C2604" s="1" t="n">
        <v>45346</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7113-2024</t>
        </is>
      </c>
      <c r="B2605" s="1" t="n">
        <v>45343</v>
      </c>
      <c r="C2605" s="1" t="n">
        <v>45346</v>
      </c>
      <c r="D2605" t="inlineStr">
        <is>
          <t>VÄSTERNORRLANDS LÄN</t>
        </is>
      </c>
      <c r="E2605" t="inlineStr">
        <is>
          <t>SOLLEFTEÅ</t>
        </is>
      </c>
      <c r="F2605" t="inlineStr">
        <is>
          <t>SCA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6934-2024</t>
        </is>
      </c>
      <c r="B2606" s="1" t="n">
        <v>45343</v>
      </c>
      <c r="C2606" s="1" t="n">
        <v>45346</v>
      </c>
      <c r="D2606" t="inlineStr">
        <is>
          <t>VÄSTERNORRLANDS LÄN</t>
        </is>
      </c>
      <c r="E2606" t="inlineStr">
        <is>
          <t>SOLLEFTEÅ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7001-2024</t>
        </is>
      </c>
      <c r="B2607" s="1" t="n">
        <v>45343</v>
      </c>
      <c r="C2607" s="1" t="n">
        <v>45346</v>
      </c>
      <c r="D2607" t="inlineStr">
        <is>
          <t>VÄSTERNORRLANDS LÄN</t>
        </is>
      </c>
      <c r="E2607" t="inlineStr">
        <is>
          <t>SOLLEFTEÅ</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45346</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7107-2024</t>
        </is>
      </c>
      <c r="B2609" s="1" t="n">
        <v>45343</v>
      </c>
      <c r="C2609" s="1" t="n">
        <v>45346</v>
      </c>
      <c r="D2609" t="inlineStr">
        <is>
          <t>VÄSTERNORRLANDS LÄN</t>
        </is>
      </c>
      <c r="E2609" t="inlineStr">
        <is>
          <t>SOLLEFTEÅ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7258-2024</t>
        </is>
      </c>
      <c r="B2610" s="1" t="n">
        <v>45344</v>
      </c>
      <c r="C2610" s="1" t="n">
        <v>45346</v>
      </c>
      <c r="D2610" t="inlineStr">
        <is>
          <t>VÄSTERNORRLANDS LÄN</t>
        </is>
      </c>
      <c r="E2610" t="inlineStr">
        <is>
          <t>SOLLEFTEÅ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7295-2024</t>
        </is>
      </c>
      <c r="B2611" s="1" t="n">
        <v>45344</v>
      </c>
      <c r="C2611" s="1" t="n">
        <v>45346</v>
      </c>
      <c r="D2611" t="inlineStr">
        <is>
          <t>VÄSTERNORRLANDS LÄN</t>
        </is>
      </c>
      <c r="E2611" t="inlineStr">
        <is>
          <t>SOLLEFTEÅ</t>
        </is>
      </c>
      <c r="F2611" t="inlineStr">
        <is>
          <t>SCA</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45346</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7261-2024</t>
        </is>
      </c>
      <c r="B2613" s="1" t="n">
        <v>45344</v>
      </c>
      <c r="C2613" s="1" t="n">
        <v>45346</v>
      </c>
      <c r="D2613" t="inlineStr">
        <is>
          <t>VÄSTERNORRLANDS LÄN</t>
        </is>
      </c>
      <c r="E2613" t="inlineStr">
        <is>
          <t>SOLLEFTEÅ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7257-2024</t>
        </is>
      </c>
      <c r="B2614" s="1" t="n">
        <v>45344</v>
      </c>
      <c r="C2614" s="1" t="n">
        <v>45346</v>
      </c>
      <c r="D2614" t="inlineStr">
        <is>
          <t>VÄSTERNORRLANDS LÄN</t>
        </is>
      </c>
      <c r="E2614" t="inlineStr">
        <is>
          <t>SOLLEFTEÅ</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7294-2024</t>
        </is>
      </c>
      <c r="B2615" s="1" t="n">
        <v>45344</v>
      </c>
      <c r="C2615" s="1" t="n">
        <v>45346</v>
      </c>
      <c r="D2615" t="inlineStr">
        <is>
          <t>VÄSTERNORRLANDS LÄN</t>
        </is>
      </c>
      <c r="E2615" t="inlineStr">
        <is>
          <t>SOLLEFTEÅ</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7464-2024</t>
        </is>
      </c>
      <c r="B2616" s="1" t="n">
        <v>45345</v>
      </c>
      <c r="C2616" s="1" t="n">
        <v>45346</v>
      </c>
      <c r="D2616" t="inlineStr">
        <is>
          <t>VÄSTERNORRLANDS LÄN</t>
        </is>
      </c>
      <c r="E2616" t="inlineStr">
        <is>
          <t>SOLLEFTEÅ</t>
        </is>
      </c>
      <c r="F2616" t="inlineStr">
        <is>
          <t>SCA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7462-2024</t>
        </is>
      </c>
      <c r="B2617" s="1" t="n">
        <v>45345</v>
      </c>
      <c r="C2617" s="1" t="n">
        <v>45346</v>
      </c>
      <c r="D2617" t="inlineStr">
        <is>
          <t>VÄSTERNORRLANDS LÄN</t>
        </is>
      </c>
      <c r="E2617" t="inlineStr">
        <is>
          <t>SOLLEFTEÅ</t>
        </is>
      </c>
      <c r="F2617" t="inlineStr">
        <is>
          <t>SCA</t>
        </is>
      </c>
      <c r="G2617" t="n">
        <v>42.1</v>
      </c>
      <c r="H2617" t="n">
        <v>0</v>
      </c>
      <c r="I2617" t="n">
        <v>0</v>
      </c>
      <c r="J2617" t="n">
        <v>0</v>
      </c>
      <c r="K2617" t="n">
        <v>0</v>
      </c>
      <c r="L2617" t="n">
        <v>0</v>
      </c>
      <c r="M2617" t="n">
        <v>0</v>
      </c>
      <c r="N2617" t="n">
        <v>0</v>
      </c>
      <c r="O2617" t="n">
        <v>0</v>
      </c>
      <c r="P2617" t="n">
        <v>0</v>
      </c>
      <c r="Q2617" t="n">
        <v>0</v>
      </c>
      <c r="R2617" s="2" t="inlineStr"/>
    </row>
    <row r="2618">
      <c r="A2618" t="inlineStr">
        <is>
          <t>A 7467-2024</t>
        </is>
      </c>
      <c r="B2618" s="1" t="n">
        <v>45345</v>
      </c>
      <c r="C2618" s="1" t="n">
        <v>45346</v>
      </c>
      <c r="D2618" t="inlineStr">
        <is>
          <t>VÄSTERNORRLANDS LÄN</t>
        </is>
      </c>
      <c r="E2618" t="inlineStr">
        <is>
          <t>SOLLEFTEÅ</t>
        </is>
      </c>
      <c r="F2618" t="inlineStr">
        <is>
          <t>SCA</t>
        </is>
      </c>
      <c r="G2618" t="n">
        <v>4.8</v>
      </c>
      <c r="H2618" t="n">
        <v>0</v>
      </c>
      <c r="I2618" t="n">
        <v>0</v>
      </c>
      <c r="J2618" t="n">
        <v>0</v>
      </c>
      <c r="K2618" t="n">
        <v>0</v>
      </c>
      <c r="L2618" t="n">
        <v>0</v>
      </c>
      <c r="M2618" t="n">
        <v>0</v>
      </c>
      <c r="N2618" t="n">
        <v>0</v>
      </c>
      <c r="O2618" t="n">
        <v>0</v>
      </c>
      <c r="P2618" t="n">
        <v>0</v>
      </c>
      <c r="Q2618" t="n">
        <v>0</v>
      </c>
      <c r="R26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2024-02-24T12:34:08Z</dcterms:created>
  <dcterms:modified xmlns:dcterms="http://purl.org/dc/terms/" xmlns:xsi="http://www.w3.org/2001/XMLSchema-instance" xsi:type="dcterms:W3CDTF">2024-02-24T12:34:10Z</dcterms:modified>
</cp:coreProperties>
</file>