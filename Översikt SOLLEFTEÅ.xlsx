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46199</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46199</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46199</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46199</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46199</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46199</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46199</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46199</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46199</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46199</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57942-2021</t>
        </is>
      </c>
      <c r="B12" s="1" t="n">
        <v>44487</v>
      </c>
      <c r="C12" s="1" t="n">
        <v>46199</v>
      </c>
      <c r="D12" t="inlineStr">
        <is>
          <t>VÄSTERNORRLANDS LÄN</t>
        </is>
      </c>
      <c r="E12" t="inlineStr">
        <is>
          <t>SOLLEFTEÅ</t>
        </is>
      </c>
      <c r="F12" t="inlineStr">
        <is>
          <t>Holmen skog AB</t>
        </is>
      </c>
      <c r="G12" t="n">
        <v>14.2</v>
      </c>
      <c r="H12" t="n">
        <v>7</v>
      </c>
      <c r="I12" t="n">
        <v>6</v>
      </c>
      <c r="J12" t="n">
        <v>11</v>
      </c>
      <c r="K12" t="n">
        <v>5</v>
      </c>
      <c r="L12" t="n">
        <v>0</v>
      </c>
      <c r="M12" t="n">
        <v>0</v>
      </c>
      <c r="N12" t="n">
        <v>0</v>
      </c>
      <c r="O12" t="n">
        <v>16</v>
      </c>
      <c r="P12" t="n">
        <v>5</v>
      </c>
      <c r="Q12" t="n">
        <v>23</v>
      </c>
      <c r="R12"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29339-2023</t>
        </is>
      </c>
      <c r="B13" s="1" t="n">
        <v>45105</v>
      </c>
      <c r="C13" s="1" t="n">
        <v>46199</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46199</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46199</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29309-2022</t>
        </is>
      </c>
      <c r="B16" s="1" t="n">
        <v>44750</v>
      </c>
      <c r="C16" s="1" t="n">
        <v>46199</v>
      </c>
      <c r="D16" t="inlineStr">
        <is>
          <t>VÄSTERNORRLANDS LÄN</t>
        </is>
      </c>
      <c r="E16" t="inlineStr">
        <is>
          <t>SOLLEFTEÅ</t>
        </is>
      </c>
      <c r="F16" t="inlineStr">
        <is>
          <t>SCA</t>
        </is>
      </c>
      <c r="G16" t="n">
        <v>7.3</v>
      </c>
      <c r="H16" t="n">
        <v>5</v>
      </c>
      <c r="I16" t="n">
        <v>1</v>
      </c>
      <c r="J16" t="n">
        <v>13</v>
      </c>
      <c r="K16" t="n">
        <v>3</v>
      </c>
      <c r="L16" t="n">
        <v>0</v>
      </c>
      <c r="M16" t="n">
        <v>0</v>
      </c>
      <c r="N16" t="n">
        <v>0</v>
      </c>
      <c r="O16" t="n">
        <v>16</v>
      </c>
      <c r="P16" t="n">
        <v>3</v>
      </c>
      <c r="Q16" t="n">
        <v>20</v>
      </c>
      <c r="R16" s="2" t="inlineStr">
        <is>
          <t>Garnlav
Gränsticka
Knärot
Blå taggsvamp
Dvärgbägarlav
Koralltaggsvamp
Kortskaftad ärgspik
Lunglav
Motaggsvamp
Mörk kolflarnlav
Nordtagging
Rynkskinn
Tretåig hackspett
Ullticka
Vedskivlav
Vitplätt
Norrlandslav
Järpe
Spillkråka
Tjäder</t>
        </is>
      </c>
      <c r="S16">
        <f>HYPERLINK("https://klasma.github.io/Logging_2283/artfynd/A 29309-2022 artfynd.xlsx", "A 29309-2022")</f>
        <v/>
      </c>
      <c r="T16">
        <f>HYPERLINK("https://klasma.github.io/Logging_2283/kartor/A 29309-2022 karta.png", "A 29309-2022")</f>
        <v/>
      </c>
      <c r="U16">
        <f>HYPERLINK("https://klasma.github.io/Logging_2283/knärot/A 29309-2022 karta knärot.png", "A 29309-2022")</f>
        <v/>
      </c>
      <c r="V16">
        <f>HYPERLINK("https://klasma.github.io/Logging_2283/klagomål/A 29309-2022 FSC-klagomål.docx", "A 29309-2022")</f>
        <v/>
      </c>
      <c r="W16">
        <f>HYPERLINK("https://klasma.github.io/Logging_2283/klagomålsmail/A 29309-2022 FSC-klagomål mail.docx", "A 29309-2022")</f>
        <v/>
      </c>
      <c r="X16">
        <f>HYPERLINK("https://klasma.github.io/Logging_2283/tillsyn/A 29309-2022 tillsynsbegäran.docx", "A 29309-2022")</f>
        <v/>
      </c>
      <c r="Y16">
        <f>HYPERLINK("https://klasma.github.io/Logging_2283/tillsynsmail/A 29309-2022 tillsynsbegäran mail.docx", "A 29309-2022")</f>
        <v/>
      </c>
      <c r="Z16">
        <f>HYPERLINK("https://klasma.github.io/Logging_2283/fåglar/A 29309-2022 prioriterade fågelarter.docx", "A 29309-2022")</f>
        <v/>
      </c>
    </row>
    <row r="17" ht="15" customHeight="1">
      <c r="A17" t="inlineStr">
        <is>
          <t>A 37489-2025</t>
        </is>
      </c>
      <c r="B17" s="1" t="n">
        <v>45877</v>
      </c>
      <c r="C17" s="1" t="n">
        <v>46199</v>
      </c>
      <c r="D17" t="inlineStr">
        <is>
          <t>VÄSTERNORRLANDS LÄN</t>
        </is>
      </c>
      <c r="E17" t="inlineStr">
        <is>
          <t>SOLLEFTEÅ</t>
        </is>
      </c>
      <c r="F17" t="inlineStr">
        <is>
          <t>SCA</t>
        </is>
      </c>
      <c r="G17" t="n">
        <v>2.2</v>
      </c>
      <c r="H17" t="n">
        <v>5</v>
      </c>
      <c r="I17" t="n">
        <v>2</v>
      </c>
      <c r="J17" t="n">
        <v>13</v>
      </c>
      <c r="K17" t="n">
        <v>4</v>
      </c>
      <c r="L17" t="n">
        <v>0</v>
      </c>
      <c r="M17" t="n">
        <v>0</v>
      </c>
      <c r="N17" t="n">
        <v>0</v>
      </c>
      <c r="O17" t="n">
        <v>17</v>
      </c>
      <c r="P17" t="n">
        <v>4</v>
      </c>
      <c r="Q17" t="n">
        <v>20</v>
      </c>
      <c r="R17" s="2" t="inlineStr">
        <is>
          <t>Doftticka
Garnlav
Gräddporing
Knärot
Aspbarkgnagare
Brunpudrad nållav
Doftskinn
Dvärgbägarlav
Gammelgransskål
Kolflarnlav
Lunglav
Nordtagging
Talltagel
Talltita
Tretåig hackspett
Ullticka
Vitgrynig nållav
Norrlandslav
Vedticka
Spillkråka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25521-2025</t>
        </is>
      </c>
      <c r="B18" s="1" t="n">
        <v>45803</v>
      </c>
      <c r="C18" s="1" t="n">
        <v>46199</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46199</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46199</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46199</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46199</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46199</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19347-2024</t>
        </is>
      </c>
      <c r="B24" s="1" t="n">
        <v>45428</v>
      </c>
      <c r="C24" s="1" t="n">
        <v>46199</v>
      </c>
      <c r="D24" t="inlineStr">
        <is>
          <t>VÄSTERNORRLANDS LÄN</t>
        </is>
      </c>
      <c r="E24" t="inlineStr">
        <is>
          <t>SOLLEFTEÅ</t>
        </is>
      </c>
      <c r="G24" t="n">
        <v>14.5</v>
      </c>
      <c r="H24" t="n">
        <v>6</v>
      </c>
      <c r="I24" t="n">
        <v>1</v>
      </c>
      <c r="J24" t="n">
        <v>12</v>
      </c>
      <c r="K24" t="n">
        <v>2</v>
      </c>
      <c r="L24" t="n">
        <v>0</v>
      </c>
      <c r="M24" t="n">
        <v>0</v>
      </c>
      <c r="N24" t="n">
        <v>0</v>
      </c>
      <c r="O24" t="n">
        <v>14</v>
      </c>
      <c r="P24" t="n">
        <v>2</v>
      </c>
      <c r="Q24" t="n">
        <v>17</v>
      </c>
      <c r="R24" s="2" t="inlineStr">
        <is>
          <t>Garnlav
Knärot
Blanksvart spiklav
Dropptaggsvamp
Dvärgbägarlav
Gammelgransskål
Kolflarnlav
Lavskrika
Lunglav
Skrovellav
Tallticka
Talltita
Tretåig hackspett
Ullticka
Vedticka
Spillkråka
Tjäder</t>
        </is>
      </c>
      <c r="S24">
        <f>HYPERLINK("https://klasma.github.io/Logging_2283/artfynd/A 19347-2024 artfynd.xlsx", "A 19347-2024")</f>
        <v/>
      </c>
      <c r="T24">
        <f>HYPERLINK("https://klasma.github.io/Logging_2283/kartor/A 19347-2024 karta.png", "A 19347-2024")</f>
        <v/>
      </c>
      <c r="U24">
        <f>HYPERLINK("https://klasma.github.io/Logging_2283/knärot/A 19347-2024 karta knärot.png", "A 19347-2024")</f>
        <v/>
      </c>
      <c r="V24">
        <f>HYPERLINK("https://klasma.github.io/Logging_2283/klagomål/A 19347-2024 FSC-klagomål.docx", "A 19347-2024")</f>
        <v/>
      </c>
      <c r="W24">
        <f>HYPERLINK("https://klasma.github.io/Logging_2283/klagomålsmail/A 19347-2024 FSC-klagomål mail.docx", "A 19347-2024")</f>
        <v/>
      </c>
      <c r="X24">
        <f>HYPERLINK("https://klasma.github.io/Logging_2283/tillsyn/A 19347-2024 tillsynsbegäran.docx", "A 19347-2024")</f>
        <v/>
      </c>
      <c r="Y24">
        <f>HYPERLINK("https://klasma.github.io/Logging_2283/tillsynsmail/A 19347-2024 tillsynsbegäran mail.docx", "A 19347-2024")</f>
        <v/>
      </c>
      <c r="Z24">
        <f>HYPERLINK("https://klasma.github.io/Logging_2283/fåglar/A 19347-2024 prioriterade fågelarter.docx", "A 19347-2024")</f>
        <v/>
      </c>
    </row>
    <row r="25" ht="15" customHeight="1">
      <c r="A25" t="inlineStr">
        <is>
          <t>A 48369-2025</t>
        </is>
      </c>
      <c r="B25" s="1" t="n">
        <v>45933</v>
      </c>
      <c r="C25" s="1" t="n">
        <v>46199</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34269-2022</t>
        </is>
      </c>
      <c r="B26" s="1" t="n">
        <v>44791</v>
      </c>
      <c r="C26" s="1" t="n">
        <v>46199</v>
      </c>
      <c r="D26" t="inlineStr">
        <is>
          <t>VÄSTERNORRLANDS LÄN</t>
        </is>
      </c>
      <c r="E26" t="inlineStr">
        <is>
          <t>SOLLEFTEÅ</t>
        </is>
      </c>
      <c r="F26" t="inlineStr">
        <is>
          <t>SCA</t>
        </is>
      </c>
      <c r="G26" t="n">
        <v>5.9</v>
      </c>
      <c r="H26" t="n">
        <v>3</v>
      </c>
      <c r="I26" t="n">
        <v>2</v>
      </c>
      <c r="J26" t="n">
        <v>10</v>
      </c>
      <c r="K26" t="n">
        <v>5</v>
      </c>
      <c r="L26" t="n">
        <v>0</v>
      </c>
      <c r="M26" t="n">
        <v>0</v>
      </c>
      <c r="N26" t="n">
        <v>0</v>
      </c>
      <c r="O26" t="n">
        <v>15</v>
      </c>
      <c r="P26" t="n">
        <v>5</v>
      </c>
      <c r="Q26" t="n">
        <v>17</v>
      </c>
      <c r="R26" s="2" t="inlineStr">
        <is>
          <t>Fläckporing
Garnlav
Gränsticka
Knärot
Smalfotad taggsvamp
Gammelgransskål
Kolflarnlav
Motaggsvamp
Rosenticka
Tallticka
Talltita
Tretåig hackspett
Ullticka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27635-2024</t>
        </is>
      </c>
      <c r="B27" s="1" t="n">
        <v>45474</v>
      </c>
      <c r="C27" s="1" t="n">
        <v>46199</v>
      </c>
      <c r="D27" t="inlineStr">
        <is>
          <t>VÄSTERNORRLANDS LÄN</t>
        </is>
      </c>
      <c r="E27" t="inlineStr">
        <is>
          <t>SOLLEFTEÅ</t>
        </is>
      </c>
      <c r="F27" t="inlineStr">
        <is>
          <t>SCA</t>
        </is>
      </c>
      <c r="G27" t="n">
        <v>5.4</v>
      </c>
      <c r="H27" t="n">
        <v>4</v>
      </c>
      <c r="I27" t="n">
        <v>4</v>
      </c>
      <c r="J27" t="n">
        <v>9</v>
      </c>
      <c r="K27" t="n">
        <v>2</v>
      </c>
      <c r="L27" t="n">
        <v>0</v>
      </c>
      <c r="M27" t="n">
        <v>0</v>
      </c>
      <c r="N27" t="n">
        <v>0</v>
      </c>
      <c r="O27" t="n">
        <v>11</v>
      </c>
      <c r="P27" t="n">
        <v>2</v>
      </c>
      <c r="Q27" t="n">
        <v>16</v>
      </c>
      <c r="R27" s="2" t="inlineStr">
        <is>
          <t>Garnlav
Gräddporing
Dropptaggsvamp
Gammelgransskål
Kolflarnlav
Kortskaftad ärgspik
Lunglav
Mörk kolflarnlav
Talltita
Tretåig hackspett
Violettgrå tagellav
Bårdlav
Luddlav
Norrlandslav
Plattlummer
Vanlig padda</t>
        </is>
      </c>
      <c r="S27">
        <f>HYPERLINK("https://klasma.github.io/Logging_2283/artfynd/A 27635-2024 artfynd.xlsx", "A 27635-2024")</f>
        <v/>
      </c>
      <c r="T27">
        <f>HYPERLINK("https://klasma.github.io/Logging_2283/kartor/A 27635-2024 karta.png", "A 27635-2024")</f>
        <v/>
      </c>
      <c r="V27">
        <f>HYPERLINK("https://klasma.github.io/Logging_2283/klagomål/A 27635-2024 FSC-klagomål.docx", "A 27635-2024")</f>
        <v/>
      </c>
      <c r="W27">
        <f>HYPERLINK("https://klasma.github.io/Logging_2283/klagomålsmail/A 27635-2024 FSC-klagomål mail.docx", "A 27635-2024")</f>
        <v/>
      </c>
      <c r="X27">
        <f>HYPERLINK("https://klasma.github.io/Logging_2283/tillsyn/A 27635-2024 tillsynsbegäran.docx", "A 27635-2024")</f>
        <v/>
      </c>
      <c r="Y27">
        <f>HYPERLINK("https://klasma.github.io/Logging_2283/tillsynsmail/A 27635-2024 tillsynsbegäran mail.docx", "A 27635-2024")</f>
        <v/>
      </c>
      <c r="Z27">
        <f>HYPERLINK("https://klasma.github.io/Logging_2283/fåglar/A 27635-2024 prioriterade fågelarter.docx", "A 27635-2024")</f>
        <v/>
      </c>
    </row>
    <row r="28" ht="15" customHeight="1">
      <c r="A28" t="inlineStr">
        <is>
          <t>A 26657-2022</t>
        </is>
      </c>
      <c r="B28" s="1" t="n">
        <v>44739</v>
      </c>
      <c r="C28" s="1" t="n">
        <v>46199</v>
      </c>
      <c r="D28" t="inlineStr">
        <is>
          <t>VÄSTERNORRLANDS LÄN</t>
        </is>
      </c>
      <c r="E28" t="inlineStr">
        <is>
          <t>SOLLEFTEÅ</t>
        </is>
      </c>
      <c r="F28" t="inlineStr">
        <is>
          <t>Holmen skog AB</t>
        </is>
      </c>
      <c r="G28" t="n">
        <v>4.6</v>
      </c>
      <c r="H28" t="n">
        <v>6</v>
      </c>
      <c r="I28" t="n">
        <v>5</v>
      </c>
      <c r="J28" t="n">
        <v>6</v>
      </c>
      <c r="K28" t="n">
        <v>3</v>
      </c>
      <c r="L28" t="n">
        <v>0</v>
      </c>
      <c r="M28" t="n">
        <v>0</v>
      </c>
      <c r="N28" t="n">
        <v>0</v>
      </c>
      <c r="O28" t="n">
        <v>9</v>
      </c>
      <c r="P28" t="n">
        <v>3</v>
      </c>
      <c r="Q28" t="n">
        <v>16</v>
      </c>
      <c r="R28" s="2" t="inlineStr">
        <is>
          <t>Garnlav
Knärot
Ulltickeporing
Lunglav
Rosenticka
Rynkskinn
Talltita
Tretåig hackspett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35502-2024</t>
        </is>
      </c>
      <c r="B29" s="1" t="n">
        <v>45531</v>
      </c>
      <c r="C29" s="1" t="n">
        <v>46199</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40866-2023</t>
        </is>
      </c>
      <c r="B30" s="1" t="n">
        <v>45173</v>
      </c>
      <c r="C30" s="1" t="n">
        <v>46199</v>
      </c>
      <c r="D30" t="inlineStr">
        <is>
          <t>VÄSTERNORRLANDS LÄN</t>
        </is>
      </c>
      <c r="E30" t="inlineStr">
        <is>
          <t>SOLLEFTEÅ</t>
        </is>
      </c>
      <c r="G30" t="n">
        <v>1.7</v>
      </c>
      <c r="H30" t="n">
        <v>15</v>
      </c>
      <c r="I30" t="n">
        <v>1</v>
      </c>
      <c r="J30" t="n">
        <v>6</v>
      </c>
      <c r="K30" t="n">
        <v>1</v>
      </c>
      <c r="L30" t="n">
        <v>0</v>
      </c>
      <c r="M30" t="n">
        <v>0</v>
      </c>
      <c r="N30" t="n">
        <v>0</v>
      </c>
      <c r="O30" t="n">
        <v>7</v>
      </c>
      <c r="P30" t="n">
        <v>1</v>
      </c>
      <c r="Q30" t="n">
        <v>16</v>
      </c>
      <c r="R30" s="2" t="inlineStr">
        <is>
          <t>Grönfink
Gulsparv
Göktyta
Ladusvala
Mindre hackspett
Rödvingetrast
Talltita
Tibast
Gråspett
Spillkråka
Grönsiska
Kråka
Skogsduva
Svartvit flugsnappare
Sångsvan
Skogsödla</t>
        </is>
      </c>
      <c r="S30">
        <f>HYPERLINK("https://klasma.github.io/Logging_2283/artfynd/A 40866-2023 artfynd.xlsx", "A 40866-2023")</f>
        <v/>
      </c>
      <c r="T30">
        <f>HYPERLINK("https://klasma.github.io/Logging_2283/kartor/A 40866-2023 karta.png", "A 40866-2023")</f>
        <v/>
      </c>
      <c r="V30">
        <f>HYPERLINK("https://klasma.github.io/Logging_2283/klagomål/A 40866-2023 FSC-klagomål.docx", "A 40866-2023")</f>
        <v/>
      </c>
      <c r="W30">
        <f>HYPERLINK("https://klasma.github.io/Logging_2283/klagomålsmail/A 40866-2023 FSC-klagomål mail.docx", "A 40866-2023")</f>
        <v/>
      </c>
      <c r="X30">
        <f>HYPERLINK("https://klasma.github.io/Logging_2283/tillsyn/A 40866-2023 tillsynsbegäran.docx", "A 40866-2023")</f>
        <v/>
      </c>
      <c r="Y30">
        <f>HYPERLINK("https://klasma.github.io/Logging_2283/tillsynsmail/A 40866-2023 tillsynsbegäran mail.docx", "A 40866-2023")</f>
        <v/>
      </c>
      <c r="Z30">
        <f>HYPERLINK("https://klasma.github.io/Logging_2283/fåglar/A 40866-2023 prioriterade fågelarter.docx", "A 40866-2023")</f>
        <v/>
      </c>
    </row>
    <row r="31" ht="15" customHeight="1">
      <c r="A31" t="inlineStr">
        <is>
          <t>A 49938-2021</t>
        </is>
      </c>
      <c r="B31" s="1" t="n">
        <v>44455</v>
      </c>
      <c r="C31" s="1" t="n">
        <v>46199</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49356-2025</t>
        </is>
      </c>
      <c r="B32" s="1" t="n">
        <v>45938</v>
      </c>
      <c r="C32" s="1" t="n">
        <v>46199</v>
      </c>
      <c r="D32" t="inlineStr">
        <is>
          <t>VÄSTERNORRLANDS LÄN</t>
        </is>
      </c>
      <c r="E32" t="inlineStr">
        <is>
          <t>SOLLEFTEÅ</t>
        </is>
      </c>
      <c r="F32" t="inlineStr">
        <is>
          <t>SCA</t>
        </is>
      </c>
      <c r="G32" t="n">
        <v>10.2</v>
      </c>
      <c r="H32" t="n">
        <v>6</v>
      </c>
      <c r="I32" t="n">
        <v>5</v>
      </c>
      <c r="J32" t="n">
        <v>6</v>
      </c>
      <c r="K32" t="n">
        <v>2</v>
      </c>
      <c r="L32" t="n">
        <v>0</v>
      </c>
      <c r="M32" t="n">
        <v>0</v>
      </c>
      <c r="N32" t="n">
        <v>0</v>
      </c>
      <c r="O32" t="n">
        <v>8</v>
      </c>
      <c r="P32" t="n">
        <v>2</v>
      </c>
      <c r="Q32" t="n">
        <v>15</v>
      </c>
      <c r="R32" s="2" t="inlineStr">
        <is>
          <t>Garnlav
Knärot
Fjällig taggsvamp s.str.
Harticka
Lunglav
Rynkskinn
Talltita
Tretåig hackspett
Bollvitmossa
Lappranunkel
Norrlandslav
Vedticka
Vågbandad barkbock
Spillkråka
Revlummer</t>
        </is>
      </c>
      <c r="S32">
        <f>HYPERLINK("https://klasma.github.io/Logging_2283/artfynd/A 49356-2025 artfynd.xlsx", "A 49356-2025")</f>
        <v/>
      </c>
      <c r="T32">
        <f>HYPERLINK("https://klasma.github.io/Logging_2283/kartor/A 49356-2025 karta.png", "A 49356-2025")</f>
        <v/>
      </c>
      <c r="U32">
        <f>HYPERLINK("https://klasma.github.io/Logging_2283/knärot/A 49356-2025 karta knärot.png", "A 49356-2025")</f>
        <v/>
      </c>
      <c r="V32">
        <f>HYPERLINK("https://klasma.github.io/Logging_2283/klagomål/A 49356-2025 FSC-klagomål.docx", "A 49356-2025")</f>
        <v/>
      </c>
      <c r="W32">
        <f>HYPERLINK("https://klasma.github.io/Logging_2283/klagomålsmail/A 49356-2025 FSC-klagomål mail.docx", "A 49356-2025")</f>
        <v/>
      </c>
      <c r="X32">
        <f>HYPERLINK("https://klasma.github.io/Logging_2283/tillsyn/A 49356-2025 tillsynsbegäran.docx", "A 49356-2025")</f>
        <v/>
      </c>
      <c r="Y32">
        <f>HYPERLINK("https://klasma.github.io/Logging_2283/tillsynsmail/A 49356-2025 tillsynsbegäran mail.docx", "A 49356-2025")</f>
        <v/>
      </c>
      <c r="Z32">
        <f>HYPERLINK("https://klasma.github.io/Logging_2283/fåglar/A 49356-2025 prioriterade fågelarter.docx", "A 49356-2025")</f>
        <v/>
      </c>
    </row>
    <row r="33" ht="15" customHeight="1">
      <c r="A33" t="inlineStr">
        <is>
          <t>A 28161-2024</t>
        </is>
      </c>
      <c r="B33" s="1" t="n">
        <v>45476</v>
      </c>
      <c r="C33" s="1" t="n">
        <v>46199</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63420-2025</t>
        </is>
      </c>
      <c r="B34" s="1" t="n">
        <v>46013</v>
      </c>
      <c r="C34" s="1" t="n">
        <v>46199</v>
      </c>
      <c r="D34" t="inlineStr">
        <is>
          <t>VÄSTERNORRLANDS LÄN</t>
        </is>
      </c>
      <c r="E34" t="inlineStr">
        <is>
          <t>SOLLEFTEÅ</t>
        </is>
      </c>
      <c r="G34" t="n">
        <v>8.1</v>
      </c>
      <c r="H34" t="n">
        <v>5</v>
      </c>
      <c r="I34" t="n">
        <v>1</v>
      </c>
      <c r="J34" t="n">
        <v>9</v>
      </c>
      <c r="K34" t="n">
        <v>3</v>
      </c>
      <c r="L34" t="n">
        <v>0</v>
      </c>
      <c r="M34" t="n">
        <v>0</v>
      </c>
      <c r="N34" t="n">
        <v>0</v>
      </c>
      <c r="O34" t="n">
        <v>12</v>
      </c>
      <c r="P34" t="n">
        <v>3</v>
      </c>
      <c r="Q34" t="n">
        <v>15</v>
      </c>
      <c r="R34" s="2" t="inlineStr">
        <is>
          <t>Blackticka
Garnlav
Knärot
Gammelgransskål
Kolflarnlav
Lunglav
Rynkskinn
Skogshare
Talltita
Tretåig hackspett
Ullticka
Vedskivlav
Vedticka
Spillkråka
Tjäder</t>
        </is>
      </c>
      <c r="S34">
        <f>HYPERLINK("https://klasma.github.io/Logging_2283/artfynd/A 63420-2025 artfynd.xlsx", "A 63420-2025")</f>
        <v/>
      </c>
      <c r="T34">
        <f>HYPERLINK("https://klasma.github.io/Logging_2283/kartor/A 63420-2025 karta.png", "A 63420-2025")</f>
        <v/>
      </c>
      <c r="U34">
        <f>HYPERLINK("https://klasma.github.io/Logging_2283/knärot/A 63420-2025 karta knärot.png", "A 63420-2025")</f>
        <v/>
      </c>
      <c r="V34">
        <f>HYPERLINK("https://klasma.github.io/Logging_2283/klagomål/A 63420-2025 FSC-klagomål.docx", "A 63420-2025")</f>
        <v/>
      </c>
      <c r="W34">
        <f>HYPERLINK("https://klasma.github.io/Logging_2283/klagomålsmail/A 63420-2025 FSC-klagomål mail.docx", "A 63420-2025")</f>
        <v/>
      </c>
      <c r="X34">
        <f>HYPERLINK("https://klasma.github.io/Logging_2283/tillsyn/A 63420-2025 tillsynsbegäran.docx", "A 63420-2025")</f>
        <v/>
      </c>
      <c r="Y34">
        <f>HYPERLINK("https://klasma.github.io/Logging_2283/tillsynsmail/A 63420-2025 tillsynsbegäran mail.docx", "A 63420-2025")</f>
        <v/>
      </c>
      <c r="Z34">
        <f>HYPERLINK("https://klasma.github.io/Logging_2283/fåglar/A 63420-2025 prioriterade fågelarter.docx", "A 63420-2025")</f>
        <v/>
      </c>
    </row>
    <row r="35" ht="15" customHeight="1">
      <c r="A35" t="inlineStr">
        <is>
          <t>A 3367-2026</t>
        </is>
      </c>
      <c r="B35" s="1" t="n">
        <v>46042</v>
      </c>
      <c r="C35" s="1" t="n">
        <v>46199</v>
      </c>
      <c r="D35" t="inlineStr">
        <is>
          <t>VÄSTERNORRLANDS LÄN</t>
        </is>
      </c>
      <c r="E35" t="inlineStr">
        <is>
          <t>SOLLEFTEÅ</t>
        </is>
      </c>
      <c r="F35" t="inlineStr">
        <is>
          <t>SCA</t>
        </is>
      </c>
      <c r="G35" t="n">
        <v>12.1</v>
      </c>
      <c r="H35" t="n">
        <v>7</v>
      </c>
      <c r="I35" t="n">
        <v>2</v>
      </c>
      <c r="J35" t="n">
        <v>8</v>
      </c>
      <c r="K35" t="n">
        <v>2</v>
      </c>
      <c r="L35" t="n">
        <v>0</v>
      </c>
      <c r="M35" t="n">
        <v>0</v>
      </c>
      <c r="N35" t="n">
        <v>0</v>
      </c>
      <c r="O35" t="n">
        <v>10</v>
      </c>
      <c r="P35" t="n">
        <v>2</v>
      </c>
      <c r="Q35" t="n">
        <v>15</v>
      </c>
      <c r="R35" s="2" t="inlineStr">
        <is>
          <t>Garnlav
Knärot
Gammelgransskål
Harticka
Koralltaggsvamp
Lunglav
Skogshare
Talltita
Tretåig hackspett
Ullticka
Bollvitmossa
Lappranunkel
Järpe
Spillkråka
Svartvit flugsnappare</t>
        </is>
      </c>
      <c r="S35">
        <f>HYPERLINK("https://klasma.github.io/Logging_2283/artfynd/A 3367-2026 artfynd.xlsx", "A 3367-2026")</f>
        <v/>
      </c>
      <c r="T35">
        <f>HYPERLINK("https://klasma.github.io/Logging_2283/kartor/A 3367-2026 karta.png", "A 3367-2026")</f>
        <v/>
      </c>
      <c r="U35">
        <f>HYPERLINK("https://klasma.github.io/Logging_2283/knärot/A 3367-2026 karta knärot.png", "A 3367-2026")</f>
        <v/>
      </c>
      <c r="V35">
        <f>HYPERLINK("https://klasma.github.io/Logging_2283/klagomål/A 3367-2026 FSC-klagomål.docx", "A 3367-2026")</f>
        <v/>
      </c>
      <c r="W35">
        <f>HYPERLINK("https://klasma.github.io/Logging_2283/klagomålsmail/A 3367-2026 FSC-klagomål mail.docx", "A 3367-2026")</f>
        <v/>
      </c>
      <c r="X35">
        <f>HYPERLINK("https://klasma.github.io/Logging_2283/tillsyn/A 3367-2026 tillsynsbegäran.docx", "A 3367-2026")</f>
        <v/>
      </c>
      <c r="Y35">
        <f>HYPERLINK("https://klasma.github.io/Logging_2283/tillsynsmail/A 3367-2026 tillsynsbegäran mail.docx", "A 3367-2026")</f>
        <v/>
      </c>
      <c r="Z35">
        <f>HYPERLINK("https://klasma.github.io/Logging_2283/fåglar/A 3367-2026 prioriterade fågelarter.docx", "A 3367-2026")</f>
        <v/>
      </c>
    </row>
    <row r="36" ht="15" customHeight="1">
      <c r="A36" t="inlineStr">
        <is>
          <t>A 39197-2025</t>
        </is>
      </c>
      <c r="B36" s="1" t="n">
        <v>45888</v>
      </c>
      <c r="C36" s="1" t="n">
        <v>46199</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39172-2022</t>
        </is>
      </c>
      <c r="B37" s="1" t="n">
        <v>44817</v>
      </c>
      <c r="C37" s="1" t="n">
        <v>46199</v>
      </c>
      <c r="D37" t="inlineStr">
        <is>
          <t>VÄSTERNORRLANDS LÄN</t>
        </is>
      </c>
      <c r="E37" t="inlineStr">
        <is>
          <t>SOLLEFTEÅ</t>
        </is>
      </c>
      <c r="G37" t="n">
        <v>69.2</v>
      </c>
      <c r="H37" t="n">
        <v>1</v>
      </c>
      <c r="I37" t="n">
        <v>3</v>
      </c>
      <c r="J37" t="n">
        <v>9</v>
      </c>
      <c r="K37" t="n">
        <v>3</v>
      </c>
      <c r="L37" t="n">
        <v>0</v>
      </c>
      <c r="M37" t="n">
        <v>0</v>
      </c>
      <c r="N37" t="n">
        <v>0</v>
      </c>
      <c r="O37" t="n">
        <v>12</v>
      </c>
      <c r="P37" t="n">
        <v>3</v>
      </c>
      <c r="Q37" t="n">
        <v>15</v>
      </c>
      <c r="R37" s="2" t="inlineStr">
        <is>
          <t>Garnlav
Gräddporing
Gräddticka
Dvärgbägarlav
Lavskrika
Lunglav
Rosenticka
Rynkskinn
Skarp dropptaggsvamp
Skrovellav
Stjärntagging
Ullticka
Korallblylav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c r="Z37">
        <f>HYPERLINK("https://klasma.github.io/Logging_2283/fåglar/A 39172-2022 prioriterade fågelarter.docx", "A 39172-2022")</f>
        <v/>
      </c>
    </row>
    <row r="38" ht="15" customHeight="1">
      <c r="A38" t="inlineStr">
        <is>
          <t>A 11491-2022</t>
        </is>
      </c>
      <c r="B38" s="1" t="n">
        <v>44630</v>
      </c>
      <c r="C38" s="1" t="n">
        <v>46199</v>
      </c>
      <c r="D38" t="inlineStr">
        <is>
          <t>VÄSTERNORRLANDS LÄN</t>
        </is>
      </c>
      <c r="E38" t="inlineStr">
        <is>
          <t>SOLLEFTEÅ</t>
        </is>
      </c>
      <c r="F38" t="inlineStr">
        <is>
          <t>SCA</t>
        </is>
      </c>
      <c r="G38" t="n">
        <v>6.4</v>
      </c>
      <c r="H38" t="n">
        <v>6</v>
      </c>
      <c r="I38" t="n">
        <v>0</v>
      </c>
      <c r="J38" t="n">
        <v>7</v>
      </c>
      <c r="K38" t="n">
        <v>3</v>
      </c>
      <c r="L38" t="n">
        <v>0</v>
      </c>
      <c r="M38" t="n">
        <v>0</v>
      </c>
      <c r="N38" t="n">
        <v>0</v>
      </c>
      <c r="O38" t="n">
        <v>10</v>
      </c>
      <c r="P38" t="n">
        <v>3</v>
      </c>
      <c r="Q38" t="n">
        <v>14</v>
      </c>
      <c r="R38" s="2" t="inlineStr">
        <is>
          <t>Garnlav
Gränsticka
Knärot
Lunglav
Orange taggsvamp
Rosenticka
Rynkskinn
Tretåig hackspett
Ullticka
Vitgrynig nållav
Järpe
Spillkråka
Kungsfågel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40262-2024</t>
        </is>
      </c>
      <c r="B39" s="1" t="n">
        <v>45554</v>
      </c>
      <c r="C39" s="1" t="n">
        <v>46199</v>
      </c>
      <c r="D39" t="inlineStr">
        <is>
          <t>VÄSTERNORRLANDS LÄN</t>
        </is>
      </c>
      <c r="E39" t="inlineStr">
        <is>
          <t>SOLLEFTEÅ</t>
        </is>
      </c>
      <c r="F39" t="inlineStr">
        <is>
          <t>SCA</t>
        </is>
      </c>
      <c r="G39" t="n">
        <v>17.9</v>
      </c>
      <c r="H39" t="n">
        <v>4</v>
      </c>
      <c r="I39" t="n">
        <v>2</v>
      </c>
      <c r="J39" t="n">
        <v>8</v>
      </c>
      <c r="K39" t="n">
        <v>2</v>
      </c>
      <c r="L39" t="n">
        <v>0</v>
      </c>
      <c r="M39" t="n">
        <v>0</v>
      </c>
      <c r="N39" t="n">
        <v>0</v>
      </c>
      <c r="O39" t="n">
        <v>10</v>
      </c>
      <c r="P39" t="n">
        <v>2</v>
      </c>
      <c r="Q39" t="n">
        <v>14</v>
      </c>
      <c r="R39" s="2" t="inlineStr">
        <is>
          <t>Garnlav
Knärot
Kolflarnlav
Kötticka
Motaggsvamp
Rosenticka
Stjärntagging
Tallticka
Tretåig hackspett
Ullticka
Bollvitmossa
Vedticka
Järpe
Spillkråka</t>
        </is>
      </c>
      <c r="S39">
        <f>HYPERLINK("https://klasma.github.io/Logging_2283/artfynd/A 40262-2024 artfynd.xlsx", "A 40262-2024")</f>
        <v/>
      </c>
      <c r="T39">
        <f>HYPERLINK("https://klasma.github.io/Logging_2283/kartor/A 40262-2024 karta.png", "A 40262-2024")</f>
        <v/>
      </c>
      <c r="U39">
        <f>HYPERLINK("https://klasma.github.io/Logging_2283/knärot/A 40262-2024 karta knärot.png", "A 40262-2024")</f>
        <v/>
      </c>
      <c r="V39">
        <f>HYPERLINK("https://klasma.github.io/Logging_2283/klagomål/A 40262-2024 FSC-klagomål.docx", "A 40262-2024")</f>
        <v/>
      </c>
      <c r="W39">
        <f>HYPERLINK("https://klasma.github.io/Logging_2283/klagomålsmail/A 40262-2024 FSC-klagomål mail.docx", "A 40262-2024")</f>
        <v/>
      </c>
      <c r="X39">
        <f>HYPERLINK("https://klasma.github.io/Logging_2283/tillsyn/A 40262-2024 tillsynsbegäran.docx", "A 40262-2024")</f>
        <v/>
      </c>
      <c r="Y39">
        <f>HYPERLINK("https://klasma.github.io/Logging_2283/tillsynsmail/A 40262-2024 tillsynsbegäran mail.docx", "A 40262-2024")</f>
        <v/>
      </c>
      <c r="Z39">
        <f>HYPERLINK("https://klasma.github.io/Logging_2283/fåglar/A 40262-2024 prioriterade fågelarter.docx", "A 40262-2024")</f>
        <v/>
      </c>
    </row>
    <row r="40" ht="15" customHeight="1">
      <c r="A40" t="inlineStr">
        <is>
          <t>A 33964-2023</t>
        </is>
      </c>
      <c r="B40" s="1" t="n">
        <v>45124</v>
      </c>
      <c r="C40" s="1" t="n">
        <v>46199</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46199</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29918-2024</t>
        </is>
      </c>
      <c r="B42" s="1" t="n">
        <v>45487</v>
      </c>
      <c r="C42" s="1" t="n">
        <v>46199</v>
      </c>
      <c r="D42" t="inlineStr">
        <is>
          <t>VÄSTERNORRLANDS LÄN</t>
        </is>
      </c>
      <c r="E42" t="inlineStr">
        <is>
          <t>SOLLEFTEÅ</t>
        </is>
      </c>
      <c r="G42" t="n">
        <v>3.1</v>
      </c>
      <c r="H42" t="n">
        <v>4</v>
      </c>
      <c r="I42" t="n">
        <v>5</v>
      </c>
      <c r="J42" t="n">
        <v>4</v>
      </c>
      <c r="K42" t="n">
        <v>2</v>
      </c>
      <c r="L42" t="n">
        <v>0</v>
      </c>
      <c r="M42" t="n">
        <v>0</v>
      </c>
      <c r="N42" t="n">
        <v>0</v>
      </c>
      <c r="O42" t="n">
        <v>6</v>
      </c>
      <c r="P42" t="n">
        <v>2</v>
      </c>
      <c r="Q42" t="n">
        <v>13</v>
      </c>
      <c r="R42" s="2" t="inlineStr">
        <is>
          <t>Garnlav
Knärot
Gammelgransskål
Kattfotslav
Lunglav
Talltita
Korallblylav
Mörk husmossa
Skinnlav
Stor aspticka
Stuplav
Järpe
Spillkråka</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1963-2025</t>
        </is>
      </c>
      <c r="B43" s="1" t="n">
        <v>45672</v>
      </c>
      <c r="C43" s="1" t="n">
        <v>46199</v>
      </c>
      <c r="D43" t="inlineStr">
        <is>
          <t>VÄSTERNORRLANDS LÄN</t>
        </is>
      </c>
      <c r="E43" t="inlineStr">
        <is>
          <t>SOLLEFTEÅ</t>
        </is>
      </c>
      <c r="G43" t="n">
        <v>3.1</v>
      </c>
      <c r="H43" t="n">
        <v>4</v>
      </c>
      <c r="I43" t="n">
        <v>1</v>
      </c>
      <c r="J43" t="n">
        <v>8</v>
      </c>
      <c r="K43" t="n">
        <v>2</v>
      </c>
      <c r="L43" t="n">
        <v>1</v>
      </c>
      <c r="M43" t="n">
        <v>0</v>
      </c>
      <c r="N43" t="n">
        <v>0</v>
      </c>
      <c r="O43" t="n">
        <v>11</v>
      </c>
      <c r="P43" t="n">
        <v>3</v>
      </c>
      <c r="Q43" t="n">
        <v>13</v>
      </c>
      <c r="R43" s="2" t="inlineStr">
        <is>
          <t>Djupsvart brunbagge
Gränsticka
Knärot
Harticka
Kötticka
Lunglav
Rosenticka
Rynkskinn
Talltita
Tretåig hackspett
Ullticka
Vågbandad barkbock
Revlummer</t>
        </is>
      </c>
      <c r="S43">
        <f>HYPERLINK("https://klasma.github.io/Logging_2283/artfynd/A 1963-2025 artfynd.xlsx", "A 1963-2025")</f>
        <v/>
      </c>
      <c r="T43">
        <f>HYPERLINK("https://klasma.github.io/Logging_2283/kartor/A 1963-2025 karta.png", "A 1963-2025")</f>
        <v/>
      </c>
      <c r="U43">
        <f>HYPERLINK("https://klasma.github.io/Logging_2283/knärot/A 1963-2025 karta knärot.png", "A 1963-2025")</f>
        <v/>
      </c>
      <c r="V43">
        <f>HYPERLINK("https://klasma.github.io/Logging_2283/klagomål/A 1963-2025 FSC-klagomål.docx", "A 1963-2025")</f>
        <v/>
      </c>
      <c r="W43">
        <f>HYPERLINK("https://klasma.github.io/Logging_2283/klagomålsmail/A 1963-2025 FSC-klagomål mail.docx", "A 1963-2025")</f>
        <v/>
      </c>
      <c r="X43">
        <f>HYPERLINK("https://klasma.github.io/Logging_2283/tillsyn/A 1963-2025 tillsynsbegäran.docx", "A 1963-2025")</f>
        <v/>
      </c>
      <c r="Y43">
        <f>HYPERLINK("https://klasma.github.io/Logging_2283/tillsynsmail/A 1963-2025 tillsynsbegäran mail.docx", "A 1963-2025")</f>
        <v/>
      </c>
      <c r="Z43">
        <f>HYPERLINK("https://klasma.github.io/Logging_2283/fåglar/A 1963-2025 prioriterade fågelarter.docx", "A 1963-2025")</f>
        <v/>
      </c>
    </row>
    <row r="44" ht="15" customHeight="1">
      <c r="A44" t="inlineStr">
        <is>
          <t>A 27590-2025</t>
        </is>
      </c>
      <c r="B44" s="1" t="n">
        <v>45813</v>
      </c>
      <c r="C44" s="1" t="n">
        <v>46199</v>
      </c>
      <c r="D44" t="inlineStr">
        <is>
          <t>VÄSTERNORRLANDS LÄN</t>
        </is>
      </c>
      <c r="E44" t="inlineStr">
        <is>
          <t>SOLLEFTEÅ</t>
        </is>
      </c>
      <c r="G44" t="n">
        <v>53.5</v>
      </c>
      <c r="H44" t="n">
        <v>5</v>
      </c>
      <c r="I44" t="n">
        <v>4</v>
      </c>
      <c r="J44" t="n">
        <v>6</v>
      </c>
      <c r="K44" t="n">
        <v>2</v>
      </c>
      <c r="L44" t="n">
        <v>0</v>
      </c>
      <c r="M44" t="n">
        <v>0</v>
      </c>
      <c r="N44" t="n">
        <v>0</v>
      </c>
      <c r="O44" t="n">
        <v>8</v>
      </c>
      <c r="P44" t="n">
        <v>2</v>
      </c>
      <c r="Q44" t="n">
        <v>13</v>
      </c>
      <c r="R44" s="2" t="inlineStr">
        <is>
          <t>Garnlav
Knärot
Dropptaggsvamp
Gammelgransskål
Lunglav
Rosenticka
Tretåig hackspett
Ullticka
Bollvitmossa
Bronshjon
Lappranunkel
Spindelblomster
Spillkråka</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28663-2023</t>
        </is>
      </c>
      <c r="B45" s="1" t="n">
        <v>45096</v>
      </c>
      <c r="C45" s="1" t="n">
        <v>46199</v>
      </c>
      <c r="D45" t="inlineStr">
        <is>
          <t>VÄSTERNORRLANDS LÄN</t>
        </is>
      </c>
      <c r="E45" t="inlineStr">
        <is>
          <t>SOLLEFTEÅ</t>
        </is>
      </c>
      <c r="G45" t="n">
        <v>15.4</v>
      </c>
      <c r="H45" t="n">
        <v>4</v>
      </c>
      <c r="I45" t="n">
        <v>2</v>
      </c>
      <c r="J45" t="n">
        <v>7</v>
      </c>
      <c r="K45" t="n">
        <v>2</v>
      </c>
      <c r="L45" t="n">
        <v>0</v>
      </c>
      <c r="M45" t="n">
        <v>0</v>
      </c>
      <c r="N45" t="n">
        <v>0</v>
      </c>
      <c r="O45" t="n">
        <v>9</v>
      </c>
      <c r="P45" t="n">
        <v>2</v>
      </c>
      <c r="Q45" t="n">
        <v>13</v>
      </c>
      <c r="R45" s="2" t="inlineStr">
        <is>
          <t>Garnlav
Knärot
Dropptaggsvamp
Lunglav
Mörk kolflarnlav
Rosenticka
Rynkskinn
Tretåig hackspett
Ullticka
Vanlig flatbagge
Vedticka
Spillkråka
Fläcknycklar</t>
        </is>
      </c>
      <c r="S45">
        <f>HYPERLINK("https://klasma.github.io/Logging_2283/artfynd/A 28663-2023 artfynd.xlsx", "A 28663-2023")</f>
        <v/>
      </c>
      <c r="T45">
        <f>HYPERLINK("https://klasma.github.io/Logging_2283/kartor/A 28663-2023 karta.png", "A 28663-2023")</f>
        <v/>
      </c>
      <c r="U45">
        <f>HYPERLINK("https://klasma.github.io/Logging_2283/knärot/A 28663-2023 karta knärot.png", "A 28663-2023")</f>
        <v/>
      </c>
      <c r="V45">
        <f>HYPERLINK("https://klasma.github.io/Logging_2283/klagomål/A 28663-2023 FSC-klagomål.docx", "A 28663-2023")</f>
        <v/>
      </c>
      <c r="W45">
        <f>HYPERLINK("https://klasma.github.io/Logging_2283/klagomålsmail/A 28663-2023 FSC-klagomål mail.docx", "A 28663-2023")</f>
        <v/>
      </c>
      <c r="X45">
        <f>HYPERLINK("https://klasma.github.io/Logging_2283/tillsyn/A 28663-2023 tillsynsbegäran.docx", "A 28663-2023")</f>
        <v/>
      </c>
      <c r="Y45">
        <f>HYPERLINK("https://klasma.github.io/Logging_2283/tillsynsmail/A 28663-2023 tillsynsbegäran mail.docx", "A 28663-2023")</f>
        <v/>
      </c>
      <c r="Z45">
        <f>HYPERLINK("https://klasma.github.io/Logging_2283/fåglar/A 28663-2023 prioriterade fågelarter.docx", "A 28663-2023")</f>
        <v/>
      </c>
    </row>
    <row r="46" ht="15" customHeight="1">
      <c r="A46" t="inlineStr">
        <is>
          <t>A 26655-2022</t>
        </is>
      </c>
      <c r="B46" s="1" t="n">
        <v>44739</v>
      </c>
      <c r="C46" s="1" t="n">
        <v>46199</v>
      </c>
      <c r="D46" t="inlineStr">
        <is>
          <t>VÄSTERNORRLANDS LÄN</t>
        </is>
      </c>
      <c r="E46" t="inlineStr">
        <is>
          <t>SOLLEFTEÅ</t>
        </is>
      </c>
      <c r="F46" t="inlineStr">
        <is>
          <t>Holmen skog AB</t>
        </is>
      </c>
      <c r="G46" t="n">
        <v>5.8</v>
      </c>
      <c r="H46" t="n">
        <v>6</v>
      </c>
      <c r="I46" t="n">
        <v>3</v>
      </c>
      <c r="J46" t="n">
        <v>6</v>
      </c>
      <c r="K46" t="n">
        <v>3</v>
      </c>
      <c r="L46" t="n">
        <v>0</v>
      </c>
      <c r="M46" t="n">
        <v>0</v>
      </c>
      <c r="N46" t="n">
        <v>0</v>
      </c>
      <c r="O46" t="n">
        <v>9</v>
      </c>
      <c r="P46" t="n">
        <v>3</v>
      </c>
      <c r="Q46" t="n">
        <v>13</v>
      </c>
      <c r="R46" s="2" t="inlineStr">
        <is>
          <t>Garnlav
Knärot
Ulltickeporing
Ladusvala
Lunglav
Rosenticka
Talltita
Tretåig hackspett
Ullticka
Luddlav
Spindelblomster
Vedticka
Fläcknycklar</t>
        </is>
      </c>
      <c r="S46">
        <f>HYPERLINK("https://klasma.github.io/Logging_2283/artfynd/A 26655-2022 artfynd.xlsx", "A 26655-2022")</f>
        <v/>
      </c>
      <c r="T46">
        <f>HYPERLINK("https://klasma.github.io/Logging_2283/kartor/A 26655-2022 karta.png", "A 26655-2022")</f>
        <v/>
      </c>
      <c r="U46">
        <f>HYPERLINK("https://klasma.github.io/Logging_2283/knärot/A 26655-2022 karta knärot.png", "A 26655-2022")</f>
        <v/>
      </c>
      <c r="V46">
        <f>HYPERLINK("https://klasma.github.io/Logging_2283/klagomål/A 26655-2022 FSC-klagomål.docx", "A 26655-2022")</f>
        <v/>
      </c>
      <c r="W46">
        <f>HYPERLINK("https://klasma.github.io/Logging_2283/klagomålsmail/A 26655-2022 FSC-klagomål mail.docx", "A 26655-2022")</f>
        <v/>
      </c>
      <c r="X46">
        <f>HYPERLINK("https://klasma.github.io/Logging_2283/tillsyn/A 26655-2022 tillsynsbegäran.docx", "A 26655-2022")</f>
        <v/>
      </c>
      <c r="Y46">
        <f>HYPERLINK("https://klasma.github.io/Logging_2283/tillsynsmail/A 26655-2022 tillsynsbegäran mail.docx", "A 26655-2022")</f>
        <v/>
      </c>
      <c r="Z46">
        <f>HYPERLINK("https://klasma.github.io/Logging_2283/fåglar/A 26655-2022 prioriterade fågelarter.docx", "A 26655-2022")</f>
        <v/>
      </c>
    </row>
    <row r="47" ht="15" customHeight="1">
      <c r="A47" t="inlineStr">
        <is>
          <t>A 14787-2026</t>
        </is>
      </c>
      <c r="B47" s="1" t="n">
        <v>46101</v>
      </c>
      <c r="C47" s="1" t="n">
        <v>46199</v>
      </c>
      <c r="D47" t="inlineStr">
        <is>
          <t>VÄSTERNORRLANDS LÄN</t>
        </is>
      </c>
      <c r="E47" t="inlineStr">
        <is>
          <t>SOLLEFTEÅ</t>
        </is>
      </c>
      <c r="F47" t="inlineStr">
        <is>
          <t>SCA</t>
        </is>
      </c>
      <c r="G47" t="n">
        <v>6.1</v>
      </c>
      <c r="H47" t="n">
        <v>4</v>
      </c>
      <c r="I47" t="n">
        <v>1</v>
      </c>
      <c r="J47" t="n">
        <v>6</v>
      </c>
      <c r="K47" t="n">
        <v>4</v>
      </c>
      <c r="L47" t="n">
        <v>0</v>
      </c>
      <c r="M47" t="n">
        <v>0</v>
      </c>
      <c r="N47" t="n">
        <v>0</v>
      </c>
      <c r="O47" t="n">
        <v>10</v>
      </c>
      <c r="P47" t="n">
        <v>4</v>
      </c>
      <c r="Q47" t="n">
        <v>13</v>
      </c>
      <c r="R47" s="2" t="inlineStr">
        <is>
          <t>Garnlav
Knärot
Lappticka
Ulltickeporing
Gammelgransskål
Lunglav
Rosenticka
Tallticka
Tretåig hackspett
Ullticka
Trådticka
Järpe
Spillkråka</t>
        </is>
      </c>
      <c r="S47">
        <f>HYPERLINK("https://klasma.github.io/Logging_2283/artfynd/A 14787-2026 artfynd.xlsx", "A 14787-2026")</f>
        <v/>
      </c>
      <c r="T47">
        <f>HYPERLINK("https://klasma.github.io/Logging_2283/kartor/A 14787-2026 karta.png", "A 14787-2026")</f>
        <v/>
      </c>
      <c r="U47">
        <f>HYPERLINK("https://klasma.github.io/Logging_2283/knärot/A 14787-2026 karta knärot.png", "A 14787-2026")</f>
        <v/>
      </c>
      <c r="V47">
        <f>HYPERLINK("https://klasma.github.io/Logging_2283/klagomål/A 14787-2026 FSC-klagomål.docx", "A 14787-2026")</f>
        <v/>
      </c>
      <c r="W47">
        <f>HYPERLINK("https://klasma.github.io/Logging_2283/klagomålsmail/A 14787-2026 FSC-klagomål mail.docx", "A 14787-2026")</f>
        <v/>
      </c>
      <c r="X47">
        <f>HYPERLINK("https://klasma.github.io/Logging_2283/tillsyn/A 14787-2026 tillsynsbegäran.docx", "A 14787-2026")</f>
        <v/>
      </c>
      <c r="Y47">
        <f>HYPERLINK("https://klasma.github.io/Logging_2283/tillsynsmail/A 14787-2026 tillsynsbegäran mail.docx", "A 14787-2026")</f>
        <v/>
      </c>
      <c r="Z47">
        <f>HYPERLINK("https://klasma.github.io/Logging_2283/fåglar/A 14787-2026 prioriterade fågelarter.docx", "A 14787-2026")</f>
        <v/>
      </c>
    </row>
    <row r="48" ht="15" customHeight="1">
      <c r="A48" t="inlineStr">
        <is>
          <t>A 32199-2023</t>
        </is>
      </c>
      <c r="B48" s="1" t="n">
        <v>45119</v>
      </c>
      <c r="C48" s="1" t="n">
        <v>46199</v>
      </c>
      <c r="D48" t="inlineStr">
        <is>
          <t>VÄSTERNORRLANDS LÄN</t>
        </is>
      </c>
      <c r="E48" t="inlineStr">
        <is>
          <t>SOLLEFTEÅ</t>
        </is>
      </c>
      <c r="G48" t="n">
        <v>7.2</v>
      </c>
      <c r="H48" t="n">
        <v>5</v>
      </c>
      <c r="I48" t="n">
        <v>1</v>
      </c>
      <c r="J48" t="n">
        <v>7</v>
      </c>
      <c r="K48" t="n">
        <v>3</v>
      </c>
      <c r="L48" t="n">
        <v>0</v>
      </c>
      <c r="M48" t="n">
        <v>0</v>
      </c>
      <c r="N48" t="n">
        <v>0</v>
      </c>
      <c r="O48" t="n">
        <v>10</v>
      </c>
      <c r="P48" t="n">
        <v>3</v>
      </c>
      <c r="Q48" t="n">
        <v>13</v>
      </c>
      <c r="R48" s="2" t="inlineStr">
        <is>
          <t>Garnlav
Knärot
Lappticka
Lunglav
Rosenticka
Rynkskinn
Talltita
Tretåig hackspett
Ullticka
Vitgrynig nållav
Vedticka
Järpe
Tjäder</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32200-2023</t>
        </is>
      </c>
      <c r="B49" s="1" t="n">
        <v>45119</v>
      </c>
      <c r="C49" s="1" t="n">
        <v>46199</v>
      </c>
      <c r="D49" t="inlineStr">
        <is>
          <t>VÄSTERNORRLANDS LÄN</t>
        </is>
      </c>
      <c r="E49" t="inlineStr">
        <is>
          <t>SOLLEFTEÅ</t>
        </is>
      </c>
      <c r="G49" t="n">
        <v>1.5</v>
      </c>
      <c r="H49" t="n">
        <v>3</v>
      </c>
      <c r="I49" t="n">
        <v>2</v>
      </c>
      <c r="J49" t="n">
        <v>5</v>
      </c>
      <c r="K49" t="n">
        <v>5</v>
      </c>
      <c r="L49" t="n">
        <v>0</v>
      </c>
      <c r="M49" t="n">
        <v>0</v>
      </c>
      <c r="N49" t="n">
        <v>0</v>
      </c>
      <c r="O49" t="n">
        <v>10</v>
      </c>
      <c r="P49" t="n">
        <v>5</v>
      </c>
      <c r="Q49" t="n">
        <v>13</v>
      </c>
      <c r="R49" s="2" t="inlineStr">
        <is>
          <t>Fläckporing
Garnlav
Gräddporing
Knärot
Spadskinn
Rosenticka
Tretåig hackspett
Ullticka
Vaddporing
Vedskivlav
Grönpyrola
Vedticka
Spillkråka</t>
        </is>
      </c>
      <c r="S49">
        <f>HYPERLINK("https://klasma.github.io/Logging_2283/artfynd/A 32200-2023 artfynd.xlsx", "A 32200-2023")</f>
        <v/>
      </c>
      <c r="T49">
        <f>HYPERLINK("https://klasma.github.io/Logging_2283/kartor/A 32200-2023 karta.png", "A 32200-2023")</f>
        <v/>
      </c>
      <c r="U49">
        <f>HYPERLINK("https://klasma.github.io/Logging_2283/knärot/A 32200-2023 karta knärot.png", "A 32200-2023")</f>
        <v/>
      </c>
      <c r="V49">
        <f>HYPERLINK("https://klasma.github.io/Logging_2283/klagomål/A 32200-2023 FSC-klagomål.docx", "A 32200-2023")</f>
        <v/>
      </c>
      <c r="W49">
        <f>HYPERLINK("https://klasma.github.io/Logging_2283/klagomålsmail/A 32200-2023 FSC-klagomål mail.docx", "A 32200-2023")</f>
        <v/>
      </c>
      <c r="X49">
        <f>HYPERLINK("https://klasma.github.io/Logging_2283/tillsyn/A 32200-2023 tillsynsbegäran.docx", "A 32200-2023")</f>
        <v/>
      </c>
      <c r="Y49">
        <f>HYPERLINK("https://klasma.github.io/Logging_2283/tillsynsmail/A 32200-2023 tillsynsbegäran mail.docx", "A 32200-2023")</f>
        <v/>
      </c>
      <c r="Z49">
        <f>HYPERLINK("https://klasma.github.io/Logging_2283/fåglar/A 32200-2023 prioriterade fågelarter.docx", "A 32200-2023")</f>
        <v/>
      </c>
    </row>
    <row r="50" ht="15" customHeight="1">
      <c r="A50" t="inlineStr">
        <is>
          <t>A 22209-2025</t>
        </is>
      </c>
      <c r="B50" s="1" t="n">
        <v>45785</v>
      </c>
      <c r="C50" s="1" t="n">
        <v>46199</v>
      </c>
      <c r="D50" t="inlineStr">
        <is>
          <t>VÄSTERNORRLANDS LÄN</t>
        </is>
      </c>
      <c r="E50" t="inlineStr">
        <is>
          <t>SOLLEFTEÅ</t>
        </is>
      </c>
      <c r="F50" t="inlineStr">
        <is>
          <t>SCA</t>
        </is>
      </c>
      <c r="G50" t="n">
        <v>10.1</v>
      </c>
      <c r="H50" t="n">
        <v>2</v>
      </c>
      <c r="I50" t="n">
        <v>6</v>
      </c>
      <c r="J50" t="n">
        <v>4</v>
      </c>
      <c r="K50" t="n">
        <v>2</v>
      </c>
      <c r="L50" t="n">
        <v>0</v>
      </c>
      <c r="M50" t="n">
        <v>0</v>
      </c>
      <c r="N50" t="n">
        <v>0</v>
      </c>
      <c r="O50" t="n">
        <v>6</v>
      </c>
      <c r="P50" t="n">
        <v>2</v>
      </c>
      <c r="Q50" t="n">
        <v>12</v>
      </c>
      <c r="R50" s="2" t="inlineStr">
        <is>
          <t>Garnlav
Knärot
Harticka
Lunglav
Rosenticka
Ullticka
Bronshjon
Spindelblomster
Stor aspticka
Thomsons trägnagare
Vedticka
Vågbandad barkbock</t>
        </is>
      </c>
      <c r="S50">
        <f>HYPERLINK("https://klasma.github.io/Logging_2283/artfynd/A 22209-2025 artfynd.xlsx", "A 22209-2025")</f>
        <v/>
      </c>
      <c r="T50">
        <f>HYPERLINK("https://klasma.github.io/Logging_2283/kartor/A 22209-2025 karta.png", "A 22209-2025")</f>
        <v/>
      </c>
      <c r="U50">
        <f>HYPERLINK("https://klasma.github.io/Logging_2283/knärot/A 22209-2025 karta knärot.png", "A 22209-2025")</f>
        <v/>
      </c>
      <c r="V50">
        <f>HYPERLINK("https://klasma.github.io/Logging_2283/klagomål/A 22209-2025 FSC-klagomål.docx", "A 22209-2025")</f>
        <v/>
      </c>
      <c r="W50">
        <f>HYPERLINK("https://klasma.github.io/Logging_2283/klagomålsmail/A 22209-2025 FSC-klagomål mail.docx", "A 22209-2025")</f>
        <v/>
      </c>
      <c r="X50">
        <f>HYPERLINK("https://klasma.github.io/Logging_2283/tillsyn/A 22209-2025 tillsynsbegäran.docx", "A 22209-2025")</f>
        <v/>
      </c>
      <c r="Y50">
        <f>HYPERLINK("https://klasma.github.io/Logging_2283/tillsynsmail/A 22209-2025 tillsynsbegäran mail.docx", "A 22209-2025")</f>
        <v/>
      </c>
    </row>
    <row r="51" ht="15" customHeight="1">
      <c r="A51" t="inlineStr">
        <is>
          <t>A 30571-2024</t>
        </is>
      </c>
      <c r="B51" s="1" t="n">
        <v>45492</v>
      </c>
      <c r="C51" s="1" t="n">
        <v>46199</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49704-2025</t>
        </is>
      </c>
      <c r="B52" s="1" t="n">
        <v>45939</v>
      </c>
      <c r="C52" s="1" t="n">
        <v>46199</v>
      </c>
      <c r="D52" t="inlineStr">
        <is>
          <t>VÄSTERNORRLANDS LÄN</t>
        </is>
      </c>
      <c r="E52" t="inlineStr">
        <is>
          <t>SOLLEFTEÅ</t>
        </is>
      </c>
      <c r="F52" t="inlineStr">
        <is>
          <t>SCA</t>
        </is>
      </c>
      <c r="G52" t="n">
        <v>1.8</v>
      </c>
      <c r="H52" t="n">
        <v>3</v>
      </c>
      <c r="I52" t="n">
        <v>6</v>
      </c>
      <c r="J52" t="n">
        <v>4</v>
      </c>
      <c r="K52" t="n">
        <v>1</v>
      </c>
      <c r="L52" t="n">
        <v>0</v>
      </c>
      <c r="M52" t="n">
        <v>0</v>
      </c>
      <c r="N52" t="n">
        <v>0</v>
      </c>
      <c r="O52" t="n">
        <v>5</v>
      </c>
      <c r="P52" t="n">
        <v>1</v>
      </c>
      <c r="Q52" t="n">
        <v>12</v>
      </c>
      <c r="R52" s="2" t="inlineStr">
        <is>
          <t>Garnlav
Gammelgransskål
Harticka
Lunglav
Tretåig hackspett
Bollvitmossa
Bårdlav
Lappranunkel
Luddlav
Norrlandslav
Ögonpyrola
Järpe</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61326-2024</t>
        </is>
      </c>
      <c r="B53" s="1" t="n">
        <v>45646</v>
      </c>
      <c r="C53" s="1" t="n">
        <v>46199</v>
      </c>
      <c r="D53" t="inlineStr">
        <is>
          <t>VÄSTERNORRLANDS LÄN</t>
        </is>
      </c>
      <c r="E53" t="inlineStr">
        <is>
          <t>SOLLEFTEÅ</t>
        </is>
      </c>
      <c r="F53" t="inlineStr">
        <is>
          <t>SCA</t>
        </is>
      </c>
      <c r="G53" t="n">
        <v>7.9</v>
      </c>
      <c r="H53" t="n">
        <v>2</v>
      </c>
      <c r="I53" t="n">
        <v>1</v>
      </c>
      <c r="J53" t="n">
        <v>9</v>
      </c>
      <c r="K53" t="n">
        <v>2</v>
      </c>
      <c r="L53" t="n">
        <v>0</v>
      </c>
      <c r="M53" t="n">
        <v>0</v>
      </c>
      <c r="N53" t="n">
        <v>0</v>
      </c>
      <c r="O53" t="n">
        <v>11</v>
      </c>
      <c r="P53" t="n">
        <v>2</v>
      </c>
      <c r="Q53" t="n">
        <v>12</v>
      </c>
      <c r="R53" s="2" t="inlineStr">
        <is>
          <t>Garnlav
Knärot
Gammelgransskål
Lunglav
Mörk kolflarnlav
Skrovellav
Stiftgelélav
Tretåig hackspett
Ullticka
Vedtrappmossa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15388-2026</t>
        </is>
      </c>
      <c r="B54" s="1" t="n">
        <v>46106</v>
      </c>
      <c r="C54" s="1" t="n">
        <v>46199</v>
      </c>
      <c r="D54" t="inlineStr">
        <is>
          <t>VÄSTERNORRLANDS LÄN</t>
        </is>
      </c>
      <c r="E54" t="inlineStr">
        <is>
          <t>SOLLEFTEÅ</t>
        </is>
      </c>
      <c r="F54" t="inlineStr">
        <is>
          <t>SCA</t>
        </is>
      </c>
      <c r="G54" t="n">
        <v>16.1</v>
      </c>
      <c r="H54" t="n">
        <v>4</v>
      </c>
      <c r="I54" t="n">
        <v>0</v>
      </c>
      <c r="J54" t="n">
        <v>8</v>
      </c>
      <c r="K54" t="n">
        <v>3</v>
      </c>
      <c r="L54" t="n">
        <v>0</v>
      </c>
      <c r="M54" t="n">
        <v>0</v>
      </c>
      <c r="N54" t="n">
        <v>0</v>
      </c>
      <c r="O54" t="n">
        <v>11</v>
      </c>
      <c r="P54" t="n">
        <v>3</v>
      </c>
      <c r="Q54" t="n">
        <v>12</v>
      </c>
      <c r="R54" s="2" t="inlineStr">
        <is>
          <t>Blackticka
Garnlav
Knärot
Gammelgransskål
Lunglav
Rosenticka
Rynkskinn
Talltita
Tretåig hackspett
Ullticka
Vitgrynig nållav
Spillkråka</t>
        </is>
      </c>
      <c r="S54">
        <f>HYPERLINK("https://klasma.github.io/Logging_2283/artfynd/A 15388-2026 artfynd.xlsx", "A 15388-2026")</f>
        <v/>
      </c>
      <c r="T54">
        <f>HYPERLINK("https://klasma.github.io/Logging_2283/kartor/A 15388-2026 karta.png", "A 15388-2026")</f>
        <v/>
      </c>
      <c r="U54">
        <f>HYPERLINK("https://klasma.github.io/Logging_2283/knärot/A 15388-2026 karta knärot.png", "A 15388-2026")</f>
        <v/>
      </c>
      <c r="V54">
        <f>HYPERLINK("https://klasma.github.io/Logging_2283/klagomål/A 15388-2026 FSC-klagomål.docx", "A 15388-2026")</f>
        <v/>
      </c>
      <c r="W54">
        <f>HYPERLINK("https://klasma.github.io/Logging_2283/klagomålsmail/A 15388-2026 FSC-klagomål mail.docx", "A 15388-2026")</f>
        <v/>
      </c>
      <c r="X54">
        <f>HYPERLINK("https://klasma.github.io/Logging_2283/tillsyn/A 15388-2026 tillsynsbegäran.docx", "A 15388-2026")</f>
        <v/>
      </c>
      <c r="Y54">
        <f>HYPERLINK("https://klasma.github.io/Logging_2283/tillsynsmail/A 15388-2026 tillsynsbegäran mail.docx", "A 15388-2026")</f>
        <v/>
      </c>
      <c r="Z54">
        <f>HYPERLINK("https://klasma.github.io/Logging_2283/fåglar/A 15388-2026 prioriterade fågelarter.docx", "A 15388-2026")</f>
        <v/>
      </c>
    </row>
    <row r="55" ht="15" customHeight="1">
      <c r="A55" t="inlineStr">
        <is>
          <t>A 5310-2024</t>
        </is>
      </c>
      <c r="B55" s="1" t="n">
        <v>45331</v>
      </c>
      <c r="C55" s="1" t="n">
        <v>46199</v>
      </c>
      <c r="D55" t="inlineStr">
        <is>
          <t>VÄSTERNORRLANDS LÄN</t>
        </is>
      </c>
      <c r="E55" t="inlineStr">
        <is>
          <t>SOLLEFTEÅ</t>
        </is>
      </c>
      <c r="G55" t="n">
        <v>8.5</v>
      </c>
      <c r="H55" t="n">
        <v>2</v>
      </c>
      <c r="I55" t="n">
        <v>3</v>
      </c>
      <c r="J55" t="n">
        <v>7</v>
      </c>
      <c r="K55" t="n">
        <v>2</v>
      </c>
      <c r="L55" t="n">
        <v>0</v>
      </c>
      <c r="M55" t="n">
        <v>0</v>
      </c>
      <c r="N55" t="n">
        <v>0</v>
      </c>
      <c r="O55" t="n">
        <v>9</v>
      </c>
      <c r="P55" t="n">
        <v>2</v>
      </c>
      <c r="Q55" t="n">
        <v>12</v>
      </c>
      <c r="R55" s="2" t="inlineStr">
        <is>
          <t>Garnlav
Knärot
Dvärgbägarlav
Kortskaftad ärgspik
Rosenticka
Rynkskinn
Tallticka
Talltita
Vedskivlav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24755-2024</t>
        </is>
      </c>
      <c r="B56" s="1" t="n">
        <v>45460</v>
      </c>
      <c r="C56" s="1" t="n">
        <v>46199</v>
      </c>
      <c r="D56" t="inlineStr">
        <is>
          <t>VÄSTERNORRLANDS LÄN</t>
        </is>
      </c>
      <c r="E56" t="inlineStr">
        <is>
          <t>SOLLEFTEÅ</t>
        </is>
      </c>
      <c r="G56" t="n">
        <v>14</v>
      </c>
      <c r="H56" t="n">
        <v>4</v>
      </c>
      <c r="I56" t="n">
        <v>2</v>
      </c>
      <c r="J56" t="n">
        <v>7</v>
      </c>
      <c r="K56" t="n">
        <v>1</v>
      </c>
      <c r="L56" t="n">
        <v>0</v>
      </c>
      <c r="M56" t="n">
        <v>0</v>
      </c>
      <c r="N56" t="n">
        <v>0</v>
      </c>
      <c r="O56" t="n">
        <v>8</v>
      </c>
      <c r="P56" t="n">
        <v>1</v>
      </c>
      <c r="Q56" t="n">
        <v>12</v>
      </c>
      <c r="R56" s="2" t="inlineStr">
        <is>
          <t>Garnlav
Gammelgransskål
Harticka
Rosenticka
Rynkskinn
Tallfingersvamp
Tretåig hackspett
Ullticka
Plattlummer
Vedticka
Spillkråka
Revlummer</t>
        </is>
      </c>
      <c r="S56">
        <f>HYPERLINK("https://klasma.github.io/Logging_2283/artfynd/A 24755-2024 artfynd.xlsx", "A 24755-2024")</f>
        <v/>
      </c>
      <c r="T56">
        <f>HYPERLINK("https://klasma.github.io/Logging_2283/kartor/A 24755-2024 karta.png", "A 24755-2024")</f>
        <v/>
      </c>
      <c r="V56">
        <f>HYPERLINK("https://klasma.github.io/Logging_2283/klagomål/A 24755-2024 FSC-klagomål.docx", "A 24755-2024")</f>
        <v/>
      </c>
      <c r="W56">
        <f>HYPERLINK("https://klasma.github.io/Logging_2283/klagomålsmail/A 24755-2024 FSC-klagomål mail.docx", "A 24755-2024")</f>
        <v/>
      </c>
      <c r="X56">
        <f>HYPERLINK("https://klasma.github.io/Logging_2283/tillsyn/A 24755-2024 tillsynsbegäran.docx", "A 24755-2024")</f>
        <v/>
      </c>
      <c r="Y56">
        <f>HYPERLINK("https://klasma.github.io/Logging_2283/tillsynsmail/A 24755-2024 tillsynsbegäran mail.docx", "A 24755-2024")</f>
        <v/>
      </c>
      <c r="Z56">
        <f>HYPERLINK("https://klasma.github.io/Logging_2283/fåglar/A 24755-2024 prioriterade fågelarter.docx", "A 24755-2024")</f>
        <v/>
      </c>
    </row>
    <row r="57" ht="15" customHeight="1">
      <c r="A57" t="inlineStr">
        <is>
          <t>A 39071-2023</t>
        </is>
      </c>
      <c r="B57" s="1" t="n">
        <v>45163</v>
      </c>
      <c r="C57" s="1" t="n">
        <v>46199</v>
      </c>
      <c r="D57" t="inlineStr">
        <is>
          <t>VÄSTERNORRLANDS LÄN</t>
        </is>
      </c>
      <c r="E57" t="inlineStr">
        <is>
          <t>SOLLEFTEÅ</t>
        </is>
      </c>
      <c r="F57" t="inlineStr">
        <is>
          <t>SCA</t>
        </is>
      </c>
      <c r="G57" t="n">
        <v>16.5</v>
      </c>
      <c r="H57" t="n">
        <v>2</v>
      </c>
      <c r="I57" t="n">
        <v>3</v>
      </c>
      <c r="J57" t="n">
        <v>6</v>
      </c>
      <c r="K57" t="n">
        <v>2</v>
      </c>
      <c r="L57" t="n">
        <v>0</v>
      </c>
      <c r="M57" t="n">
        <v>0</v>
      </c>
      <c r="N57" t="n">
        <v>0</v>
      </c>
      <c r="O57" t="n">
        <v>8</v>
      </c>
      <c r="P57" t="n">
        <v>2</v>
      </c>
      <c r="Q57" t="n">
        <v>12</v>
      </c>
      <c r="R57" s="2" t="inlineStr">
        <is>
          <t>Blackticka
Gränsticka
Gammelgransskål
Kötticka
Lunglav
Rosenticka
Rynkskinn
Ullticka
Bårdlav
Spindelblomster
Vedticka
Spillkråka</t>
        </is>
      </c>
      <c r="S57">
        <f>HYPERLINK("https://klasma.github.io/Logging_2283/artfynd/A 39071-2023 artfynd.xlsx", "A 39071-2023")</f>
        <v/>
      </c>
      <c r="T57">
        <f>HYPERLINK("https://klasma.github.io/Logging_2283/kartor/A 39071-2023 karta.png", "A 39071-2023")</f>
        <v/>
      </c>
      <c r="V57">
        <f>HYPERLINK("https://klasma.github.io/Logging_2283/klagomål/A 39071-2023 FSC-klagomål.docx", "A 39071-2023")</f>
        <v/>
      </c>
      <c r="W57">
        <f>HYPERLINK("https://klasma.github.io/Logging_2283/klagomålsmail/A 39071-2023 FSC-klagomål mail.docx", "A 39071-2023")</f>
        <v/>
      </c>
      <c r="X57">
        <f>HYPERLINK("https://klasma.github.io/Logging_2283/tillsyn/A 39071-2023 tillsynsbegäran.docx", "A 39071-2023")</f>
        <v/>
      </c>
      <c r="Y57">
        <f>HYPERLINK("https://klasma.github.io/Logging_2283/tillsynsmail/A 39071-2023 tillsynsbegäran mail.docx", "A 39071-2023")</f>
        <v/>
      </c>
      <c r="Z57">
        <f>HYPERLINK("https://klasma.github.io/Logging_2283/fåglar/A 39071-2023 prioriterade fågelarter.docx", "A 39071-2023")</f>
        <v/>
      </c>
    </row>
    <row r="58" ht="15" customHeight="1">
      <c r="A58" t="inlineStr">
        <is>
          <t>A 44735-2025</t>
        </is>
      </c>
      <c r="B58" s="1" t="n">
        <v>45917</v>
      </c>
      <c r="C58" s="1" t="n">
        <v>46199</v>
      </c>
      <c r="D58" t="inlineStr">
        <is>
          <t>VÄSTERNORRLANDS LÄN</t>
        </is>
      </c>
      <c r="E58" t="inlineStr">
        <is>
          <t>SOLLEFTEÅ</t>
        </is>
      </c>
      <c r="F58" t="inlineStr">
        <is>
          <t>SCA</t>
        </is>
      </c>
      <c r="G58" t="n">
        <v>3.5</v>
      </c>
      <c r="H58" t="n">
        <v>5</v>
      </c>
      <c r="I58" t="n">
        <v>3</v>
      </c>
      <c r="J58" t="n">
        <v>6</v>
      </c>
      <c r="K58" t="n">
        <v>2</v>
      </c>
      <c r="L58" t="n">
        <v>0</v>
      </c>
      <c r="M58" t="n">
        <v>0</v>
      </c>
      <c r="N58" t="n">
        <v>0</v>
      </c>
      <c r="O58" t="n">
        <v>8</v>
      </c>
      <c r="P58" t="n">
        <v>2</v>
      </c>
      <c r="Q58" t="n">
        <v>12</v>
      </c>
      <c r="R58" s="2" t="inlineStr">
        <is>
          <t>Knärot
Lappticka
Harticka
Rosenticka
Skogsfru
Talltita
Tretåig hackspett
Ullticka
Svavelriska
Trådticka
Vedticka
Järpe</t>
        </is>
      </c>
      <c r="S58">
        <f>HYPERLINK("https://klasma.github.io/Logging_2283/artfynd/A 44735-2025 artfynd.xlsx", "A 44735-2025")</f>
        <v/>
      </c>
      <c r="T58">
        <f>HYPERLINK("https://klasma.github.io/Logging_2283/kartor/A 44735-2025 karta.png", "A 44735-2025")</f>
        <v/>
      </c>
      <c r="U58">
        <f>HYPERLINK("https://klasma.github.io/Logging_2283/knärot/A 44735-2025 karta knärot.png", "A 44735-2025")</f>
        <v/>
      </c>
      <c r="V58">
        <f>HYPERLINK("https://klasma.github.io/Logging_2283/klagomål/A 44735-2025 FSC-klagomål.docx", "A 44735-2025")</f>
        <v/>
      </c>
      <c r="W58">
        <f>HYPERLINK("https://klasma.github.io/Logging_2283/klagomålsmail/A 44735-2025 FSC-klagomål mail.docx", "A 44735-2025")</f>
        <v/>
      </c>
      <c r="X58">
        <f>HYPERLINK("https://klasma.github.io/Logging_2283/tillsyn/A 44735-2025 tillsynsbegäran.docx", "A 44735-2025")</f>
        <v/>
      </c>
      <c r="Y58">
        <f>HYPERLINK("https://klasma.github.io/Logging_2283/tillsynsmail/A 44735-2025 tillsynsbegäran mail.docx", "A 44735-2025")</f>
        <v/>
      </c>
      <c r="Z58">
        <f>HYPERLINK("https://klasma.github.io/Logging_2283/fåglar/A 44735-2025 prioriterade fågelarter.docx", "A 44735-2025")</f>
        <v/>
      </c>
    </row>
    <row r="59" ht="15" customHeight="1">
      <c r="A59" t="inlineStr">
        <is>
          <t>A 12865-2024</t>
        </is>
      </c>
      <c r="B59" s="1" t="n">
        <v>45384</v>
      </c>
      <c r="C59" s="1" t="n">
        <v>46199</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22215-2025</t>
        </is>
      </c>
      <c r="B60" s="1" t="n">
        <v>45785</v>
      </c>
      <c r="C60" s="1" t="n">
        <v>46199</v>
      </c>
      <c r="D60" t="inlineStr">
        <is>
          <t>VÄSTERNORRLANDS LÄN</t>
        </is>
      </c>
      <c r="E60" t="inlineStr">
        <is>
          <t>SOLLEFTEÅ</t>
        </is>
      </c>
      <c r="F60" t="inlineStr">
        <is>
          <t>SCA</t>
        </is>
      </c>
      <c r="G60" t="n">
        <v>3.8</v>
      </c>
      <c r="H60" t="n">
        <v>1</v>
      </c>
      <c r="I60" t="n">
        <v>3</v>
      </c>
      <c r="J60" t="n">
        <v>4</v>
      </c>
      <c r="K60" t="n">
        <v>3</v>
      </c>
      <c r="L60" t="n">
        <v>0</v>
      </c>
      <c r="M60" t="n">
        <v>0</v>
      </c>
      <c r="N60" t="n">
        <v>0</v>
      </c>
      <c r="O60" t="n">
        <v>7</v>
      </c>
      <c r="P60" t="n">
        <v>3</v>
      </c>
      <c r="Q60" t="n">
        <v>11</v>
      </c>
      <c r="R60" s="2" t="inlineStr">
        <is>
          <t>Garnlav
Lappticka
Ulltickeporing
Lunglav
Rosenticka
Rynkskinn
Ullticka
Gulnål
Korallblylav
Trådticka
Blåsippa</t>
        </is>
      </c>
      <c r="S60">
        <f>HYPERLINK("https://klasma.github.io/Logging_2283/artfynd/A 22215-2025 artfynd.xlsx", "A 22215-2025")</f>
        <v/>
      </c>
      <c r="T60">
        <f>HYPERLINK("https://klasma.github.io/Logging_2283/kartor/A 22215-2025 karta.png", "A 22215-2025")</f>
        <v/>
      </c>
      <c r="V60">
        <f>HYPERLINK("https://klasma.github.io/Logging_2283/klagomål/A 22215-2025 FSC-klagomål.docx", "A 22215-2025")</f>
        <v/>
      </c>
      <c r="W60">
        <f>HYPERLINK("https://klasma.github.io/Logging_2283/klagomålsmail/A 22215-2025 FSC-klagomål mail.docx", "A 22215-2025")</f>
        <v/>
      </c>
      <c r="X60">
        <f>HYPERLINK("https://klasma.github.io/Logging_2283/tillsyn/A 22215-2025 tillsynsbegäran.docx", "A 22215-2025")</f>
        <v/>
      </c>
      <c r="Y60">
        <f>HYPERLINK("https://klasma.github.io/Logging_2283/tillsynsmail/A 22215-2025 tillsynsbegäran mail.docx", "A 22215-2025")</f>
        <v/>
      </c>
    </row>
    <row r="61" ht="15" customHeight="1">
      <c r="A61" t="inlineStr">
        <is>
          <t>A 4839-2025</t>
        </is>
      </c>
      <c r="B61" s="1" t="n">
        <v>45688</v>
      </c>
      <c r="C61" s="1" t="n">
        <v>46199</v>
      </c>
      <c r="D61" t="inlineStr">
        <is>
          <t>VÄSTERNORRLANDS LÄN</t>
        </is>
      </c>
      <c r="E61" t="inlineStr">
        <is>
          <t>SOLLEFTEÅ</t>
        </is>
      </c>
      <c r="F61" t="inlineStr">
        <is>
          <t>SCA</t>
        </is>
      </c>
      <c r="G61" t="n">
        <v>7.9</v>
      </c>
      <c r="H61" t="n">
        <v>5</v>
      </c>
      <c r="I61" t="n">
        <v>0</v>
      </c>
      <c r="J61" t="n">
        <v>7</v>
      </c>
      <c r="K61" t="n">
        <v>2</v>
      </c>
      <c r="L61" t="n">
        <v>0</v>
      </c>
      <c r="M61" t="n">
        <v>0</v>
      </c>
      <c r="N61" t="n">
        <v>0</v>
      </c>
      <c r="O61" t="n">
        <v>9</v>
      </c>
      <c r="P61" t="n">
        <v>2</v>
      </c>
      <c r="Q61" t="n">
        <v>11</v>
      </c>
      <c r="R61" s="2" t="inlineStr">
        <is>
          <t>Garnlav
Knärot
Dropptaggsvamp
Harticka
Kolflarnlav
Mörk kolflarnlav
Talltita
Tretåig hackspett
Ullticka
Järpe
Spillkråka</t>
        </is>
      </c>
      <c r="S61">
        <f>HYPERLINK("https://klasma.github.io/Logging_2283/artfynd/A 4839-2025 artfynd.xlsx", "A 4839-2025")</f>
        <v/>
      </c>
      <c r="T61">
        <f>HYPERLINK("https://klasma.github.io/Logging_2283/kartor/A 4839-2025 karta.png", "A 4839-2025")</f>
        <v/>
      </c>
      <c r="U61">
        <f>HYPERLINK("https://klasma.github.io/Logging_2283/knärot/A 4839-2025 karta knärot.png", "A 4839-2025")</f>
        <v/>
      </c>
      <c r="V61">
        <f>HYPERLINK("https://klasma.github.io/Logging_2283/klagomål/A 4839-2025 FSC-klagomål.docx", "A 4839-2025")</f>
        <v/>
      </c>
      <c r="W61">
        <f>HYPERLINK("https://klasma.github.io/Logging_2283/klagomålsmail/A 4839-2025 FSC-klagomål mail.docx", "A 4839-2025")</f>
        <v/>
      </c>
      <c r="X61">
        <f>HYPERLINK("https://klasma.github.io/Logging_2283/tillsyn/A 4839-2025 tillsynsbegäran.docx", "A 4839-2025")</f>
        <v/>
      </c>
      <c r="Y61">
        <f>HYPERLINK("https://klasma.github.io/Logging_2283/tillsynsmail/A 4839-2025 tillsynsbegäran mail.docx", "A 4839-2025")</f>
        <v/>
      </c>
      <c r="Z61">
        <f>HYPERLINK("https://klasma.github.io/Logging_2283/fåglar/A 4839-2025 prioriterade fågelarter.docx", "A 4839-2025")</f>
        <v/>
      </c>
    </row>
    <row r="62" ht="15" customHeight="1">
      <c r="A62" t="inlineStr">
        <is>
          <t>A 21345-2023</t>
        </is>
      </c>
      <c r="B62" s="1" t="n">
        <v>45062</v>
      </c>
      <c r="C62" s="1" t="n">
        <v>46199</v>
      </c>
      <c r="D62" t="inlineStr">
        <is>
          <t>VÄSTERNORRLANDS LÄN</t>
        </is>
      </c>
      <c r="E62" t="inlineStr">
        <is>
          <t>SOLLEFTEÅ</t>
        </is>
      </c>
      <c r="F62" t="inlineStr">
        <is>
          <t>SCA</t>
        </is>
      </c>
      <c r="G62" t="n">
        <v>3.3</v>
      </c>
      <c r="H62" t="n">
        <v>4</v>
      </c>
      <c r="I62" t="n">
        <v>3</v>
      </c>
      <c r="J62" t="n">
        <v>7</v>
      </c>
      <c r="K62" t="n">
        <v>1</v>
      </c>
      <c r="L62" t="n">
        <v>0</v>
      </c>
      <c r="M62" t="n">
        <v>0</v>
      </c>
      <c r="N62" t="n">
        <v>0</v>
      </c>
      <c r="O62" t="n">
        <v>8</v>
      </c>
      <c r="P62" t="n">
        <v>1</v>
      </c>
      <c r="Q62" t="n">
        <v>11</v>
      </c>
      <c r="R62" s="2" t="inlineStr">
        <is>
          <t>Garnlav
Gammelgransskål
Kolflarnlav
Lavskrika
Lunglav
Mörk kolflarnlav
Talltita
Ullticka
Korallrot
Plattlummer
Stuplav</t>
        </is>
      </c>
      <c r="S62">
        <f>HYPERLINK("https://klasma.github.io/Logging_2283/artfynd/A 21345-2023 artfynd.xlsx", "A 21345-2023")</f>
        <v/>
      </c>
      <c r="T62">
        <f>HYPERLINK("https://klasma.github.io/Logging_2283/kartor/A 21345-2023 karta.png", "A 21345-2023")</f>
        <v/>
      </c>
      <c r="V62">
        <f>HYPERLINK("https://klasma.github.io/Logging_2283/klagomål/A 21345-2023 FSC-klagomål.docx", "A 21345-2023")</f>
        <v/>
      </c>
      <c r="W62">
        <f>HYPERLINK("https://klasma.github.io/Logging_2283/klagomålsmail/A 21345-2023 FSC-klagomål mail.docx", "A 21345-2023")</f>
        <v/>
      </c>
      <c r="X62">
        <f>HYPERLINK("https://klasma.github.io/Logging_2283/tillsyn/A 21345-2023 tillsynsbegäran.docx", "A 21345-2023")</f>
        <v/>
      </c>
      <c r="Y62">
        <f>HYPERLINK("https://klasma.github.io/Logging_2283/tillsynsmail/A 21345-2023 tillsynsbegäran mail.docx", "A 21345-2023")</f>
        <v/>
      </c>
      <c r="Z62">
        <f>HYPERLINK("https://klasma.github.io/Logging_2283/fåglar/A 21345-2023 prioriterade fågelarter.docx", "A 21345-2023")</f>
        <v/>
      </c>
    </row>
    <row r="63" ht="15" customHeight="1">
      <c r="A63" t="inlineStr">
        <is>
          <t>A 66171-2021</t>
        </is>
      </c>
      <c r="B63" s="1" t="n">
        <v>44517</v>
      </c>
      <c r="C63" s="1" t="n">
        <v>46199</v>
      </c>
      <c r="D63" t="inlineStr">
        <is>
          <t>VÄSTERNORRLANDS LÄN</t>
        </is>
      </c>
      <c r="E63" t="inlineStr">
        <is>
          <t>SOLLEFTEÅ</t>
        </is>
      </c>
      <c r="F63" t="inlineStr">
        <is>
          <t>SCA</t>
        </is>
      </c>
      <c r="G63" t="n">
        <v>8.5</v>
      </c>
      <c r="H63" t="n">
        <v>3</v>
      </c>
      <c r="I63" t="n">
        <v>0</v>
      </c>
      <c r="J63" t="n">
        <v>7</v>
      </c>
      <c r="K63" t="n">
        <v>4</v>
      </c>
      <c r="L63" t="n">
        <v>0</v>
      </c>
      <c r="M63" t="n">
        <v>0</v>
      </c>
      <c r="N63" t="n">
        <v>0</v>
      </c>
      <c r="O63" t="n">
        <v>11</v>
      </c>
      <c r="P63" t="n">
        <v>4</v>
      </c>
      <c r="Q63" t="n">
        <v>11</v>
      </c>
      <c r="R63" s="2" t="inlineStr">
        <is>
          <t>Garnlav
Gränsticka
Knärot
Ostticka
Duvhök
Gammelgransskål
Lunglav
Rosenticka
Rynkskinn
Tretåig hackspett
Ullticka</t>
        </is>
      </c>
      <c r="S63">
        <f>HYPERLINK("https://klasma.github.io/Logging_2283/artfynd/A 66171-2021 artfynd.xlsx", "A 66171-2021")</f>
        <v/>
      </c>
      <c r="T63">
        <f>HYPERLINK("https://klasma.github.io/Logging_2283/kartor/A 66171-2021 karta.png", "A 66171-2021")</f>
        <v/>
      </c>
      <c r="U63">
        <f>HYPERLINK("https://klasma.github.io/Logging_2283/knärot/A 66171-2021 karta knärot.png", "A 66171-2021")</f>
        <v/>
      </c>
      <c r="V63">
        <f>HYPERLINK("https://klasma.github.io/Logging_2283/klagomål/A 66171-2021 FSC-klagomål.docx", "A 66171-2021")</f>
        <v/>
      </c>
      <c r="W63">
        <f>HYPERLINK("https://klasma.github.io/Logging_2283/klagomålsmail/A 66171-2021 FSC-klagomål mail.docx", "A 66171-2021")</f>
        <v/>
      </c>
      <c r="X63">
        <f>HYPERLINK("https://klasma.github.io/Logging_2283/tillsyn/A 66171-2021 tillsynsbegäran.docx", "A 66171-2021")</f>
        <v/>
      </c>
      <c r="Y63">
        <f>HYPERLINK("https://klasma.github.io/Logging_2283/tillsynsmail/A 66171-2021 tillsynsbegäran mail.docx", "A 66171-2021")</f>
        <v/>
      </c>
      <c r="Z63">
        <f>HYPERLINK("https://klasma.github.io/Logging_2283/fåglar/A 66171-2021 prioriterade fågelarter.docx", "A 66171-2021")</f>
        <v/>
      </c>
    </row>
    <row r="64" ht="15" customHeight="1">
      <c r="A64" t="inlineStr">
        <is>
          <t>A 57790-2024</t>
        </is>
      </c>
      <c r="B64" s="1" t="n">
        <v>45631</v>
      </c>
      <c r="C64" s="1" t="n">
        <v>46199</v>
      </c>
      <c r="D64" t="inlineStr">
        <is>
          <t>VÄSTERNORRLANDS LÄN</t>
        </is>
      </c>
      <c r="E64" t="inlineStr">
        <is>
          <t>SOLLEFTEÅ</t>
        </is>
      </c>
      <c r="G64" t="n">
        <v>4.7</v>
      </c>
      <c r="H64" t="n">
        <v>4</v>
      </c>
      <c r="I64" t="n">
        <v>2</v>
      </c>
      <c r="J64" t="n">
        <v>5</v>
      </c>
      <c r="K64" t="n">
        <v>2</v>
      </c>
      <c r="L64" t="n">
        <v>1</v>
      </c>
      <c r="M64" t="n">
        <v>0</v>
      </c>
      <c r="N64" t="n">
        <v>0</v>
      </c>
      <c r="O64" t="n">
        <v>8</v>
      </c>
      <c r="P64" t="n">
        <v>3</v>
      </c>
      <c r="Q64" t="n">
        <v>11</v>
      </c>
      <c r="R64" s="2" t="inlineStr">
        <is>
          <t>Trådbrosklav
Garnlav
Knärot
Rosenticka
Rynkskinn
Talltita
Tretåig hackspett
Ullticka
Norrlandslav
Vedticka
Spillkråka</t>
        </is>
      </c>
      <c r="S64">
        <f>HYPERLINK("https://klasma.github.io/Logging_2283/artfynd/A 57790-2024 artfynd.xlsx", "A 57790-2024")</f>
        <v/>
      </c>
      <c r="T64">
        <f>HYPERLINK("https://klasma.github.io/Logging_2283/kartor/A 57790-2024 karta.png", "A 57790-2024")</f>
        <v/>
      </c>
      <c r="U64">
        <f>HYPERLINK("https://klasma.github.io/Logging_2283/knärot/A 57790-2024 karta knärot.png", "A 57790-2024")</f>
        <v/>
      </c>
      <c r="V64">
        <f>HYPERLINK("https://klasma.github.io/Logging_2283/klagomål/A 57790-2024 FSC-klagomål.docx", "A 57790-2024")</f>
        <v/>
      </c>
      <c r="W64">
        <f>HYPERLINK("https://klasma.github.io/Logging_2283/klagomålsmail/A 57790-2024 FSC-klagomål mail.docx", "A 57790-2024")</f>
        <v/>
      </c>
      <c r="X64">
        <f>HYPERLINK("https://klasma.github.io/Logging_2283/tillsyn/A 57790-2024 tillsynsbegäran.docx", "A 57790-2024")</f>
        <v/>
      </c>
      <c r="Y64">
        <f>HYPERLINK("https://klasma.github.io/Logging_2283/tillsynsmail/A 57790-2024 tillsynsbegäran mail.docx", "A 57790-2024")</f>
        <v/>
      </c>
      <c r="Z64">
        <f>HYPERLINK("https://klasma.github.io/Logging_2283/fåglar/A 57790-2024 prioriterade fågelarter.docx", "A 57790-2024")</f>
        <v/>
      </c>
    </row>
    <row r="65" ht="15" customHeight="1">
      <c r="A65" t="inlineStr">
        <is>
          <t>A 58155-2025</t>
        </is>
      </c>
      <c r="B65" s="1" t="n">
        <v>45982</v>
      </c>
      <c r="C65" s="1" t="n">
        <v>46199</v>
      </c>
      <c r="D65" t="inlineStr">
        <is>
          <t>VÄSTERNORRLANDS LÄN</t>
        </is>
      </c>
      <c r="E65" t="inlineStr">
        <is>
          <t>SOLLEFTEÅ</t>
        </is>
      </c>
      <c r="G65" t="n">
        <v>16.1</v>
      </c>
      <c r="H65" t="n">
        <v>3</v>
      </c>
      <c r="I65" t="n">
        <v>1</v>
      </c>
      <c r="J65" t="n">
        <v>7</v>
      </c>
      <c r="K65" t="n">
        <v>1</v>
      </c>
      <c r="L65" t="n">
        <v>0</v>
      </c>
      <c r="M65" t="n">
        <v>0</v>
      </c>
      <c r="N65" t="n">
        <v>0</v>
      </c>
      <c r="O65" t="n">
        <v>8</v>
      </c>
      <c r="P65" t="n">
        <v>1</v>
      </c>
      <c r="Q65" t="n">
        <v>11</v>
      </c>
      <c r="R65" s="2" t="inlineStr">
        <is>
          <t>Garnlav
Dropptaggsvamp
Gammelgransskål
Lunglav
Rosenticka
Stjärntagging
Tretåig hackspett
Ullticka
Norrlandslav
Järpe
Svartvit flugsnappare</t>
        </is>
      </c>
      <c r="S65">
        <f>HYPERLINK("https://klasma.github.io/Logging_2283/artfynd/A 58155-2025 artfynd.xlsx", "A 58155-2025")</f>
        <v/>
      </c>
      <c r="T65">
        <f>HYPERLINK("https://klasma.github.io/Logging_2283/kartor/A 58155-2025 karta.png", "A 58155-2025")</f>
        <v/>
      </c>
      <c r="V65">
        <f>HYPERLINK("https://klasma.github.io/Logging_2283/klagomål/A 58155-2025 FSC-klagomål.docx", "A 58155-2025")</f>
        <v/>
      </c>
      <c r="W65">
        <f>HYPERLINK("https://klasma.github.io/Logging_2283/klagomålsmail/A 58155-2025 FSC-klagomål mail.docx", "A 58155-2025")</f>
        <v/>
      </c>
      <c r="X65">
        <f>HYPERLINK("https://klasma.github.io/Logging_2283/tillsyn/A 58155-2025 tillsynsbegäran.docx", "A 58155-2025")</f>
        <v/>
      </c>
      <c r="Y65">
        <f>HYPERLINK("https://klasma.github.io/Logging_2283/tillsynsmail/A 58155-2025 tillsynsbegäran mail.docx", "A 58155-2025")</f>
        <v/>
      </c>
      <c r="Z65">
        <f>HYPERLINK("https://klasma.github.io/Logging_2283/fåglar/A 58155-2025 prioriterade fågelarter.docx", "A 58155-2025")</f>
        <v/>
      </c>
    </row>
    <row r="66" ht="15" customHeight="1">
      <c r="A66" t="inlineStr">
        <is>
          <t>A 62992-2023</t>
        </is>
      </c>
      <c r="B66" s="1" t="n">
        <v>45272</v>
      </c>
      <c r="C66" s="1" t="n">
        <v>46199</v>
      </c>
      <c r="D66" t="inlineStr">
        <is>
          <t>VÄSTERNORRLANDS LÄN</t>
        </is>
      </c>
      <c r="E66" t="inlineStr">
        <is>
          <t>SOLLEFTEÅ</t>
        </is>
      </c>
      <c r="F66" t="inlineStr">
        <is>
          <t>Övriga Aktiebolag</t>
        </is>
      </c>
      <c r="G66" t="n">
        <v>16.7</v>
      </c>
      <c r="H66" t="n">
        <v>2</v>
      </c>
      <c r="I66" t="n">
        <v>3</v>
      </c>
      <c r="J66" t="n">
        <v>7</v>
      </c>
      <c r="K66" t="n">
        <v>1</v>
      </c>
      <c r="L66" t="n">
        <v>0</v>
      </c>
      <c r="M66" t="n">
        <v>0</v>
      </c>
      <c r="N66" t="n">
        <v>0</v>
      </c>
      <c r="O66" t="n">
        <v>8</v>
      </c>
      <c r="P66" t="n">
        <v>1</v>
      </c>
      <c r="Q66" t="n">
        <v>11</v>
      </c>
      <c r="R66" s="2" t="inlineStr">
        <is>
          <t>Garnlav
Gammelgransskål
Harticka
Lunglav
Rosenticka
Tretåig hackspett
Ullticka
Vedskivlav
Mörk husmossa
Spindelblomster
Stuplav</t>
        </is>
      </c>
      <c r="S66">
        <f>HYPERLINK("https://klasma.github.io/Logging_2283/artfynd/A 62992-2023 artfynd.xlsx", "A 62992-2023")</f>
        <v/>
      </c>
      <c r="T66">
        <f>HYPERLINK("https://klasma.github.io/Logging_2283/kartor/A 62992-2023 karta.png", "A 62992-2023")</f>
        <v/>
      </c>
      <c r="V66">
        <f>HYPERLINK("https://klasma.github.io/Logging_2283/klagomål/A 62992-2023 FSC-klagomål.docx", "A 62992-2023")</f>
        <v/>
      </c>
      <c r="W66">
        <f>HYPERLINK("https://klasma.github.io/Logging_2283/klagomålsmail/A 62992-2023 FSC-klagomål mail.docx", "A 62992-2023")</f>
        <v/>
      </c>
      <c r="X66">
        <f>HYPERLINK("https://klasma.github.io/Logging_2283/tillsyn/A 62992-2023 tillsynsbegäran.docx", "A 62992-2023")</f>
        <v/>
      </c>
      <c r="Y66">
        <f>HYPERLINK("https://klasma.github.io/Logging_2283/tillsynsmail/A 62992-2023 tillsynsbegäran mail.docx", "A 62992-2023")</f>
        <v/>
      </c>
      <c r="Z66">
        <f>HYPERLINK("https://klasma.github.io/Logging_2283/fåglar/A 62992-2023 prioriterade fågelarter.docx", "A 62992-2023")</f>
        <v/>
      </c>
    </row>
    <row r="67" ht="15" customHeight="1">
      <c r="A67" t="inlineStr">
        <is>
          <t>A 32460-2024</t>
        </is>
      </c>
      <c r="B67" s="1" t="n">
        <v>45512</v>
      </c>
      <c r="C67" s="1" t="n">
        <v>46199</v>
      </c>
      <c r="D67" t="inlineStr">
        <is>
          <t>VÄSTERNORRLANDS LÄN</t>
        </is>
      </c>
      <c r="E67" t="inlineStr">
        <is>
          <t>SOLLEFTEÅ</t>
        </is>
      </c>
      <c r="F67" t="inlineStr">
        <is>
          <t>SCA</t>
        </is>
      </c>
      <c r="G67" t="n">
        <v>6</v>
      </c>
      <c r="H67" t="n">
        <v>5</v>
      </c>
      <c r="I67" t="n">
        <v>4</v>
      </c>
      <c r="J67" t="n">
        <v>5</v>
      </c>
      <c r="K67" t="n">
        <v>2</v>
      </c>
      <c r="L67" t="n">
        <v>0</v>
      </c>
      <c r="M67" t="n">
        <v>0</v>
      </c>
      <c r="N67" t="n">
        <v>0</v>
      </c>
      <c r="O67" t="n">
        <v>7</v>
      </c>
      <c r="P67" t="n">
        <v>2</v>
      </c>
      <c r="Q67" t="n">
        <v>11</v>
      </c>
      <c r="R67" s="2" t="inlineStr">
        <is>
          <t>Garnlav
Knärot
Doftskinn
Lunglav
Talltita
Tretåig hackspett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38665-2025</t>
        </is>
      </c>
      <c r="B68" s="1" t="n">
        <v>45884</v>
      </c>
      <c r="C68" s="1" t="n">
        <v>46199</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33519-2024</t>
        </is>
      </c>
      <c r="B69" s="1" t="n">
        <v>45519</v>
      </c>
      <c r="C69" s="1" t="n">
        <v>46199</v>
      </c>
      <c r="D69" t="inlineStr">
        <is>
          <t>VÄSTERNORRLANDS LÄN</t>
        </is>
      </c>
      <c r="E69" t="inlineStr">
        <is>
          <t>SOLLEFTEÅ</t>
        </is>
      </c>
      <c r="G69" t="n">
        <v>3.6</v>
      </c>
      <c r="H69" t="n">
        <v>1</v>
      </c>
      <c r="I69" t="n">
        <v>0</v>
      </c>
      <c r="J69" t="n">
        <v>7</v>
      </c>
      <c r="K69" t="n">
        <v>3</v>
      </c>
      <c r="L69" t="n">
        <v>0</v>
      </c>
      <c r="M69" t="n">
        <v>0</v>
      </c>
      <c r="N69" t="n">
        <v>0</v>
      </c>
      <c r="O69" t="n">
        <v>10</v>
      </c>
      <c r="P69" t="n">
        <v>3</v>
      </c>
      <c r="Q69" t="n">
        <v>10</v>
      </c>
      <c r="R69" s="2" t="inlineStr">
        <is>
          <t>Garnlav
Knärot
Skrovlig taggsvamp
Dropptaggsvamp
Kolflarnlav
Lunglav
Rosenticka
Rynkskinn
Ullticka
Vaddporing</t>
        </is>
      </c>
      <c r="S69">
        <f>HYPERLINK("https://klasma.github.io/Logging_2283/artfynd/A 33519-2024 artfynd.xlsx", "A 33519-2024")</f>
        <v/>
      </c>
      <c r="T69">
        <f>HYPERLINK("https://klasma.github.io/Logging_2283/kartor/A 33519-2024 karta.png", "A 33519-2024")</f>
        <v/>
      </c>
      <c r="U69">
        <f>HYPERLINK("https://klasma.github.io/Logging_2283/knärot/A 33519-2024 karta knärot.png", "A 33519-2024")</f>
        <v/>
      </c>
      <c r="V69">
        <f>HYPERLINK("https://klasma.github.io/Logging_2283/klagomål/A 33519-2024 FSC-klagomål.docx", "A 33519-2024")</f>
        <v/>
      </c>
      <c r="W69">
        <f>HYPERLINK("https://klasma.github.io/Logging_2283/klagomålsmail/A 33519-2024 FSC-klagomål mail.docx", "A 33519-2024")</f>
        <v/>
      </c>
      <c r="X69">
        <f>HYPERLINK("https://klasma.github.io/Logging_2283/tillsyn/A 33519-2024 tillsynsbegäran.docx", "A 33519-2024")</f>
        <v/>
      </c>
      <c r="Y69">
        <f>HYPERLINK("https://klasma.github.io/Logging_2283/tillsynsmail/A 33519-2024 tillsynsbegäran mail.docx", "A 33519-2024")</f>
        <v/>
      </c>
    </row>
    <row r="70" ht="15" customHeight="1">
      <c r="A70" t="inlineStr">
        <is>
          <t>A 46041-2022</t>
        </is>
      </c>
      <c r="B70" s="1" t="n">
        <v>44846</v>
      </c>
      <c r="C70" s="1" t="n">
        <v>46199</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18084-2026</t>
        </is>
      </c>
      <c r="B71" s="1" t="n">
        <v>46125</v>
      </c>
      <c r="C71" s="1" t="n">
        <v>46199</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46199</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46199</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24459-2024</t>
        </is>
      </c>
      <c r="B74" s="1" t="n">
        <v>45457</v>
      </c>
      <c r="C74" s="1" t="n">
        <v>46199</v>
      </c>
      <c r="D74" t="inlineStr">
        <is>
          <t>VÄSTERNORRLANDS LÄN</t>
        </is>
      </c>
      <c r="E74" t="inlineStr">
        <is>
          <t>SOLLEFTEÅ</t>
        </is>
      </c>
      <c r="F74" t="inlineStr">
        <is>
          <t>SCA</t>
        </is>
      </c>
      <c r="G74" t="n">
        <v>6.1</v>
      </c>
      <c r="H74" t="n">
        <v>0</v>
      </c>
      <c r="I74" t="n">
        <v>2</v>
      </c>
      <c r="J74" t="n">
        <v>5</v>
      </c>
      <c r="K74" t="n">
        <v>2</v>
      </c>
      <c r="L74" t="n">
        <v>0</v>
      </c>
      <c r="M74" t="n">
        <v>0</v>
      </c>
      <c r="N74" t="n">
        <v>0</v>
      </c>
      <c r="O74" t="n">
        <v>7</v>
      </c>
      <c r="P74" t="n">
        <v>2</v>
      </c>
      <c r="Q74" t="n">
        <v>9</v>
      </c>
      <c r="R74" s="2" t="inlineStr">
        <is>
          <t>Garnlav
Gränsticka
Lunglav
Rosenticka
Rynkskinn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25707-2025</t>
        </is>
      </c>
      <c r="B75" s="1" t="n">
        <v>45803</v>
      </c>
      <c r="C75" s="1" t="n">
        <v>46199</v>
      </c>
      <c r="D75" t="inlineStr">
        <is>
          <t>VÄSTERNORRLANDS LÄN</t>
        </is>
      </c>
      <c r="E75" t="inlineStr">
        <is>
          <t>SOLLEFTEÅ</t>
        </is>
      </c>
      <c r="F75" t="inlineStr">
        <is>
          <t>SCA</t>
        </is>
      </c>
      <c r="G75" t="n">
        <v>2.6</v>
      </c>
      <c r="H75" t="n">
        <v>4</v>
      </c>
      <c r="I75" t="n">
        <v>2</v>
      </c>
      <c r="J75" t="n">
        <v>4</v>
      </c>
      <c r="K75" t="n">
        <v>1</v>
      </c>
      <c r="L75" t="n">
        <v>0</v>
      </c>
      <c r="M75" t="n">
        <v>0</v>
      </c>
      <c r="N75" t="n">
        <v>0</v>
      </c>
      <c r="O75" t="n">
        <v>5</v>
      </c>
      <c r="P75" t="n">
        <v>1</v>
      </c>
      <c r="Q75" t="n">
        <v>9</v>
      </c>
      <c r="R75" s="2" t="inlineStr">
        <is>
          <t>Garnlav
Kolflarnlav
Lunglav
Talltita
Tretåig hackspett
Norrlandslav
Vedticka
Lopplummer (aggregat)
Revlummer</t>
        </is>
      </c>
      <c r="S75">
        <f>HYPERLINK("https://klasma.github.io/Logging_2283/artfynd/A 25707-2025 artfynd.xlsx", "A 25707-2025")</f>
        <v/>
      </c>
      <c r="T75">
        <f>HYPERLINK("https://klasma.github.io/Logging_2283/kartor/A 25707-2025 karta.png", "A 25707-2025")</f>
        <v/>
      </c>
      <c r="V75">
        <f>HYPERLINK("https://klasma.github.io/Logging_2283/klagomål/A 25707-2025 FSC-klagomål.docx", "A 25707-2025")</f>
        <v/>
      </c>
      <c r="W75">
        <f>HYPERLINK("https://klasma.github.io/Logging_2283/klagomålsmail/A 25707-2025 FSC-klagomål mail.docx", "A 25707-2025")</f>
        <v/>
      </c>
      <c r="X75">
        <f>HYPERLINK("https://klasma.github.io/Logging_2283/tillsyn/A 25707-2025 tillsynsbegäran.docx", "A 25707-2025")</f>
        <v/>
      </c>
      <c r="Y75">
        <f>HYPERLINK("https://klasma.github.io/Logging_2283/tillsynsmail/A 25707-2025 tillsynsbegäran mail.docx", "A 25707-2025")</f>
        <v/>
      </c>
      <c r="Z75">
        <f>HYPERLINK("https://klasma.github.io/Logging_2283/fåglar/A 25707-2025 prioriterade fågelarter.docx", "A 25707-2025")</f>
        <v/>
      </c>
    </row>
    <row r="76" ht="15" customHeight="1">
      <c r="A76" t="inlineStr">
        <is>
          <t>A 60260-2025</t>
        </is>
      </c>
      <c r="B76" s="1" t="n">
        <v>45994</v>
      </c>
      <c r="C76" s="1" t="n">
        <v>46199</v>
      </c>
      <c r="D76" t="inlineStr">
        <is>
          <t>VÄSTERNORRLANDS LÄN</t>
        </is>
      </c>
      <c r="E76" t="inlineStr">
        <is>
          <t>SOLLEFTEÅ</t>
        </is>
      </c>
      <c r="G76" t="n">
        <v>2.2</v>
      </c>
      <c r="H76" t="n">
        <v>1</v>
      </c>
      <c r="I76" t="n">
        <v>3</v>
      </c>
      <c r="J76" t="n">
        <v>2</v>
      </c>
      <c r="K76" t="n">
        <v>3</v>
      </c>
      <c r="L76" t="n">
        <v>0</v>
      </c>
      <c r="M76" t="n">
        <v>0</v>
      </c>
      <c r="N76" t="n">
        <v>0</v>
      </c>
      <c r="O76" t="n">
        <v>5</v>
      </c>
      <c r="P76" t="n">
        <v>3</v>
      </c>
      <c r="Q76" t="n">
        <v>9</v>
      </c>
      <c r="R76" s="2" t="inlineStr">
        <is>
          <t>Garnlav
Liten aspgelélav
Sprickporing
Gammelgransskål
Lunglav
Bronshjon
Gräsull
Korallblylav
Brudsporre</t>
        </is>
      </c>
      <c r="S76">
        <f>HYPERLINK("https://klasma.github.io/Logging_2283/artfynd/A 60260-2025 artfynd.xlsx", "A 60260-2025")</f>
        <v/>
      </c>
      <c r="T76">
        <f>HYPERLINK("https://klasma.github.io/Logging_2283/kartor/A 60260-2025 karta.png", "A 60260-2025")</f>
        <v/>
      </c>
      <c r="V76">
        <f>HYPERLINK("https://klasma.github.io/Logging_2283/klagomål/A 60260-2025 FSC-klagomål.docx", "A 60260-2025")</f>
        <v/>
      </c>
      <c r="W76">
        <f>HYPERLINK("https://klasma.github.io/Logging_2283/klagomålsmail/A 60260-2025 FSC-klagomål mail.docx", "A 60260-2025")</f>
        <v/>
      </c>
      <c r="X76">
        <f>HYPERLINK("https://klasma.github.io/Logging_2283/tillsyn/A 60260-2025 tillsynsbegäran.docx", "A 60260-2025")</f>
        <v/>
      </c>
      <c r="Y76">
        <f>HYPERLINK("https://klasma.github.io/Logging_2283/tillsynsmail/A 60260-2025 tillsynsbegäran mail.docx", "A 60260-2025")</f>
        <v/>
      </c>
    </row>
    <row r="77" ht="15" customHeight="1">
      <c r="A77" t="inlineStr">
        <is>
          <t>A 62197-2025</t>
        </is>
      </c>
      <c r="B77" s="1" t="n">
        <v>46006</v>
      </c>
      <c r="C77" s="1" t="n">
        <v>46199</v>
      </c>
      <c r="D77" t="inlineStr">
        <is>
          <t>VÄSTERNORRLANDS LÄN</t>
        </is>
      </c>
      <c r="E77" t="inlineStr">
        <is>
          <t>SOLLEFTEÅ</t>
        </is>
      </c>
      <c r="F77" t="inlineStr">
        <is>
          <t>SCA</t>
        </is>
      </c>
      <c r="G77" t="n">
        <v>12.2</v>
      </c>
      <c r="H77" t="n">
        <v>2</v>
      </c>
      <c r="I77" t="n">
        <v>1</v>
      </c>
      <c r="J77" t="n">
        <v>5</v>
      </c>
      <c r="K77" t="n">
        <v>3</v>
      </c>
      <c r="L77" t="n">
        <v>0</v>
      </c>
      <c r="M77" t="n">
        <v>0</v>
      </c>
      <c r="N77" t="n">
        <v>0</v>
      </c>
      <c r="O77" t="n">
        <v>8</v>
      </c>
      <c r="P77" t="n">
        <v>3</v>
      </c>
      <c r="Q77" t="n">
        <v>9</v>
      </c>
      <c r="R77" s="2" t="inlineStr">
        <is>
          <t>Garnlav
Lappticka
Ulltickeporing
Olisthaerus substriatus
Rosenticka
Rynkskinn
Talltita
Ullticka
Plattlummer</t>
        </is>
      </c>
      <c r="S77">
        <f>HYPERLINK("https://klasma.github.io/Logging_2283/artfynd/A 62197-2025 artfynd.xlsx", "A 62197-2025")</f>
        <v/>
      </c>
      <c r="T77">
        <f>HYPERLINK("https://klasma.github.io/Logging_2283/kartor/A 62197-2025 karta.png", "A 62197-2025")</f>
        <v/>
      </c>
      <c r="V77">
        <f>HYPERLINK("https://klasma.github.io/Logging_2283/klagomål/A 62197-2025 FSC-klagomål.docx", "A 62197-2025")</f>
        <v/>
      </c>
      <c r="W77">
        <f>HYPERLINK("https://klasma.github.io/Logging_2283/klagomålsmail/A 62197-2025 FSC-klagomål mail.docx", "A 62197-2025")</f>
        <v/>
      </c>
      <c r="X77">
        <f>HYPERLINK("https://klasma.github.io/Logging_2283/tillsyn/A 62197-2025 tillsynsbegäran.docx", "A 62197-2025")</f>
        <v/>
      </c>
      <c r="Y77">
        <f>HYPERLINK("https://klasma.github.io/Logging_2283/tillsynsmail/A 62197-2025 tillsynsbegäran mail.docx", "A 62197-2025")</f>
        <v/>
      </c>
      <c r="Z77">
        <f>HYPERLINK("https://klasma.github.io/Logging_2283/fåglar/A 62197-2025 prioriterade fågelarter.docx", "A 62197-2025")</f>
        <v/>
      </c>
    </row>
    <row r="78" ht="15" customHeight="1">
      <c r="A78" t="inlineStr">
        <is>
          <t>A 3575-2026</t>
        </is>
      </c>
      <c r="B78" s="1" t="n">
        <v>46042</v>
      </c>
      <c r="C78" s="1" t="n">
        <v>46199</v>
      </c>
      <c r="D78" t="inlineStr">
        <is>
          <t>VÄSTERNORRLANDS LÄN</t>
        </is>
      </c>
      <c r="E78" t="inlineStr">
        <is>
          <t>SOLLEFTEÅ</t>
        </is>
      </c>
      <c r="G78" t="n">
        <v>4.7</v>
      </c>
      <c r="H78" t="n">
        <v>1</v>
      </c>
      <c r="I78" t="n">
        <v>3</v>
      </c>
      <c r="J78" t="n">
        <v>4</v>
      </c>
      <c r="K78" t="n">
        <v>1</v>
      </c>
      <c r="L78" t="n">
        <v>0</v>
      </c>
      <c r="M78" t="n">
        <v>0</v>
      </c>
      <c r="N78" t="n">
        <v>0</v>
      </c>
      <c r="O78" t="n">
        <v>5</v>
      </c>
      <c r="P78" t="n">
        <v>1</v>
      </c>
      <c r="Q78" t="n">
        <v>9</v>
      </c>
      <c r="R78" s="2" t="inlineStr">
        <is>
          <t>Garnlav
Lunglav
Rosenticka
Stjärntagging
Ullticka
Luddlav
Stuplav
Vedticka
Spillkråka</t>
        </is>
      </c>
      <c r="S78">
        <f>HYPERLINK("https://klasma.github.io/Logging_2283/artfynd/A 3575-2026 artfynd.xlsx", "A 3575-2026")</f>
        <v/>
      </c>
      <c r="T78">
        <f>HYPERLINK("https://klasma.github.io/Logging_2283/kartor/A 3575-2026 karta.png", "A 3575-2026")</f>
        <v/>
      </c>
      <c r="V78">
        <f>HYPERLINK("https://klasma.github.io/Logging_2283/klagomål/A 3575-2026 FSC-klagomål.docx", "A 3575-2026")</f>
        <v/>
      </c>
      <c r="W78">
        <f>HYPERLINK("https://klasma.github.io/Logging_2283/klagomålsmail/A 3575-2026 FSC-klagomål mail.docx", "A 3575-2026")</f>
        <v/>
      </c>
      <c r="X78">
        <f>HYPERLINK("https://klasma.github.io/Logging_2283/tillsyn/A 3575-2026 tillsynsbegäran.docx", "A 3575-2026")</f>
        <v/>
      </c>
      <c r="Y78">
        <f>HYPERLINK("https://klasma.github.io/Logging_2283/tillsynsmail/A 3575-2026 tillsynsbegäran mail.docx", "A 3575-2026")</f>
        <v/>
      </c>
      <c r="Z78">
        <f>HYPERLINK("https://klasma.github.io/Logging_2283/fåglar/A 3575-2026 prioriterade fågelarter.docx", "A 3575-2026")</f>
        <v/>
      </c>
    </row>
    <row r="79" ht="15" customHeight="1">
      <c r="A79" t="inlineStr">
        <is>
          <t>A 51693-2024</t>
        </is>
      </c>
      <c r="B79" s="1" t="n">
        <v>45607</v>
      </c>
      <c r="C79" s="1" t="n">
        <v>46199</v>
      </c>
      <c r="D79" t="inlineStr">
        <is>
          <t>VÄSTERNORRLANDS LÄN</t>
        </is>
      </c>
      <c r="E79" t="inlineStr">
        <is>
          <t>SOLLEFTEÅ</t>
        </is>
      </c>
      <c r="F79" t="inlineStr">
        <is>
          <t>SCA</t>
        </is>
      </c>
      <c r="G79" t="n">
        <v>5.2</v>
      </c>
      <c r="H79" t="n">
        <v>3</v>
      </c>
      <c r="I79" t="n">
        <v>0</v>
      </c>
      <c r="J79" t="n">
        <v>6</v>
      </c>
      <c r="K79" t="n">
        <v>2</v>
      </c>
      <c r="L79" t="n">
        <v>0</v>
      </c>
      <c r="M79" t="n">
        <v>0</v>
      </c>
      <c r="N79" t="n">
        <v>0</v>
      </c>
      <c r="O79" t="n">
        <v>8</v>
      </c>
      <c r="P79" t="n">
        <v>2</v>
      </c>
      <c r="Q79" t="n">
        <v>9</v>
      </c>
      <c r="R79" s="2" t="inlineStr">
        <is>
          <t>Garnlav
Knärot
Dropptaggsvamp
Kolflarnlav
Lunglav
Skuggblåslav
Tretåig hackspett
Ullticka
Spillkråka</t>
        </is>
      </c>
      <c r="S79">
        <f>HYPERLINK("https://klasma.github.io/Logging_2283/artfynd/A 51693-2024 artfynd.xlsx", "A 51693-2024")</f>
        <v/>
      </c>
      <c r="T79">
        <f>HYPERLINK("https://klasma.github.io/Logging_2283/kartor/A 51693-2024 karta.png", "A 51693-2024")</f>
        <v/>
      </c>
      <c r="U79">
        <f>HYPERLINK("https://klasma.github.io/Logging_2283/knärot/A 51693-2024 karta knärot.png", "A 51693-2024")</f>
        <v/>
      </c>
      <c r="V79">
        <f>HYPERLINK("https://klasma.github.io/Logging_2283/klagomål/A 51693-2024 FSC-klagomål.docx", "A 51693-2024")</f>
        <v/>
      </c>
      <c r="W79">
        <f>HYPERLINK("https://klasma.github.io/Logging_2283/klagomålsmail/A 51693-2024 FSC-klagomål mail.docx", "A 51693-2024")</f>
        <v/>
      </c>
      <c r="X79">
        <f>HYPERLINK("https://klasma.github.io/Logging_2283/tillsyn/A 51693-2024 tillsynsbegäran.docx", "A 51693-2024")</f>
        <v/>
      </c>
      <c r="Y79">
        <f>HYPERLINK("https://klasma.github.io/Logging_2283/tillsynsmail/A 51693-2024 tillsynsbegäran mail.docx", "A 51693-2024")</f>
        <v/>
      </c>
      <c r="Z79">
        <f>HYPERLINK("https://klasma.github.io/Logging_2283/fåglar/A 51693-2024 prioriterade fågelarter.docx", "A 51693-2024")</f>
        <v/>
      </c>
    </row>
    <row r="80" ht="15" customHeight="1">
      <c r="A80" t="inlineStr">
        <is>
          <t>A 61323-2024</t>
        </is>
      </c>
      <c r="B80" s="1" t="n">
        <v>45646</v>
      </c>
      <c r="C80" s="1" t="n">
        <v>46199</v>
      </c>
      <c r="D80" t="inlineStr">
        <is>
          <t>VÄSTERNORRLANDS LÄN</t>
        </is>
      </c>
      <c r="E80" t="inlineStr">
        <is>
          <t>SOLLEFTEÅ</t>
        </is>
      </c>
      <c r="F80" t="inlineStr">
        <is>
          <t>SCA</t>
        </is>
      </c>
      <c r="G80" t="n">
        <v>5.2</v>
      </c>
      <c r="H80" t="n">
        <v>1</v>
      </c>
      <c r="I80" t="n">
        <v>0</v>
      </c>
      <c r="J80" t="n">
        <v>7</v>
      </c>
      <c r="K80" t="n">
        <v>2</v>
      </c>
      <c r="L80" t="n">
        <v>0</v>
      </c>
      <c r="M80" t="n">
        <v>0</v>
      </c>
      <c r="N80" t="n">
        <v>0</v>
      </c>
      <c r="O80" t="n">
        <v>9</v>
      </c>
      <c r="P80" t="n">
        <v>2</v>
      </c>
      <c r="Q80" t="n">
        <v>9</v>
      </c>
      <c r="R80" s="2" t="inlineStr">
        <is>
          <t>Garnlav
Ulltickeporing
Gammelgransskål
Harticka
Lunglav
Rosenticka
Tretåig hackspett
Ullticka
Vitgrynig nållav</t>
        </is>
      </c>
      <c r="S80">
        <f>HYPERLINK("https://klasma.github.io/Logging_2283/artfynd/A 61323-2024 artfynd.xlsx", "A 61323-2024")</f>
        <v/>
      </c>
      <c r="T80">
        <f>HYPERLINK("https://klasma.github.io/Logging_2283/kartor/A 61323-2024 karta.png", "A 61323-2024")</f>
        <v/>
      </c>
      <c r="V80">
        <f>HYPERLINK("https://klasma.github.io/Logging_2283/klagomål/A 61323-2024 FSC-klagomål.docx", "A 61323-2024")</f>
        <v/>
      </c>
      <c r="W80">
        <f>HYPERLINK("https://klasma.github.io/Logging_2283/klagomålsmail/A 61323-2024 FSC-klagomål mail.docx", "A 61323-2024")</f>
        <v/>
      </c>
      <c r="X80">
        <f>HYPERLINK("https://klasma.github.io/Logging_2283/tillsyn/A 61323-2024 tillsynsbegäran.docx", "A 61323-2024")</f>
        <v/>
      </c>
      <c r="Y80">
        <f>HYPERLINK("https://klasma.github.io/Logging_2283/tillsynsmail/A 61323-2024 tillsynsbegäran mail.docx", "A 61323-2024")</f>
        <v/>
      </c>
      <c r="Z80">
        <f>HYPERLINK("https://klasma.github.io/Logging_2283/fåglar/A 61323-2024 prioriterade fågelarter.docx", "A 61323-2024")</f>
        <v/>
      </c>
    </row>
    <row r="81" ht="15" customHeight="1">
      <c r="A81" t="inlineStr">
        <is>
          <t>A 26654-2024</t>
        </is>
      </c>
      <c r="B81" s="1" t="n">
        <v>45469</v>
      </c>
      <c r="C81" s="1" t="n">
        <v>46199</v>
      </c>
      <c r="D81" t="inlineStr">
        <is>
          <t>VÄSTERNORRLANDS LÄN</t>
        </is>
      </c>
      <c r="E81" t="inlineStr">
        <is>
          <t>SOLLEFTEÅ</t>
        </is>
      </c>
      <c r="F81" t="inlineStr">
        <is>
          <t>SCA</t>
        </is>
      </c>
      <c r="G81" t="n">
        <v>7</v>
      </c>
      <c r="H81" t="n">
        <v>1</v>
      </c>
      <c r="I81" t="n">
        <v>3</v>
      </c>
      <c r="J81" t="n">
        <v>3</v>
      </c>
      <c r="K81" t="n">
        <v>3</v>
      </c>
      <c r="L81" t="n">
        <v>0</v>
      </c>
      <c r="M81" t="n">
        <v>0</v>
      </c>
      <c r="N81" t="n">
        <v>0</v>
      </c>
      <c r="O81" t="n">
        <v>6</v>
      </c>
      <c r="P81" t="n">
        <v>3</v>
      </c>
      <c r="Q81" t="n">
        <v>9</v>
      </c>
      <c r="R81" s="2" t="inlineStr">
        <is>
          <t>Garnlav
Knärot
Ulltickeporing
Harticka
Luddfingersvamp
Ullticka
Bårdlav
Skinnlav
Stuplav</t>
        </is>
      </c>
      <c r="S81">
        <f>HYPERLINK("https://klasma.github.io/Logging_2283/artfynd/A 26654-2024 artfynd.xlsx", "A 26654-2024")</f>
        <v/>
      </c>
      <c r="T81">
        <f>HYPERLINK("https://klasma.github.io/Logging_2283/kartor/A 26654-2024 karta.png", "A 26654-2024")</f>
        <v/>
      </c>
      <c r="U81">
        <f>HYPERLINK("https://klasma.github.io/Logging_2283/knärot/A 26654-2024 karta knärot.png", "A 26654-2024")</f>
        <v/>
      </c>
      <c r="V81">
        <f>HYPERLINK("https://klasma.github.io/Logging_2283/klagomål/A 26654-2024 FSC-klagomål.docx", "A 26654-2024")</f>
        <v/>
      </c>
      <c r="W81">
        <f>HYPERLINK("https://klasma.github.io/Logging_2283/klagomålsmail/A 26654-2024 FSC-klagomål mail.docx", "A 26654-2024")</f>
        <v/>
      </c>
      <c r="X81">
        <f>HYPERLINK("https://klasma.github.io/Logging_2283/tillsyn/A 26654-2024 tillsynsbegäran.docx", "A 26654-2024")</f>
        <v/>
      </c>
      <c r="Y81">
        <f>HYPERLINK("https://klasma.github.io/Logging_2283/tillsynsmail/A 26654-2024 tillsynsbegäran mail.docx", "A 26654-2024")</f>
        <v/>
      </c>
    </row>
    <row r="82" ht="15" customHeight="1">
      <c r="A82" t="inlineStr">
        <is>
          <t>A 40274-2022</t>
        </is>
      </c>
      <c r="B82" s="1" t="n">
        <v>44820</v>
      </c>
      <c r="C82" s="1" t="n">
        <v>46199</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Garnlav
Knärot
Kolflarnlav
Lunglav
Rosenticka
Rynkskinn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18392-2026</t>
        </is>
      </c>
      <c r="B83" s="1" t="n">
        <v>46126</v>
      </c>
      <c r="C83" s="1" t="n">
        <v>46199</v>
      </c>
      <c r="D83" t="inlineStr">
        <is>
          <t>VÄSTERNORRLANDS LÄN</t>
        </is>
      </c>
      <c r="E83" t="inlineStr">
        <is>
          <t>SOLLEFTEÅ</t>
        </is>
      </c>
      <c r="F83" t="inlineStr">
        <is>
          <t>SCA</t>
        </is>
      </c>
      <c r="G83" t="n">
        <v>3.1</v>
      </c>
      <c r="H83" t="n">
        <v>2</v>
      </c>
      <c r="I83" t="n">
        <v>1</v>
      </c>
      <c r="J83" t="n">
        <v>5</v>
      </c>
      <c r="K83" t="n">
        <v>2</v>
      </c>
      <c r="L83" t="n">
        <v>0</v>
      </c>
      <c r="M83" t="n">
        <v>0</v>
      </c>
      <c r="N83" t="n">
        <v>0</v>
      </c>
      <c r="O83" t="n">
        <v>7</v>
      </c>
      <c r="P83" t="n">
        <v>2</v>
      </c>
      <c r="Q83" t="n">
        <v>9</v>
      </c>
      <c r="R83" s="2" t="inlineStr">
        <is>
          <t>Garnlav
Knärot
Lunglav
Mörk kolflarnlav
Rosenticka
Rynkskinn
Ullticka
Stuplav
Revlummer</t>
        </is>
      </c>
      <c r="S83">
        <f>HYPERLINK("https://klasma.github.io/Logging_2283/artfynd/A 18392-2026 artfynd.xlsx", "A 18392-2026")</f>
        <v/>
      </c>
      <c r="T83">
        <f>HYPERLINK("https://klasma.github.io/Logging_2283/kartor/A 18392-2026 karta.png", "A 18392-2026")</f>
        <v/>
      </c>
      <c r="U83">
        <f>HYPERLINK("https://klasma.github.io/Logging_2283/knärot/A 18392-2026 karta knärot.png", "A 18392-2026")</f>
        <v/>
      </c>
      <c r="V83">
        <f>HYPERLINK("https://klasma.github.io/Logging_2283/klagomål/A 18392-2026 FSC-klagomål.docx", "A 18392-2026")</f>
        <v/>
      </c>
      <c r="W83">
        <f>HYPERLINK("https://klasma.github.io/Logging_2283/klagomålsmail/A 18392-2026 FSC-klagomål mail.docx", "A 18392-2026")</f>
        <v/>
      </c>
      <c r="X83">
        <f>HYPERLINK("https://klasma.github.io/Logging_2283/tillsyn/A 18392-2026 tillsynsbegäran.docx", "A 18392-2026")</f>
        <v/>
      </c>
      <c r="Y83">
        <f>HYPERLINK("https://klasma.github.io/Logging_2283/tillsynsmail/A 18392-2026 tillsynsbegäran mail.docx", "A 18392-2026")</f>
        <v/>
      </c>
    </row>
    <row r="84" ht="15" customHeight="1">
      <c r="A84" t="inlineStr">
        <is>
          <t>A 18009-2022</t>
        </is>
      </c>
      <c r="B84" s="1" t="n">
        <v>44683</v>
      </c>
      <c r="C84" s="1" t="n">
        <v>46199</v>
      </c>
      <c r="D84" t="inlineStr">
        <is>
          <t>VÄSTERNORRLANDS LÄN</t>
        </is>
      </c>
      <c r="E84" t="inlineStr">
        <is>
          <t>SOLLEFTEÅ</t>
        </is>
      </c>
      <c r="F84" t="inlineStr">
        <is>
          <t>SCA</t>
        </is>
      </c>
      <c r="G84" t="n">
        <v>3.6</v>
      </c>
      <c r="H84" t="n">
        <v>5</v>
      </c>
      <c r="I84" t="n">
        <v>1</v>
      </c>
      <c r="J84" t="n">
        <v>4</v>
      </c>
      <c r="K84" t="n">
        <v>2</v>
      </c>
      <c r="L84" t="n">
        <v>0</v>
      </c>
      <c r="M84" t="n">
        <v>0</v>
      </c>
      <c r="N84" t="n">
        <v>0</v>
      </c>
      <c r="O84" t="n">
        <v>6</v>
      </c>
      <c r="P84" t="n">
        <v>2</v>
      </c>
      <c r="Q84" t="n">
        <v>9</v>
      </c>
      <c r="R84" s="2" t="inlineStr">
        <is>
          <t>Garnlav
Knärot
Skogshare
Talltita
Tretåig hackspett
Ullticka
Bollvitmossa
Järpe
Spillkråka</t>
        </is>
      </c>
      <c r="S84">
        <f>HYPERLINK("https://klasma.github.io/Logging_2283/artfynd/A 18009-2022 artfynd.xlsx", "A 18009-2022")</f>
        <v/>
      </c>
      <c r="T84">
        <f>HYPERLINK("https://klasma.github.io/Logging_2283/kartor/A 18009-2022 karta.png", "A 18009-2022")</f>
        <v/>
      </c>
      <c r="U84">
        <f>HYPERLINK("https://klasma.github.io/Logging_2283/knärot/A 18009-2022 karta knärot.png", "A 18009-2022")</f>
        <v/>
      </c>
      <c r="V84">
        <f>HYPERLINK("https://klasma.github.io/Logging_2283/klagomål/A 18009-2022 FSC-klagomål.docx", "A 18009-2022")</f>
        <v/>
      </c>
      <c r="W84">
        <f>HYPERLINK("https://klasma.github.io/Logging_2283/klagomålsmail/A 18009-2022 FSC-klagomål mail.docx", "A 18009-2022")</f>
        <v/>
      </c>
      <c r="X84">
        <f>HYPERLINK("https://klasma.github.io/Logging_2283/tillsyn/A 18009-2022 tillsynsbegäran.docx", "A 18009-2022")</f>
        <v/>
      </c>
      <c r="Y84">
        <f>HYPERLINK("https://klasma.github.io/Logging_2283/tillsynsmail/A 18009-2022 tillsynsbegäran mail.docx", "A 18009-2022")</f>
        <v/>
      </c>
      <c r="Z84">
        <f>HYPERLINK("https://klasma.github.io/Logging_2283/fåglar/A 18009-2022 prioriterade fågelarter.docx", "A 18009-2022")</f>
        <v/>
      </c>
    </row>
    <row r="85" ht="15" customHeight="1">
      <c r="A85" t="inlineStr">
        <is>
          <t>A 64131-2023</t>
        </is>
      </c>
      <c r="B85" s="1" t="n">
        <v>45279</v>
      </c>
      <c r="C85" s="1" t="n">
        <v>46199</v>
      </c>
      <c r="D85" t="inlineStr">
        <is>
          <t>VÄSTERNORRLANDS LÄN</t>
        </is>
      </c>
      <c r="E85" t="inlineStr">
        <is>
          <t>SOLLEFTEÅ</t>
        </is>
      </c>
      <c r="G85" t="n">
        <v>12.9</v>
      </c>
      <c r="H85" t="n">
        <v>3</v>
      </c>
      <c r="I85" t="n">
        <v>2</v>
      </c>
      <c r="J85" t="n">
        <v>5</v>
      </c>
      <c r="K85" t="n">
        <v>1</v>
      </c>
      <c r="L85" t="n">
        <v>0</v>
      </c>
      <c r="M85" t="n">
        <v>0</v>
      </c>
      <c r="N85" t="n">
        <v>0</v>
      </c>
      <c r="O85" t="n">
        <v>6</v>
      </c>
      <c r="P85" t="n">
        <v>1</v>
      </c>
      <c r="Q85" t="n">
        <v>9</v>
      </c>
      <c r="R85" s="2" t="inlineStr">
        <is>
          <t>Knärot
Lunglav
Rosenticka
Rynkskinn
Talltita
Ullticka
Grönpyrola
Vedticka
Blåsippa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19825-2023</t>
        </is>
      </c>
      <c r="B86" s="1" t="n">
        <v>45051</v>
      </c>
      <c r="C86" s="1" t="n">
        <v>46199</v>
      </c>
      <c r="D86" t="inlineStr">
        <is>
          <t>VÄSTERNORRLANDS LÄN</t>
        </is>
      </c>
      <c r="E86" t="inlineStr">
        <is>
          <t>SOLLEFTEÅ</t>
        </is>
      </c>
      <c r="F86" t="inlineStr">
        <is>
          <t>SCA</t>
        </is>
      </c>
      <c r="G86" t="n">
        <v>18</v>
      </c>
      <c r="H86" t="n">
        <v>0</v>
      </c>
      <c r="I86" t="n">
        <v>1</v>
      </c>
      <c r="J86" t="n">
        <v>5</v>
      </c>
      <c r="K86" t="n">
        <v>3</v>
      </c>
      <c r="L86" t="n">
        <v>0</v>
      </c>
      <c r="M86" t="n">
        <v>0</v>
      </c>
      <c r="N86" t="n">
        <v>0</v>
      </c>
      <c r="O86" t="n">
        <v>8</v>
      </c>
      <c r="P86" t="n">
        <v>3</v>
      </c>
      <c r="Q86" t="n">
        <v>9</v>
      </c>
      <c r="R86" s="2" t="inlineStr">
        <is>
          <t>Garnlav
Gräddticka
Gränsticka
Doftskinn
Gammelgransskål
Lunglav
Ullticka
Vitgrynig nållav
Vedticka</t>
        </is>
      </c>
      <c r="S86">
        <f>HYPERLINK("https://klasma.github.io/Logging_2283/artfynd/A 19825-2023 artfynd.xlsx", "A 19825-2023")</f>
        <v/>
      </c>
      <c r="T86">
        <f>HYPERLINK("https://klasma.github.io/Logging_2283/kartor/A 19825-2023 karta.png", "A 19825-2023")</f>
        <v/>
      </c>
      <c r="V86">
        <f>HYPERLINK("https://klasma.github.io/Logging_2283/klagomål/A 19825-2023 FSC-klagomål.docx", "A 19825-2023")</f>
        <v/>
      </c>
      <c r="W86">
        <f>HYPERLINK("https://klasma.github.io/Logging_2283/klagomålsmail/A 19825-2023 FSC-klagomål mail.docx", "A 19825-2023")</f>
        <v/>
      </c>
      <c r="X86">
        <f>HYPERLINK("https://klasma.github.io/Logging_2283/tillsyn/A 19825-2023 tillsynsbegäran.docx", "A 19825-2023")</f>
        <v/>
      </c>
      <c r="Y86">
        <f>HYPERLINK("https://klasma.github.io/Logging_2283/tillsynsmail/A 19825-2023 tillsynsbegäran mail.docx", "A 19825-2023")</f>
        <v/>
      </c>
    </row>
    <row r="87" ht="15" customHeight="1">
      <c r="A87" t="inlineStr">
        <is>
          <t>A 4528-2022</t>
        </is>
      </c>
      <c r="B87" s="1" t="n">
        <v>44589</v>
      </c>
      <c r="C87" s="1" t="n">
        <v>46199</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22783-2025</t>
        </is>
      </c>
      <c r="B88" s="1" t="n">
        <v>45789</v>
      </c>
      <c r="C88" s="1" t="n">
        <v>46199</v>
      </c>
      <c r="D88" t="inlineStr">
        <is>
          <t>VÄSTERNORRLANDS LÄN</t>
        </is>
      </c>
      <c r="E88" t="inlineStr">
        <is>
          <t>SOLLEFTEÅ</t>
        </is>
      </c>
      <c r="G88" t="n">
        <v>27.7</v>
      </c>
      <c r="H88" t="n">
        <v>3</v>
      </c>
      <c r="I88" t="n">
        <v>2</v>
      </c>
      <c r="J88" t="n">
        <v>4</v>
      </c>
      <c r="K88" t="n">
        <v>1</v>
      </c>
      <c r="L88" t="n">
        <v>0</v>
      </c>
      <c r="M88" t="n">
        <v>0</v>
      </c>
      <c r="N88" t="n">
        <v>0</v>
      </c>
      <c r="O88" t="n">
        <v>5</v>
      </c>
      <c r="P88" t="n">
        <v>1</v>
      </c>
      <c r="Q88" t="n">
        <v>8</v>
      </c>
      <c r="R88" s="2" t="inlineStr">
        <is>
          <t>Garnlav
Lavskrika
Lunglav
Nordfladdermus
Skrovellav
Bårdlav
Stuplav
Vattenfladdermus</t>
        </is>
      </c>
      <c r="S88">
        <f>HYPERLINK("https://klasma.github.io/Logging_2283/artfynd/A 22783-2025 artfynd.xlsx", "A 22783-2025")</f>
        <v/>
      </c>
      <c r="T88">
        <f>HYPERLINK("https://klasma.github.io/Logging_2283/kartor/A 22783-2025 karta.png", "A 22783-2025")</f>
        <v/>
      </c>
      <c r="V88">
        <f>HYPERLINK("https://klasma.github.io/Logging_2283/klagomål/A 22783-2025 FSC-klagomål.docx", "A 22783-2025")</f>
        <v/>
      </c>
      <c r="W88">
        <f>HYPERLINK("https://klasma.github.io/Logging_2283/klagomålsmail/A 22783-2025 FSC-klagomål mail.docx", "A 22783-2025")</f>
        <v/>
      </c>
      <c r="X88">
        <f>HYPERLINK("https://klasma.github.io/Logging_2283/tillsyn/A 22783-2025 tillsynsbegäran.docx", "A 22783-2025")</f>
        <v/>
      </c>
      <c r="Y88">
        <f>HYPERLINK("https://klasma.github.io/Logging_2283/tillsynsmail/A 22783-2025 tillsynsbegäran mail.docx", "A 22783-2025")</f>
        <v/>
      </c>
      <c r="Z88">
        <f>HYPERLINK("https://klasma.github.io/Logging_2283/fåglar/A 22783-2025 prioriterade fågelarter.docx", "A 22783-2025")</f>
        <v/>
      </c>
    </row>
    <row r="89" ht="15" customHeight="1">
      <c r="A89" t="inlineStr">
        <is>
          <t>A 29620-2023</t>
        </is>
      </c>
      <c r="B89" s="1" t="n">
        <v>45106</v>
      </c>
      <c r="C89" s="1" t="n">
        <v>46199</v>
      </c>
      <c r="D89" t="inlineStr">
        <is>
          <t>VÄSTERNORRLANDS LÄN</t>
        </is>
      </c>
      <c r="E89" t="inlineStr">
        <is>
          <t>SOLLEFTEÅ</t>
        </is>
      </c>
      <c r="F89" t="inlineStr">
        <is>
          <t>SCA</t>
        </is>
      </c>
      <c r="G89" t="n">
        <v>8.300000000000001</v>
      </c>
      <c r="H89" t="n">
        <v>5</v>
      </c>
      <c r="I89" t="n">
        <v>3</v>
      </c>
      <c r="J89" t="n">
        <v>2</v>
      </c>
      <c r="K89" t="n">
        <v>0</v>
      </c>
      <c r="L89" t="n">
        <v>0</v>
      </c>
      <c r="M89" t="n">
        <v>0</v>
      </c>
      <c r="N89" t="n">
        <v>0</v>
      </c>
      <c r="O89" t="n">
        <v>2</v>
      </c>
      <c r="P89" t="n">
        <v>0</v>
      </c>
      <c r="Q89" t="n">
        <v>8</v>
      </c>
      <c r="R89" s="2" t="inlineStr">
        <is>
          <t>Rosenticka
Ullticka
Korallrot
Skinnlav
Spindelblomster
Orre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c r="Z89">
        <f>HYPERLINK("https://klasma.github.io/Logging_2283/fåglar/A 29620-2023 prioriterade fågelarter.docx", "A 29620-2023")</f>
        <v/>
      </c>
    </row>
    <row r="90" ht="15" customHeight="1">
      <c r="A90" t="inlineStr">
        <is>
          <t>A 47647-2022</t>
        </is>
      </c>
      <c r="B90" s="1" t="n">
        <v>44852</v>
      </c>
      <c r="C90" s="1" t="n">
        <v>46199</v>
      </c>
      <c r="D90" t="inlineStr">
        <is>
          <t>VÄSTERNORRLANDS LÄN</t>
        </is>
      </c>
      <c r="E90" t="inlineStr">
        <is>
          <t>SOLLEFTEÅ</t>
        </is>
      </c>
      <c r="G90" t="n">
        <v>5.3</v>
      </c>
      <c r="H90" t="n">
        <v>2</v>
      </c>
      <c r="I90" t="n">
        <v>0</v>
      </c>
      <c r="J90" t="n">
        <v>6</v>
      </c>
      <c r="K90" t="n">
        <v>1</v>
      </c>
      <c r="L90" t="n">
        <v>1</v>
      </c>
      <c r="M90" t="n">
        <v>0</v>
      </c>
      <c r="N90" t="n">
        <v>0</v>
      </c>
      <c r="O90" t="n">
        <v>8</v>
      </c>
      <c r="P90" t="n">
        <v>2</v>
      </c>
      <c r="Q90" t="n">
        <v>8</v>
      </c>
      <c r="R90" s="2" t="inlineStr">
        <is>
          <t>Större barkplattbagge
Garnlav
Lunglav
Rosenticka
Rynkskinn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21253-2025</t>
        </is>
      </c>
      <c r="B91" s="1" t="n">
        <v>45779</v>
      </c>
      <c r="C91" s="1" t="n">
        <v>46199</v>
      </c>
      <c r="D91" t="inlineStr">
        <is>
          <t>VÄSTERNORRLANDS LÄN</t>
        </is>
      </c>
      <c r="E91" t="inlineStr">
        <is>
          <t>SOLLEFTEÅ</t>
        </is>
      </c>
      <c r="G91" t="n">
        <v>10.2</v>
      </c>
      <c r="H91" t="n">
        <v>2</v>
      </c>
      <c r="I91" t="n">
        <v>1</v>
      </c>
      <c r="J91" t="n">
        <v>4</v>
      </c>
      <c r="K91" t="n">
        <v>1</v>
      </c>
      <c r="L91" t="n">
        <v>0</v>
      </c>
      <c r="M91" t="n">
        <v>0</v>
      </c>
      <c r="N91" t="n">
        <v>0</v>
      </c>
      <c r="O91" t="n">
        <v>5</v>
      </c>
      <c r="P91" t="n">
        <v>1</v>
      </c>
      <c r="Q91" t="n">
        <v>8</v>
      </c>
      <c r="R91" s="2" t="inlineStr">
        <is>
          <t>Garnlav
Doftskinn
Rosenticka
Rynkskinn
Ullticka
Stor aspticka
Fläcknycklar
Revlummer</t>
        </is>
      </c>
      <c r="S91">
        <f>HYPERLINK("https://klasma.github.io/Logging_2283/artfynd/A 21253-2025 artfynd.xlsx", "A 21253-2025")</f>
        <v/>
      </c>
      <c r="T91">
        <f>HYPERLINK("https://klasma.github.io/Logging_2283/kartor/A 21253-2025 karta.png", "A 21253-2025")</f>
        <v/>
      </c>
      <c r="V91">
        <f>HYPERLINK("https://klasma.github.io/Logging_2283/klagomål/A 21253-2025 FSC-klagomål.docx", "A 21253-2025")</f>
        <v/>
      </c>
      <c r="W91">
        <f>HYPERLINK("https://klasma.github.io/Logging_2283/klagomålsmail/A 21253-2025 FSC-klagomål mail.docx", "A 21253-2025")</f>
        <v/>
      </c>
      <c r="X91">
        <f>HYPERLINK("https://klasma.github.io/Logging_2283/tillsyn/A 21253-2025 tillsynsbegäran.docx", "A 21253-2025")</f>
        <v/>
      </c>
      <c r="Y91">
        <f>HYPERLINK("https://klasma.github.io/Logging_2283/tillsynsmail/A 21253-2025 tillsynsbegäran mail.docx", "A 21253-2025")</f>
        <v/>
      </c>
    </row>
    <row r="92" ht="15" customHeight="1">
      <c r="A92" t="inlineStr">
        <is>
          <t>A 28997-2025</t>
        </is>
      </c>
      <c r="B92" s="1" t="n">
        <v>45821</v>
      </c>
      <c r="C92" s="1" t="n">
        <v>46199</v>
      </c>
      <c r="D92" t="inlineStr">
        <is>
          <t>VÄSTERNORRLANDS LÄN</t>
        </is>
      </c>
      <c r="E92" t="inlineStr">
        <is>
          <t>SOLLEFTEÅ</t>
        </is>
      </c>
      <c r="F92" t="inlineStr">
        <is>
          <t>SCA</t>
        </is>
      </c>
      <c r="G92" t="n">
        <v>4.2</v>
      </c>
      <c r="H92" t="n">
        <v>0</v>
      </c>
      <c r="I92" t="n">
        <v>2</v>
      </c>
      <c r="J92" t="n">
        <v>5</v>
      </c>
      <c r="K92" t="n">
        <v>1</v>
      </c>
      <c r="L92" t="n">
        <v>0</v>
      </c>
      <c r="M92" t="n">
        <v>0</v>
      </c>
      <c r="N92" t="n">
        <v>0</v>
      </c>
      <c r="O92" t="n">
        <v>6</v>
      </c>
      <c r="P92" t="n">
        <v>1</v>
      </c>
      <c r="Q92" t="n">
        <v>8</v>
      </c>
      <c r="R92" s="2" t="inlineStr">
        <is>
          <t>Garnlav
Dvärgbägarlav
Skuggblåslav
Talltagel
Vaddporing
Vedtrappmossa
Bollvitmossa
Norrlandslav</t>
        </is>
      </c>
      <c r="S92">
        <f>HYPERLINK("https://klasma.github.io/Logging_2283/artfynd/A 28997-2025 artfynd.xlsx", "A 28997-2025")</f>
        <v/>
      </c>
      <c r="T92">
        <f>HYPERLINK("https://klasma.github.io/Logging_2283/kartor/A 28997-2025 karta.png", "A 28997-2025")</f>
        <v/>
      </c>
      <c r="V92">
        <f>HYPERLINK("https://klasma.github.io/Logging_2283/klagomål/A 28997-2025 FSC-klagomål.docx", "A 28997-2025")</f>
        <v/>
      </c>
      <c r="W92">
        <f>HYPERLINK("https://klasma.github.io/Logging_2283/klagomålsmail/A 28997-2025 FSC-klagomål mail.docx", "A 28997-2025")</f>
        <v/>
      </c>
      <c r="X92">
        <f>HYPERLINK("https://klasma.github.io/Logging_2283/tillsyn/A 28997-2025 tillsynsbegäran.docx", "A 28997-2025")</f>
        <v/>
      </c>
      <c r="Y92">
        <f>HYPERLINK("https://klasma.github.io/Logging_2283/tillsynsmail/A 28997-2025 tillsynsbegäran mail.docx", "A 28997-2025")</f>
        <v/>
      </c>
    </row>
    <row r="93" ht="15" customHeight="1">
      <c r="A93" t="inlineStr">
        <is>
          <t>A 31504-2025</t>
        </is>
      </c>
      <c r="B93" s="1" t="n">
        <v>45833</v>
      </c>
      <c r="C93" s="1" t="n">
        <v>46199</v>
      </c>
      <c r="D93" t="inlineStr">
        <is>
          <t>VÄSTERNORRLANDS LÄN</t>
        </is>
      </c>
      <c r="E93" t="inlineStr">
        <is>
          <t>SOLLEFTEÅ</t>
        </is>
      </c>
      <c r="F93" t="inlineStr">
        <is>
          <t>SCA</t>
        </is>
      </c>
      <c r="G93" t="n">
        <v>4.1</v>
      </c>
      <c r="H93" t="n">
        <v>2</v>
      </c>
      <c r="I93" t="n">
        <v>1</v>
      </c>
      <c r="J93" t="n">
        <v>5</v>
      </c>
      <c r="K93" t="n">
        <v>2</v>
      </c>
      <c r="L93" t="n">
        <v>0</v>
      </c>
      <c r="M93" t="n">
        <v>0</v>
      </c>
      <c r="N93" t="n">
        <v>0</v>
      </c>
      <c r="O93" t="n">
        <v>7</v>
      </c>
      <c r="P93" t="n">
        <v>2</v>
      </c>
      <c r="Q93" t="n">
        <v>8</v>
      </c>
      <c r="R93" s="2" t="inlineStr">
        <is>
          <t>Garnlav
Knärot
Duvhök
Kortskaftad ärgspik
Rosenticka
Rynkskinn
Vedskivlav
Vedticka</t>
        </is>
      </c>
      <c r="S93">
        <f>HYPERLINK("https://klasma.github.io/Logging_2283/artfynd/A 31504-2025 artfynd.xlsx", "A 31504-2025")</f>
        <v/>
      </c>
      <c r="T93">
        <f>HYPERLINK("https://klasma.github.io/Logging_2283/kartor/A 31504-2025 karta.png", "A 31504-2025")</f>
        <v/>
      </c>
      <c r="U93">
        <f>HYPERLINK("https://klasma.github.io/Logging_2283/knärot/A 31504-2025 karta knärot.png", "A 31504-2025")</f>
        <v/>
      </c>
      <c r="V93">
        <f>HYPERLINK("https://klasma.github.io/Logging_2283/klagomål/A 31504-2025 FSC-klagomål.docx", "A 31504-2025")</f>
        <v/>
      </c>
      <c r="W93">
        <f>HYPERLINK("https://klasma.github.io/Logging_2283/klagomålsmail/A 31504-2025 FSC-klagomål mail.docx", "A 31504-2025")</f>
        <v/>
      </c>
      <c r="X93">
        <f>HYPERLINK("https://klasma.github.io/Logging_2283/tillsyn/A 31504-2025 tillsynsbegäran.docx", "A 31504-2025")</f>
        <v/>
      </c>
      <c r="Y93">
        <f>HYPERLINK("https://klasma.github.io/Logging_2283/tillsynsmail/A 31504-2025 tillsynsbegäran mail.docx", "A 31504-2025")</f>
        <v/>
      </c>
      <c r="Z93">
        <f>HYPERLINK("https://klasma.github.io/Logging_2283/fåglar/A 31504-2025 prioriterade fågelarter.docx", "A 31504-2025")</f>
        <v/>
      </c>
    </row>
    <row r="94" ht="15" customHeight="1">
      <c r="A94" t="inlineStr">
        <is>
          <t>A 45078-2025</t>
        </is>
      </c>
      <c r="B94" s="1" t="n">
        <v>45919</v>
      </c>
      <c r="C94" s="1" t="n">
        <v>46199</v>
      </c>
      <c r="D94" t="inlineStr">
        <is>
          <t>VÄSTERNORRLANDS LÄN</t>
        </is>
      </c>
      <c r="E94" t="inlineStr">
        <is>
          <t>SOLLEFTEÅ</t>
        </is>
      </c>
      <c r="F94" t="inlineStr">
        <is>
          <t>SCA</t>
        </is>
      </c>
      <c r="G94" t="n">
        <v>10.5</v>
      </c>
      <c r="H94" t="n">
        <v>1</v>
      </c>
      <c r="I94" t="n">
        <v>2</v>
      </c>
      <c r="J94" t="n">
        <v>4</v>
      </c>
      <c r="K94" t="n">
        <v>2</v>
      </c>
      <c r="L94" t="n">
        <v>0</v>
      </c>
      <c r="M94" t="n">
        <v>0</v>
      </c>
      <c r="N94" t="n">
        <v>0</v>
      </c>
      <c r="O94" t="n">
        <v>6</v>
      </c>
      <c r="P94" t="n">
        <v>2</v>
      </c>
      <c r="Q94" t="n">
        <v>8</v>
      </c>
      <c r="R94" s="2" t="inlineStr">
        <is>
          <t>Garnlav
Knärot
Dropptaggsvamp
Lunglav
Mörk kolflarnlav
Vedskivlav
Norrlandslav
Stuplav</t>
        </is>
      </c>
      <c r="S94">
        <f>HYPERLINK("https://klasma.github.io/Logging_2283/artfynd/A 45078-2025 artfynd.xlsx", "A 45078-2025")</f>
        <v/>
      </c>
      <c r="T94">
        <f>HYPERLINK("https://klasma.github.io/Logging_2283/kartor/A 45078-2025 karta.png", "A 45078-2025")</f>
        <v/>
      </c>
      <c r="U94">
        <f>HYPERLINK("https://klasma.github.io/Logging_2283/knärot/A 45078-2025 karta knärot.png", "A 45078-2025")</f>
        <v/>
      </c>
      <c r="V94">
        <f>HYPERLINK("https://klasma.github.io/Logging_2283/klagomål/A 45078-2025 FSC-klagomål.docx", "A 45078-2025")</f>
        <v/>
      </c>
      <c r="W94">
        <f>HYPERLINK("https://klasma.github.io/Logging_2283/klagomålsmail/A 45078-2025 FSC-klagomål mail.docx", "A 45078-2025")</f>
        <v/>
      </c>
      <c r="X94">
        <f>HYPERLINK("https://klasma.github.io/Logging_2283/tillsyn/A 45078-2025 tillsynsbegäran.docx", "A 45078-2025")</f>
        <v/>
      </c>
      <c r="Y94">
        <f>HYPERLINK("https://klasma.github.io/Logging_2283/tillsynsmail/A 45078-2025 tillsynsbegäran mail.docx", "A 45078-2025")</f>
        <v/>
      </c>
    </row>
    <row r="95" ht="15" customHeight="1">
      <c r="A95" t="inlineStr">
        <is>
          <t>A 11540-2024</t>
        </is>
      </c>
      <c r="B95" s="1" t="n">
        <v>45372</v>
      </c>
      <c r="C95" s="1" t="n">
        <v>46199</v>
      </c>
      <c r="D95" t="inlineStr">
        <is>
          <t>VÄSTERNORRLANDS LÄN</t>
        </is>
      </c>
      <c r="E95" t="inlineStr">
        <is>
          <t>SOLLEFTEÅ</t>
        </is>
      </c>
      <c r="F95" t="inlineStr">
        <is>
          <t>SCA</t>
        </is>
      </c>
      <c r="G95" t="n">
        <v>2.2</v>
      </c>
      <c r="H95" t="n">
        <v>8</v>
      </c>
      <c r="I95" t="n">
        <v>1</v>
      </c>
      <c r="J95" t="n">
        <v>2</v>
      </c>
      <c r="K95" t="n">
        <v>1</v>
      </c>
      <c r="L95" t="n">
        <v>0</v>
      </c>
      <c r="M95" t="n">
        <v>0</v>
      </c>
      <c r="N95" t="n">
        <v>0</v>
      </c>
      <c r="O95" t="n">
        <v>3</v>
      </c>
      <c r="P95" t="n">
        <v>1</v>
      </c>
      <c r="Q95" t="n">
        <v>8</v>
      </c>
      <c r="R95" s="2" t="inlineStr">
        <is>
          <t>Knärot
Björktrast
Tretåig hackspett
Plattlummer
Tjäder
Grönsiska
Kungsfågel
Revlummer</t>
        </is>
      </c>
      <c r="S95">
        <f>HYPERLINK("https://klasma.github.io/Logging_2283/artfynd/A 11540-2024 artfynd.xlsx", "A 11540-2024")</f>
        <v/>
      </c>
      <c r="T95">
        <f>HYPERLINK("https://klasma.github.io/Logging_2283/kartor/A 11540-2024 karta.png", "A 11540-2024")</f>
        <v/>
      </c>
      <c r="U95">
        <f>HYPERLINK("https://klasma.github.io/Logging_2283/knärot/A 11540-2024 karta knärot.png", "A 11540-2024")</f>
        <v/>
      </c>
      <c r="V95">
        <f>HYPERLINK("https://klasma.github.io/Logging_2283/klagomål/A 11540-2024 FSC-klagomål.docx", "A 11540-2024")</f>
        <v/>
      </c>
      <c r="W95">
        <f>HYPERLINK("https://klasma.github.io/Logging_2283/klagomålsmail/A 11540-2024 FSC-klagomål mail.docx", "A 11540-2024")</f>
        <v/>
      </c>
      <c r="X95">
        <f>HYPERLINK("https://klasma.github.io/Logging_2283/tillsyn/A 11540-2024 tillsynsbegäran.docx", "A 11540-2024")</f>
        <v/>
      </c>
      <c r="Y95">
        <f>HYPERLINK("https://klasma.github.io/Logging_2283/tillsynsmail/A 11540-2024 tillsynsbegäran mail.docx", "A 11540-2024")</f>
        <v/>
      </c>
      <c r="Z95">
        <f>HYPERLINK("https://klasma.github.io/Logging_2283/fåglar/A 11540-2024 prioriterade fågelarter.docx", "A 11540-2024")</f>
        <v/>
      </c>
    </row>
    <row r="96" ht="15" customHeight="1">
      <c r="A96" t="inlineStr">
        <is>
          <t>A 35632-2025</t>
        </is>
      </c>
      <c r="B96" s="1" t="n">
        <v>45859</v>
      </c>
      <c r="C96" s="1" t="n">
        <v>46199</v>
      </c>
      <c r="D96" t="inlineStr">
        <is>
          <t>VÄSTERNORRLANDS LÄN</t>
        </is>
      </c>
      <c r="E96" t="inlineStr">
        <is>
          <t>SOLLEFTEÅ</t>
        </is>
      </c>
      <c r="F96" t="inlineStr">
        <is>
          <t>SCA</t>
        </is>
      </c>
      <c r="G96" t="n">
        <v>6.1</v>
      </c>
      <c r="H96" t="n">
        <v>3</v>
      </c>
      <c r="I96" t="n">
        <v>4</v>
      </c>
      <c r="J96" t="n">
        <v>4</v>
      </c>
      <c r="K96" t="n">
        <v>0</v>
      </c>
      <c r="L96" t="n">
        <v>0</v>
      </c>
      <c r="M96" t="n">
        <v>0</v>
      </c>
      <c r="N96" t="n">
        <v>0</v>
      </c>
      <c r="O96" t="n">
        <v>4</v>
      </c>
      <c r="P96" t="n">
        <v>0</v>
      </c>
      <c r="Q96" t="n">
        <v>8</v>
      </c>
      <c r="R96" s="2" t="inlineStr">
        <is>
          <t>Björktrast
Grantaggsvamp
Kolflarnlav
Vaddporing
Bollvitmossa
Lappranunkel
Plattlummer
Vedticka</t>
        </is>
      </c>
      <c r="S96">
        <f>HYPERLINK("https://klasma.github.io/Logging_2283/artfynd/A 35632-2025 artfynd.xlsx", "A 35632-2025")</f>
        <v/>
      </c>
      <c r="T96">
        <f>HYPERLINK("https://klasma.github.io/Logging_2283/kartor/A 35632-2025 karta.png", "A 35632-2025")</f>
        <v/>
      </c>
      <c r="V96">
        <f>HYPERLINK("https://klasma.github.io/Logging_2283/klagomål/A 35632-2025 FSC-klagomål.docx", "A 35632-2025")</f>
        <v/>
      </c>
      <c r="W96">
        <f>HYPERLINK("https://klasma.github.io/Logging_2283/klagomålsmail/A 35632-2025 FSC-klagomål mail.docx", "A 35632-2025")</f>
        <v/>
      </c>
      <c r="X96">
        <f>HYPERLINK("https://klasma.github.io/Logging_2283/tillsyn/A 35632-2025 tillsynsbegäran.docx", "A 35632-2025")</f>
        <v/>
      </c>
      <c r="Y96">
        <f>HYPERLINK("https://klasma.github.io/Logging_2283/tillsynsmail/A 35632-2025 tillsynsbegäran mail.docx", "A 35632-2025")</f>
        <v/>
      </c>
      <c r="Z96">
        <f>HYPERLINK("https://klasma.github.io/Logging_2283/fåglar/A 35632-2025 prioriterade fågelarter.docx", "A 35632-2025")</f>
        <v/>
      </c>
    </row>
    <row r="97" ht="15" customHeight="1">
      <c r="A97" t="inlineStr">
        <is>
          <t>A 25941-2025</t>
        </is>
      </c>
      <c r="B97" s="1" t="n">
        <v>45804</v>
      </c>
      <c r="C97" s="1" t="n">
        <v>46199</v>
      </c>
      <c r="D97" t="inlineStr">
        <is>
          <t>VÄSTERNORRLANDS LÄN</t>
        </is>
      </c>
      <c r="E97" t="inlineStr">
        <is>
          <t>SOLLEFTEÅ</t>
        </is>
      </c>
      <c r="G97" t="n">
        <v>4.4</v>
      </c>
      <c r="H97" t="n">
        <v>1</v>
      </c>
      <c r="I97" t="n">
        <v>3</v>
      </c>
      <c r="J97" t="n">
        <v>4</v>
      </c>
      <c r="K97" t="n">
        <v>0</v>
      </c>
      <c r="L97" t="n">
        <v>1</v>
      </c>
      <c r="M97" t="n">
        <v>0</v>
      </c>
      <c r="N97" t="n">
        <v>0</v>
      </c>
      <c r="O97" t="n">
        <v>5</v>
      </c>
      <c r="P97" t="n">
        <v>1</v>
      </c>
      <c r="Q97" t="n">
        <v>8</v>
      </c>
      <c r="R97" s="2" t="inlineStr">
        <is>
          <t>Trolldruvemätare
Rosenticka
Rynkskinn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19314-2026</t>
        </is>
      </c>
      <c r="B98" s="1" t="n">
        <v>46133</v>
      </c>
      <c r="C98" s="1" t="n">
        <v>46199</v>
      </c>
      <c r="D98" t="inlineStr">
        <is>
          <t>VÄSTERNORRLANDS LÄN</t>
        </is>
      </c>
      <c r="E98" t="inlineStr">
        <is>
          <t>SOLLEFTEÅ</t>
        </is>
      </c>
      <c r="F98" t="inlineStr">
        <is>
          <t>SCA</t>
        </is>
      </c>
      <c r="G98" t="n">
        <v>0.8</v>
      </c>
      <c r="H98" t="n">
        <v>1</v>
      </c>
      <c r="I98" t="n">
        <v>5</v>
      </c>
      <c r="J98" t="n">
        <v>3</v>
      </c>
      <c r="K98" t="n">
        <v>0</v>
      </c>
      <c r="L98" t="n">
        <v>0</v>
      </c>
      <c r="M98" t="n">
        <v>0</v>
      </c>
      <c r="N98" t="n">
        <v>0</v>
      </c>
      <c r="O98" t="n">
        <v>3</v>
      </c>
      <c r="P98" t="n">
        <v>0</v>
      </c>
      <c r="Q98" t="n">
        <v>8</v>
      </c>
      <c r="R98" s="2" t="inlineStr">
        <is>
          <t>Lunglav
Ullticka
Vitgrynig nållav
Bollvitmossa
Gulnål
Gytterlav
Lappranunkel
Skör kvastmossa</t>
        </is>
      </c>
      <c r="S98">
        <f>HYPERLINK("https://klasma.github.io/Logging_2283/artfynd/A 19314-2026 artfynd.xlsx", "A 19314-2026")</f>
        <v/>
      </c>
      <c r="T98">
        <f>HYPERLINK("https://klasma.github.io/Logging_2283/kartor/A 19314-2026 karta.png", "A 19314-2026")</f>
        <v/>
      </c>
      <c r="V98">
        <f>HYPERLINK("https://klasma.github.io/Logging_2283/klagomål/A 19314-2026 FSC-klagomål.docx", "A 19314-2026")</f>
        <v/>
      </c>
      <c r="W98">
        <f>HYPERLINK("https://klasma.github.io/Logging_2283/klagomålsmail/A 19314-2026 FSC-klagomål mail.docx", "A 19314-2026")</f>
        <v/>
      </c>
      <c r="X98">
        <f>HYPERLINK("https://klasma.github.io/Logging_2283/tillsyn/A 19314-2026 tillsynsbegäran.docx", "A 19314-2026")</f>
        <v/>
      </c>
      <c r="Y98">
        <f>HYPERLINK("https://klasma.github.io/Logging_2283/tillsynsmail/A 19314-2026 tillsynsbegäran mail.docx", "A 19314-2026")</f>
        <v/>
      </c>
    </row>
    <row r="99" ht="15" customHeight="1">
      <c r="A99" t="inlineStr">
        <is>
          <t>A 33674-2025</t>
        </is>
      </c>
      <c r="B99" s="1" t="n">
        <v>45841</v>
      </c>
      <c r="C99" s="1" t="n">
        <v>46199</v>
      </c>
      <c r="D99" t="inlineStr">
        <is>
          <t>VÄSTERNORRLANDS LÄN</t>
        </is>
      </c>
      <c r="E99" t="inlineStr">
        <is>
          <t>SOLLEFTEÅ</t>
        </is>
      </c>
      <c r="F99" t="inlineStr">
        <is>
          <t>SCA</t>
        </is>
      </c>
      <c r="G99" t="n">
        <v>1.2</v>
      </c>
      <c r="H99" t="n">
        <v>0</v>
      </c>
      <c r="I99" t="n">
        <v>2</v>
      </c>
      <c r="J99" t="n">
        <v>4</v>
      </c>
      <c r="K99" t="n">
        <v>2</v>
      </c>
      <c r="L99" t="n">
        <v>0</v>
      </c>
      <c r="M99" t="n">
        <v>0</v>
      </c>
      <c r="N99" t="n">
        <v>0</v>
      </c>
      <c r="O99" t="n">
        <v>6</v>
      </c>
      <c r="P99" t="n">
        <v>2</v>
      </c>
      <c r="Q99" t="n">
        <v>8</v>
      </c>
      <c r="R99" s="2" t="inlineStr">
        <is>
          <t>Garnlav
Raggbock
Kolflarnlav
Lunglav
Vaddporing
Vedflamlav
Skinnlav
Stuplav</t>
        </is>
      </c>
      <c r="S99">
        <f>HYPERLINK("https://klasma.github.io/Logging_2283/artfynd/A 33674-2025 artfynd.xlsx", "A 33674-2025")</f>
        <v/>
      </c>
      <c r="T99">
        <f>HYPERLINK("https://klasma.github.io/Logging_2283/kartor/A 33674-2025 karta.png", "A 33674-2025")</f>
        <v/>
      </c>
      <c r="V99">
        <f>HYPERLINK("https://klasma.github.io/Logging_2283/klagomål/A 33674-2025 FSC-klagomål.docx", "A 33674-2025")</f>
        <v/>
      </c>
      <c r="W99">
        <f>HYPERLINK("https://klasma.github.io/Logging_2283/klagomålsmail/A 33674-2025 FSC-klagomål mail.docx", "A 33674-2025")</f>
        <v/>
      </c>
      <c r="X99">
        <f>HYPERLINK("https://klasma.github.io/Logging_2283/tillsyn/A 33674-2025 tillsynsbegäran.docx", "A 33674-2025")</f>
        <v/>
      </c>
      <c r="Y99">
        <f>HYPERLINK("https://klasma.github.io/Logging_2283/tillsynsmail/A 33674-2025 tillsynsbegäran mail.docx", "A 33674-2025")</f>
        <v/>
      </c>
    </row>
    <row r="100" ht="15" customHeight="1">
      <c r="A100" t="inlineStr">
        <is>
          <t>A 12146-2025</t>
        </is>
      </c>
      <c r="B100" s="1" t="n">
        <v>45729</v>
      </c>
      <c r="C100" s="1" t="n">
        <v>46199</v>
      </c>
      <c r="D100" t="inlineStr">
        <is>
          <t>VÄSTERNORRLANDS LÄN</t>
        </is>
      </c>
      <c r="E100" t="inlineStr">
        <is>
          <t>SOLLEFTEÅ</t>
        </is>
      </c>
      <c r="F100" t="inlineStr">
        <is>
          <t>SCA</t>
        </is>
      </c>
      <c r="G100" t="n">
        <v>7.4</v>
      </c>
      <c r="H100" t="n">
        <v>4</v>
      </c>
      <c r="I100" t="n">
        <v>1</v>
      </c>
      <c r="J100" t="n">
        <v>5</v>
      </c>
      <c r="K100" t="n">
        <v>1</v>
      </c>
      <c r="L100" t="n">
        <v>0</v>
      </c>
      <c r="M100" t="n">
        <v>0</v>
      </c>
      <c r="N100" t="n">
        <v>0</v>
      </c>
      <c r="O100" t="n">
        <v>6</v>
      </c>
      <c r="P100" t="n">
        <v>1</v>
      </c>
      <c r="Q100" t="n">
        <v>8</v>
      </c>
      <c r="R100" s="2" t="inlineStr">
        <is>
          <t>Garnlav
Gammelgransskål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18014-2022</t>
        </is>
      </c>
      <c r="B101" s="1" t="n">
        <v>44683</v>
      </c>
      <c r="C101" s="1" t="n">
        <v>46199</v>
      </c>
      <c r="D101" t="inlineStr">
        <is>
          <t>VÄSTERNORRLANDS LÄN</t>
        </is>
      </c>
      <c r="E101" t="inlineStr">
        <is>
          <t>SOLLEFTEÅ</t>
        </is>
      </c>
      <c r="F101" t="inlineStr">
        <is>
          <t>SCA</t>
        </is>
      </c>
      <c r="G101" t="n">
        <v>2.5</v>
      </c>
      <c r="H101" t="n">
        <v>3</v>
      </c>
      <c r="I101" t="n">
        <v>0</v>
      </c>
      <c r="J101" t="n">
        <v>5</v>
      </c>
      <c r="K101" t="n">
        <v>3</v>
      </c>
      <c r="L101" t="n">
        <v>0</v>
      </c>
      <c r="M101" t="n">
        <v>0</v>
      </c>
      <c r="N101" t="n">
        <v>0</v>
      </c>
      <c r="O101" t="n">
        <v>8</v>
      </c>
      <c r="P101" t="n">
        <v>3</v>
      </c>
      <c r="Q101" t="n">
        <v>8</v>
      </c>
      <c r="R101" s="2" t="inlineStr">
        <is>
          <t>Goliatmusseron
Knärot
Läderdoftande fingersvamp
Dropptaggsvamp
Gultoppig fingersvamp
Talltita
Tretåig hackspett
Ullticka</t>
        </is>
      </c>
      <c r="S101">
        <f>HYPERLINK("https://klasma.github.io/Logging_2283/artfynd/A 18014-2022 artfynd.xlsx", "A 18014-2022")</f>
        <v/>
      </c>
      <c r="T101">
        <f>HYPERLINK("https://klasma.github.io/Logging_2283/kartor/A 18014-2022 karta.png", "A 18014-2022")</f>
        <v/>
      </c>
      <c r="U101">
        <f>HYPERLINK("https://klasma.github.io/Logging_2283/knärot/A 18014-2022 karta knärot.png", "A 18014-2022")</f>
        <v/>
      </c>
      <c r="V101">
        <f>HYPERLINK("https://klasma.github.io/Logging_2283/klagomål/A 18014-2022 FSC-klagomål.docx", "A 18014-2022")</f>
        <v/>
      </c>
      <c r="W101">
        <f>HYPERLINK("https://klasma.github.io/Logging_2283/klagomålsmail/A 18014-2022 FSC-klagomål mail.docx", "A 18014-2022")</f>
        <v/>
      </c>
      <c r="X101">
        <f>HYPERLINK("https://klasma.github.io/Logging_2283/tillsyn/A 18014-2022 tillsynsbegäran.docx", "A 18014-2022")</f>
        <v/>
      </c>
      <c r="Y101">
        <f>HYPERLINK("https://klasma.github.io/Logging_2283/tillsynsmail/A 18014-2022 tillsynsbegäran mail.docx", "A 18014-2022")</f>
        <v/>
      </c>
      <c r="Z101">
        <f>HYPERLINK("https://klasma.github.io/Logging_2283/fåglar/A 18014-2022 prioriterade fågelarter.docx", "A 18014-2022")</f>
        <v/>
      </c>
    </row>
    <row r="102" ht="15" customHeight="1">
      <c r="A102" t="inlineStr">
        <is>
          <t>A 15384-2026</t>
        </is>
      </c>
      <c r="B102" s="1" t="n">
        <v>46106</v>
      </c>
      <c r="C102" s="1" t="n">
        <v>46199</v>
      </c>
      <c r="D102" t="inlineStr">
        <is>
          <t>VÄSTERNORRLANDS LÄN</t>
        </is>
      </c>
      <c r="E102" t="inlineStr">
        <is>
          <t>SOLLEFTEÅ</t>
        </is>
      </c>
      <c r="F102" t="inlineStr">
        <is>
          <t>SCA</t>
        </is>
      </c>
      <c r="G102" t="n">
        <v>2.2</v>
      </c>
      <c r="H102" t="n">
        <v>3</v>
      </c>
      <c r="I102" t="n">
        <v>1</v>
      </c>
      <c r="J102" t="n">
        <v>4</v>
      </c>
      <c r="K102" t="n">
        <v>2</v>
      </c>
      <c r="L102" t="n">
        <v>0</v>
      </c>
      <c r="M102" t="n">
        <v>0</v>
      </c>
      <c r="N102" t="n">
        <v>0</v>
      </c>
      <c r="O102" t="n">
        <v>6</v>
      </c>
      <c r="P102" t="n">
        <v>2</v>
      </c>
      <c r="Q102" t="n">
        <v>8</v>
      </c>
      <c r="R102" s="2" t="inlineStr">
        <is>
          <t>Garnlav
Knärot
Lunglav
Tallticka
Tretåig hackspett
Ullticka
Trådticka
Spillkråka</t>
        </is>
      </c>
      <c r="S102">
        <f>HYPERLINK("https://klasma.github.io/Logging_2283/artfynd/A 15384-2026 artfynd.xlsx", "A 15384-2026")</f>
        <v/>
      </c>
      <c r="T102">
        <f>HYPERLINK("https://klasma.github.io/Logging_2283/kartor/A 15384-2026 karta.png", "A 15384-2026")</f>
        <v/>
      </c>
      <c r="U102">
        <f>HYPERLINK("https://klasma.github.io/Logging_2283/knärot/A 15384-2026 karta knärot.png", "A 15384-2026")</f>
        <v/>
      </c>
      <c r="V102">
        <f>HYPERLINK("https://klasma.github.io/Logging_2283/klagomål/A 15384-2026 FSC-klagomål.docx", "A 15384-2026")</f>
        <v/>
      </c>
      <c r="W102">
        <f>HYPERLINK("https://klasma.github.io/Logging_2283/klagomålsmail/A 15384-2026 FSC-klagomål mail.docx", "A 15384-2026")</f>
        <v/>
      </c>
      <c r="X102">
        <f>HYPERLINK("https://klasma.github.io/Logging_2283/tillsyn/A 15384-2026 tillsynsbegäran.docx", "A 15384-2026")</f>
        <v/>
      </c>
      <c r="Y102">
        <f>HYPERLINK("https://klasma.github.io/Logging_2283/tillsynsmail/A 15384-2026 tillsynsbegäran mail.docx", "A 15384-2026")</f>
        <v/>
      </c>
      <c r="Z102">
        <f>HYPERLINK("https://klasma.github.io/Logging_2283/fåglar/A 15384-2026 prioriterade fågelarter.docx", "A 15384-2026")</f>
        <v/>
      </c>
    </row>
    <row r="103" ht="15" customHeight="1">
      <c r="A103" t="inlineStr">
        <is>
          <t>A 31885-2024</t>
        </is>
      </c>
      <c r="B103" s="1" t="n">
        <v>45509</v>
      </c>
      <c r="C103" s="1" t="n">
        <v>46199</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46199</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46199</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Garnlav
Lunglav
Rosenticka
Rynkskinn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14805-2024</t>
        </is>
      </c>
      <c r="B106" s="1" t="n">
        <v>45397</v>
      </c>
      <c r="C106" s="1" t="n">
        <v>46199</v>
      </c>
      <c r="D106" t="inlineStr">
        <is>
          <t>VÄSTERNORRLANDS LÄN</t>
        </is>
      </c>
      <c r="E106" t="inlineStr">
        <is>
          <t>SOLLEFTEÅ</t>
        </is>
      </c>
      <c r="F106" t="inlineStr">
        <is>
          <t>SCA</t>
        </is>
      </c>
      <c r="G106" t="n">
        <v>3.5</v>
      </c>
      <c r="H106" t="n">
        <v>1</v>
      </c>
      <c r="I106" t="n">
        <v>1</v>
      </c>
      <c r="J106" t="n">
        <v>4</v>
      </c>
      <c r="K106" t="n">
        <v>2</v>
      </c>
      <c r="L106" t="n">
        <v>0</v>
      </c>
      <c r="M106" t="n">
        <v>0</v>
      </c>
      <c r="N106" t="n">
        <v>0</v>
      </c>
      <c r="O106" t="n">
        <v>6</v>
      </c>
      <c r="P106" t="n">
        <v>2</v>
      </c>
      <c r="Q106" t="n">
        <v>7</v>
      </c>
      <c r="R106" s="2" t="inlineStr">
        <is>
          <t>Garnlav
Knärot
Dropptaggsvamp
Dvärgbägarlav
Lunglav
Vedskivlav
Bårdlav</t>
        </is>
      </c>
      <c r="S106">
        <f>HYPERLINK("https://klasma.github.io/Logging_2283/artfynd/A 14805-2024 artfynd.xlsx", "A 14805-2024")</f>
        <v/>
      </c>
      <c r="T106">
        <f>HYPERLINK("https://klasma.github.io/Logging_2283/kartor/A 14805-2024 karta.png", "A 14805-2024")</f>
        <v/>
      </c>
      <c r="U106">
        <f>HYPERLINK("https://klasma.github.io/Logging_2283/knärot/A 14805-2024 karta knärot.png", "A 14805-2024")</f>
        <v/>
      </c>
      <c r="V106">
        <f>HYPERLINK("https://klasma.github.io/Logging_2283/klagomål/A 14805-2024 FSC-klagomål.docx", "A 14805-2024")</f>
        <v/>
      </c>
      <c r="W106">
        <f>HYPERLINK("https://klasma.github.io/Logging_2283/klagomålsmail/A 14805-2024 FSC-klagomål mail.docx", "A 14805-2024")</f>
        <v/>
      </c>
      <c r="X106">
        <f>HYPERLINK("https://klasma.github.io/Logging_2283/tillsyn/A 14805-2024 tillsynsbegäran.docx", "A 14805-2024")</f>
        <v/>
      </c>
      <c r="Y106">
        <f>HYPERLINK("https://klasma.github.io/Logging_2283/tillsynsmail/A 14805-2024 tillsynsbegäran mail.docx", "A 14805-2024")</f>
        <v/>
      </c>
    </row>
    <row r="107" ht="15" customHeight="1">
      <c r="A107" t="inlineStr">
        <is>
          <t>A 11578-2025</t>
        </is>
      </c>
      <c r="B107" s="1" t="n">
        <v>45727</v>
      </c>
      <c r="C107" s="1" t="n">
        <v>46199</v>
      </c>
      <c r="D107" t="inlineStr">
        <is>
          <t>VÄSTERNORRLANDS LÄN</t>
        </is>
      </c>
      <c r="E107" t="inlineStr">
        <is>
          <t>SOLLEFTEÅ</t>
        </is>
      </c>
      <c r="F107" t="inlineStr">
        <is>
          <t>SCA</t>
        </is>
      </c>
      <c r="G107" t="n">
        <v>1</v>
      </c>
      <c r="H107" t="n">
        <v>5</v>
      </c>
      <c r="I107" t="n">
        <v>1</v>
      </c>
      <c r="J107" t="n">
        <v>3</v>
      </c>
      <c r="K107" t="n">
        <v>1</v>
      </c>
      <c r="L107" t="n">
        <v>0</v>
      </c>
      <c r="M107" t="n">
        <v>0</v>
      </c>
      <c r="N107" t="n">
        <v>0</v>
      </c>
      <c r="O107" t="n">
        <v>4</v>
      </c>
      <c r="P107" t="n">
        <v>1</v>
      </c>
      <c r="Q107" t="n">
        <v>7</v>
      </c>
      <c r="R107" s="2" t="inlineStr">
        <is>
          <t>Knärot
Rosenticka
Talltita
Tretåig hackspett
Vedticka
Spillkråka
Revlummer</t>
        </is>
      </c>
      <c r="S107">
        <f>HYPERLINK("https://klasma.github.io/Logging_2283/artfynd/A 11578-2025 artfynd.xlsx", "A 11578-2025")</f>
        <v/>
      </c>
      <c r="T107">
        <f>HYPERLINK("https://klasma.github.io/Logging_2283/kartor/A 11578-2025 karta.png", "A 11578-2025")</f>
        <v/>
      </c>
      <c r="U107">
        <f>HYPERLINK("https://klasma.github.io/Logging_2283/knärot/A 11578-2025 karta knärot.png", "A 11578-2025")</f>
        <v/>
      </c>
      <c r="V107">
        <f>HYPERLINK("https://klasma.github.io/Logging_2283/klagomål/A 11578-2025 FSC-klagomål.docx", "A 11578-2025")</f>
        <v/>
      </c>
      <c r="W107">
        <f>HYPERLINK("https://klasma.github.io/Logging_2283/klagomålsmail/A 11578-2025 FSC-klagomål mail.docx", "A 11578-2025")</f>
        <v/>
      </c>
      <c r="X107">
        <f>HYPERLINK("https://klasma.github.io/Logging_2283/tillsyn/A 11578-2025 tillsynsbegäran.docx", "A 11578-2025")</f>
        <v/>
      </c>
      <c r="Y107">
        <f>HYPERLINK("https://klasma.github.io/Logging_2283/tillsynsmail/A 11578-2025 tillsynsbegäran mail.docx", "A 11578-2025")</f>
        <v/>
      </c>
      <c r="Z107">
        <f>HYPERLINK("https://klasma.github.io/Logging_2283/fåglar/A 11578-2025 prioriterade fågelarter.docx", "A 11578-2025")</f>
        <v/>
      </c>
    </row>
    <row r="108" ht="15" customHeight="1">
      <c r="A108" t="inlineStr">
        <is>
          <t>A 13059-2022</t>
        </is>
      </c>
      <c r="B108" s="1" t="n">
        <v>44643</v>
      </c>
      <c r="C108" s="1" t="n">
        <v>46199</v>
      </c>
      <c r="D108" t="inlineStr">
        <is>
          <t>VÄSTERNORRLANDS LÄN</t>
        </is>
      </c>
      <c r="E108" t="inlineStr">
        <is>
          <t>SOLLEFTEÅ</t>
        </is>
      </c>
      <c r="G108" t="n">
        <v>9.9</v>
      </c>
      <c r="H108" t="n">
        <v>1</v>
      </c>
      <c r="I108" t="n">
        <v>1</v>
      </c>
      <c r="J108" t="n">
        <v>4</v>
      </c>
      <c r="K108" t="n">
        <v>2</v>
      </c>
      <c r="L108" t="n">
        <v>0</v>
      </c>
      <c r="M108" t="n">
        <v>0</v>
      </c>
      <c r="N108" t="n">
        <v>0</v>
      </c>
      <c r="O108" t="n">
        <v>6</v>
      </c>
      <c r="P108" t="n">
        <v>2</v>
      </c>
      <c r="Q108" t="n">
        <v>7</v>
      </c>
      <c r="R108" s="2" t="inlineStr">
        <is>
          <t>Garnlav
Knärot
Kötticka
Lunglav
Rosenticka
Ullticka
Stor aspticka</t>
        </is>
      </c>
      <c r="S108">
        <f>HYPERLINK("https://klasma.github.io/Logging_2283/artfynd/A 13059-2022 artfynd.xlsx", "A 13059-2022")</f>
        <v/>
      </c>
      <c r="T108">
        <f>HYPERLINK("https://klasma.github.io/Logging_2283/kartor/A 13059-2022 karta.png", "A 13059-2022")</f>
        <v/>
      </c>
      <c r="U108">
        <f>HYPERLINK("https://klasma.github.io/Logging_2283/knärot/A 13059-2022 karta knärot.png", "A 13059-2022")</f>
        <v/>
      </c>
      <c r="V108">
        <f>HYPERLINK("https://klasma.github.io/Logging_2283/klagomål/A 13059-2022 FSC-klagomål.docx", "A 13059-2022")</f>
        <v/>
      </c>
      <c r="W108">
        <f>HYPERLINK("https://klasma.github.io/Logging_2283/klagomålsmail/A 13059-2022 FSC-klagomål mail.docx", "A 13059-2022")</f>
        <v/>
      </c>
      <c r="X108">
        <f>HYPERLINK("https://klasma.github.io/Logging_2283/tillsyn/A 13059-2022 tillsynsbegäran.docx", "A 13059-2022")</f>
        <v/>
      </c>
      <c r="Y108">
        <f>HYPERLINK("https://klasma.github.io/Logging_2283/tillsynsmail/A 13059-2022 tillsynsbegäran mail.docx", "A 13059-2022")</f>
        <v/>
      </c>
    </row>
    <row r="109" ht="15" customHeight="1">
      <c r="A109" t="inlineStr">
        <is>
          <t>A 24887-2022</t>
        </is>
      </c>
      <c r="B109" s="1" t="n">
        <v>44728</v>
      </c>
      <c r="C109" s="1" t="n">
        <v>46199</v>
      </c>
      <c r="D109" t="inlineStr">
        <is>
          <t>VÄSTERNORRLANDS LÄN</t>
        </is>
      </c>
      <c r="E109" t="inlineStr">
        <is>
          <t>SOLLEFTEÅ</t>
        </is>
      </c>
      <c r="G109" t="n">
        <v>11.4</v>
      </c>
      <c r="H109" t="n">
        <v>2</v>
      </c>
      <c r="I109" t="n">
        <v>0</v>
      </c>
      <c r="J109" t="n">
        <v>3</v>
      </c>
      <c r="K109" t="n">
        <v>3</v>
      </c>
      <c r="L109" t="n">
        <v>0</v>
      </c>
      <c r="M109" t="n">
        <v>0</v>
      </c>
      <c r="N109" t="n">
        <v>0</v>
      </c>
      <c r="O109" t="n">
        <v>6</v>
      </c>
      <c r="P109" t="n">
        <v>3</v>
      </c>
      <c r="Q109" t="n">
        <v>7</v>
      </c>
      <c r="R109" s="2" t="inlineStr">
        <is>
          <t>Garnlav
Gränsticka
Knärot
Rosenticka
Ullticka
Äggvaxskivling
Järpe</t>
        </is>
      </c>
      <c r="S109">
        <f>HYPERLINK("https://klasma.github.io/Logging_2283/artfynd/A 24887-2022 artfynd.xlsx", "A 24887-2022")</f>
        <v/>
      </c>
      <c r="T109">
        <f>HYPERLINK("https://klasma.github.io/Logging_2283/kartor/A 24887-2022 karta.png", "A 24887-2022")</f>
        <v/>
      </c>
      <c r="U109">
        <f>HYPERLINK("https://klasma.github.io/Logging_2283/knärot/A 24887-2022 karta knärot.png", "A 24887-2022")</f>
        <v/>
      </c>
      <c r="V109">
        <f>HYPERLINK("https://klasma.github.io/Logging_2283/klagomål/A 24887-2022 FSC-klagomål.docx", "A 24887-2022")</f>
        <v/>
      </c>
      <c r="W109">
        <f>HYPERLINK("https://klasma.github.io/Logging_2283/klagomålsmail/A 24887-2022 FSC-klagomål mail.docx", "A 24887-2022")</f>
        <v/>
      </c>
      <c r="X109">
        <f>HYPERLINK("https://klasma.github.io/Logging_2283/tillsyn/A 24887-2022 tillsynsbegäran.docx", "A 24887-2022")</f>
        <v/>
      </c>
      <c r="Y109">
        <f>HYPERLINK("https://klasma.github.io/Logging_2283/tillsynsmail/A 24887-2022 tillsynsbegäran mail.docx", "A 24887-2022")</f>
        <v/>
      </c>
      <c r="Z109">
        <f>HYPERLINK("https://klasma.github.io/Logging_2283/fåglar/A 24887-2022 prioriterade fågelarter.docx", "A 24887-2022")</f>
        <v/>
      </c>
    </row>
    <row r="110" ht="15" customHeight="1">
      <c r="A110" t="inlineStr">
        <is>
          <t>A 15971-2026</t>
        </is>
      </c>
      <c r="B110" s="1" t="n">
        <v>46108</v>
      </c>
      <c r="C110" s="1" t="n">
        <v>46199</v>
      </c>
      <c r="D110" t="inlineStr">
        <is>
          <t>VÄSTERNORRLANDS LÄN</t>
        </is>
      </c>
      <c r="E110" t="inlineStr">
        <is>
          <t>SOLLEFTEÅ</t>
        </is>
      </c>
      <c r="F110" t="inlineStr">
        <is>
          <t>SCA</t>
        </is>
      </c>
      <c r="G110" t="n">
        <v>10.1</v>
      </c>
      <c r="H110" t="n">
        <v>3</v>
      </c>
      <c r="I110" t="n">
        <v>0</v>
      </c>
      <c r="J110" t="n">
        <v>4</v>
      </c>
      <c r="K110" t="n">
        <v>2</v>
      </c>
      <c r="L110" t="n">
        <v>0</v>
      </c>
      <c r="M110" t="n">
        <v>0</v>
      </c>
      <c r="N110" t="n">
        <v>0</v>
      </c>
      <c r="O110" t="n">
        <v>6</v>
      </c>
      <c r="P110" t="n">
        <v>2</v>
      </c>
      <c r="Q110" t="n">
        <v>7</v>
      </c>
      <c r="R110" s="2" t="inlineStr">
        <is>
          <t>Garnlav
Knärot
Lunglav
Rynkskinn
Tretåig hackspett
Ullticka
Spillkråka</t>
        </is>
      </c>
      <c r="S110">
        <f>HYPERLINK("https://klasma.github.io/Logging_2283/artfynd/A 15971-2026 artfynd.xlsx", "A 15971-2026")</f>
        <v/>
      </c>
      <c r="T110">
        <f>HYPERLINK("https://klasma.github.io/Logging_2283/kartor/A 15971-2026 karta.png", "A 15971-2026")</f>
        <v/>
      </c>
      <c r="U110">
        <f>HYPERLINK("https://klasma.github.io/Logging_2283/knärot/A 15971-2026 karta knärot.png", "A 15971-2026")</f>
        <v/>
      </c>
      <c r="V110">
        <f>HYPERLINK("https://klasma.github.io/Logging_2283/klagomål/A 15971-2026 FSC-klagomål.docx", "A 15971-2026")</f>
        <v/>
      </c>
      <c r="W110">
        <f>HYPERLINK("https://klasma.github.io/Logging_2283/klagomålsmail/A 15971-2026 FSC-klagomål mail.docx", "A 15971-2026")</f>
        <v/>
      </c>
      <c r="X110">
        <f>HYPERLINK("https://klasma.github.io/Logging_2283/tillsyn/A 15971-2026 tillsynsbegäran.docx", "A 15971-2026")</f>
        <v/>
      </c>
      <c r="Y110">
        <f>HYPERLINK("https://klasma.github.io/Logging_2283/tillsynsmail/A 15971-2026 tillsynsbegäran mail.docx", "A 15971-2026")</f>
        <v/>
      </c>
      <c r="Z110">
        <f>HYPERLINK("https://klasma.github.io/Logging_2283/fåglar/A 15971-2026 prioriterade fågelarter.docx", "A 15971-2026")</f>
        <v/>
      </c>
    </row>
    <row r="111" ht="15" customHeight="1">
      <c r="A111" t="inlineStr">
        <is>
          <t>A 57317-2024</t>
        </is>
      </c>
      <c r="B111" s="1" t="n">
        <v>45629</v>
      </c>
      <c r="C111" s="1" t="n">
        <v>46199</v>
      </c>
      <c r="D111" t="inlineStr">
        <is>
          <t>VÄSTERNORRLANDS LÄN</t>
        </is>
      </c>
      <c r="E111" t="inlineStr">
        <is>
          <t>SOLLEFTEÅ</t>
        </is>
      </c>
      <c r="F111" t="inlineStr">
        <is>
          <t>SCA</t>
        </is>
      </c>
      <c r="G111" t="n">
        <v>4</v>
      </c>
      <c r="H111" t="n">
        <v>3</v>
      </c>
      <c r="I111" t="n">
        <v>0</v>
      </c>
      <c r="J111" t="n">
        <v>4</v>
      </c>
      <c r="K111" t="n">
        <v>2</v>
      </c>
      <c r="L111" t="n">
        <v>0</v>
      </c>
      <c r="M111" t="n">
        <v>0</v>
      </c>
      <c r="N111" t="n">
        <v>0</v>
      </c>
      <c r="O111" t="n">
        <v>6</v>
      </c>
      <c r="P111" t="n">
        <v>2</v>
      </c>
      <c r="Q111" t="n">
        <v>7</v>
      </c>
      <c r="R111" s="2" t="inlineStr">
        <is>
          <t>Garnlav
Knärot
Gammelgransskål
Lunglav
Tretåig hackspett
Ullticka
Spillkråka</t>
        </is>
      </c>
      <c r="S111">
        <f>HYPERLINK("https://klasma.github.io/Logging_2283/artfynd/A 57317-2024 artfynd.xlsx", "A 57317-2024")</f>
        <v/>
      </c>
      <c r="T111">
        <f>HYPERLINK("https://klasma.github.io/Logging_2283/kartor/A 57317-2024 karta.png", "A 57317-2024")</f>
        <v/>
      </c>
      <c r="U111">
        <f>HYPERLINK("https://klasma.github.io/Logging_2283/knärot/A 57317-2024 karta knärot.png", "A 57317-2024")</f>
        <v/>
      </c>
      <c r="V111">
        <f>HYPERLINK("https://klasma.github.io/Logging_2283/klagomål/A 57317-2024 FSC-klagomål.docx", "A 57317-2024")</f>
        <v/>
      </c>
      <c r="W111">
        <f>HYPERLINK("https://klasma.github.io/Logging_2283/klagomålsmail/A 57317-2024 FSC-klagomål mail.docx", "A 57317-2024")</f>
        <v/>
      </c>
      <c r="X111">
        <f>HYPERLINK("https://klasma.github.io/Logging_2283/tillsyn/A 57317-2024 tillsynsbegäran.docx", "A 57317-2024")</f>
        <v/>
      </c>
      <c r="Y111">
        <f>HYPERLINK("https://klasma.github.io/Logging_2283/tillsynsmail/A 57317-2024 tillsynsbegäran mail.docx", "A 57317-2024")</f>
        <v/>
      </c>
      <c r="Z111">
        <f>HYPERLINK("https://klasma.github.io/Logging_2283/fåglar/A 57317-2024 prioriterade fågelarter.docx", "A 57317-2024")</f>
        <v/>
      </c>
    </row>
    <row r="112" ht="15" customHeight="1">
      <c r="A112" t="inlineStr">
        <is>
          <t>A 38294-2024</t>
        </is>
      </c>
      <c r="B112" s="1" t="n">
        <v>45545</v>
      </c>
      <c r="C112" s="1" t="n">
        <v>46199</v>
      </c>
      <c r="D112" t="inlineStr">
        <is>
          <t>VÄSTERNORRLANDS LÄN</t>
        </is>
      </c>
      <c r="E112" t="inlineStr">
        <is>
          <t>SOLLEFTEÅ</t>
        </is>
      </c>
      <c r="F112" t="inlineStr">
        <is>
          <t>Kommuner</t>
        </is>
      </c>
      <c r="G112" t="n">
        <v>18.8</v>
      </c>
      <c r="H112" t="n">
        <v>5</v>
      </c>
      <c r="I112" t="n">
        <v>0</v>
      </c>
      <c r="J112" t="n">
        <v>3</v>
      </c>
      <c r="K112" t="n">
        <v>2</v>
      </c>
      <c r="L112" t="n">
        <v>0</v>
      </c>
      <c r="M112" t="n">
        <v>0</v>
      </c>
      <c r="N112" t="n">
        <v>0</v>
      </c>
      <c r="O112" t="n">
        <v>5</v>
      </c>
      <c r="P112" t="n">
        <v>2</v>
      </c>
      <c r="Q112" t="n">
        <v>7</v>
      </c>
      <c r="R112" s="2" t="inlineStr">
        <is>
          <t>Garnlav
Knärot
Talltita
Tretåig hackspett
Ullticka
Spillkråka
Revlummer</t>
        </is>
      </c>
      <c r="S112">
        <f>HYPERLINK("https://klasma.github.io/Logging_2283/artfynd/A 38294-2024 artfynd.xlsx", "A 38294-2024")</f>
        <v/>
      </c>
      <c r="T112">
        <f>HYPERLINK("https://klasma.github.io/Logging_2283/kartor/A 38294-2024 karta.png", "A 38294-2024")</f>
        <v/>
      </c>
      <c r="U112">
        <f>HYPERLINK("https://klasma.github.io/Logging_2283/knärot/A 38294-2024 karta knärot.png", "A 38294-2024")</f>
        <v/>
      </c>
      <c r="V112">
        <f>HYPERLINK("https://klasma.github.io/Logging_2283/klagomål/A 38294-2024 FSC-klagomål.docx", "A 38294-2024")</f>
        <v/>
      </c>
      <c r="W112">
        <f>HYPERLINK("https://klasma.github.io/Logging_2283/klagomålsmail/A 38294-2024 FSC-klagomål mail.docx", "A 38294-2024")</f>
        <v/>
      </c>
      <c r="X112">
        <f>HYPERLINK("https://klasma.github.io/Logging_2283/tillsyn/A 38294-2024 tillsynsbegäran.docx", "A 38294-2024")</f>
        <v/>
      </c>
      <c r="Y112">
        <f>HYPERLINK("https://klasma.github.io/Logging_2283/tillsynsmail/A 38294-2024 tillsynsbegäran mail.docx", "A 38294-2024")</f>
        <v/>
      </c>
      <c r="Z112">
        <f>HYPERLINK("https://klasma.github.io/Logging_2283/fåglar/A 38294-2024 prioriterade fågelarter.docx", "A 38294-2024")</f>
        <v/>
      </c>
    </row>
    <row r="113" ht="15" customHeight="1">
      <c r="A113" t="inlineStr">
        <is>
          <t>A 3222-2026</t>
        </is>
      </c>
      <c r="B113" s="1" t="n">
        <v>46041</v>
      </c>
      <c r="C113" s="1" t="n">
        <v>46199</v>
      </c>
      <c r="D113" t="inlineStr">
        <is>
          <t>VÄSTERNORRLANDS LÄN</t>
        </is>
      </c>
      <c r="E113" t="inlineStr">
        <is>
          <t>SOLLEFTEÅ</t>
        </is>
      </c>
      <c r="F113" t="inlineStr">
        <is>
          <t>SCA</t>
        </is>
      </c>
      <c r="G113" t="n">
        <v>11.7</v>
      </c>
      <c r="H113" t="n">
        <v>4</v>
      </c>
      <c r="I113" t="n">
        <v>1</v>
      </c>
      <c r="J113" t="n">
        <v>4</v>
      </c>
      <c r="K113" t="n">
        <v>1</v>
      </c>
      <c r="L113" t="n">
        <v>0</v>
      </c>
      <c r="M113" t="n">
        <v>0</v>
      </c>
      <c r="N113" t="n">
        <v>0</v>
      </c>
      <c r="O113" t="n">
        <v>5</v>
      </c>
      <c r="P113" t="n">
        <v>1</v>
      </c>
      <c r="Q113" t="n">
        <v>7</v>
      </c>
      <c r="R113" s="2" t="inlineStr">
        <is>
          <t>Garnlav
Harticka
Skogshare
Talltita
Tretåig hackspett
Lappranunkel
Järpe</t>
        </is>
      </c>
      <c r="S113">
        <f>HYPERLINK("https://klasma.github.io/Logging_2283/artfynd/A 3222-2026 artfynd.xlsx", "A 3222-2026")</f>
        <v/>
      </c>
      <c r="T113">
        <f>HYPERLINK("https://klasma.github.io/Logging_2283/kartor/A 3222-2026 karta.png", "A 3222-2026")</f>
        <v/>
      </c>
      <c r="V113">
        <f>HYPERLINK("https://klasma.github.io/Logging_2283/klagomål/A 3222-2026 FSC-klagomål.docx", "A 3222-2026")</f>
        <v/>
      </c>
      <c r="W113">
        <f>HYPERLINK("https://klasma.github.io/Logging_2283/klagomålsmail/A 3222-2026 FSC-klagomål mail.docx", "A 3222-2026")</f>
        <v/>
      </c>
      <c r="X113">
        <f>HYPERLINK("https://klasma.github.io/Logging_2283/tillsyn/A 3222-2026 tillsynsbegäran.docx", "A 3222-2026")</f>
        <v/>
      </c>
      <c r="Y113">
        <f>HYPERLINK("https://klasma.github.io/Logging_2283/tillsynsmail/A 3222-2026 tillsynsbegäran mail.docx", "A 3222-2026")</f>
        <v/>
      </c>
      <c r="Z113">
        <f>HYPERLINK("https://klasma.github.io/Logging_2283/fåglar/A 3222-2026 prioriterade fågelarter.docx", "A 3222-2026")</f>
        <v/>
      </c>
    </row>
    <row r="114" ht="15" customHeight="1">
      <c r="A114" t="inlineStr">
        <is>
          <t>A 26341-2025</t>
        </is>
      </c>
      <c r="B114" s="1" t="n">
        <v>45805</v>
      </c>
      <c r="C114" s="1" t="n">
        <v>46199</v>
      </c>
      <c r="D114" t="inlineStr">
        <is>
          <t>VÄSTERNORRLANDS LÄN</t>
        </is>
      </c>
      <c r="E114" t="inlineStr">
        <is>
          <t>SOLLEFTEÅ</t>
        </is>
      </c>
      <c r="F114" t="inlineStr">
        <is>
          <t>SCA</t>
        </is>
      </c>
      <c r="G114" t="n">
        <v>3.2</v>
      </c>
      <c r="H114" t="n">
        <v>5</v>
      </c>
      <c r="I114" t="n">
        <v>0</v>
      </c>
      <c r="J114" t="n">
        <v>5</v>
      </c>
      <c r="K114" t="n">
        <v>1</v>
      </c>
      <c r="L114" t="n">
        <v>0</v>
      </c>
      <c r="M114" t="n">
        <v>0</v>
      </c>
      <c r="N114" t="n">
        <v>0</v>
      </c>
      <c r="O114" t="n">
        <v>6</v>
      </c>
      <c r="P114" t="n">
        <v>1</v>
      </c>
      <c r="Q114" t="n">
        <v>7</v>
      </c>
      <c r="R114" s="2" t="inlineStr">
        <is>
          <t>Knärot
Lavskrika
Lunglav
Motaggsvamp
Talltita
Tretåig hackspett
Tjäder</t>
        </is>
      </c>
      <c r="S114">
        <f>HYPERLINK("https://klasma.github.io/Logging_2283/artfynd/A 26341-2025 artfynd.xlsx", "A 26341-2025")</f>
        <v/>
      </c>
      <c r="T114">
        <f>HYPERLINK("https://klasma.github.io/Logging_2283/kartor/A 26341-2025 karta.png", "A 26341-2025")</f>
        <v/>
      </c>
      <c r="U114">
        <f>HYPERLINK("https://klasma.github.io/Logging_2283/knärot/A 26341-2025 karta knärot.png", "A 26341-2025")</f>
        <v/>
      </c>
      <c r="V114">
        <f>HYPERLINK("https://klasma.github.io/Logging_2283/klagomål/A 26341-2025 FSC-klagomål.docx", "A 26341-2025")</f>
        <v/>
      </c>
      <c r="W114">
        <f>HYPERLINK("https://klasma.github.io/Logging_2283/klagomålsmail/A 26341-2025 FSC-klagomål mail.docx", "A 26341-2025")</f>
        <v/>
      </c>
      <c r="X114">
        <f>HYPERLINK("https://klasma.github.io/Logging_2283/tillsyn/A 26341-2025 tillsynsbegäran.docx", "A 26341-2025")</f>
        <v/>
      </c>
      <c r="Y114">
        <f>HYPERLINK("https://klasma.github.io/Logging_2283/tillsynsmail/A 26341-2025 tillsynsbegäran mail.docx", "A 26341-2025")</f>
        <v/>
      </c>
      <c r="Z114">
        <f>HYPERLINK("https://klasma.github.io/Logging_2283/fåglar/A 26341-2025 prioriterade fågelarter.docx", "A 26341-2025")</f>
        <v/>
      </c>
    </row>
    <row r="115" ht="15" customHeight="1">
      <c r="A115" t="inlineStr">
        <is>
          <t>A 55422-2024</t>
        </is>
      </c>
      <c r="B115" s="1" t="n">
        <v>45622</v>
      </c>
      <c r="C115" s="1" t="n">
        <v>46199</v>
      </c>
      <c r="D115" t="inlineStr">
        <is>
          <t>VÄSTERNORRLANDS LÄN</t>
        </is>
      </c>
      <c r="E115" t="inlineStr">
        <is>
          <t>SOLLEFTEÅ</t>
        </is>
      </c>
      <c r="F115" t="inlineStr">
        <is>
          <t>SCA</t>
        </is>
      </c>
      <c r="G115" t="n">
        <v>1.8</v>
      </c>
      <c r="H115" t="n">
        <v>2</v>
      </c>
      <c r="I115" t="n">
        <v>0</v>
      </c>
      <c r="J115" t="n">
        <v>4</v>
      </c>
      <c r="K115" t="n">
        <v>1</v>
      </c>
      <c r="L115" t="n">
        <v>0</v>
      </c>
      <c r="M115" t="n">
        <v>0</v>
      </c>
      <c r="N115" t="n">
        <v>0</v>
      </c>
      <c r="O115" t="n">
        <v>5</v>
      </c>
      <c r="P115" t="n">
        <v>1</v>
      </c>
      <c r="Q115" t="n">
        <v>7</v>
      </c>
      <c r="R115" s="2" t="inlineStr">
        <is>
          <t>Garnlav
Lunglav
Rosenticka
Tallticka
Ullticka
Järpe
Spillkråka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20949-2022</t>
        </is>
      </c>
      <c r="B116" s="1" t="n">
        <v>44701</v>
      </c>
      <c r="C116" s="1" t="n">
        <v>46199</v>
      </c>
      <c r="D116" t="inlineStr">
        <is>
          <t>VÄSTERNORRLANDS LÄN</t>
        </is>
      </c>
      <c r="E116" t="inlineStr">
        <is>
          <t>SOLLEFTEÅ</t>
        </is>
      </c>
      <c r="F116" t="inlineStr">
        <is>
          <t>SCA</t>
        </is>
      </c>
      <c r="G116" t="n">
        <v>2.2</v>
      </c>
      <c r="H116" t="n">
        <v>1</v>
      </c>
      <c r="I116" t="n">
        <v>0</v>
      </c>
      <c r="J116" t="n">
        <v>5</v>
      </c>
      <c r="K116" t="n">
        <v>1</v>
      </c>
      <c r="L116" t="n">
        <v>0</v>
      </c>
      <c r="M116" t="n">
        <v>0</v>
      </c>
      <c r="N116" t="n">
        <v>0</v>
      </c>
      <c r="O116" t="n">
        <v>6</v>
      </c>
      <c r="P116" t="n">
        <v>1</v>
      </c>
      <c r="Q116" t="n">
        <v>6</v>
      </c>
      <c r="R116" s="2" t="inlineStr">
        <is>
          <t>Garnlav
Kolflarnlav
Lunglav
Skrovellav
Tretåig hackspett
Vedskivlav</t>
        </is>
      </c>
      <c r="S116">
        <f>HYPERLINK("https://klasma.github.io/Logging_2283/artfynd/A 20949-2022 artfynd.xlsx", "A 20949-2022")</f>
        <v/>
      </c>
      <c r="T116">
        <f>HYPERLINK("https://klasma.github.io/Logging_2283/kartor/A 20949-2022 karta.png", "A 20949-2022")</f>
        <v/>
      </c>
      <c r="V116">
        <f>HYPERLINK("https://klasma.github.io/Logging_2283/klagomål/A 20949-2022 FSC-klagomål.docx", "A 20949-2022")</f>
        <v/>
      </c>
      <c r="W116">
        <f>HYPERLINK("https://klasma.github.io/Logging_2283/klagomålsmail/A 20949-2022 FSC-klagomål mail.docx", "A 20949-2022")</f>
        <v/>
      </c>
      <c r="X116">
        <f>HYPERLINK("https://klasma.github.io/Logging_2283/tillsyn/A 20949-2022 tillsynsbegäran.docx", "A 20949-2022")</f>
        <v/>
      </c>
      <c r="Y116">
        <f>HYPERLINK("https://klasma.github.io/Logging_2283/tillsynsmail/A 20949-2022 tillsynsbegäran mail.docx", "A 20949-2022")</f>
        <v/>
      </c>
      <c r="Z116">
        <f>HYPERLINK("https://klasma.github.io/Logging_2283/fåglar/A 20949-2022 prioriterade fågelarter.docx", "A 20949-2022")</f>
        <v/>
      </c>
    </row>
    <row r="117" ht="15" customHeight="1">
      <c r="A117" t="inlineStr">
        <is>
          <t>A 16087-2022</t>
        </is>
      </c>
      <c r="B117" s="1" t="n">
        <v>44665</v>
      </c>
      <c r="C117" s="1" t="n">
        <v>46199</v>
      </c>
      <c r="D117" t="inlineStr">
        <is>
          <t>VÄSTERNORRLANDS LÄN</t>
        </is>
      </c>
      <c r="E117" t="inlineStr">
        <is>
          <t>SOLLEFTEÅ</t>
        </is>
      </c>
      <c r="F117" t="inlineStr">
        <is>
          <t>Holmen skog AB</t>
        </is>
      </c>
      <c r="G117" t="n">
        <v>7.5</v>
      </c>
      <c r="H117" t="n">
        <v>0</v>
      </c>
      <c r="I117" t="n">
        <v>0</v>
      </c>
      <c r="J117" t="n">
        <v>3</v>
      </c>
      <c r="K117" t="n">
        <v>2</v>
      </c>
      <c r="L117" t="n">
        <v>1</v>
      </c>
      <c r="M117" t="n">
        <v>0</v>
      </c>
      <c r="N117" t="n">
        <v>0</v>
      </c>
      <c r="O117" t="n">
        <v>6</v>
      </c>
      <c r="P117" t="n">
        <v>3</v>
      </c>
      <c r="Q117" t="n">
        <v>6</v>
      </c>
      <c r="R117" s="2" t="inlineStr">
        <is>
          <t>Bitter taggsvamp
Goliatmusseron
Skrovlig taggsvamp
Blå taggsvamp
Orange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11490-2022</t>
        </is>
      </c>
      <c r="B118" s="1" t="n">
        <v>44630</v>
      </c>
      <c r="C118" s="1" t="n">
        <v>46199</v>
      </c>
      <c r="D118" t="inlineStr">
        <is>
          <t>VÄSTERNORRLANDS LÄN</t>
        </is>
      </c>
      <c r="E118" t="inlineStr">
        <is>
          <t>SOLLEFTEÅ</t>
        </is>
      </c>
      <c r="F118" t="inlineStr">
        <is>
          <t>SCA</t>
        </is>
      </c>
      <c r="G118" t="n">
        <v>2</v>
      </c>
      <c r="H118" t="n">
        <v>3</v>
      </c>
      <c r="I118" t="n">
        <v>0</v>
      </c>
      <c r="J118" t="n">
        <v>3</v>
      </c>
      <c r="K118" t="n">
        <v>1</v>
      </c>
      <c r="L118" t="n">
        <v>0</v>
      </c>
      <c r="M118" t="n">
        <v>0</v>
      </c>
      <c r="N118" t="n">
        <v>0</v>
      </c>
      <c r="O118" t="n">
        <v>4</v>
      </c>
      <c r="P118" t="n">
        <v>1</v>
      </c>
      <c r="Q118" t="n">
        <v>6</v>
      </c>
      <c r="R118" s="2" t="inlineStr">
        <is>
          <t>Garnlav
Lunglav
Tretåig hackspett
Ullticka
Spillkråka
Tjäder</t>
        </is>
      </c>
      <c r="S118">
        <f>HYPERLINK("https://klasma.github.io/Logging_2283/artfynd/A 11490-2022 artfynd.xlsx", "A 11490-2022")</f>
        <v/>
      </c>
      <c r="T118">
        <f>HYPERLINK("https://klasma.github.io/Logging_2283/kartor/A 11490-2022 karta.png", "A 11490-2022")</f>
        <v/>
      </c>
      <c r="V118">
        <f>HYPERLINK("https://klasma.github.io/Logging_2283/klagomål/A 11490-2022 FSC-klagomål.docx", "A 11490-2022")</f>
        <v/>
      </c>
      <c r="W118">
        <f>HYPERLINK("https://klasma.github.io/Logging_2283/klagomålsmail/A 11490-2022 FSC-klagomål mail.docx", "A 11490-2022")</f>
        <v/>
      </c>
      <c r="X118">
        <f>HYPERLINK("https://klasma.github.io/Logging_2283/tillsyn/A 11490-2022 tillsynsbegäran.docx", "A 11490-2022")</f>
        <v/>
      </c>
      <c r="Y118">
        <f>HYPERLINK("https://klasma.github.io/Logging_2283/tillsynsmail/A 11490-2022 tillsynsbegäran mail.docx", "A 11490-2022")</f>
        <v/>
      </c>
      <c r="Z118">
        <f>HYPERLINK("https://klasma.github.io/Logging_2283/fåglar/A 11490-2022 prioriterade fågelarter.docx", "A 11490-2022")</f>
        <v/>
      </c>
    </row>
    <row r="119" ht="15" customHeight="1">
      <c r="A119" t="inlineStr">
        <is>
          <t>A 41666-2024</t>
        </is>
      </c>
      <c r="B119" s="1" t="n">
        <v>45560</v>
      </c>
      <c r="C119" s="1" t="n">
        <v>46199</v>
      </c>
      <c r="D119" t="inlineStr">
        <is>
          <t>VÄSTERNORRLANDS LÄN</t>
        </is>
      </c>
      <c r="E119" t="inlineStr">
        <is>
          <t>SOLLEFTEÅ</t>
        </is>
      </c>
      <c r="G119" t="n">
        <v>1</v>
      </c>
      <c r="H119" t="n">
        <v>1</v>
      </c>
      <c r="I119" t="n">
        <v>1</v>
      </c>
      <c r="J119" t="n">
        <v>4</v>
      </c>
      <c r="K119" t="n">
        <v>0</v>
      </c>
      <c r="L119" t="n">
        <v>0</v>
      </c>
      <c r="M119" t="n">
        <v>0</v>
      </c>
      <c r="N119" t="n">
        <v>0</v>
      </c>
      <c r="O119" t="n">
        <v>4</v>
      </c>
      <c r="P119" t="n">
        <v>0</v>
      </c>
      <c r="Q119" t="n">
        <v>6</v>
      </c>
      <c r="R119" s="2" t="inlineStr">
        <is>
          <t>Lunglav
Rosenticka
Rynkskinn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7334-2025</t>
        </is>
      </c>
      <c r="B120" s="1" t="n">
        <v>45703</v>
      </c>
      <c r="C120" s="1" t="n">
        <v>46199</v>
      </c>
      <c r="D120" t="inlineStr">
        <is>
          <t>VÄSTERNORRLANDS LÄN</t>
        </is>
      </c>
      <c r="E120" t="inlineStr">
        <is>
          <t>SOLLEFTEÅ</t>
        </is>
      </c>
      <c r="G120" t="n">
        <v>2.2</v>
      </c>
      <c r="H120" t="n">
        <v>4</v>
      </c>
      <c r="I120" t="n">
        <v>2</v>
      </c>
      <c r="J120" t="n">
        <v>3</v>
      </c>
      <c r="K120" t="n">
        <v>0</v>
      </c>
      <c r="L120" t="n">
        <v>0</v>
      </c>
      <c r="M120" t="n">
        <v>0</v>
      </c>
      <c r="N120" t="n">
        <v>0</v>
      </c>
      <c r="O120" t="n">
        <v>3</v>
      </c>
      <c r="P120" t="n">
        <v>0</v>
      </c>
      <c r="Q120" t="n">
        <v>6</v>
      </c>
      <c r="R120" s="2" t="inlineStr">
        <is>
          <t>Björktrast
Gulsparv
Rödvingetrast
Skinnlav
Stor aspticka
Revlummer</t>
        </is>
      </c>
      <c r="S120">
        <f>HYPERLINK("https://klasma.github.io/Logging_2283/artfynd/A 7334-2025 artfynd.xlsx", "A 7334-2025")</f>
        <v/>
      </c>
      <c r="T120">
        <f>HYPERLINK("https://klasma.github.io/Logging_2283/kartor/A 7334-2025 karta.png", "A 7334-2025")</f>
        <v/>
      </c>
      <c r="V120">
        <f>HYPERLINK("https://klasma.github.io/Logging_2283/klagomål/A 7334-2025 FSC-klagomål.docx", "A 7334-2025")</f>
        <v/>
      </c>
      <c r="W120">
        <f>HYPERLINK("https://klasma.github.io/Logging_2283/klagomålsmail/A 7334-2025 FSC-klagomål mail.docx", "A 7334-2025")</f>
        <v/>
      </c>
      <c r="X120">
        <f>HYPERLINK("https://klasma.github.io/Logging_2283/tillsyn/A 7334-2025 tillsynsbegäran.docx", "A 7334-2025")</f>
        <v/>
      </c>
      <c r="Y120">
        <f>HYPERLINK("https://klasma.github.io/Logging_2283/tillsynsmail/A 7334-2025 tillsynsbegäran mail.docx", "A 7334-2025")</f>
        <v/>
      </c>
      <c r="Z120">
        <f>HYPERLINK("https://klasma.github.io/Logging_2283/fåglar/A 7334-2025 prioriterade fågelarter.docx", "A 7334-2025")</f>
        <v/>
      </c>
    </row>
    <row r="121" ht="15" customHeight="1">
      <c r="A121" t="inlineStr">
        <is>
          <t>A 61481-2021</t>
        </is>
      </c>
      <c r="B121" s="1" t="n">
        <v>44500</v>
      </c>
      <c r="C121" s="1" t="n">
        <v>46199</v>
      </c>
      <c r="D121" t="inlineStr">
        <is>
          <t>VÄSTERNORRLANDS LÄN</t>
        </is>
      </c>
      <c r="E121" t="inlineStr">
        <is>
          <t>SOLLEFTEÅ</t>
        </is>
      </c>
      <c r="F121" t="inlineStr">
        <is>
          <t>SCA</t>
        </is>
      </c>
      <c r="G121" t="n">
        <v>6.8</v>
      </c>
      <c r="H121" t="n">
        <v>0</v>
      </c>
      <c r="I121" t="n">
        <v>1</v>
      </c>
      <c r="J121" t="n">
        <v>3</v>
      </c>
      <c r="K121" t="n">
        <v>2</v>
      </c>
      <c r="L121" t="n">
        <v>0</v>
      </c>
      <c r="M121" t="n">
        <v>0</v>
      </c>
      <c r="N121" t="n">
        <v>0</v>
      </c>
      <c r="O121" t="n">
        <v>5</v>
      </c>
      <c r="P121" t="n">
        <v>2</v>
      </c>
      <c r="Q121" t="n">
        <v>6</v>
      </c>
      <c r="R121" s="2" t="inlineStr">
        <is>
          <t>Garnlav
Grantickeporing
Lunglav
Skrovellav
Ullticka
Kambräken</t>
        </is>
      </c>
      <c r="S121">
        <f>HYPERLINK("https://klasma.github.io/Logging_2283/artfynd/A 61481-2021 artfynd.xlsx", "A 61481-2021")</f>
        <v/>
      </c>
      <c r="T121">
        <f>HYPERLINK("https://klasma.github.io/Logging_2283/kartor/A 61481-2021 karta.png", "A 61481-2021")</f>
        <v/>
      </c>
      <c r="V121">
        <f>HYPERLINK("https://klasma.github.io/Logging_2283/klagomål/A 61481-2021 FSC-klagomål.docx", "A 61481-2021")</f>
        <v/>
      </c>
      <c r="W121">
        <f>HYPERLINK("https://klasma.github.io/Logging_2283/klagomålsmail/A 61481-2021 FSC-klagomål mail.docx", "A 61481-2021")</f>
        <v/>
      </c>
      <c r="X121">
        <f>HYPERLINK("https://klasma.github.io/Logging_2283/tillsyn/A 61481-2021 tillsynsbegäran.docx", "A 61481-2021")</f>
        <v/>
      </c>
      <c r="Y121">
        <f>HYPERLINK("https://klasma.github.io/Logging_2283/tillsynsmail/A 61481-2021 tillsynsbegäran mail.docx", "A 61481-2021")</f>
        <v/>
      </c>
    </row>
    <row r="122" ht="15" customHeight="1">
      <c r="A122" t="inlineStr">
        <is>
          <t>A 57010-2023</t>
        </is>
      </c>
      <c r="B122" s="1" t="n">
        <v>45239</v>
      </c>
      <c r="C122" s="1" t="n">
        <v>46199</v>
      </c>
      <c r="D122" t="inlineStr">
        <is>
          <t>VÄSTERNORRLANDS LÄN</t>
        </is>
      </c>
      <c r="E122" t="inlineStr">
        <is>
          <t>SOLLEFTEÅ</t>
        </is>
      </c>
      <c r="G122" t="n">
        <v>1.6</v>
      </c>
      <c r="H122" t="n">
        <v>4</v>
      </c>
      <c r="I122" t="n">
        <v>0</v>
      </c>
      <c r="J122" t="n">
        <v>4</v>
      </c>
      <c r="K122" t="n">
        <v>2</v>
      </c>
      <c r="L122" t="n">
        <v>0</v>
      </c>
      <c r="M122" t="n">
        <v>0</v>
      </c>
      <c r="N122" t="n">
        <v>0</v>
      </c>
      <c r="O122" t="n">
        <v>6</v>
      </c>
      <c r="P122" t="n">
        <v>2</v>
      </c>
      <c r="Q122" t="n">
        <v>6</v>
      </c>
      <c r="R122" s="2" t="inlineStr">
        <is>
          <t>Garnlav
Knärot
Björktrast
Lunglav
Talltita
Tretåig hackspett</t>
        </is>
      </c>
      <c r="S122">
        <f>HYPERLINK("https://klasma.github.io/Logging_2283/artfynd/A 57010-2023 artfynd.xlsx", "A 57010-2023")</f>
        <v/>
      </c>
      <c r="T122">
        <f>HYPERLINK("https://klasma.github.io/Logging_2283/kartor/A 57010-2023 karta.png", "A 57010-2023")</f>
        <v/>
      </c>
      <c r="U122">
        <f>HYPERLINK("https://klasma.github.io/Logging_2283/knärot/A 57010-2023 karta knärot.png", "A 57010-2023")</f>
        <v/>
      </c>
      <c r="V122">
        <f>HYPERLINK("https://klasma.github.io/Logging_2283/klagomål/A 57010-2023 FSC-klagomål.docx", "A 57010-2023")</f>
        <v/>
      </c>
      <c r="W122">
        <f>HYPERLINK("https://klasma.github.io/Logging_2283/klagomålsmail/A 57010-2023 FSC-klagomål mail.docx", "A 57010-2023")</f>
        <v/>
      </c>
      <c r="X122">
        <f>HYPERLINK("https://klasma.github.io/Logging_2283/tillsyn/A 57010-2023 tillsynsbegäran.docx", "A 57010-2023")</f>
        <v/>
      </c>
      <c r="Y122">
        <f>HYPERLINK("https://klasma.github.io/Logging_2283/tillsynsmail/A 57010-2023 tillsynsbegäran mail.docx", "A 57010-2023")</f>
        <v/>
      </c>
      <c r="Z122">
        <f>HYPERLINK("https://klasma.github.io/Logging_2283/fåglar/A 57010-2023 prioriterade fågelarter.docx", "A 57010-2023")</f>
        <v/>
      </c>
    </row>
    <row r="123" ht="15" customHeight="1">
      <c r="A123" t="inlineStr">
        <is>
          <t>A 23319-2025</t>
        </is>
      </c>
      <c r="B123" s="1" t="n">
        <v>45791</v>
      </c>
      <c r="C123" s="1" t="n">
        <v>46199</v>
      </c>
      <c r="D123" t="inlineStr">
        <is>
          <t>VÄSTERNORRLANDS LÄN</t>
        </is>
      </c>
      <c r="E123" t="inlineStr">
        <is>
          <t>SOLLEFTEÅ</t>
        </is>
      </c>
      <c r="F123" t="inlineStr">
        <is>
          <t>SCA</t>
        </is>
      </c>
      <c r="G123" t="n">
        <v>5.3</v>
      </c>
      <c r="H123" t="n">
        <v>2</v>
      </c>
      <c r="I123" t="n">
        <v>3</v>
      </c>
      <c r="J123" t="n">
        <v>2</v>
      </c>
      <c r="K123" t="n">
        <v>0</v>
      </c>
      <c r="L123" t="n">
        <v>0</v>
      </c>
      <c r="M123" t="n">
        <v>0</v>
      </c>
      <c r="N123" t="n">
        <v>0</v>
      </c>
      <c r="O123" t="n">
        <v>2</v>
      </c>
      <c r="P123" t="n">
        <v>0</v>
      </c>
      <c r="Q123" t="n">
        <v>6</v>
      </c>
      <c r="R123" s="2" t="inlineStr">
        <is>
          <t>Dvärgbägarlav
Lunglav
Plattlummer
Skinnlav
Stor aspticka
Revlummer</t>
        </is>
      </c>
      <c r="S123">
        <f>HYPERLINK("https://klasma.github.io/Logging_2283/artfynd/A 23319-2025 artfynd.xlsx", "A 23319-2025")</f>
        <v/>
      </c>
      <c r="T123">
        <f>HYPERLINK("https://klasma.github.io/Logging_2283/kartor/A 23319-2025 karta.png", "A 23319-2025")</f>
        <v/>
      </c>
      <c r="V123">
        <f>HYPERLINK("https://klasma.github.io/Logging_2283/klagomål/A 23319-2025 FSC-klagomål.docx", "A 23319-2025")</f>
        <v/>
      </c>
      <c r="W123">
        <f>HYPERLINK("https://klasma.github.io/Logging_2283/klagomålsmail/A 23319-2025 FSC-klagomål mail.docx", "A 23319-2025")</f>
        <v/>
      </c>
      <c r="X123">
        <f>HYPERLINK("https://klasma.github.io/Logging_2283/tillsyn/A 23319-2025 tillsynsbegäran.docx", "A 23319-2025")</f>
        <v/>
      </c>
      <c r="Y123">
        <f>HYPERLINK("https://klasma.github.io/Logging_2283/tillsynsmail/A 23319-2025 tillsynsbegäran mail.docx", "A 23319-2025")</f>
        <v/>
      </c>
    </row>
    <row r="124" ht="15" customHeight="1">
      <c r="A124" t="inlineStr">
        <is>
          <t>A 35406-2024</t>
        </is>
      </c>
      <c r="B124" s="1" t="n">
        <v>45531</v>
      </c>
      <c r="C124" s="1" t="n">
        <v>46199</v>
      </c>
      <c r="D124" t="inlineStr">
        <is>
          <t>VÄSTERNORRLANDS LÄN</t>
        </is>
      </c>
      <c r="E124" t="inlineStr">
        <is>
          <t>SOLLEFTEÅ</t>
        </is>
      </c>
      <c r="F124" t="inlineStr">
        <is>
          <t>SCA</t>
        </is>
      </c>
      <c r="G124" t="n">
        <v>3.5</v>
      </c>
      <c r="H124" t="n">
        <v>0</v>
      </c>
      <c r="I124" t="n">
        <v>0</v>
      </c>
      <c r="J124" t="n">
        <v>5</v>
      </c>
      <c r="K124" t="n">
        <v>1</v>
      </c>
      <c r="L124" t="n">
        <v>0</v>
      </c>
      <c r="M124" t="n">
        <v>0</v>
      </c>
      <c r="N124" t="n">
        <v>0</v>
      </c>
      <c r="O124" t="n">
        <v>6</v>
      </c>
      <c r="P124" t="n">
        <v>1</v>
      </c>
      <c r="Q124" t="n">
        <v>6</v>
      </c>
      <c r="R124" s="2" t="inlineStr">
        <is>
          <t>Skrovlig taggsvamp
Blå taggsvamp
Dropptaggsvamp
Kolflarnlav
Orange 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44797-2025</t>
        </is>
      </c>
      <c r="B125" s="1" t="n">
        <v>45918</v>
      </c>
      <c r="C125" s="1" t="n">
        <v>46199</v>
      </c>
      <c r="D125" t="inlineStr">
        <is>
          <t>VÄSTERNORRLANDS LÄN</t>
        </is>
      </c>
      <c r="E125" t="inlineStr">
        <is>
          <t>SOLLEFTEÅ</t>
        </is>
      </c>
      <c r="F125" t="inlineStr">
        <is>
          <t>SCA</t>
        </is>
      </c>
      <c r="G125" t="n">
        <v>2.4</v>
      </c>
      <c r="H125" t="n">
        <v>0</v>
      </c>
      <c r="I125" t="n">
        <v>0</v>
      </c>
      <c r="J125" t="n">
        <v>4</v>
      </c>
      <c r="K125" t="n">
        <v>2</v>
      </c>
      <c r="L125" t="n">
        <v>0</v>
      </c>
      <c r="M125" t="n">
        <v>0</v>
      </c>
      <c r="N125" t="n">
        <v>0</v>
      </c>
      <c r="O125" t="n">
        <v>6</v>
      </c>
      <c r="P125" t="n">
        <v>2</v>
      </c>
      <c r="Q125" t="n">
        <v>6</v>
      </c>
      <c r="R125" s="2" t="inlineStr">
        <is>
          <t>Goliatmusseron
Skrovlig taggsvamp
Dvärgbägarlav
Orange taggsvamp
Skarp dropptaggsvamp
Vedflamlav</t>
        </is>
      </c>
      <c r="S125">
        <f>HYPERLINK("https://klasma.github.io/Logging_2283/artfynd/A 44797-2025 artfynd.xlsx", "A 44797-2025")</f>
        <v/>
      </c>
      <c r="T125">
        <f>HYPERLINK("https://klasma.github.io/Logging_2283/kartor/A 44797-2025 karta.png", "A 44797-2025")</f>
        <v/>
      </c>
      <c r="V125">
        <f>HYPERLINK("https://klasma.github.io/Logging_2283/klagomål/A 44797-2025 FSC-klagomål.docx", "A 44797-2025")</f>
        <v/>
      </c>
      <c r="W125">
        <f>HYPERLINK("https://klasma.github.io/Logging_2283/klagomålsmail/A 44797-2025 FSC-klagomål mail.docx", "A 44797-2025")</f>
        <v/>
      </c>
      <c r="X125">
        <f>HYPERLINK("https://klasma.github.io/Logging_2283/tillsyn/A 44797-2025 tillsynsbegäran.docx", "A 44797-2025")</f>
        <v/>
      </c>
      <c r="Y125">
        <f>HYPERLINK("https://klasma.github.io/Logging_2283/tillsynsmail/A 44797-2025 tillsynsbegäran mail.docx", "A 44797-2025")</f>
        <v/>
      </c>
    </row>
    <row r="126" ht="15" customHeight="1">
      <c r="A126" t="inlineStr">
        <is>
          <t>A 29561-2025</t>
        </is>
      </c>
      <c r="B126" s="1" t="n">
        <v>45825</v>
      </c>
      <c r="C126" s="1" t="n">
        <v>46199</v>
      </c>
      <c r="D126" t="inlineStr">
        <is>
          <t>VÄSTERNORRLANDS LÄN</t>
        </is>
      </c>
      <c r="E126" t="inlineStr">
        <is>
          <t>SOLLEFTEÅ</t>
        </is>
      </c>
      <c r="F126" t="inlineStr">
        <is>
          <t>SCA</t>
        </is>
      </c>
      <c r="G126" t="n">
        <v>11.9</v>
      </c>
      <c r="H126" t="n">
        <v>0</v>
      </c>
      <c r="I126" t="n">
        <v>2</v>
      </c>
      <c r="J126" t="n">
        <v>3</v>
      </c>
      <c r="K126" t="n">
        <v>1</v>
      </c>
      <c r="L126" t="n">
        <v>0</v>
      </c>
      <c r="M126" t="n">
        <v>0</v>
      </c>
      <c r="N126" t="n">
        <v>0</v>
      </c>
      <c r="O126" t="n">
        <v>4</v>
      </c>
      <c r="P126" t="n">
        <v>1</v>
      </c>
      <c r="Q126" t="n">
        <v>6</v>
      </c>
      <c r="R126" s="2" t="inlineStr">
        <is>
          <t>Garnlav
Kolflarnlav
Lunglav
Vedskivlav
Korallblylav
Stuplav</t>
        </is>
      </c>
      <c r="S126">
        <f>HYPERLINK("https://klasma.github.io/Logging_2283/artfynd/A 29561-2025 artfynd.xlsx", "A 29561-2025")</f>
        <v/>
      </c>
      <c r="T126">
        <f>HYPERLINK("https://klasma.github.io/Logging_2283/kartor/A 29561-2025 karta.png", "A 29561-2025")</f>
        <v/>
      </c>
      <c r="V126">
        <f>HYPERLINK("https://klasma.github.io/Logging_2283/klagomål/A 29561-2025 FSC-klagomål.docx", "A 29561-2025")</f>
        <v/>
      </c>
      <c r="W126">
        <f>HYPERLINK("https://klasma.github.io/Logging_2283/klagomålsmail/A 29561-2025 FSC-klagomål mail.docx", "A 29561-2025")</f>
        <v/>
      </c>
      <c r="X126">
        <f>HYPERLINK("https://klasma.github.io/Logging_2283/tillsyn/A 29561-2025 tillsynsbegäran.docx", "A 29561-2025")</f>
        <v/>
      </c>
      <c r="Y126">
        <f>HYPERLINK("https://klasma.github.io/Logging_2283/tillsynsmail/A 29561-2025 tillsynsbegäran mail.docx", "A 29561-2025")</f>
        <v/>
      </c>
    </row>
    <row r="127" ht="15" customHeight="1">
      <c r="A127" t="inlineStr">
        <is>
          <t>A 59045-2022</t>
        </is>
      </c>
      <c r="B127" s="1" t="n">
        <v>44903</v>
      </c>
      <c r="C127" s="1" t="n">
        <v>46199</v>
      </c>
      <c r="D127" t="inlineStr">
        <is>
          <t>VÄSTERNORRLANDS LÄN</t>
        </is>
      </c>
      <c r="E127" t="inlineStr">
        <is>
          <t>SOLLEFTEÅ</t>
        </is>
      </c>
      <c r="F127" t="inlineStr">
        <is>
          <t>SCA</t>
        </is>
      </c>
      <c r="G127" t="n">
        <v>23.4</v>
      </c>
      <c r="H127" t="n">
        <v>1</v>
      </c>
      <c r="I127" t="n">
        <v>1</v>
      </c>
      <c r="J127" t="n">
        <v>4</v>
      </c>
      <c r="K127" t="n">
        <v>1</v>
      </c>
      <c r="L127" t="n">
        <v>0</v>
      </c>
      <c r="M127" t="n">
        <v>0</v>
      </c>
      <c r="N127" t="n">
        <v>0</v>
      </c>
      <c r="O127" t="n">
        <v>5</v>
      </c>
      <c r="P127" t="n">
        <v>1</v>
      </c>
      <c r="Q127" t="n">
        <v>6</v>
      </c>
      <c r="R127" s="2" t="inlineStr">
        <is>
          <t>Garnlav
Gammelgransskål
Lunglav
Tretåig hackspett
Ullticka
Strutbräken</t>
        </is>
      </c>
      <c r="S127">
        <f>HYPERLINK("https://klasma.github.io/Logging_2283/artfynd/A 59045-2022 artfynd.xlsx", "A 59045-2022")</f>
        <v/>
      </c>
      <c r="T127">
        <f>HYPERLINK("https://klasma.github.io/Logging_2283/kartor/A 59045-2022 karta.png", "A 59045-2022")</f>
        <v/>
      </c>
      <c r="V127">
        <f>HYPERLINK("https://klasma.github.io/Logging_2283/klagomål/A 59045-2022 FSC-klagomål.docx", "A 59045-2022")</f>
        <v/>
      </c>
      <c r="W127">
        <f>HYPERLINK("https://klasma.github.io/Logging_2283/klagomålsmail/A 59045-2022 FSC-klagomål mail.docx", "A 59045-2022")</f>
        <v/>
      </c>
      <c r="X127">
        <f>HYPERLINK("https://klasma.github.io/Logging_2283/tillsyn/A 59045-2022 tillsynsbegäran.docx", "A 59045-2022")</f>
        <v/>
      </c>
      <c r="Y127">
        <f>HYPERLINK("https://klasma.github.io/Logging_2283/tillsynsmail/A 59045-2022 tillsynsbegäran mail.docx", "A 59045-2022")</f>
        <v/>
      </c>
      <c r="Z127">
        <f>HYPERLINK("https://klasma.github.io/Logging_2283/fåglar/A 59045-2022 prioriterade fågelarter.docx", "A 59045-2022")</f>
        <v/>
      </c>
    </row>
    <row r="128" ht="15" customHeight="1">
      <c r="A128" t="inlineStr">
        <is>
          <t>A 31347-2025</t>
        </is>
      </c>
      <c r="B128" s="1" t="n">
        <v>45833</v>
      </c>
      <c r="C128" s="1" t="n">
        <v>46199</v>
      </c>
      <c r="D128" t="inlineStr">
        <is>
          <t>VÄSTERNORRLANDS LÄN</t>
        </is>
      </c>
      <c r="E128" t="inlineStr">
        <is>
          <t>SOLLEFTEÅ</t>
        </is>
      </c>
      <c r="F128" t="inlineStr">
        <is>
          <t>SCA</t>
        </is>
      </c>
      <c r="G128" t="n">
        <v>19.5</v>
      </c>
      <c r="H128" t="n">
        <v>5</v>
      </c>
      <c r="I128" t="n">
        <v>1</v>
      </c>
      <c r="J128" t="n">
        <v>1</v>
      </c>
      <c r="K128" t="n">
        <v>0</v>
      </c>
      <c r="L128" t="n">
        <v>0</v>
      </c>
      <c r="M128" t="n">
        <v>0</v>
      </c>
      <c r="N128" t="n">
        <v>0</v>
      </c>
      <c r="O128" t="n">
        <v>1</v>
      </c>
      <c r="P128" t="n">
        <v>0</v>
      </c>
      <c r="Q128" t="n">
        <v>6</v>
      </c>
      <c r="R128" s="2" t="inlineStr">
        <is>
          <t>Tretåig hackspett
Nästlav
Mattlummer
Tjäder
Orre
Vanlig groda</t>
        </is>
      </c>
      <c r="S128">
        <f>HYPERLINK("https://klasma.github.io/Logging_2283/artfynd/A 31347-2025 artfynd.xlsx", "A 31347-2025")</f>
        <v/>
      </c>
      <c r="T128">
        <f>HYPERLINK("https://klasma.github.io/Logging_2283/kartor/A 31347-2025 karta.png", "A 31347-2025")</f>
        <v/>
      </c>
      <c r="V128">
        <f>HYPERLINK("https://klasma.github.io/Logging_2283/klagomål/A 31347-2025 FSC-klagomål.docx", "A 31347-2025")</f>
        <v/>
      </c>
      <c r="W128">
        <f>HYPERLINK("https://klasma.github.io/Logging_2283/klagomålsmail/A 31347-2025 FSC-klagomål mail.docx", "A 31347-2025")</f>
        <v/>
      </c>
      <c r="X128">
        <f>HYPERLINK("https://klasma.github.io/Logging_2283/tillsyn/A 31347-2025 tillsynsbegäran.docx", "A 31347-2025")</f>
        <v/>
      </c>
      <c r="Y128">
        <f>HYPERLINK("https://klasma.github.io/Logging_2283/tillsynsmail/A 31347-2025 tillsynsbegäran mail.docx", "A 31347-2025")</f>
        <v/>
      </c>
      <c r="Z128">
        <f>HYPERLINK("https://klasma.github.io/Logging_2283/fåglar/A 31347-2025 prioriterade fågelarter.docx", "A 31347-2025")</f>
        <v/>
      </c>
    </row>
    <row r="129" ht="15" customHeight="1">
      <c r="A129" t="inlineStr">
        <is>
          <t>A 63038-2025</t>
        </is>
      </c>
      <c r="B129" s="1" t="n">
        <v>46009</v>
      </c>
      <c r="C129" s="1" t="n">
        <v>46199</v>
      </c>
      <c r="D129" t="inlineStr">
        <is>
          <t>VÄSTERNORRLANDS LÄN</t>
        </is>
      </c>
      <c r="E129" t="inlineStr">
        <is>
          <t>SOLLEFTEÅ</t>
        </is>
      </c>
      <c r="F129" t="inlineStr">
        <is>
          <t>SCA</t>
        </is>
      </c>
      <c r="G129" t="n">
        <v>2.4</v>
      </c>
      <c r="H129" t="n">
        <v>1</v>
      </c>
      <c r="I129" t="n">
        <v>1</v>
      </c>
      <c r="J129" t="n">
        <v>3</v>
      </c>
      <c r="K129" t="n">
        <v>1</v>
      </c>
      <c r="L129" t="n">
        <v>0</v>
      </c>
      <c r="M129" t="n">
        <v>0</v>
      </c>
      <c r="N129" t="n">
        <v>0</v>
      </c>
      <c r="O129" t="n">
        <v>4</v>
      </c>
      <c r="P129" t="n">
        <v>1</v>
      </c>
      <c r="Q129" t="n">
        <v>6</v>
      </c>
      <c r="R129" s="2" t="inlineStr">
        <is>
          <t>Garnlav
Gammelgransskål
Lunglav
Violettgrå tagellav
Stuplav
Fläcknycklar</t>
        </is>
      </c>
      <c r="S129">
        <f>HYPERLINK("https://klasma.github.io/Logging_2283/artfynd/A 63038-2025 artfynd.xlsx", "A 63038-2025")</f>
        <v/>
      </c>
      <c r="T129">
        <f>HYPERLINK("https://klasma.github.io/Logging_2283/kartor/A 63038-2025 karta.png", "A 63038-2025")</f>
        <v/>
      </c>
      <c r="V129">
        <f>HYPERLINK("https://klasma.github.io/Logging_2283/klagomål/A 63038-2025 FSC-klagomål.docx", "A 63038-2025")</f>
        <v/>
      </c>
      <c r="W129">
        <f>HYPERLINK("https://klasma.github.io/Logging_2283/klagomålsmail/A 63038-2025 FSC-klagomål mail.docx", "A 63038-2025")</f>
        <v/>
      </c>
      <c r="X129">
        <f>HYPERLINK("https://klasma.github.io/Logging_2283/tillsyn/A 63038-2025 tillsynsbegäran.docx", "A 63038-2025")</f>
        <v/>
      </c>
      <c r="Y129">
        <f>HYPERLINK("https://klasma.github.io/Logging_2283/tillsynsmail/A 63038-2025 tillsynsbegäran mail.docx", "A 63038-2025")</f>
        <v/>
      </c>
    </row>
    <row r="130" ht="15" customHeight="1">
      <c r="A130" t="inlineStr">
        <is>
          <t>A 49747-2025</t>
        </is>
      </c>
      <c r="B130" s="1" t="n">
        <v>45940</v>
      </c>
      <c r="C130" s="1" t="n">
        <v>46199</v>
      </c>
      <c r="D130" t="inlineStr">
        <is>
          <t>VÄSTERNORRLANDS LÄN</t>
        </is>
      </c>
      <c r="E130" t="inlineStr">
        <is>
          <t>SOLLEFTEÅ</t>
        </is>
      </c>
      <c r="F130" t="inlineStr">
        <is>
          <t>SCA</t>
        </is>
      </c>
      <c r="G130" t="n">
        <v>3.9</v>
      </c>
      <c r="H130" t="n">
        <v>2</v>
      </c>
      <c r="I130" t="n">
        <v>4</v>
      </c>
      <c r="J130" t="n">
        <v>0</v>
      </c>
      <c r="K130" t="n">
        <v>1</v>
      </c>
      <c r="L130" t="n">
        <v>0</v>
      </c>
      <c r="M130" t="n">
        <v>0</v>
      </c>
      <c r="N130" t="n">
        <v>0</v>
      </c>
      <c r="O130" t="n">
        <v>1</v>
      </c>
      <c r="P130" t="n">
        <v>1</v>
      </c>
      <c r="Q130" t="n">
        <v>6</v>
      </c>
      <c r="R130" s="2" t="inlineStr">
        <is>
          <t>Garnlav
Bollvitmossa
Lappranunkel
Norrlandslav
Vedticka
Spillkråka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33321-2025</t>
        </is>
      </c>
      <c r="B131" s="1" t="n">
        <v>45841</v>
      </c>
      <c r="C131" s="1" t="n">
        <v>46199</v>
      </c>
      <c r="D131" t="inlineStr">
        <is>
          <t>VÄSTERNORRLANDS LÄN</t>
        </is>
      </c>
      <c r="E131" t="inlineStr">
        <is>
          <t>SOLLEFTEÅ</t>
        </is>
      </c>
      <c r="F131" t="inlineStr">
        <is>
          <t>SCA</t>
        </is>
      </c>
      <c r="G131" t="n">
        <v>3</v>
      </c>
      <c r="H131" t="n">
        <v>3</v>
      </c>
      <c r="I131" t="n">
        <v>2</v>
      </c>
      <c r="J131" t="n">
        <v>0</v>
      </c>
      <c r="K131" t="n">
        <v>3</v>
      </c>
      <c r="L131" t="n">
        <v>0</v>
      </c>
      <c r="M131" t="n">
        <v>0</v>
      </c>
      <c r="N131" t="n">
        <v>0</v>
      </c>
      <c r="O131" t="n">
        <v>3</v>
      </c>
      <c r="P131" t="n">
        <v>3</v>
      </c>
      <c r="Q131" t="n">
        <v>6</v>
      </c>
      <c r="R131" s="2" t="inlineStr">
        <is>
          <t>Gräddporing
Knärot
Laxporing
Grönpyrola
Plattlummer
Revlummer</t>
        </is>
      </c>
      <c r="S131">
        <f>HYPERLINK("https://klasma.github.io/Logging_2283/artfynd/A 33321-2025 artfynd.xlsx", "A 33321-2025")</f>
        <v/>
      </c>
      <c r="T131">
        <f>HYPERLINK("https://klasma.github.io/Logging_2283/kartor/A 33321-2025 karta.png", "A 33321-2025")</f>
        <v/>
      </c>
      <c r="U131">
        <f>HYPERLINK("https://klasma.github.io/Logging_2283/knärot/A 33321-2025 karta knärot.png", "A 33321-2025")</f>
        <v/>
      </c>
      <c r="V131">
        <f>HYPERLINK("https://klasma.github.io/Logging_2283/klagomål/A 33321-2025 FSC-klagomål.docx", "A 33321-2025")</f>
        <v/>
      </c>
      <c r="W131">
        <f>HYPERLINK("https://klasma.github.io/Logging_2283/klagomålsmail/A 33321-2025 FSC-klagomål mail.docx", "A 33321-2025")</f>
        <v/>
      </c>
      <c r="X131">
        <f>HYPERLINK("https://klasma.github.io/Logging_2283/tillsyn/A 33321-2025 tillsynsbegäran.docx", "A 33321-2025")</f>
        <v/>
      </c>
      <c r="Y131">
        <f>HYPERLINK("https://klasma.github.io/Logging_2283/tillsynsmail/A 33321-2025 tillsynsbegäran mail.docx", "A 33321-2025")</f>
        <v/>
      </c>
    </row>
    <row r="132" ht="15" customHeight="1">
      <c r="A132" t="inlineStr">
        <is>
          <t>A 55334-2025</t>
        </is>
      </c>
      <c r="B132" s="1" t="n">
        <v>45971</v>
      </c>
      <c r="C132" s="1" t="n">
        <v>46199</v>
      </c>
      <c r="D132" t="inlineStr">
        <is>
          <t>VÄSTERNORRLANDS LÄN</t>
        </is>
      </c>
      <c r="E132" t="inlineStr">
        <is>
          <t>SOLLEFTEÅ</t>
        </is>
      </c>
      <c r="F132" t="inlineStr">
        <is>
          <t>SCA</t>
        </is>
      </c>
      <c r="G132" t="n">
        <v>3.7</v>
      </c>
      <c r="H132" t="n">
        <v>4</v>
      </c>
      <c r="I132" t="n">
        <v>1</v>
      </c>
      <c r="J132" t="n">
        <v>3</v>
      </c>
      <c r="K132" t="n">
        <v>0</v>
      </c>
      <c r="L132" t="n">
        <v>0</v>
      </c>
      <c r="M132" t="n">
        <v>0</v>
      </c>
      <c r="N132" t="n">
        <v>0</v>
      </c>
      <c r="O132" t="n">
        <v>3</v>
      </c>
      <c r="P132" t="n">
        <v>0</v>
      </c>
      <c r="Q132" t="n">
        <v>6</v>
      </c>
      <c r="R132" s="2" t="inlineStr">
        <is>
          <t>Gammelgransskål
Tretåig hackspett
Ullticka
Korallrot
Vanlig padda
Fläcknycklar</t>
        </is>
      </c>
      <c r="S132">
        <f>HYPERLINK("https://klasma.github.io/Logging_2283/artfynd/A 55334-2025 artfynd.xlsx", "A 55334-2025")</f>
        <v/>
      </c>
      <c r="T132">
        <f>HYPERLINK("https://klasma.github.io/Logging_2283/kartor/A 55334-2025 karta.png", "A 55334-2025")</f>
        <v/>
      </c>
      <c r="V132">
        <f>HYPERLINK("https://klasma.github.io/Logging_2283/klagomål/A 55334-2025 FSC-klagomål.docx", "A 55334-2025")</f>
        <v/>
      </c>
      <c r="W132">
        <f>HYPERLINK("https://klasma.github.io/Logging_2283/klagomålsmail/A 55334-2025 FSC-klagomål mail.docx", "A 55334-2025")</f>
        <v/>
      </c>
      <c r="X132">
        <f>HYPERLINK("https://klasma.github.io/Logging_2283/tillsyn/A 55334-2025 tillsynsbegäran.docx", "A 55334-2025")</f>
        <v/>
      </c>
      <c r="Y132">
        <f>HYPERLINK("https://klasma.github.io/Logging_2283/tillsynsmail/A 55334-2025 tillsynsbegäran mail.docx", "A 55334-2025")</f>
        <v/>
      </c>
      <c r="Z132">
        <f>HYPERLINK("https://klasma.github.io/Logging_2283/fåglar/A 55334-2025 prioriterade fågelarter.docx", "A 55334-2025")</f>
        <v/>
      </c>
    </row>
    <row r="133" ht="15" customHeight="1">
      <c r="A133" t="inlineStr">
        <is>
          <t>A 15666-2025</t>
        </is>
      </c>
      <c r="B133" s="1" t="n">
        <v>45748</v>
      </c>
      <c r="C133" s="1" t="n">
        <v>46199</v>
      </c>
      <c r="D133" t="inlineStr">
        <is>
          <t>VÄSTERNORRLANDS LÄN</t>
        </is>
      </c>
      <c r="E133" t="inlineStr">
        <is>
          <t>SOLLEFTEÅ</t>
        </is>
      </c>
      <c r="G133" t="n">
        <v>3.9</v>
      </c>
      <c r="H133" t="n">
        <v>1</v>
      </c>
      <c r="I133" t="n">
        <v>2</v>
      </c>
      <c r="J133" t="n">
        <v>2</v>
      </c>
      <c r="K133" t="n">
        <v>2</v>
      </c>
      <c r="L133" t="n">
        <v>0</v>
      </c>
      <c r="M133" t="n">
        <v>0</v>
      </c>
      <c r="N133" t="n">
        <v>0</v>
      </c>
      <c r="O133" t="n">
        <v>4</v>
      </c>
      <c r="P133" t="n">
        <v>2</v>
      </c>
      <c r="Q133" t="n">
        <v>6</v>
      </c>
      <c r="R133" s="2" t="inlineStr">
        <is>
          <t>Garnlav
Knärot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4552-2022</t>
        </is>
      </c>
      <c r="B134" s="1" t="n">
        <v>44590</v>
      </c>
      <c r="C134" s="1" t="n">
        <v>46199</v>
      </c>
      <c r="D134" t="inlineStr">
        <is>
          <t>VÄSTERNORRLANDS LÄN</t>
        </is>
      </c>
      <c r="E134" t="inlineStr">
        <is>
          <t>SOLLEFTEÅ</t>
        </is>
      </c>
      <c r="F134" t="inlineStr">
        <is>
          <t>SCA</t>
        </is>
      </c>
      <c r="G134" t="n">
        <v>4.4</v>
      </c>
      <c r="H134" t="n">
        <v>0</v>
      </c>
      <c r="I134" t="n">
        <v>0</v>
      </c>
      <c r="J134" t="n">
        <v>4</v>
      </c>
      <c r="K134" t="n">
        <v>2</v>
      </c>
      <c r="L134" t="n">
        <v>0</v>
      </c>
      <c r="M134" t="n">
        <v>0</v>
      </c>
      <c r="N134" t="n">
        <v>0</v>
      </c>
      <c r="O134" t="n">
        <v>6</v>
      </c>
      <c r="P134" t="n">
        <v>2</v>
      </c>
      <c r="Q134" t="n">
        <v>6</v>
      </c>
      <c r="R134" s="2" t="inlineStr">
        <is>
          <t>Garnlav
Skrovlig taggsvamp
Dropptaggsvamp
Gammelgransskål
Skarp dropptaggsvamp
Vedskivlav</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24757-2024</t>
        </is>
      </c>
      <c r="B135" s="1" t="n">
        <v>45460</v>
      </c>
      <c r="C135" s="1" t="n">
        <v>46199</v>
      </c>
      <c r="D135" t="inlineStr">
        <is>
          <t>VÄSTERNORRLANDS LÄN</t>
        </is>
      </c>
      <c r="E135" t="inlineStr">
        <is>
          <t>SOLLEFTEÅ</t>
        </is>
      </c>
      <c r="G135" t="n">
        <v>1.4</v>
      </c>
      <c r="H135" t="n">
        <v>1</v>
      </c>
      <c r="I135" t="n">
        <v>1</v>
      </c>
      <c r="J135" t="n">
        <v>4</v>
      </c>
      <c r="K135" t="n">
        <v>0</v>
      </c>
      <c r="L135" t="n">
        <v>0</v>
      </c>
      <c r="M135" t="n">
        <v>0</v>
      </c>
      <c r="N135" t="n">
        <v>0</v>
      </c>
      <c r="O135" t="n">
        <v>4</v>
      </c>
      <c r="P135" t="n">
        <v>0</v>
      </c>
      <c r="Q135" t="n">
        <v>6</v>
      </c>
      <c r="R135" s="2" t="inlineStr">
        <is>
          <t>Harticka
Lunglav
Rosenticka
Ullticka
Stuplav
Revlummer</t>
        </is>
      </c>
      <c r="S135">
        <f>HYPERLINK("https://klasma.github.io/Logging_2283/artfynd/A 24757-2024 artfynd.xlsx", "A 24757-2024")</f>
        <v/>
      </c>
      <c r="T135">
        <f>HYPERLINK("https://klasma.github.io/Logging_2283/kartor/A 24757-2024 karta.png", "A 24757-2024")</f>
        <v/>
      </c>
      <c r="V135">
        <f>HYPERLINK("https://klasma.github.io/Logging_2283/klagomål/A 24757-2024 FSC-klagomål.docx", "A 24757-2024")</f>
        <v/>
      </c>
      <c r="W135">
        <f>HYPERLINK("https://klasma.github.io/Logging_2283/klagomålsmail/A 24757-2024 FSC-klagomål mail.docx", "A 24757-2024")</f>
        <v/>
      </c>
      <c r="X135">
        <f>HYPERLINK("https://klasma.github.io/Logging_2283/tillsyn/A 24757-2024 tillsynsbegäran.docx", "A 24757-2024")</f>
        <v/>
      </c>
      <c r="Y135">
        <f>HYPERLINK("https://klasma.github.io/Logging_2283/tillsynsmail/A 24757-2024 tillsynsbegäran mail.docx", "A 24757-2024")</f>
        <v/>
      </c>
    </row>
    <row r="136" ht="15" customHeight="1">
      <c r="A136" t="inlineStr">
        <is>
          <t>A 40420-2023</t>
        </is>
      </c>
      <c r="B136" s="1" t="n">
        <v>45169</v>
      </c>
      <c r="C136" s="1" t="n">
        <v>46199</v>
      </c>
      <c r="D136" t="inlineStr">
        <is>
          <t>VÄSTERNORRLANDS LÄN</t>
        </is>
      </c>
      <c r="E136" t="inlineStr">
        <is>
          <t>SOLLEFTEÅ</t>
        </is>
      </c>
      <c r="F136" t="inlineStr">
        <is>
          <t>SCA</t>
        </is>
      </c>
      <c r="G136" t="n">
        <v>10</v>
      </c>
      <c r="H136" t="n">
        <v>2</v>
      </c>
      <c r="I136" t="n">
        <v>0</v>
      </c>
      <c r="J136" t="n">
        <v>4</v>
      </c>
      <c r="K136" t="n">
        <v>1</v>
      </c>
      <c r="L136" t="n">
        <v>0</v>
      </c>
      <c r="M136" t="n">
        <v>0</v>
      </c>
      <c r="N136" t="n">
        <v>0</v>
      </c>
      <c r="O136" t="n">
        <v>5</v>
      </c>
      <c r="P136" t="n">
        <v>1</v>
      </c>
      <c r="Q136" t="n">
        <v>6</v>
      </c>
      <c r="R136" s="2" t="inlineStr">
        <is>
          <t>Knärot
Lunglav
Rosenticka
Rynkskinn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17445-2026</t>
        </is>
      </c>
      <c r="B137" s="1" t="n">
        <v>46120</v>
      </c>
      <c r="C137" s="1" t="n">
        <v>46199</v>
      </c>
      <c r="D137" t="inlineStr">
        <is>
          <t>VÄSTERNORRLANDS LÄN</t>
        </is>
      </c>
      <c r="E137" t="inlineStr">
        <is>
          <t>SOLLEFTEÅ</t>
        </is>
      </c>
      <c r="F137" t="inlineStr">
        <is>
          <t>SCA</t>
        </is>
      </c>
      <c r="G137" t="n">
        <v>20.8</v>
      </c>
      <c r="H137" t="n">
        <v>2</v>
      </c>
      <c r="I137" t="n">
        <v>0</v>
      </c>
      <c r="J137" t="n">
        <v>4</v>
      </c>
      <c r="K137" t="n">
        <v>1</v>
      </c>
      <c r="L137" t="n">
        <v>0</v>
      </c>
      <c r="M137" t="n">
        <v>0</v>
      </c>
      <c r="N137" t="n">
        <v>0</v>
      </c>
      <c r="O137" t="n">
        <v>5</v>
      </c>
      <c r="P137" t="n">
        <v>1</v>
      </c>
      <c r="Q137" t="n">
        <v>6</v>
      </c>
      <c r="R137" s="2" t="inlineStr">
        <is>
          <t>Garnlav
Rosenticka
Rynkskinn
Talltita
Ullticka
Spillkråka</t>
        </is>
      </c>
      <c r="S137">
        <f>HYPERLINK("https://klasma.github.io/Logging_2283/artfynd/A 17445-2026 artfynd.xlsx", "A 17445-2026")</f>
        <v/>
      </c>
      <c r="T137">
        <f>HYPERLINK("https://klasma.github.io/Logging_2283/kartor/A 17445-2026 karta.png", "A 17445-2026")</f>
        <v/>
      </c>
      <c r="V137">
        <f>HYPERLINK("https://klasma.github.io/Logging_2283/klagomål/A 17445-2026 FSC-klagomål.docx", "A 17445-2026")</f>
        <v/>
      </c>
      <c r="W137">
        <f>HYPERLINK("https://klasma.github.io/Logging_2283/klagomålsmail/A 17445-2026 FSC-klagomål mail.docx", "A 17445-2026")</f>
        <v/>
      </c>
      <c r="X137">
        <f>HYPERLINK("https://klasma.github.io/Logging_2283/tillsyn/A 17445-2026 tillsynsbegäran.docx", "A 17445-2026")</f>
        <v/>
      </c>
      <c r="Y137">
        <f>HYPERLINK("https://klasma.github.io/Logging_2283/tillsynsmail/A 17445-2026 tillsynsbegäran mail.docx", "A 17445-2026")</f>
        <v/>
      </c>
      <c r="Z137">
        <f>HYPERLINK("https://klasma.github.io/Logging_2283/fåglar/A 17445-2026 prioriterade fågelarter.docx", "A 17445-2026")</f>
        <v/>
      </c>
    </row>
    <row r="138" ht="15" customHeight="1">
      <c r="A138" t="inlineStr">
        <is>
          <t>A 4827-2025</t>
        </is>
      </c>
      <c r="B138" s="1" t="n">
        <v>45688</v>
      </c>
      <c r="C138" s="1" t="n">
        <v>46199</v>
      </c>
      <c r="D138" t="inlineStr">
        <is>
          <t>VÄSTERNORRLANDS LÄN</t>
        </is>
      </c>
      <c r="E138" t="inlineStr">
        <is>
          <t>SOLLEFTEÅ</t>
        </is>
      </c>
      <c r="G138" t="n">
        <v>33</v>
      </c>
      <c r="H138" t="n">
        <v>3</v>
      </c>
      <c r="I138" t="n">
        <v>0</v>
      </c>
      <c r="J138" t="n">
        <v>4</v>
      </c>
      <c r="K138" t="n">
        <v>1</v>
      </c>
      <c r="L138" t="n">
        <v>0</v>
      </c>
      <c r="M138" t="n">
        <v>0</v>
      </c>
      <c r="N138" t="n">
        <v>0</v>
      </c>
      <c r="O138" t="n">
        <v>5</v>
      </c>
      <c r="P138" t="n">
        <v>1</v>
      </c>
      <c r="Q138" t="n">
        <v>6</v>
      </c>
      <c r="R138" s="2" t="inlineStr">
        <is>
          <t>Garnlav
Lunglav
Talltita
Tretåig hackspett
Ullticka
Tjäder</t>
        </is>
      </c>
      <c r="S138">
        <f>HYPERLINK("https://klasma.github.io/Logging_2283/artfynd/A 4827-2025 artfynd.xlsx", "A 4827-2025")</f>
        <v/>
      </c>
      <c r="T138">
        <f>HYPERLINK("https://klasma.github.io/Logging_2283/kartor/A 4827-2025 karta.png", "A 4827-2025")</f>
        <v/>
      </c>
      <c r="V138">
        <f>HYPERLINK("https://klasma.github.io/Logging_2283/klagomål/A 4827-2025 FSC-klagomål.docx", "A 4827-2025")</f>
        <v/>
      </c>
      <c r="W138">
        <f>HYPERLINK("https://klasma.github.io/Logging_2283/klagomålsmail/A 4827-2025 FSC-klagomål mail.docx", "A 4827-2025")</f>
        <v/>
      </c>
      <c r="X138">
        <f>HYPERLINK("https://klasma.github.io/Logging_2283/tillsyn/A 4827-2025 tillsynsbegäran.docx", "A 4827-2025")</f>
        <v/>
      </c>
      <c r="Y138">
        <f>HYPERLINK("https://klasma.github.io/Logging_2283/tillsynsmail/A 4827-2025 tillsynsbegäran mail.docx", "A 4827-2025")</f>
        <v/>
      </c>
      <c r="Z138">
        <f>HYPERLINK("https://klasma.github.io/Logging_2283/fåglar/A 4827-2025 prioriterade fågelarter.docx", "A 4827-2025")</f>
        <v/>
      </c>
    </row>
    <row r="139" ht="15" customHeight="1">
      <c r="A139" t="inlineStr">
        <is>
          <t>A 11552-2024</t>
        </is>
      </c>
      <c r="B139" s="1" t="n">
        <v>45372</v>
      </c>
      <c r="C139" s="1" t="n">
        <v>46199</v>
      </c>
      <c r="D139" t="inlineStr">
        <is>
          <t>VÄSTERNORRLANDS LÄN</t>
        </is>
      </c>
      <c r="E139" t="inlineStr">
        <is>
          <t>SOLLEFTEÅ</t>
        </is>
      </c>
      <c r="F139" t="inlineStr">
        <is>
          <t>SCA</t>
        </is>
      </c>
      <c r="G139" t="n">
        <v>2.5</v>
      </c>
      <c r="H139" t="n">
        <v>1</v>
      </c>
      <c r="I139" t="n">
        <v>0</v>
      </c>
      <c r="J139" t="n">
        <v>5</v>
      </c>
      <c r="K139" t="n">
        <v>1</v>
      </c>
      <c r="L139" t="n">
        <v>0</v>
      </c>
      <c r="M139" t="n">
        <v>0</v>
      </c>
      <c r="N139" t="n">
        <v>0</v>
      </c>
      <c r="O139" t="n">
        <v>6</v>
      </c>
      <c r="P139" t="n">
        <v>1</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54192-2025</t>
        </is>
      </c>
      <c r="B140" s="1" t="n">
        <v>45964</v>
      </c>
      <c r="C140" s="1" t="n">
        <v>46199</v>
      </c>
      <c r="D140" t="inlineStr">
        <is>
          <t>VÄSTERNORRLANDS LÄN</t>
        </is>
      </c>
      <c r="E140" t="inlineStr">
        <is>
          <t>SOLLEFTEÅ</t>
        </is>
      </c>
      <c r="F140" t="inlineStr">
        <is>
          <t>SCA</t>
        </is>
      </c>
      <c r="G140" t="n">
        <v>3.2</v>
      </c>
      <c r="H140" t="n">
        <v>2</v>
      </c>
      <c r="I140" t="n">
        <v>0</v>
      </c>
      <c r="J140" t="n">
        <v>3</v>
      </c>
      <c r="K140" t="n">
        <v>2</v>
      </c>
      <c r="L140" t="n">
        <v>0</v>
      </c>
      <c r="M140" t="n">
        <v>0</v>
      </c>
      <c r="N140" t="n">
        <v>0</v>
      </c>
      <c r="O140" t="n">
        <v>5</v>
      </c>
      <c r="P140" t="n">
        <v>2</v>
      </c>
      <c r="Q140" t="n">
        <v>6</v>
      </c>
      <c r="R140" s="2" t="inlineStr">
        <is>
          <t>Garnlav
Knärot
Kolflarnlav
Lunglav
Ullticka
Tjäder</t>
        </is>
      </c>
      <c r="S140">
        <f>HYPERLINK("https://klasma.github.io/Logging_2283/artfynd/A 54192-2025 artfynd.xlsx", "A 54192-2025")</f>
        <v/>
      </c>
      <c r="T140">
        <f>HYPERLINK("https://klasma.github.io/Logging_2283/kartor/A 54192-2025 karta.png", "A 54192-2025")</f>
        <v/>
      </c>
      <c r="U140">
        <f>HYPERLINK("https://klasma.github.io/Logging_2283/knärot/A 54192-2025 karta knärot.png", "A 54192-2025")</f>
        <v/>
      </c>
      <c r="V140">
        <f>HYPERLINK("https://klasma.github.io/Logging_2283/klagomål/A 54192-2025 FSC-klagomål.docx", "A 54192-2025")</f>
        <v/>
      </c>
      <c r="W140">
        <f>HYPERLINK("https://klasma.github.io/Logging_2283/klagomålsmail/A 54192-2025 FSC-klagomål mail.docx", "A 54192-2025")</f>
        <v/>
      </c>
      <c r="X140">
        <f>HYPERLINK("https://klasma.github.io/Logging_2283/tillsyn/A 54192-2025 tillsynsbegäran.docx", "A 54192-2025")</f>
        <v/>
      </c>
      <c r="Y140">
        <f>HYPERLINK("https://klasma.github.io/Logging_2283/tillsynsmail/A 54192-2025 tillsynsbegäran mail.docx", "A 54192-2025")</f>
        <v/>
      </c>
      <c r="Z140">
        <f>HYPERLINK("https://klasma.github.io/Logging_2283/fåglar/A 54192-2025 prioriterade fågelarter.docx", "A 54192-2025")</f>
        <v/>
      </c>
    </row>
    <row r="141" ht="15" customHeight="1">
      <c r="A141" t="inlineStr">
        <is>
          <t>A 32217-2023</t>
        </is>
      </c>
      <c r="B141" s="1" t="n">
        <v>45119</v>
      </c>
      <c r="C141" s="1" t="n">
        <v>46199</v>
      </c>
      <c r="D141" t="inlineStr">
        <is>
          <t>VÄSTERNORRLANDS LÄN</t>
        </is>
      </c>
      <c r="E141" t="inlineStr">
        <is>
          <t>SOLLEFTEÅ</t>
        </is>
      </c>
      <c r="F141" t="inlineStr">
        <is>
          <t>SCA</t>
        </is>
      </c>
      <c r="G141" t="n">
        <v>1.8</v>
      </c>
      <c r="H141" t="n">
        <v>2</v>
      </c>
      <c r="I141" t="n">
        <v>0</v>
      </c>
      <c r="J141" t="n">
        <v>4</v>
      </c>
      <c r="K141" t="n">
        <v>1</v>
      </c>
      <c r="L141" t="n">
        <v>0</v>
      </c>
      <c r="M141" t="n">
        <v>0</v>
      </c>
      <c r="N141" t="n">
        <v>0</v>
      </c>
      <c r="O141" t="n">
        <v>5</v>
      </c>
      <c r="P141" t="n">
        <v>1</v>
      </c>
      <c r="Q141" t="n">
        <v>6</v>
      </c>
      <c r="R141" s="2" t="inlineStr">
        <is>
          <t>Garnlav
Lunglav
Rosenticka
Skogshare
Tretåig hackspett
Spillkråka</t>
        </is>
      </c>
      <c r="S141">
        <f>HYPERLINK("https://klasma.github.io/Logging_2283/artfynd/A 32217-2023 artfynd.xlsx", "A 32217-2023")</f>
        <v/>
      </c>
      <c r="T141">
        <f>HYPERLINK("https://klasma.github.io/Logging_2283/kartor/A 32217-2023 karta.png", "A 32217-2023")</f>
        <v/>
      </c>
      <c r="V141">
        <f>HYPERLINK("https://klasma.github.io/Logging_2283/klagomål/A 32217-2023 FSC-klagomål.docx", "A 32217-2023")</f>
        <v/>
      </c>
      <c r="W141">
        <f>HYPERLINK("https://klasma.github.io/Logging_2283/klagomålsmail/A 32217-2023 FSC-klagomål mail.docx", "A 32217-2023")</f>
        <v/>
      </c>
      <c r="X141">
        <f>HYPERLINK("https://klasma.github.io/Logging_2283/tillsyn/A 32217-2023 tillsynsbegäran.docx", "A 32217-2023")</f>
        <v/>
      </c>
      <c r="Y141">
        <f>HYPERLINK("https://klasma.github.io/Logging_2283/tillsynsmail/A 32217-2023 tillsynsbegäran mail.docx", "A 32217-2023")</f>
        <v/>
      </c>
      <c r="Z141">
        <f>HYPERLINK("https://klasma.github.io/Logging_2283/fåglar/A 32217-2023 prioriterade fågelarter.docx", "A 32217-2023")</f>
        <v/>
      </c>
    </row>
    <row r="142" ht="15" customHeight="1">
      <c r="A142" t="inlineStr">
        <is>
          <t>A 32218-2023</t>
        </is>
      </c>
      <c r="B142" s="1" t="n">
        <v>45119</v>
      </c>
      <c r="C142" s="1" t="n">
        <v>46199</v>
      </c>
      <c r="D142" t="inlineStr">
        <is>
          <t>VÄSTERNORRLANDS LÄN</t>
        </is>
      </c>
      <c r="E142" t="inlineStr">
        <is>
          <t>SOLLEFTEÅ</t>
        </is>
      </c>
      <c r="F142" t="inlineStr">
        <is>
          <t>SCA</t>
        </is>
      </c>
      <c r="G142" t="n">
        <v>2.1</v>
      </c>
      <c r="H142" t="n">
        <v>2</v>
      </c>
      <c r="I142" t="n">
        <v>0</v>
      </c>
      <c r="J142" t="n">
        <v>4</v>
      </c>
      <c r="K142" t="n">
        <v>1</v>
      </c>
      <c r="L142" t="n">
        <v>0</v>
      </c>
      <c r="M142" t="n">
        <v>0</v>
      </c>
      <c r="N142" t="n">
        <v>0</v>
      </c>
      <c r="O142" t="n">
        <v>5</v>
      </c>
      <c r="P142" t="n">
        <v>1</v>
      </c>
      <c r="Q142" t="n">
        <v>6</v>
      </c>
      <c r="R142" s="2" t="inlineStr">
        <is>
          <t>Garnlav
Lunglav
Tretåig hackspett
Ullticka
Veckticka
Tjäder</t>
        </is>
      </c>
      <c r="S142">
        <f>HYPERLINK("https://klasma.github.io/Logging_2283/artfynd/A 32218-2023 artfynd.xlsx", "A 32218-2023")</f>
        <v/>
      </c>
      <c r="T142">
        <f>HYPERLINK("https://klasma.github.io/Logging_2283/kartor/A 32218-2023 karta.png", "A 32218-2023")</f>
        <v/>
      </c>
      <c r="V142">
        <f>HYPERLINK("https://klasma.github.io/Logging_2283/klagomål/A 32218-2023 FSC-klagomål.docx", "A 32218-2023")</f>
        <v/>
      </c>
      <c r="W142">
        <f>HYPERLINK("https://klasma.github.io/Logging_2283/klagomålsmail/A 32218-2023 FSC-klagomål mail.docx", "A 32218-2023")</f>
        <v/>
      </c>
      <c r="X142">
        <f>HYPERLINK("https://klasma.github.io/Logging_2283/tillsyn/A 32218-2023 tillsynsbegäran.docx", "A 32218-2023")</f>
        <v/>
      </c>
      <c r="Y142">
        <f>HYPERLINK("https://klasma.github.io/Logging_2283/tillsynsmail/A 32218-2023 tillsynsbegäran mail.docx", "A 32218-2023")</f>
        <v/>
      </c>
      <c r="Z142">
        <f>HYPERLINK("https://klasma.github.io/Logging_2283/fåglar/A 32218-2023 prioriterade fågelarter.docx", "A 32218-2023")</f>
        <v/>
      </c>
    </row>
    <row r="143" ht="15" customHeight="1">
      <c r="A143" t="inlineStr">
        <is>
          <t>A 24530-2025</t>
        </is>
      </c>
      <c r="B143" s="1" t="n">
        <v>45798</v>
      </c>
      <c r="C143" s="1" t="n">
        <v>46199</v>
      </c>
      <c r="D143" t="inlineStr">
        <is>
          <t>VÄSTERNORRLANDS LÄN</t>
        </is>
      </c>
      <c r="E143" t="inlineStr">
        <is>
          <t>SOLLEFTEÅ</t>
        </is>
      </c>
      <c r="G143" t="n">
        <v>1.9</v>
      </c>
      <c r="H143" t="n">
        <v>0</v>
      </c>
      <c r="I143" t="n">
        <v>2</v>
      </c>
      <c r="J143" t="n">
        <v>1</v>
      </c>
      <c r="K143" t="n">
        <v>0</v>
      </c>
      <c r="L143" t="n">
        <v>0</v>
      </c>
      <c r="M143" t="n">
        <v>0</v>
      </c>
      <c r="N143" t="n">
        <v>0</v>
      </c>
      <c r="O143" t="n">
        <v>1</v>
      </c>
      <c r="P143" t="n">
        <v>0</v>
      </c>
      <c r="Q143" t="n">
        <v>6</v>
      </c>
      <c r="R143" s="2" t="inlineStr">
        <is>
          <t>Myskmåra
Dvärghäxört
Svart trolldruva
Linnea
Nordisk stormhatt
Ormbär</t>
        </is>
      </c>
      <c r="S143">
        <f>HYPERLINK("https://klasma.github.io/Logging_2283/artfynd/A 24530-2025 artfynd.xlsx", "A 24530-2025")</f>
        <v/>
      </c>
      <c r="T143">
        <f>HYPERLINK("https://klasma.github.io/Logging_2283/kartor/A 24530-2025 karta.png", "A 24530-2025")</f>
        <v/>
      </c>
      <c r="V143">
        <f>HYPERLINK("https://klasma.github.io/Logging_2283/klagomål/A 24530-2025 FSC-klagomål.docx", "A 24530-2025")</f>
        <v/>
      </c>
      <c r="W143">
        <f>HYPERLINK("https://klasma.github.io/Logging_2283/klagomålsmail/A 24530-2025 FSC-klagomål mail.docx", "A 24530-2025")</f>
        <v/>
      </c>
      <c r="X143">
        <f>HYPERLINK("https://klasma.github.io/Logging_2283/tillsyn/A 24530-2025 tillsynsbegäran.docx", "A 24530-2025")</f>
        <v/>
      </c>
      <c r="Y143">
        <f>HYPERLINK("https://klasma.github.io/Logging_2283/tillsynsmail/A 24530-2025 tillsynsbegäran mail.docx", "A 24530-2025")</f>
        <v/>
      </c>
    </row>
    <row r="144" ht="15" customHeight="1">
      <c r="A144" t="inlineStr">
        <is>
          <t>A 13250-2025</t>
        </is>
      </c>
      <c r="B144" s="1" t="n">
        <v>45735</v>
      </c>
      <c r="C144" s="1" t="n">
        <v>46199</v>
      </c>
      <c r="D144" t="inlineStr">
        <is>
          <t>VÄSTERNORRLANDS LÄN</t>
        </is>
      </c>
      <c r="E144" t="inlineStr">
        <is>
          <t>SOLLEFTEÅ</t>
        </is>
      </c>
      <c r="F144" t="inlineStr">
        <is>
          <t>SCA</t>
        </is>
      </c>
      <c r="G144" t="n">
        <v>1.4</v>
      </c>
      <c r="H144" t="n">
        <v>3</v>
      </c>
      <c r="I144" t="n">
        <v>1</v>
      </c>
      <c r="J144" t="n">
        <v>3</v>
      </c>
      <c r="K144" t="n">
        <v>0</v>
      </c>
      <c r="L144" t="n">
        <v>0</v>
      </c>
      <c r="M144" t="n">
        <v>0</v>
      </c>
      <c r="N144" t="n">
        <v>0</v>
      </c>
      <c r="O144" t="n">
        <v>3</v>
      </c>
      <c r="P144" t="n">
        <v>0</v>
      </c>
      <c r="Q144" t="n">
        <v>6</v>
      </c>
      <c r="R144" s="2" t="inlineStr">
        <is>
          <t>Lunglav
Tretåig hackspett
Ullticka
Vedticka
Spillkråka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56141-2025</t>
        </is>
      </c>
      <c r="B145" s="1" t="n">
        <v>45974</v>
      </c>
      <c r="C145" s="1" t="n">
        <v>46199</v>
      </c>
      <c r="D145" t="inlineStr">
        <is>
          <t>VÄSTERNORRLANDS LÄN</t>
        </is>
      </c>
      <c r="E145" t="inlineStr">
        <is>
          <t>SOLLEFTEÅ</t>
        </is>
      </c>
      <c r="G145" t="n">
        <v>2.5</v>
      </c>
      <c r="H145" t="n">
        <v>1</v>
      </c>
      <c r="I145" t="n">
        <v>2</v>
      </c>
      <c r="J145" t="n">
        <v>3</v>
      </c>
      <c r="K145" t="n">
        <v>1</v>
      </c>
      <c r="L145" t="n">
        <v>0</v>
      </c>
      <c r="M145" t="n">
        <v>0</v>
      </c>
      <c r="N145" t="n">
        <v>0</v>
      </c>
      <c r="O145" t="n">
        <v>4</v>
      </c>
      <c r="P145" t="n">
        <v>1</v>
      </c>
      <c r="Q145" t="n">
        <v>6</v>
      </c>
      <c r="R145" s="2" t="inlineStr">
        <is>
          <t>Garnlav
Lavskrika
Rynkskinn
Ullticka
Norrlandslav
Stuplav</t>
        </is>
      </c>
      <c r="S145">
        <f>HYPERLINK("https://klasma.github.io/Logging_2283/artfynd/A 56141-2025 artfynd.xlsx", "A 56141-2025")</f>
        <v/>
      </c>
      <c r="T145">
        <f>HYPERLINK("https://klasma.github.io/Logging_2283/kartor/A 56141-2025 karta.png", "A 56141-2025")</f>
        <v/>
      </c>
      <c r="V145">
        <f>HYPERLINK("https://klasma.github.io/Logging_2283/klagomål/A 56141-2025 FSC-klagomål.docx", "A 56141-2025")</f>
        <v/>
      </c>
      <c r="W145">
        <f>HYPERLINK("https://klasma.github.io/Logging_2283/klagomålsmail/A 56141-2025 FSC-klagomål mail.docx", "A 56141-2025")</f>
        <v/>
      </c>
      <c r="X145">
        <f>HYPERLINK("https://klasma.github.io/Logging_2283/tillsyn/A 56141-2025 tillsynsbegäran.docx", "A 56141-2025")</f>
        <v/>
      </c>
      <c r="Y145">
        <f>HYPERLINK("https://klasma.github.io/Logging_2283/tillsynsmail/A 56141-2025 tillsynsbegäran mail.docx", "A 56141-2025")</f>
        <v/>
      </c>
      <c r="Z145">
        <f>HYPERLINK("https://klasma.github.io/Logging_2283/fåglar/A 56141-2025 prioriterade fågelarter.docx", "A 56141-2025")</f>
        <v/>
      </c>
    </row>
    <row r="146" ht="15" customHeight="1">
      <c r="A146" t="inlineStr">
        <is>
          <t>A 20572-2025</t>
        </is>
      </c>
      <c r="B146" s="1" t="n">
        <v>45775</v>
      </c>
      <c r="C146" s="1" t="n">
        <v>46199</v>
      </c>
      <c r="D146" t="inlineStr">
        <is>
          <t>VÄSTERNORRLANDS LÄN</t>
        </is>
      </c>
      <c r="E146" t="inlineStr">
        <is>
          <t>SOLLEFTEÅ</t>
        </is>
      </c>
      <c r="G146" t="n">
        <v>1.6</v>
      </c>
      <c r="H146" t="n">
        <v>5</v>
      </c>
      <c r="I146" t="n">
        <v>0</v>
      </c>
      <c r="J146" t="n">
        <v>3</v>
      </c>
      <c r="K146" t="n">
        <v>1</v>
      </c>
      <c r="L146" t="n">
        <v>0</v>
      </c>
      <c r="M146" t="n">
        <v>0</v>
      </c>
      <c r="N146" t="n">
        <v>0</v>
      </c>
      <c r="O146" t="n">
        <v>4</v>
      </c>
      <c r="P146" t="n">
        <v>1</v>
      </c>
      <c r="Q146" t="n">
        <v>6</v>
      </c>
      <c r="R146" s="2" t="inlineStr">
        <is>
          <t>Blå kärrhök
Göktyta
Humlerotfjäril
Sädesärla
Spillkråka
Sångsvan</t>
        </is>
      </c>
      <c r="S146">
        <f>HYPERLINK("https://klasma.github.io/Logging_2283/artfynd/A 20572-2025 artfynd.xlsx", "A 20572-2025")</f>
        <v/>
      </c>
      <c r="T146">
        <f>HYPERLINK("https://klasma.github.io/Logging_2283/kartor/A 20572-2025 karta.png", "A 20572-2025")</f>
        <v/>
      </c>
      <c r="V146">
        <f>HYPERLINK("https://klasma.github.io/Logging_2283/klagomål/A 20572-2025 FSC-klagomål.docx", "A 20572-2025")</f>
        <v/>
      </c>
      <c r="W146">
        <f>HYPERLINK("https://klasma.github.io/Logging_2283/klagomålsmail/A 20572-2025 FSC-klagomål mail.docx", "A 20572-2025")</f>
        <v/>
      </c>
      <c r="X146">
        <f>HYPERLINK("https://klasma.github.io/Logging_2283/tillsyn/A 20572-2025 tillsynsbegäran.docx", "A 20572-2025")</f>
        <v/>
      </c>
      <c r="Y146">
        <f>HYPERLINK("https://klasma.github.io/Logging_2283/tillsynsmail/A 20572-2025 tillsynsbegäran mail.docx", "A 20572-2025")</f>
        <v/>
      </c>
      <c r="Z146">
        <f>HYPERLINK("https://klasma.github.io/Logging_2283/fåglar/A 20572-2025 prioriterade fågelarter.docx", "A 20572-2025")</f>
        <v/>
      </c>
    </row>
    <row r="147" ht="15" customHeight="1">
      <c r="A147" t="inlineStr">
        <is>
          <t>A 20205-2025</t>
        </is>
      </c>
      <c r="B147" s="1" t="n">
        <v>45772</v>
      </c>
      <c r="C147" s="1" t="n">
        <v>46199</v>
      </c>
      <c r="D147" t="inlineStr">
        <is>
          <t>VÄSTERNORRLANDS LÄN</t>
        </is>
      </c>
      <c r="E147" t="inlineStr">
        <is>
          <t>SOLLEFTEÅ</t>
        </is>
      </c>
      <c r="F147" t="inlineStr">
        <is>
          <t>SCA</t>
        </is>
      </c>
      <c r="G147" t="n">
        <v>3.2</v>
      </c>
      <c r="H147" t="n">
        <v>0</v>
      </c>
      <c r="I147" t="n">
        <v>2</v>
      </c>
      <c r="J147" t="n">
        <v>3</v>
      </c>
      <c r="K147" t="n">
        <v>1</v>
      </c>
      <c r="L147" t="n">
        <v>0</v>
      </c>
      <c r="M147" t="n">
        <v>0</v>
      </c>
      <c r="N147" t="n">
        <v>0</v>
      </c>
      <c r="O147" t="n">
        <v>4</v>
      </c>
      <c r="P147" t="n">
        <v>1</v>
      </c>
      <c r="Q147" t="n">
        <v>6</v>
      </c>
      <c r="R147" s="2" t="inlineStr">
        <is>
          <t>Gränsticka
Lunglav
Rosenticka
Ullticka
Korallblylav
Skinnlav</t>
        </is>
      </c>
      <c r="S147">
        <f>HYPERLINK("https://klasma.github.io/Logging_2283/artfynd/A 20205-2025 artfynd.xlsx", "A 20205-2025")</f>
        <v/>
      </c>
      <c r="T147">
        <f>HYPERLINK("https://klasma.github.io/Logging_2283/kartor/A 20205-2025 karta.png", "A 20205-2025")</f>
        <v/>
      </c>
      <c r="V147">
        <f>HYPERLINK("https://klasma.github.io/Logging_2283/klagomål/A 20205-2025 FSC-klagomål.docx", "A 20205-2025")</f>
        <v/>
      </c>
      <c r="W147">
        <f>HYPERLINK("https://klasma.github.io/Logging_2283/klagomålsmail/A 20205-2025 FSC-klagomål mail.docx", "A 20205-2025")</f>
        <v/>
      </c>
      <c r="X147">
        <f>HYPERLINK("https://klasma.github.io/Logging_2283/tillsyn/A 20205-2025 tillsynsbegäran.docx", "A 20205-2025")</f>
        <v/>
      </c>
      <c r="Y147">
        <f>HYPERLINK("https://klasma.github.io/Logging_2283/tillsynsmail/A 20205-2025 tillsynsbegäran mail.docx", "A 20205-2025")</f>
        <v/>
      </c>
    </row>
    <row r="148" ht="15" customHeight="1">
      <c r="A148" t="inlineStr">
        <is>
          <t>A 11547-2025</t>
        </is>
      </c>
      <c r="B148" s="1" t="n">
        <v>45727</v>
      </c>
      <c r="C148" s="1" t="n">
        <v>46199</v>
      </c>
      <c r="D148" t="inlineStr">
        <is>
          <t>VÄSTERNORRLANDS LÄN</t>
        </is>
      </c>
      <c r="E148" t="inlineStr">
        <is>
          <t>SOLLEFTEÅ</t>
        </is>
      </c>
      <c r="F148" t="inlineStr">
        <is>
          <t>SCA</t>
        </is>
      </c>
      <c r="G148" t="n">
        <v>2.9</v>
      </c>
      <c r="H148" t="n">
        <v>3</v>
      </c>
      <c r="I148" t="n">
        <v>0</v>
      </c>
      <c r="J148" t="n">
        <v>3</v>
      </c>
      <c r="K148" t="n">
        <v>1</v>
      </c>
      <c r="L148" t="n">
        <v>0</v>
      </c>
      <c r="M148" t="n">
        <v>0</v>
      </c>
      <c r="N148" t="n">
        <v>0</v>
      </c>
      <c r="O148" t="n">
        <v>4</v>
      </c>
      <c r="P148" t="n">
        <v>1</v>
      </c>
      <c r="Q148" t="n">
        <v>6</v>
      </c>
      <c r="R148" s="2" t="inlineStr">
        <is>
          <t>Garnlav
Lunglav
Tretåig hackspett
Ullticka
Järpe
Tjäder</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27910-2024</t>
        </is>
      </c>
      <c r="B149" s="1" t="n">
        <v>45475</v>
      </c>
      <c r="C149" s="1" t="n">
        <v>46199</v>
      </c>
      <c r="D149" t="inlineStr">
        <is>
          <t>VÄSTERNORRLANDS LÄN</t>
        </is>
      </c>
      <c r="E149" t="inlineStr">
        <is>
          <t>SOLLEFTEÅ</t>
        </is>
      </c>
      <c r="F149" t="inlineStr">
        <is>
          <t>SCA</t>
        </is>
      </c>
      <c r="G149" t="n">
        <v>3.2</v>
      </c>
      <c r="H149" t="n">
        <v>0</v>
      </c>
      <c r="I149" t="n">
        <v>1</v>
      </c>
      <c r="J149" t="n">
        <v>4</v>
      </c>
      <c r="K149" t="n">
        <v>1</v>
      </c>
      <c r="L149" t="n">
        <v>0</v>
      </c>
      <c r="M149" t="n">
        <v>0</v>
      </c>
      <c r="N149" t="n">
        <v>0</v>
      </c>
      <c r="O149" t="n">
        <v>5</v>
      </c>
      <c r="P149" t="n">
        <v>1</v>
      </c>
      <c r="Q149" t="n">
        <v>6</v>
      </c>
      <c r="R149" s="2" t="inlineStr">
        <is>
          <t>Lappticka
Gammelgransskål
Rosenticka
Rynkskinn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47527-2024</t>
        </is>
      </c>
      <c r="B150" s="1" t="n">
        <v>45587</v>
      </c>
      <c r="C150" s="1" t="n">
        <v>46199</v>
      </c>
      <c r="D150" t="inlineStr">
        <is>
          <t>VÄSTERNORRLANDS LÄN</t>
        </is>
      </c>
      <c r="E150" t="inlineStr">
        <is>
          <t>SOLLEFTEÅ</t>
        </is>
      </c>
      <c r="F150" t="inlineStr">
        <is>
          <t>SCA</t>
        </is>
      </c>
      <c r="G150" t="n">
        <v>3.6</v>
      </c>
      <c r="H150" t="n">
        <v>2</v>
      </c>
      <c r="I150" t="n">
        <v>2</v>
      </c>
      <c r="J150" t="n">
        <v>3</v>
      </c>
      <c r="K150" t="n">
        <v>1</v>
      </c>
      <c r="L150" t="n">
        <v>0</v>
      </c>
      <c r="M150" t="n">
        <v>0</v>
      </c>
      <c r="N150" t="n">
        <v>0</v>
      </c>
      <c r="O150" t="n">
        <v>4</v>
      </c>
      <c r="P150" t="n">
        <v>1</v>
      </c>
      <c r="Q150" t="n">
        <v>6</v>
      </c>
      <c r="R150" s="2" t="inlineStr">
        <is>
          <t>Garnlav
Gammelgransskål
Lunglav
Ullticka
Lappranunkel
Tvåblad</t>
        </is>
      </c>
      <c r="S150">
        <f>HYPERLINK("https://klasma.github.io/Logging_2283/artfynd/A 47527-2024 artfynd.xlsx", "A 47527-2024")</f>
        <v/>
      </c>
      <c r="T150">
        <f>HYPERLINK("https://klasma.github.io/Logging_2283/kartor/A 47527-2024 karta.png", "A 47527-2024")</f>
        <v/>
      </c>
      <c r="V150">
        <f>HYPERLINK("https://klasma.github.io/Logging_2283/klagomål/A 47527-2024 FSC-klagomål.docx", "A 47527-2024")</f>
        <v/>
      </c>
      <c r="W150">
        <f>HYPERLINK("https://klasma.github.io/Logging_2283/klagomålsmail/A 47527-2024 FSC-klagomål mail.docx", "A 47527-2024")</f>
        <v/>
      </c>
      <c r="X150">
        <f>HYPERLINK("https://klasma.github.io/Logging_2283/tillsyn/A 47527-2024 tillsynsbegäran.docx", "A 47527-2024")</f>
        <v/>
      </c>
      <c r="Y150">
        <f>HYPERLINK("https://klasma.github.io/Logging_2283/tillsynsmail/A 47527-2024 tillsynsbegäran mail.docx", "A 47527-2024")</f>
        <v/>
      </c>
    </row>
    <row r="151" ht="15" customHeight="1">
      <c r="A151" t="inlineStr">
        <is>
          <t>A 61541-2024</t>
        </is>
      </c>
      <c r="B151" s="1" t="n">
        <v>45646</v>
      </c>
      <c r="C151" s="1" t="n">
        <v>46199</v>
      </c>
      <c r="D151" t="inlineStr">
        <is>
          <t>VÄSTERNORRLANDS LÄN</t>
        </is>
      </c>
      <c r="E151" t="inlineStr">
        <is>
          <t>SOLLEFTEÅ</t>
        </is>
      </c>
      <c r="F151" t="inlineStr">
        <is>
          <t>SCA</t>
        </is>
      </c>
      <c r="G151" t="n">
        <v>6.8</v>
      </c>
      <c r="H151" t="n">
        <v>1</v>
      </c>
      <c r="I151" t="n">
        <v>0</v>
      </c>
      <c r="J151" t="n">
        <v>5</v>
      </c>
      <c r="K151" t="n">
        <v>1</v>
      </c>
      <c r="L151" t="n">
        <v>0</v>
      </c>
      <c r="M151" t="n">
        <v>0</v>
      </c>
      <c r="N151" t="n">
        <v>0</v>
      </c>
      <c r="O151" t="n">
        <v>6</v>
      </c>
      <c r="P151" t="n">
        <v>1</v>
      </c>
      <c r="Q151" t="n">
        <v>6</v>
      </c>
      <c r="R151" s="2" t="inlineStr">
        <is>
          <t>Garnlav
Gammelgransskål
Skogshare
Tretåig hackspett
Ullticka
Vitgrynig nållav</t>
        </is>
      </c>
      <c r="S151">
        <f>HYPERLINK("https://klasma.github.io/Logging_2283/artfynd/A 61541-2024 artfynd.xlsx", "A 61541-2024")</f>
        <v/>
      </c>
      <c r="T151">
        <f>HYPERLINK("https://klasma.github.io/Logging_2283/kartor/A 61541-2024 karta.png", "A 61541-2024")</f>
        <v/>
      </c>
      <c r="V151">
        <f>HYPERLINK("https://klasma.github.io/Logging_2283/klagomål/A 61541-2024 FSC-klagomål.docx", "A 61541-2024")</f>
        <v/>
      </c>
      <c r="W151">
        <f>HYPERLINK("https://klasma.github.io/Logging_2283/klagomålsmail/A 61541-2024 FSC-klagomål mail.docx", "A 61541-2024")</f>
        <v/>
      </c>
      <c r="X151">
        <f>HYPERLINK("https://klasma.github.io/Logging_2283/tillsyn/A 61541-2024 tillsynsbegäran.docx", "A 61541-2024")</f>
        <v/>
      </c>
      <c r="Y151">
        <f>HYPERLINK("https://klasma.github.io/Logging_2283/tillsynsmail/A 61541-2024 tillsynsbegäran mail.docx", "A 61541-2024")</f>
        <v/>
      </c>
      <c r="Z151">
        <f>HYPERLINK("https://klasma.github.io/Logging_2283/fåglar/A 61541-2024 prioriterade fågelarter.docx", "A 61541-2024")</f>
        <v/>
      </c>
    </row>
    <row r="152" ht="15" customHeight="1">
      <c r="A152" t="inlineStr">
        <is>
          <t>A 41169-2022</t>
        </is>
      </c>
      <c r="B152" s="1" t="n">
        <v>44825</v>
      </c>
      <c r="C152" s="1" t="n">
        <v>46199</v>
      </c>
      <c r="D152" t="inlineStr">
        <is>
          <t>VÄSTERNORRLANDS LÄN</t>
        </is>
      </c>
      <c r="E152" t="inlineStr">
        <is>
          <t>SOLLEFTEÅ</t>
        </is>
      </c>
      <c r="F152" t="inlineStr">
        <is>
          <t>SCA</t>
        </is>
      </c>
      <c r="G152" t="n">
        <v>1.8</v>
      </c>
      <c r="H152" t="n">
        <v>2</v>
      </c>
      <c r="I152" t="n">
        <v>1</v>
      </c>
      <c r="J152" t="n">
        <v>3</v>
      </c>
      <c r="K152" t="n">
        <v>0</v>
      </c>
      <c r="L152" t="n">
        <v>0</v>
      </c>
      <c r="M152" t="n">
        <v>0</v>
      </c>
      <c r="N152" t="n">
        <v>0</v>
      </c>
      <c r="O152" t="n">
        <v>3</v>
      </c>
      <c r="P152" t="n">
        <v>0</v>
      </c>
      <c r="Q152" t="n">
        <v>5</v>
      </c>
      <c r="R152" s="2" t="inlineStr">
        <is>
          <t>Tretåig hackspett
Ullticka
Vedskivlav
Vedticka
Spillkråka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715-2023</t>
        </is>
      </c>
      <c r="B153" s="1" t="n">
        <v>44930</v>
      </c>
      <c r="C153" s="1" t="n">
        <v>46199</v>
      </c>
      <c r="D153" t="inlineStr">
        <is>
          <t>VÄSTERNORRLANDS LÄN</t>
        </is>
      </c>
      <c r="E153" t="inlineStr">
        <is>
          <t>SOLLEFTEÅ</t>
        </is>
      </c>
      <c r="G153" t="n">
        <v>7.7</v>
      </c>
      <c r="H153" t="n">
        <v>0</v>
      </c>
      <c r="I153" t="n">
        <v>1</v>
      </c>
      <c r="J153" t="n">
        <v>3</v>
      </c>
      <c r="K153" t="n">
        <v>1</v>
      </c>
      <c r="L153" t="n">
        <v>0</v>
      </c>
      <c r="M153" t="n">
        <v>0</v>
      </c>
      <c r="N153" t="n">
        <v>0</v>
      </c>
      <c r="O153" t="n">
        <v>4</v>
      </c>
      <c r="P153" t="n">
        <v>1</v>
      </c>
      <c r="Q153" t="n">
        <v>5</v>
      </c>
      <c r="R153" s="2" t="inlineStr">
        <is>
          <t>Gräddticka
Rosenticka
Rynkskinn
Ullticka
Skinnlav</t>
        </is>
      </c>
      <c r="S153">
        <f>HYPERLINK("https://klasma.github.io/Logging_2283/artfynd/A 715-2023 artfynd.xlsx", "A 715-2023")</f>
        <v/>
      </c>
      <c r="T153">
        <f>HYPERLINK("https://klasma.github.io/Logging_2283/kartor/A 715-2023 karta.png", "A 715-2023")</f>
        <v/>
      </c>
      <c r="V153">
        <f>HYPERLINK("https://klasma.github.io/Logging_2283/klagomål/A 715-2023 FSC-klagomål.docx", "A 715-2023")</f>
        <v/>
      </c>
      <c r="W153">
        <f>HYPERLINK("https://klasma.github.io/Logging_2283/klagomålsmail/A 715-2023 FSC-klagomål mail.docx", "A 715-2023")</f>
        <v/>
      </c>
      <c r="X153">
        <f>HYPERLINK("https://klasma.github.io/Logging_2283/tillsyn/A 715-2023 tillsynsbegäran.docx", "A 715-2023")</f>
        <v/>
      </c>
      <c r="Y153">
        <f>HYPERLINK("https://klasma.github.io/Logging_2283/tillsynsmail/A 715-2023 tillsynsbegäran mail.docx", "A 715-2023")</f>
        <v/>
      </c>
    </row>
    <row r="154" ht="15" customHeight="1">
      <c r="A154" t="inlineStr">
        <is>
          <t>A 30478-2025</t>
        </is>
      </c>
      <c r="B154" s="1" t="n">
        <v>45828</v>
      </c>
      <c r="C154" s="1" t="n">
        <v>46199</v>
      </c>
      <c r="D154" t="inlineStr">
        <is>
          <t>VÄSTERNORRLANDS LÄN</t>
        </is>
      </c>
      <c r="E154" t="inlineStr">
        <is>
          <t>SOLLEFTEÅ</t>
        </is>
      </c>
      <c r="G154" t="n">
        <v>1.5</v>
      </c>
      <c r="H154" t="n">
        <v>2</v>
      </c>
      <c r="I154" t="n">
        <v>2</v>
      </c>
      <c r="J154" t="n">
        <v>1</v>
      </c>
      <c r="K154" t="n">
        <v>1</v>
      </c>
      <c r="L154" t="n">
        <v>0</v>
      </c>
      <c r="M154" t="n">
        <v>0</v>
      </c>
      <c r="N154" t="n">
        <v>0</v>
      </c>
      <c r="O154" t="n">
        <v>2</v>
      </c>
      <c r="P154" t="n">
        <v>1</v>
      </c>
      <c r="Q154" t="n">
        <v>5</v>
      </c>
      <c r="R154" s="2" t="inlineStr">
        <is>
          <t>Knärot
Lunglav
Stuplav
Svart trolldruva
Revlummer</t>
        </is>
      </c>
      <c r="S154">
        <f>HYPERLINK("https://klasma.github.io/Logging_2283/artfynd/A 30478-2025 artfynd.xlsx", "A 30478-2025")</f>
        <v/>
      </c>
      <c r="T154">
        <f>HYPERLINK("https://klasma.github.io/Logging_2283/kartor/A 30478-2025 karta.png", "A 30478-2025")</f>
        <v/>
      </c>
      <c r="U154">
        <f>HYPERLINK("https://klasma.github.io/Logging_2283/knärot/A 30478-2025 karta knärot.png", "A 30478-2025")</f>
        <v/>
      </c>
      <c r="V154">
        <f>HYPERLINK("https://klasma.github.io/Logging_2283/klagomål/A 30478-2025 FSC-klagomål.docx", "A 30478-2025")</f>
        <v/>
      </c>
      <c r="W154">
        <f>HYPERLINK("https://klasma.github.io/Logging_2283/klagomålsmail/A 30478-2025 FSC-klagomål mail.docx", "A 30478-2025")</f>
        <v/>
      </c>
      <c r="X154">
        <f>HYPERLINK("https://klasma.github.io/Logging_2283/tillsyn/A 30478-2025 tillsynsbegäran.docx", "A 30478-2025")</f>
        <v/>
      </c>
      <c r="Y154">
        <f>HYPERLINK("https://klasma.github.io/Logging_2283/tillsynsmail/A 30478-2025 tillsynsbegäran mail.docx", "A 30478-2025")</f>
        <v/>
      </c>
    </row>
    <row r="155" ht="15" customHeight="1">
      <c r="A155" t="inlineStr">
        <is>
          <t>A 30972-2025</t>
        </is>
      </c>
      <c r="B155" s="1" t="n">
        <v>45832</v>
      </c>
      <c r="C155" s="1" t="n">
        <v>46199</v>
      </c>
      <c r="D155" t="inlineStr">
        <is>
          <t>VÄSTERNORRLANDS LÄN</t>
        </is>
      </c>
      <c r="E155" t="inlineStr">
        <is>
          <t>SOLLEFTEÅ</t>
        </is>
      </c>
      <c r="G155" t="n">
        <v>0.6</v>
      </c>
      <c r="H155" t="n">
        <v>0</v>
      </c>
      <c r="I155" t="n">
        <v>1</v>
      </c>
      <c r="J155" t="n">
        <v>3</v>
      </c>
      <c r="K155" t="n">
        <v>1</v>
      </c>
      <c r="L155" t="n">
        <v>0</v>
      </c>
      <c r="M155" t="n">
        <v>0</v>
      </c>
      <c r="N155" t="n">
        <v>0</v>
      </c>
      <c r="O155" t="n">
        <v>4</v>
      </c>
      <c r="P155" t="n">
        <v>1</v>
      </c>
      <c r="Q155" t="n">
        <v>5</v>
      </c>
      <c r="R155" s="2" t="inlineStr">
        <is>
          <t>Garnlav
Rosenticka
Rynkskinn
Ullticka
Vedticka</t>
        </is>
      </c>
      <c r="S155">
        <f>HYPERLINK("https://klasma.github.io/Logging_2283/artfynd/A 30972-2025 artfynd.xlsx", "A 30972-2025")</f>
        <v/>
      </c>
      <c r="T155">
        <f>HYPERLINK("https://klasma.github.io/Logging_2283/kartor/A 30972-2025 karta.png", "A 30972-2025")</f>
        <v/>
      </c>
      <c r="V155">
        <f>HYPERLINK("https://klasma.github.io/Logging_2283/klagomål/A 30972-2025 FSC-klagomål.docx", "A 30972-2025")</f>
        <v/>
      </c>
      <c r="W155">
        <f>HYPERLINK("https://klasma.github.io/Logging_2283/klagomålsmail/A 30972-2025 FSC-klagomål mail.docx", "A 30972-2025")</f>
        <v/>
      </c>
      <c r="X155">
        <f>HYPERLINK("https://klasma.github.io/Logging_2283/tillsyn/A 30972-2025 tillsynsbegäran.docx", "A 30972-2025")</f>
        <v/>
      </c>
      <c r="Y155">
        <f>HYPERLINK("https://klasma.github.io/Logging_2283/tillsynsmail/A 30972-2025 tillsynsbegäran mail.docx", "A 30972-2025")</f>
        <v/>
      </c>
    </row>
    <row r="156" ht="15" customHeight="1">
      <c r="A156" t="inlineStr">
        <is>
          <t>A 39095-2025</t>
        </is>
      </c>
      <c r="B156" s="1" t="n">
        <v>45888</v>
      </c>
      <c r="C156" s="1" t="n">
        <v>46199</v>
      </c>
      <c r="D156" t="inlineStr">
        <is>
          <t>VÄSTERNORRLANDS LÄN</t>
        </is>
      </c>
      <c r="E156" t="inlineStr">
        <is>
          <t>SOLLEFTEÅ</t>
        </is>
      </c>
      <c r="F156" t="inlineStr">
        <is>
          <t>Holmen skog AB</t>
        </is>
      </c>
      <c r="G156" t="n">
        <v>1.3</v>
      </c>
      <c r="H156" t="n">
        <v>4</v>
      </c>
      <c r="I156" t="n">
        <v>0</v>
      </c>
      <c r="J156" t="n">
        <v>2</v>
      </c>
      <c r="K156" t="n">
        <v>1</v>
      </c>
      <c r="L156" t="n">
        <v>0</v>
      </c>
      <c r="M156" t="n">
        <v>0</v>
      </c>
      <c r="N156" t="n">
        <v>0</v>
      </c>
      <c r="O156" t="n">
        <v>3</v>
      </c>
      <c r="P156" t="n">
        <v>1</v>
      </c>
      <c r="Q156" t="n">
        <v>5</v>
      </c>
      <c r="R156" s="2" t="inlineStr">
        <is>
          <t>Garnlav
Talltita
Tretåig hackspett
Tjäder
Revlummer</t>
        </is>
      </c>
      <c r="S156">
        <f>HYPERLINK("https://klasma.github.io/Logging_2283/artfynd/A 39095-2025 artfynd.xlsx", "A 39095-2025")</f>
        <v/>
      </c>
      <c r="T156">
        <f>HYPERLINK("https://klasma.github.io/Logging_2283/kartor/A 39095-2025 karta.png", "A 39095-2025")</f>
        <v/>
      </c>
      <c r="V156">
        <f>HYPERLINK("https://klasma.github.io/Logging_2283/klagomål/A 39095-2025 FSC-klagomål.docx", "A 39095-2025")</f>
        <v/>
      </c>
      <c r="W156">
        <f>HYPERLINK("https://klasma.github.io/Logging_2283/klagomålsmail/A 39095-2025 FSC-klagomål mail.docx", "A 39095-2025")</f>
        <v/>
      </c>
      <c r="X156">
        <f>HYPERLINK("https://klasma.github.io/Logging_2283/tillsyn/A 39095-2025 tillsynsbegäran.docx", "A 39095-2025")</f>
        <v/>
      </c>
      <c r="Y156">
        <f>HYPERLINK("https://klasma.github.io/Logging_2283/tillsynsmail/A 39095-2025 tillsynsbegäran mail.docx", "A 39095-2025")</f>
        <v/>
      </c>
      <c r="Z156">
        <f>HYPERLINK("https://klasma.github.io/Logging_2283/fåglar/A 39095-2025 prioriterade fågelarter.docx", "A 39095-2025")</f>
        <v/>
      </c>
    </row>
    <row r="157" ht="15" customHeight="1">
      <c r="A157" t="inlineStr">
        <is>
          <t>A 51341-2025</t>
        </is>
      </c>
      <c r="B157" s="1" t="n">
        <v>45950</v>
      </c>
      <c r="C157" s="1" t="n">
        <v>46199</v>
      </c>
      <c r="D157" t="inlineStr">
        <is>
          <t>VÄSTERNORRLANDS LÄN</t>
        </is>
      </c>
      <c r="E157" t="inlineStr">
        <is>
          <t>SOLLEFTEÅ</t>
        </is>
      </c>
      <c r="F157" t="inlineStr">
        <is>
          <t>SCA</t>
        </is>
      </c>
      <c r="G157" t="n">
        <v>5.3</v>
      </c>
      <c r="H157" t="n">
        <v>0</v>
      </c>
      <c r="I157" t="n">
        <v>1</v>
      </c>
      <c r="J157" t="n">
        <v>3</v>
      </c>
      <c r="K157" t="n">
        <v>1</v>
      </c>
      <c r="L157" t="n">
        <v>0</v>
      </c>
      <c r="M157" t="n">
        <v>0</v>
      </c>
      <c r="N157" t="n">
        <v>0</v>
      </c>
      <c r="O157" t="n">
        <v>4</v>
      </c>
      <c r="P157" t="n">
        <v>1</v>
      </c>
      <c r="Q157" t="n">
        <v>5</v>
      </c>
      <c r="R157" s="2" t="inlineStr">
        <is>
          <t>Garnlav
Dropptaggsvamp
Mörk kolflarnlav
Rosenticka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53829-2024</t>
        </is>
      </c>
      <c r="B158" s="1" t="n">
        <v>45615</v>
      </c>
      <c r="C158" s="1" t="n">
        <v>46199</v>
      </c>
      <c r="D158" t="inlineStr">
        <is>
          <t>VÄSTERNORRLANDS LÄN</t>
        </is>
      </c>
      <c r="E158" t="inlineStr">
        <is>
          <t>SOLLEFTEÅ</t>
        </is>
      </c>
      <c r="F158" t="inlineStr">
        <is>
          <t>SCA</t>
        </is>
      </c>
      <c r="G158" t="n">
        <v>12</v>
      </c>
      <c r="H158" t="n">
        <v>0</v>
      </c>
      <c r="I158" t="n">
        <v>0</v>
      </c>
      <c r="J158" t="n">
        <v>5</v>
      </c>
      <c r="K158" t="n">
        <v>0</v>
      </c>
      <c r="L158" t="n">
        <v>0</v>
      </c>
      <c r="M158" t="n">
        <v>0</v>
      </c>
      <c r="N158" t="n">
        <v>0</v>
      </c>
      <c r="O158" t="n">
        <v>5</v>
      </c>
      <c r="P158" t="n">
        <v>0</v>
      </c>
      <c r="Q158" t="n">
        <v>5</v>
      </c>
      <c r="R158" s="2" t="inlineStr">
        <is>
          <t>Blå taggsvamp
Dropptaggsvamp
Lunglav
Orange taggsvamp
Tallticka</t>
        </is>
      </c>
      <c r="S158">
        <f>HYPERLINK("https://klasma.github.io/Logging_2283/artfynd/A 53829-2024 artfynd.xlsx", "A 53829-2024")</f>
        <v/>
      </c>
      <c r="T158">
        <f>HYPERLINK("https://klasma.github.io/Logging_2283/kartor/A 53829-2024 karta.png", "A 53829-2024")</f>
        <v/>
      </c>
      <c r="V158">
        <f>HYPERLINK("https://klasma.github.io/Logging_2283/klagomål/A 53829-2024 FSC-klagomål.docx", "A 53829-2024")</f>
        <v/>
      </c>
      <c r="W158">
        <f>HYPERLINK("https://klasma.github.io/Logging_2283/klagomålsmail/A 53829-2024 FSC-klagomål mail.docx", "A 53829-2024")</f>
        <v/>
      </c>
      <c r="X158">
        <f>HYPERLINK("https://klasma.github.io/Logging_2283/tillsyn/A 53829-2024 tillsynsbegäran.docx", "A 53829-2024")</f>
        <v/>
      </c>
      <c r="Y158">
        <f>HYPERLINK("https://klasma.github.io/Logging_2283/tillsynsmail/A 53829-2024 tillsynsbegäran mail.docx", "A 53829-2024")</f>
        <v/>
      </c>
    </row>
    <row r="159" ht="15" customHeight="1">
      <c r="A159" t="inlineStr">
        <is>
          <t>A 26594-2022</t>
        </is>
      </c>
      <c r="B159" s="1" t="n">
        <v>44739</v>
      </c>
      <c r="C159" s="1" t="n">
        <v>46199</v>
      </c>
      <c r="D159" t="inlineStr">
        <is>
          <t>VÄSTERNORRLANDS LÄN</t>
        </is>
      </c>
      <c r="E159" t="inlineStr">
        <is>
          <t>SOLLEFTEÅ</t>
        </is>
      </c>
      <c r="F159" t="inlineStr">
        <is>
          <t>Holmen skog AB</t>
        </is>
      </c>
      <c r="G159" t="n">
        <v>1.6</v>
      </c>
      <c r="H159" t="n">
        <v>4</v>
      </c>
      <c r="I159" t="n">
        <v>0</v>
      </c>
      <c r="J159" t="n">
        <v>1</v>
      </c>
      <c r="K159" t="n">
        <v>2</v>
      </c>
      <c r="L159" t="n">
        <v>0</v>
      </c>
      <c r="M159" t="n">
        <v>0</v>
      </c>
      <c r="N159" t="n">
        <v>0</v>
      </c>
      <c r="O159" t="n">
        <v>3</v>
      </c>
      <c r="P159" t="n">
        <v>2</v>
      </c>
      <c r="Q159" t="n">
        <v>5</v>
      </c>
      <c r="R159" s="2" t="inlineStr">
        <is>
          <t>Garnlav
Knärot
Talltita
Spillkråka
Tjäder</t>
        </is>
      </c>
      <c r="S159">
        <f>HYPERLINK("https://klasma.github.io/Logging_2283/artfynd/A 26594-2022 artfynd.xlsx", "A 26594-2022")</f>
        <v/>
      </c>
      <c r="T159">
        <f>HYPERLINK("https://klasma.github.io/Logging_2283/kartor/A 26594-2022 karta.png", "A 26594-2022")</f>
        <v/>
      </c>
      <c r="U159">
        <f>HYPERLINK("https://klasma.github.io/Logging_2283/knärot/A 26594-2022 karta knärot.png", "A 26594-2022")</f>
        <v/>
      </c>
      <c r="V159">
        <f>HYPERLINK("https://klasma.github.io/Logging_2283/klagomål/A 26594-2022 FSC-klagomål.docx", "A 26594-2022")</f>
        <v/>
      </c>
      <c r="W159">
        <f>HYPERLINK("https://klasma.github.io/Logging_2283/klagomålsmail/A 26594-2022 FSC-klagomål mail.docx", "A 26594-2022")</f>
        <v/>
      </c>
      <c r="X159">
        <f>HYPERLINK("https://klasma.github.io/Logging_2283/tillsyn/A 26594-2022 tillsynsbegäran.docx", "A 26594-2022")</f>
        <v/>
      </c>
      <c r="Y159">
        <f>HYPERLINK("https://klasma.github.io/Logging_2283/tillsynsmail/A 26594-2022 tillsynsbegäran mail.docx", "A 26594-2022")</f>
        <v/>
      </c>
      <c r="Z159">
        <f>HYPERLINK("https://klasma.github.io/Logging_2283/fåglar/A 26594-2022 prioriterade fågelarter.docx", "A 26594-2022")</f>
        <v/>
      </c>
    </row>
    <row r="160" ht="15" customHeight="1">
      <c r="A160" t="inlineStr">
        <is>
          <t>A 32216-2023</t>
        </is>
      </c>
      <c r="B160" s="1" t="n">
        <v>45119</v>
      </c>
      <c r="C160" s="1" t="n">
        <v>46199</v>
      </c>
      <c r="D160" t="inlineStr">
        <is>
          <t>VÄSTERNORRLANDS LÄN</t>
        </is>
      </c>
      <c r="E160" t="inlineStr">
        <is>
          <t>SOLLEFTEÅ</t>
        </is>
      </c>
      <c r="F160" t="inlineStr">
        <is>
          <t>SCA</t>
        </is>
      </c>
      <c r="G160" t="n">
        <v>2.2</v>
      </c>
      <c r="H160" t="n">
        <v>1</v>
      </c>
      <c r="I160" t="n">
        <v>0</v>
      </c>
      <c r="J160" t="n">
        <v>5</v>
      </c>
      <c r="K160" t="n">
        <v>0</v>
      </c>
      <c r="L160" t="n">
        <v>0</v>
      </c>
      <c r="M160" t="n">
        <v>0</v>
      </c>
      <c r="N160" t="n">
        <v>0</v>
      </c>
      <c r="O160" t="n">
        <v>5</v>
      </c>
      <c r="P160" t="n">
        <v>0</v>
      </c>
      <c r="Q160" t="n">
        <v>5</v>
      </c>
      <c r="R160" s="2" t="inlineStr">
        <is>
          <t>Lunglav
Rosenticka
Rynkskinn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31491-2024</t>
        </is>
      </c>
      <c r="B161" s="1" t="n">
        <v>45505</v>
      </c>
      <c r="C161" s="1" t="n">
        <v>46199</v>
      </c>
      <c r="D161" t="inlineStr">
        <is>
          <t>VÄSTERNORRLANDS LÄN</t>
        </is>
      </c>
      <c r="E161" t="inlineStr">
        <is>
          <t>SOLLEFTEÅ</t>
        </is>
      </c>
      <c r="F161" t="inlineStr">
        <is>
          <t>SCA</t>
        </is>
      </c>
      <c r="G161" t="n">
        <v>17.2</v>
      </c>
      <c r="H161" t="n">
        <v>2</v>
      </c>
      <c r="I161" t="n">
        <v>2</v>
      </c>
      <c r="J161" t="n">
        <v>2</v>
      </c>
      <c r="K161" t="n">
        <v>1</v>
      </c>
      <c r="L161" t="n">
        <v>0</v>
      </c>
      <c r="M161" t="n">
        <v>0</v>
      </c>
      <c r="N161" t="n">
        <v>0</v>
      </c>
      <c r="O161" t="n">
        <v>3</v>
      </c>
      <c r="P161" t="n">
        <v>1</v>
      </c>
      <c r="Q161" t="n">
        <v>5</v>
      </c>
      <c r="R161" s="2" t="inlineStr">
        <is>
          <t>Garnlav
Lunglav
Tretåig hackspett
Spindelblomster
Vågbandad barkbock</t>
        </is>
      </c>
      <c r="S161">
        <f>HYPERLINK("https://klasma.github.io/Logging_2283/artfynd/A 31491-2024 artfynd.xlsx", "A 31491-2024")</f>
        <v/>
      </c>
      <c r="T161">
        <f>HYPERLINK("https://klasma.github.io/Logging_2283/kartor/A 31491-2024 karta.png", "A 31491-2024")</f>
        <v/>
      </c>
      <c r="V161">
        <f>HYPERLINK("https://klasma.github.io/Logging_2283/klagomål/A 31491-2024 FSC-klagomål.docx", "A 31491-2024")</f>
        <v/>
      </c>
      <c r="W161">
        <f>HYPERLINK("https://klasma.github.io/Logging_2283/klagomålsmail/A 31491-2024 FSC-klagomål mail.docx", "A 31491-2024")</f>
        <v/>
      </c>
      <c r="X161">
        <f>HYPERLINK("https://klasma.github.io/Logging_2283/tillsyn/A 31491-2024 tillsynsbegäran.docx", "A 31491-2024")</f>
        <v/>
      </c>
      <c r="Y161">
        <f>HYPERLINK("https://klasma.github.io/Logging_2283/tillsynsmail/A 31491-2024 tillsynsbegäran mail.docx", "A 31491-2024")</f>
        <v/>
      </c>
      <c r="Z161">
        <f>HYPERLINK("https://klasma.github.io/Logging_2283/fåglar/A 31491-2024 prioriterade fågelarter.docx", "A 31491-2024")</f>
        <v/>
      </c>
    </row>
    <row r="162" ht="15" customHeight="1">
      <c r="A162" t="inlineStr">
        <is>
          <t>A 15984-2026</t>
        </is>
      </c>
      <c r="B162" s="1" t="n">
        <v>46108</v>
      </c>
      <c r="C162" s="1" t="n">
        <v>46199</v>
      </c>
      <c r="D162" t="inlineStr">
        <is>
          <t>VÄSTERNORRLANDS LÄN</t>
        </is>
      </c>
      <c r="E162" t="inlineStr">
        <is>
          <t>SOLLEFTEÅ</t>
        </is>
      </c>
      <c r="F162" t="inlineStr">
        <is>
          <t>SCA</t>
        </is>
      </c>
      <c r="G162" t="n">
        <v>4.1</v>
      </c>
      <c r="H162" t="n">
        <v>3</v>
      </c>
      <c r="I162" t="n">
        <v>0</v>
      </c>
      <c r="J162" t="n">
        <v>2</v>
      </c>
      <c r="K162" t="n">
        <v>2</v>
      </c>
      <c r="L162" t="n">
        <v>0</v>
      </c>
      <c r="M162" t="n">
        <v>0</v>
      </c>
      <c r="N162" t="n">
        <v>0</v>
      </c>
      <c r="O162" t="n">
        <v>4</v>
      </c>
      <c r="P162" t="n">
        <v>2</v>
      </c>
      <c r="Q162" t="n">
        <v>5</v>
      </c>
      <c r="R162" s="2" t="inlineStr">
        <is>
          <t>Garnlav
Knärot
Lunglav
Tretåig hackspett
Spillkråka</t>
        </is>
      </c>
      <c r="S162">
        <f>HYPERLINK("https://klasma.github.io/Logging_2283/artfynd/A 15984-2026 artfynd.xlsx", "A 15984-2026")</f>
        <v/>
      </c>
      <c r="T162">
        <f>HYPERLINK("https://klasma.github.io/Logging_2283/kartor/A 15984-2026 karta.png", "A 15984-2026")</f>
        <v/>
      </c>
      <c r="U162">
        <f>HYPERLINK("https://klasma.github.io/Logging_2283/knärot/A 15984-2026 karta knärot.png", "A 15984-2026")</f>
        <v/>
      </c>
      <c r="V162">
        <f>HYPERLINK("https://klasma.github.io/Logging_2283/klagomål/A 15984-2026 FSC-klagomål.docx", "A 15984-2026")</f>
        <v/>
      </c>
      <c r="W162">
        <f>HYPERLINK("https://klasma.github.io/Logging_2283/klagomålsmail/A 15984-2026 FSC-klagomål mail.docx", "A 15984-2026")</f>
        <v/>
      </c>
      <c r="X162">
        <f>HYPERLINK("https://klasma.github.io/Logging_2283/tillsyn/A 15984-2026 tillsynsbegäran.docx", "A 15984-2026")</f>
        <v/>
      </c>
      <c r="Y162">
        <f>HYPERLINK("https://klasma.github.io/Logging_2283/tillsynsmail/A 15984-2026 tillsynsbegäran mail.docx", "A 15984-2026")</f>
        <v/>
      </c>
      <c r="Z162">
        <f>HYPERLINK("https://klasma.github.io/Logging_2283/fåglar/A 15984-2026 prioriterade fågelarter.docx", "A 15984-2026")</f>
        <v/>
      </c>
    </row>
    <row r="163" ht="15" customHeight="1">
      <c r="A163" t="inlineStr">
        <is>
          <t>A 25954-2025</t>
        </is>
      </c>
      <c r="B163" s="1" t="n">
        <v>45804</v>
      </c>
      <c r="C163" s="1" t="n">
        <v>46199</v>
      </c>
      <c r="D163" t="inlineStr">
        <is>
          <t>VÄSTERNORRLANDS LÄN</t>
        </is>
      </c>
      <c r="E163" t="inlineStr">
        <is>
          <t>SOLLEFTEÅ</t>
        </is>
      </c>
      <c r="G163" t="n">
        <v>3.2</v>
      </c>
      <c r="H163" t="n">
        <v>1</v>
      </c>
      <c r="I163" t="n">
        <v>3</v>
      </c>
      <c r="J163" t="n">
        <v>1</v>
      </c>
      <c r="K163" t="n">
        <v>0</v>
      </c>
      <c r="L163" t="n">
        <v>0</v>
      </c>
      <c r="M163" t="n">
        <v>0</v>
      </c>
      <c r="N163" t="n">
        <v>0</v>
      </c>
      <c r="O163" t="n">
        <v>1</v>
      </c>
      <c r="P163" t="n">
        <v>0</v>
      </c>
      <c r="Q163" t="n">
        <v>5</v>
      </c>
      <c r="R163" s="2" t="inlineStr">
        <is>
          <t>Rosenticka
Dvärghäxört
Springkorn
Svart trolldruva
Revlummer</t>
        </is>
      </c>
      <c r="S163">
        <f>HYPERLINK("https://klasma.github.io/Logging_2283/artfynd/A 25954-2025 artfynd.xlsx", "A 25954-2025")</f>
        <v/>
      </c>
      <c r="T163">
        <f>HYPERLINK("https://klasma.github.io/Logging_2283/kartor/A 25954-2025 karta.png", "A 25954-2025")</f>
        <v/>
      </c>
      <c r="V163">
        <f>HYPERLINK("https://klasma.github.io/Logging_2283/klagomål/A 25954-2025 FSC-klagomål.docx", "A 25954-2025")</f>
        <v/>
      </c>
      <c r="W163">
        <f>HYPERLINK("https://klasma.github.io/Logging_2283/klagomålsmail/A 25954-2025 FSC-klagomål mail.docx", "A 25954-2025")</f>
        <v/>
      </c>
      <c r="X163">
        <f>HYPERLINK("https://klasma.github.io/Logging_2283/tillsyn/A 25954-2025 tillsynsbegäran.docx", "A 25954-2025")</f>
        <v/>
      </c>
      <c r="Y163">
        <f>HYPERLINK("https://klasma.github.io/Logging_2283/tillsynsmail/A 25954-2025 tillsynsbegäran mail.docx", "A 25954-2025")</f>
        <v/>
      </c>
    </row>
    <row r="164" ht="15" customHeight="1">
      <c r="A164" t="inlineStr">
        <is>
          <t>A 22918-2026</t>
        </is>
      </c>
      <c r="B164" s="1" t="n">
        <v>46160</v>
      </c>
      <c r="C164" s="1" t="n">
        <v>46199</v>
      </c>
      <c r="D164" t="inlineStr">
        <is>
          <t>VÄSTERNORRLANDS LÄN</t>
        </is>
      </c>
      <c r="E164" t="inlineStr">
        <is>
          <t>SOLLEFTEÅ</t>
        </is>
      </c>
      <c r="F164" t="inlineStr">
        <is>
          <t>SCA</t>
        </is>
      </c>
      <c r="G164" t="n">
        <v>10.9</v>
      </c>
      <c r="H164" t="n">
        <v>0</v>
      </c>
      <c r="I164" t="n">
        <v>1</v>
      </c>
      <c r="J164" t="n">
        <v>2</v>
      </c>
      <c r="K164" t="n">
        <v>2</v>
      </c>
      <c r="L164" t="n">
        <v>0</v>
      </c>
      <c r="M164" t="n">
        <v>0</v>
      </c>
      <c r="N164" t="n">
        <v>0</v>
      </c>
      <c r="O164" t="n">
        <v>4</v>
      </c>
      <c r="P164" t="n">
        <v>2</v>
      </c>
      <c r="Q164" t="n">
        <v>5</v>
      </c>
      <c r="R164" s="2" t="inlineStr">
        <is>
          <t>Finporing
Liten aspgelélav
Koralltaggsvamp
Stiftgelélav
Stor aspticka</t>
        </is>
      </c>
      <c r="S164">
        <f>HYPERLINK("https://klasma.github.io/Logging_2283/artfynd/A 22918-2026 artfynd.xlsx", "A 22918-2026")</f>
        <v/>
      </c>
      <c r="T164">
        <f>HYPERLINK("https://klasma.github.io/Logging_2283/kartor/A 22918-2026 karta.png", "A 22918-2026")</f>
        <v/>
      </c>
      <c r="V164">
        <f>HYPERLINK("https://klasma.github.io/Logging_2283/klagomål/A 22918-2026 FSC-klagomål.docx", "A 22918-2026")</f>
        <v/>
      </c>
      <c r="W164">
        <f>HYPERLINK("https://klasma.github.io/Logging_2283/klagomålsmail/A 22918-2026 FSC-klagomål mail.docx", "A 22918-2026")</f>
        <v/>
      </c>
      <c r="X164">
        <f>HYPERLINK("https://klasma.github.io/Logging_2283/tillsyn/A 22918-2026 tillsynsbegäran.docx", "A 22918-2026")</f>
        <v/>
      </c>
      <c r="Y164">
        <f>HYPERLINK("https://klasma.github.io/Logging_2283/tillsynsmail/A 22918-2026 tillsynsbegäran mail.docx", "A 22918-2026")</f>
        <v/>
      </c>
    </row>
    <row r="165" ht="15" customHeight="1">
      <c r="A165" t="inlineStr">
        <is>
          <t>A 17770-2026</t>
        </is>
      </c>
      <c r="B165" s="1" t="n">
        <v>46122</v>
      </c>
      <c r="C165" s="1" t="n">
        <v>46199</v>
      </c>
      <c r="D165" t="inlineStr">
        <is>
          <t>VÄSTERNORRLANDS LÄN</t>
        </is>
      </c>
      <c r="E165" t="inlineStr">
        <is>
          <t>SOLLEFTEÅ</t>
        </is>
      </c>
      <c r="F165" t="inlineStr">
        <is>
          <t>SCA</t>
        </is>
      </c>
      <c r="G165" t="n">
        <v>9.699999999999999</v>
      </c>
      <c r="H165" t="n">
        <v>3</v>
      </c>
      <c r="I165" t="n">
        <v>0</v>
      </c>
      <c r="J165" t="n">
        <v>3</v>
      </c>
      <c r="K165" t="n">
        <v>1</v>
      </c>
      <c r="L165" t="n">
        <v>0</v>
      </c>
      <c r="M165" t="n">
        <v>0</v>
      </c>
      <c r="N165" t="n">
        <v>0</v>
      </c>
      <c r="O165" t="n">
        <v>4</v>
      </c>
      <c r="P165" t="n">
        <v>1</v>
      </c>
      <c r="Q165" t="n">
        <v>5</v>
      </c>
      <c r="R165" s="2" t="inlineStr">
        <is>
          <t>Garnlav
Rosenticka
Talltita
Tretåig hackspett
Spillkråka</t>
        </is>
      </c>
      <c r="S165">
        <f>HYPERLINK("https://klasma.github.io/Logging_2283/artfynd/A 17770-2026 artfynd.xlsx", "A 17770-2026")</f>
        <v/>
      </c>
      <c r="T165">
        <f>HYPERLINK("https://klasma.github.io/Logging_2283/kartor/A 17770-2026 karta.png", "A 17770-2026")</f>
        <v/>
      </c>
      <c r="V165">
        <f>HYPERLINK("https://klasma.github.io/Logging_2283/klagomål/A 17770-2026 FSC-klagomål.docx", "A 17770-2026")</f>
        <v/>
      </c>
      <c r="W165">
        <f>HYPERLINK("https://klasma.github.io/Logging_2283/klagomålsmail/A 17770-2026 FSC-klagomål mail.docx", "A 17770-2026")</f>
        <v/>
      </c>
      <c r="X165">
        <f>HYPERLINK("https://klasma.github.io/Logging_2283/tillsyn/A 17770-2026 tillsynsbegäran.docx", "A 17770-2026")</f>
        <v/>
      </c>
      <c r="Y165">
        <f>HYPERLINK("https://klasma.github.io/Logging_2283/tillsynsmail/A 17770-2026 tillsynsbegäran mail.docx", "A 17770-2026")</f>
        <v/>
      </c>
      <c r="Z165">
        <f>HYPERLINK("https://klasma.github.io/Logging_2283/fåglar/A 17770-2026 prioriterade fågelarter.docx", "A 17770-2026")</f>
        <v/>
      </c>
    </row>
    <row r="166" ht="15" customHeight="1">
      <c r="A166" t="inlineStr">
        <is>
          <t>A 59662-2023</t>
        </is>
      </c>
      <c r="B166" s="1" t="n">
        <v>45254</v>
      </c>
      <c r="C166" s="1" t="n">
        <v>46199</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60856-2022</t>
        </is>
      </c>
      <c r="B167" s="1" t="n">
        <v>44907</v>
      </c>
      <c r="C167" s="1" t="n">
        <v>46199</v>
      </c>
      <c r="D167" t="inlineStr">
        <is>
          <t>VÄSTERNORRLANDS LÄN</t>
        </is>
      </c>
      <c r="E167" t="inlineStr">
        <is>
          <t>SOLLEFTEÅ</t>
        </is>
      </c>
      <c r="G167" t="n">
        <v>3.1</v>
      </c>
      <c r="H167" t="n">
        <v>0</v>
      </c>
      <c r="I167" t="n">
        <v>2</v>
      </c>
      <c r="J167" t="n">
        <v>2</v>
      </c>
      <c r="K167" t="n">
        <v>1</v>
      </c>
      <c r="L167" t="n">
        <v>0</v>
      </c>
      <c r="M167" t="n">
        <v>0</v>
      </c>
      <c r="N167" t="n">
        <v>0</v>
      </c>
      <c r="O167" t="n">
        <v>3</v>
      </c>
      <c r="P167" t="n">
        <v>1</v>
      </c>
      <c r="Q167" t="n">
        <v>5</v>
      </c>
      <c r="R167" s="2" t="inlineStr">
        <is>
          <t>Garnlav
Lunglav
Skrovellav
Bårdlav
Stuplav</t>
        </is>
      </c>
      <c r="S167">
        <f>HYPERLINK("https://klasma.github.io/Logging_2283/artfynd/A 60856-2022 artfynd.xlsx", "A 60856-2022")</f>
        <v/>
      </c>
      <c r="T167">
        <f>HYPERLINK("https://klasma.github.io/Logging_2283/kartor/A 60856-2022 karta.png", "A 60856-2022")</f>
        <v/>
      </c>
      <c r="V167">
        <f>HYPERLINK("https://klasma.github.io/Logging_2283/klagomål/A 60856-2022 FSC-klagomål.docx", "A 60856-2022")</f>
        <v/>
      </c>
      <c r="W167">
        <f>HYPERLINK("https://klasma.github.io/Logging_2283/klagomålsmail/A 60856-2022 FSC-klagomål mail.docx", "A 60856-2022")</f>
        <v/>
      </c>
      <c r="X167">
        <f>HYPERLINK("https://klasma.github.io/Logging_2283/tillsyn/A 60856-2022 tillsynsbegäran.docx", "A 60856-2022")</f>
        <v/>
      </c>
      <c r="Y167">
        <f>HYPERLINK("https://klasma.github.io/Logging_2283/tillsynsmail/A 60856-2022 tillsynsbegäran mail.docx", "A 60856-2022")</f>
        <v/>
      </c>
    </row>
    <row r="168" ht="15" customHeight="1">
      <c r="A168" t="inlineStr">
        <is>
          <t>A 20781-2023</t>
        </is>
      </c>
      <c r="B168" s="1" t="n">
        <v>45058</v>
      </c>
      <c r="C168" s="1" t="n">
        <v>46199</v>
      </c>
      <c r="D168" t="inlineStr">
        <is>
          <t>VÄSTERNORRLANDS LÄN</t>
        </is>
      </c>
      <c r="E168" t="inlineStr">
        <is>
          <t>SOLLEFTEÅ</t>
        </is>
      </c>
      <c r="F168" t="inlineStr">
        <is>
          <t>Kyrkan</t>
        </is>
      </c>
      <c r="G168" t="n">
        <v>11.1</v>
      </c>
      <c r="H168" t="n">
        <v>3</v>
      </c>
      <c r="I168" t="n">
        <v>0</v>
      </c>
      <c r="J168" t="n">
        <v>2</v>
      </c>
      <c r="K168" t="n">
        <v>2</v>
      </c>
      <c r="L168" t="n">
        <v>0</v>
      </c>
      <c r="M168" t="n">
        <v>0</v>
      </c>
      <c r="N168" t="n">
        <v>0</v>
      </c>
      <c r="O168" t="n">
        <v>4</v>
      </c>
      <c r="P168" t="n">
        <v>2</v>
      </c>
      <c r="Q168" t="n">
        <v>5</v>
      </c>
      <c r="R168" s="2" t="inlineStr">
        <is>
          <t>Garnlav
Knärot
Tretåig hackspett
Ullticka
Tjäder</t>
        </is>
      </c>
      <c r="S168">
        <f>HYPERLINK("https://klasma.github.io/Logging_2283/artfynd/A 20781-2023 artfynd.xlsx", "A 20781-2023")</f>
        <v/>
      </c>
      <c r="T168">
        <f>HYPERLINK("https://klasma.github.io/Logging_2283/kartor/A 20781-2023 karta.png", "A 20781-2023")</f>
        <v/>
      </c>
      <c r="U168">
        <f>HYPERLINK("https://klasma.github.io/Logging_2283/knärot/A 20781-2023 karta knärot.png", "A 20781-2023")</f>
        <v/>
      </c>
      <c r="V168">
        <f>HYPERLINK("https://klasma.github.io/Logging_2283/klagomål/A 20781-2023 FSC-klagomål.docx", "A 20781-2023")</f>
        <v/>
      </c>
      <c r="W168">
        <f>HYPERLINK("https://klasma.github.io/Logging_2283/klagomålsmail/A 20781-2023 FSC-klagomål mail.docx", "A 20781-2023")</f>
        <v/>
      </c>
      <c r="X168">
        <f>HYPERLINK("https://klasma.github.io/Logging_2283/tillsyn/A 20781-2023 tillsynsbegäran.docx", "A 20781-2023")</f>
        <v/>
      </c>
      <c r="Y168">
        <f>HYPERLINK("https://klasma.github.io/Logging_2283/tillsynsmail/A 20781-2023 tillsynsbegäran mail.docx", "A 20781-2023")</f>
        <v/>
      </c>
      <c r="Z168">
        <f>HYPERLINK("https://klasma.github.io/Logging_2283/fåglar/A 20781-2023 prioriterade fågelarter.docx", "A 20781-2023")</f>
        <v/>
      </c>
    </row>
    <row r="169" ht="15" customHeight="1">
      <c r="A169" t="inlineStr">
        <is>
          <t>A 14860-2023</t>
        </is>
      </c>
      <c r="B169" s="1" t="n">
        <v>45015</v>
      </c>
      <c r="C169" s="1" t="n">
        <v>46199</v>
      </c>
      <c r="D169" t="inlineStr">
        <is>
          <t>VÄSTERNORRLANDS LÄN</t>
        </is>
      </c>
      <c r="E169" t="inlineStr">
        <is>
          <t>SOLLEFTEÅ</t>
        </is>
      </c>
      <c r="F169" t="inlineStr">
        <is>
          <t>SCA</t>
        </is>
      </c>
      <c r="G169" t="n">
        <v>5.8</v>
      </c>
      <c r="H169" t="n">
        <v>1</v>
      </c>
      <c r="I169" t="n">
        <v>2</v>
      </c>
      <c r="J169" t="n">
        <v>2</v>
      </c>
      <c r="K169" t="n">
        <v>1</v>
      </c>
      <c r="L169" t="n">
        <v>0</v>
      </c>
      <c r="M169" t="n">
        <v>0</v>
      </c>
      <c r="N169" t="n">
        <v>0</v>
      </c>
      <c r="O169" t="n">
        <v>3</v>
      </c>
      <c r="P169" t="n">
        <v>1</v>
      </c>
      <c r="Q169" t="n">
        <v>5</v>
      </c>
      <c r="R169" s="2" t="inlineStr">
        <is>
          <t>Knärot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48562-2024</t>
        </is>
      </c>
      <c r="B170" s="1" t="n">
        <v>45593</v>
      </c>
      <c r="C170" s="1" t="n">
        <v>46199</v>
      </c>
      <c r="D170" t="inlineStr">
        <is>
          <t>VÄSTERNORRLANDS LÄN</t>
        </is>
      </c>
      <c r="E170" t="inlineStr">
        <is>
          <t>SOLLEFTEÅ</t>
        </is>
      </c>
      <c r="F170" t="inlineStr">
        <is>
          <t>SCA</t>
        </is>
      </c>
      <c r="G170" t="n">
        <v>5.3</v>
      </c>
      <c r="H170" t="n">
        <v>1</v>
      </c>
      <c r="I170" t="n">
        <v>1</v>
      </c>
      <c r="J170" t="n">
        <v>3</v>
      </c>
      <c r="K170" t="n">
        <v>1</v>
      </c>
      <c r="L170" t="n">
        <v>0</v>
      </c>
      <c r="M170" t="n">
        <v>0</v>
      </c>
      <c r="N170" t="n">
        <v>0</v>
      </c>
      <c r="O170" t="n">
        <v>4</v>
      </c>
      <c r="P170" t="n">
        <v>1</v>
      </c>
      <c r="Q170" t="n">
        <v>5</v>
      </c>
      <c r="R170" s="2" t="inlineStr">
        <is>
          <t>Garnlav
Gammelgransskål
Lunglav
Vitgrynig nållav
Lappranunkel</t>
        </is>
      </c>
      <c r="S170">
        <f>HYPERLINK("https://klasma.github.io/Logging_2283/artfynd/A 48562-2024 artfynd.xlsx", "A 48562-2024")</f>
        <v/>
      </c>
      <c r="T170">
        <f>HYPERLINK("https://klasma.github.io/Logging_2283/kartor/A 48562-2024 karta.png", "A 48562-2024")</f>
        <v/>
      </c>
      <c r="V170">
        <f>HYPERLINK("https://klasma.github.io/Logging_2283/klagomål/A 48562-2024 FSC-klagomål.docx", "A 48562-2024")</f>
        <v/>
      </c>
      <c r="W170">
        <f>HYPERLINK("https://klasma.github.io/Logging_2283/klagomålsmail/A 48562-2024 FSC-klagomål mail.docx", "A 48562-2024")</f>
        <v/>
      </c>
      <c r="X170">
        <f>HYPERLINK("https://klasma.github.io/Logging_2283/tillsyn/A 48562-2024 tillsynsbegäran.docx", "A 48562-2024")</f>
        <v/>
      </c>
      <c r="Y170">
        <f>HYPERLINK("https://klasma.github.io/Logging_2283/tillsynsmail/A 48562-2024 tillsynsbegäran mail.docx", "A 48562-2024")</f>
        <v/>
      </c>
    </row>
    <row r="171" ht="15" customHeight="1">
      <c r="A171" t="inlineStr">
        <is>
          <t>A 18100-2025</t>
        </is>
      </c>
      <c r="B171" s="1" t="n">
        <v>45761</v>
      </c>
      <c r="C171" s="1" t="n">
        <v>46199</v>
      </c>
      <c r="D171" t="inlineStr">
        <is>
          <t>VÄSTERNORRLANDS LÄN</t>
        </is>
      </c>
      <c r="E171" t="inlineStr">
        <is>
          <t>SOLLEFTEÅ</t>
        </is>
      </c>
      <c r="F171" t="inlineStr">
        <is>
          <t>SCA</t>
        </is>
      </c>
      <c r="G171" t="n">
        <v>3.6</v>
      </c>
      <c r="H171" t="n">
        <v>1</v>
      </c>
      <c r="I171" t="n">
        <v>0</v>
      </c>
      <c r="J171" t="n">
        <v>3</v>
      </c>
      <c r="K171" t="n">
        <v>2</v>
      </c>
      <c r="L171" t="n">
        <v>0</v>
      </c>
      <c r="M171" t="n">
        <v>0</v>
      </c>
      <c r="N171" t="n">
        <v>0</v>
      </c>
      <c r="O171" t="n">
        <v>5</v>
      </c>
      <c r="P171" t="n">
        <v>2</v>
      </c>
      <c r="Q171" t="n">
        <v>5</v>
      </c>
      <c r="R171" s="2" t="inlineStr">
        <is>
          <t>Knärot
Lappticka
Lunglav
Rynkskinn
Ullticka</t>
        </is>
      </c>
      <c r="S171">
        <f>HYPERLINK("https://klasma.github.io/Logging_2283/artfynd/A 18100-2025 artfynd.xlsx", "A 18100-2025")</f>
        <v/>
      </c>
      <c r="T171">
        <f>HYPERLINK("https://klasma.github.io/Logging_2283/kartor/A 18100-2025 karta.png", "A 18100-2025")</f>
        <v/>
      </c>
      <c r="U171">
        <f>HYPERLINK("https://klasma.github.io/Logging_2283/knärot/A 18100-2025 karta knärot.png", "A 18100-2025")</f>
        <v/>
      </c>
      <c r="V171">
        <f>HYPERLINK("https://klasma.github.io/Logging_2283/klagomål/A 18100-2025 FSC-klagomål.docx", "A 18100-2025")</f>
        <v/>
      </c>
      <c r="W171">
        <f>HYPERLINK("https://klasma.github.io/Logging_2283/klagomålsmail/A 18100-2025 FSC-klagomål mail.docx", "A 18100-2025")</f>
        <v/>
      </c>
      <c r="X171">
        <f>HYPERLINK("https://klasma.github.io/Logging_2283/tillsyn/A 18100-2025 tillsynsbegäran.docx", "A 18100-2025")</f>
        <v/>
      </c>
      <c r="Y171">
        <f>HYPERLINK("https://klasma.github.io/Logging_2283/tillsynsmail/A 18100-2025 tillsynsbegäran mail.docx", "A 18100-2025")</f>
        <v/>
      </c>
    </row>
    <row r="172" ht="15" customHeight="1">
      <c r="A172" t="inlineStr">
        <is>
          <t>A 61670-2025</t>
        </is>
      </c>
      <c r="B172" s="1" t="n">
        <v>46002</v>
      </c>
      <c r="C172" s="1" t="n">
        <v>46199</v>
      </c>
      <c r="D172" t="inlineStr">
        <is>
          <t>VÄSTERNORRLANDS LÄN</t>
        </is>
      </c>
      <c r="E172" t="inlineStr">
        <is>
          <t>SOLLEFTEÅ</t>
        </is>
      </c>
      <c r="G172" t="n">
        <v>4.5</v>
      </c>
      <c r="H172" t="n">
        <v>1</v>
      </c>
      <c r="I172" t="n">
        <v>1</v>
      </c>
      <c r="J172" t="n">
        <v>2</v>
      </c>
      <c r="K172" t="n">
        <v>1</v>
      </c>
      <c r="L172" t="n">
        <v>0</v>
      </c>
      <c r="M172" t="n">
        <v>0</v>
      </c>
      <c r="N172" t="n">
        <v>0</v>
      </c>
      <c r="O172" t="n">
        <v>3</v>
      </c>
      <c r="P172" t="n">
        <v>1</v>
      </c>
      <c r="Q172" t="n">
        <v>5</v>
      </c>
      <c r="R172" s="2" t="inlineStr">
        <is>
          <t>Garnlav
Rosenticka
Ullticka
Vedticka
Tjäder</t>
        </is>
      </c>
      <c r="S172">
        <f>HYPERLINK("https://klasma.github.io/Logging_2283/artfynd/A 61670-2025 artfynd.xlsx", "A 61670-2025")</f>
        <v/>
      </c>
      <c r="T172">
        <f>HYPERLINK("https://klasma.github.io/Logging_2283/kartor/A 61670-2025 karta.png", "A 61670-2025")</f>
        <v/>
      </c>
      <c r="V172">
        <f>HYPERLINK("https://klasma.github.io/Logging_2283/klagomål/A 61670-2025 FSC-klagomål.docx", "A 61670-2025")</f>
        <v/>
      </c>
      <c r="W172">
        <f>HYPERLINK("https://klasma.github.io/Logging_2283/klagomålsmail/A 61670-2025 FSC-klagomål mail.docx", "A 61670-2025")</f>
        <v/>
      </c>
      <c r="X172">
        <f>HYPERLINK("https://klasma.github.io/Logging_2283/tillsyn/A 61670-2025 tillsynsbegäran.docx", "A 61670-2025")</f>
        <v/>
      </c>
      <c r="Y172">
        <f>HYPERLINK("https://klasma.github.io/Logging_2283/tillsynsmail/A 61670-2025 tillsynsbegäran mail.docx", "A 61670-2025")</f>
        <v/>
      </c>
      <c r="Z172">
        <f>HYPERLINK("https://klasma.github.io/Logging_2283/fåglar/A 61670-2025 prioriterade fågelarter.docx", "A 61670-2025")</f>
        <v/>
      </c>
    </row>
    <row r="173" ht="15" customHeight="1">
      <c r="A173" t="inlineStr">
        <is>
          <t>A 16314-2025</t>
        </is>
      </c>
      <c r="B173" s="1" t="n">
        <v>45751</v>
      </c>
      <c r="C173" s="1" t="n">
        <v>46199</v>
      </c>
      <c r="D173" t="inlineStr">
        <is>
          <t>VÄSTERNORRLANDS LÄN</t>
        </is>
      </c>
      <c r="E173" t="inlineStr">
        <is>
          <t>SOLLEFTEÅ</t>
        </is>
      </c>
      <c r="F173" t="inlineStr">
        <is>
          <t>SCA</t>
        </is>
      </c>
      <c r="G173" t="n">
        <v>2.7</v>
      </c>
      <c r="H173" t="n">
        <v>0</v>
      </c>
      <c r="I173" t="n">
        <v>0</v>
      </c>
      <c r="J173" t="n">
        <v>4</v>
      </c>
      <c r="K173" t="n">
        <v>1</v>
      </c>
      <c r="L173" t="n">
        <v>0</v>
      </c>
      <c r="M173" t="n">
        <v>0</v>
      </c>
      <c r="N173" t="n">
        <v>0</v>
      </c>
      <c r="O173" t="n">
        <v>5</v>
      </c>
      <c r="P173" t="n">
        <v>1</v>
      </c>
      <c r="Q173" t="n">
        <v>5</v>
      </c>
      <c r="R173" s="2" t="inlineStr">
        <is>
          <t>Garnlav
Gammelgransskål
Lunglav
Rosenticka
Ullticka</t>
        </is>
      </c>
      <c r="S173">
        <f>HYPERLINK("https://klasma.github.io/Logging_2283/artfynd/A 16314-2025 artfynd.xlsx", "A 16314-2025")</f>
        <v/>
      </c>
      <c r="T173">
        <f>HYPERLINK("https://klasma.github.io/Logging_2283/kartor/A 16314-2025 karta.png", "A 16314-2025")</f>
        <v/>
      </c>
      <c r="V173">
        <f>HYPERLINK("https://klasma.github.io/Logging_2283/klagomål/A 16314-2025 FSC-klagomål.docx", "A 16314-2025")</f>
        <v/>
      </c>
      <c r="W173">
        <f>HYPERLINK("https://klasma.github.io/Logging_2283/klagomålsmail/A 16314-2025 FSC-klagomål mail.docx", "A 16314-2025")</f>
        <v/>
      </c>
      <c r="X173">
        <f>HYPERLINK("https://klasma.github.io/Logging_2283/tillsyn/A 16314-2025 tillsynsbegäran.docx", "A 16314-2025")</f>
        <v/>
      </c>
      <c r="Y173">
        <f>HYPERLINK("https://klasma.github.io/Logging_2283/tillsynsmail/A 16314-2025 tillsynsbegäran mail.docx", "A 16314-2025")</f>
        <v/>
      </c>
    </row>
    <row r="174" ht="15" customHeight="1">
      <c r="A174" t="inlineStr">
        <is>
          <t>A 56420-2025</t>
        </is>
      </c>
      <c r="B174" s="1" t="n">
        <v>45975</v>
      </c>
      <c r="C174" s="1" t="n">
        <v>46199</v>
      </c>
      <c r="D174" t="inlineStr">
        <is>
          <t>VÄSTERNORRLANDS LÄN</t>
        </is>
      </c>
      <c r="E174" t="inlineStr">
        <is>
          <t>SOLLEFTEÅ</t>
        </is>
      </c>
      <c r="F174" t="inlineStr">
        <is>
          <t>SCA</t>
        </is>
      </c>
      <c r="G174" t="n">
        <v>3.7</v>
      </c>
      <c r="H174" t="n">
        <v>1</v>
      </c>
      <c r="I174" t="n">
        <v>0</v>
      </c>
      <c r="J174" t="n">
        <v>4</v>
      </c>
      <c r="K174" t="n">
        <v>1</v>
      </c>
      <c r="L174" t="n">
        <v>0</v>
      </c>
      <c r="M174" t="n">
        <v>0</v>
      </c>
      <c r="N174" t="n">
        <v>0</v>
      </c>
      <c r="O174" t="n">
        <v>5</v>
      </c>
      <c r="P174" t="n">
        <v>1</v>
      </c>
      <c r="Q174" t="n">
        <v>5</v>
      </c>
      <c r="R174" s="2" t="inlineStr">
        <is>
          <t>Garnlav
Dropptaggsvamp
Kolflarnlav
Tretåig hackspett
Vedskivlav</t>
        </is>
      </c>
      <c r="S174">
        <f>HYPERLINK("https://klasma.github.io/Logging_2283/artfynd/A 56420-2025 artfynd.xlsx", "A 56420-2025")</f>
        <v/>
      </c>
      <c r="T174">
        <f>HYPERLINK("https://klasma.github.io/Logging_2283/kartor/A 56420-2025 karta.png", "A 56420-2025")</f>
        <v/>
      </c>
      <c r="V174">
        <f>HYPERLINK("https://klasma.github.io/Logging_2283/klagomål/A 56420-2025 FSC-klagomål.docx", "A 56420-2025")</f>
        <v/>
      </c>
      <c r="W174">
        <f>HYPERLINK("https://klasma.github.io/Logging_2283/klagomålsmail/A 56420-2025 FSC-klagomål mail.docx", "A 56420-2025")</f>
        <v/>
      </c>
      <c r="X174">
        <f>HYPERLINK("https://klasma.github.io/Logging_2283/tillsyn/A 56420-2025 tillsynsbegäran.docx", "A 56420-2025")</f>
        <v/>
      </c>
      <c r="Y174">
        <f>HYPERLINK("https://klasma.github.io/Logging_2283/tillsynsmail/A 56420-2025 tillsynsbegäran mail.docx", "A 56420-2025")</f>
        <v/>
      </c>
      <c r="Z174">
        <f>HYPERLINK("https://klasma.github.io/Logging_2283/fåglar/A 56420-2025 prioriterade fågelarter.docx", "A 56420-2025")</f>
        <v/>
      </c>
    </row>
    <row r="175" ht="15" customHeight="1">
      <c r="A175" t="inlineStr">
        <is>
          <t>A 20993-2026</t>
        </is>
      </c>
      <c r="B175" s="1" t="n">
        <v>46142</v>
      </c>
      <c r="C175" s="1" t="n">
        <v>46199</v>
      </c>
      <c r="D175" t="inlineStr">
        <is>
          <t>VÄSTERNORRLANDS LÄN</t>
        </is>
      </c>
      <c r="E175" t="inlineStr">
        <is>
          <t>SOLLEFTEÅ</t>
        </is>
      </c>
      <c r="F175" t="inlineStr">
        <is>
          <t>SCA</t>
        </is>
      </c>
      <c r="G175" t="n">
        <v>4</v>
      </c>
      <c r="H175" t="n">
        <v>0</v>
      </c>
      <c r="I175" t="n">
        <v>4</v>
      </c>
      <c r="J175" t="n">
        <v>1</v>
      </c>
      <c r="K175" t="n">
        <v>0</v>
      </c>
      <c r="L175" t="n">
        <v>0</v>
      </c>
      <c r="M175" t="n">
        <v>0</v>
      </c>
      <c r="N175" t="n">
        <v>0</v>
      </c>
      <c r="O175" t="n">
        <v>1</v>
      </c>
      <c r="P175" t="n">
        <v>0</v>
      </c>
      <c r="Q175" t="n">
        <v>5</v>
      </c>
      <c r="R175" s="2" t="inlineStr">
        <is>
          <t>Lunglav
Bollvitmossa
Bårdlav
Luddlav
Stuplav</t>
        </is>
      </c>
      <c r="S175">
        <f>HYPERLINK("https://klasma.github.io/Logging_2283/artfynd/A 20993-2026 artfynd.xlsx", "A 20993-2026")</f>
        <v/>
      </c>
      <c r="T175">
        <f>HYPERLINK("https://klasma.github.io/Logging_2283/kartor/A 20993-2026 karta.png", "A 20993-2026")</f>
        <v/>
      </c>
      <c r="V175">
        <f>HYPERLINK("https://klasma.github.io/Logging_2283/klagomål/A 20993-2026 FSC-klagomål.docx", "A 20993-2026")</f>
        <v/>
      </c>
      <c r="W175">
        <f>HYPERLINK("https://klasma.github.io/Logging_2283/klagomålsmail/A 20993-2026 FSC-klagomål mail.docx", "A 20993-2026")</f>
        <v/>
      </c>
      <c r="X175">
        <f>HYPERLINK("https://klasma.github.io/Logging_2283/tillsyn/A 20993-2026 tillsynsbegäran.docx", "A 20993-2026")</f>
        <v/>
      </c>
      <c r="Y175">
        <f>HYPERLINK("https://klasma.github.io/Logging_2283/tillsynsmail/A 20993-2026 tillsynsbegäran mail.docx", "A 20993-2026")</f>
        <v/>
      </c>
    </row>
    <row r="176" ht="15" customHeight="1">
      <c r="A176" t="inlineStr">
        <is>
          <t>A 45692-2025</t>
        </is>
      </c>
      <c r="B176" s="1" t="n">
        <v>45923</v>
      </c>
      <c r="C176" s="1" t="n">
        <v>46199</v>
      </c>
      <c r="D176" t="inlineStr">
        <is>
          <t>VÄSTERNORRLANDS LÄN</t>
        </is>
      </c>
      <c r="E176" t="inlineStr">
        <is>
          <t>SOLLEFTEÅ</t>
        </is>
      </c>
      <c r="F176" t="inlineStr">
        <is>
          <t>SCA</t>
        </is>
      </c>
      <c r="G176" t="n">
        <v>4.9</v>
      </c>
      <c r="H176" t="n">
        <v>2</v>
      </c>
      <c r="I176" t="n">
        <v>1</v>
      </c>
      <c r="J176" t="n">
        <v>3</v>
      </c>
      <c r="K176" t="n">
        <v>1</v>
      </c>
      <c r="L176" t="n">
        <v>0</v>
      </c>
      <c r="M176" t="n">
        <v>0</v>
      </c>
      <c r="N176" t="n">
        <v>0</v>
      </c>
      <c r="O176" t="n">
        <v>4</v>
      </c>
      <c r="P176" t="n">
        <v>1</v>
      </c>
      <c r="Q176" t="n">
        <v>5</v>
      </c>
      <c r="R176" s="2" t="inlineStr">
        <is>
          <t>Knärot
Rosenticka
Tretåig hackspett
Ullticka
Vedticka</t>
        </is>
      </c>
      <c r="S176">
        <f>HYPERLINK("https://klasma.github.io/Logging_2283/artfynd/A 45692-2025 artfynd.xlsx", "A 45692-2025")</f>
        <v/>
      </c>
      <c r="T176">
        <f>HYPERLINK("https://klasma.github.io/Logging_2283/kartor/A 45692-2025 karta.png", "A 45692-2025")</f>
        <v/>
      </c>
      <c r="U176">
        <f>HYPERLINK("https://klasma.github.io/Logging_2283/knärot/A 45692-2025 karta knärot.png", "A 45692-2025")</f>
        <v/>
      </c>
      <c r="V176">
        <f>HYPERLINK("https://klasma.github.io/Logging_2283/klagomål/A 45692-2025 FSC-klagomål.docx", "A 45692-2025")</f>
        <v/>
      </c>
      <c r="W176">
        <f>HYPERLINK("https://klasma.github.io/Logging_2283/klagomålsmail/A 45692-2025 FSC-klagomål mail.docx", "A 45692-2025")</f>
        <v/>
      </c>
      <c r="X176">
        <f>HYPERLINK("https://klasma.github.io/Logging_2283/tillsyn/A 45692-2025 tillsynsbegäran.docx", "A 45692-2025")</f>
        <v/>
      </c>
      <c r="Y176">
        <f>HYPERLINK("https://klasma.github.io/Logging_2283/tillsynsmail/A 45692-2025 tillsynsbegäran mail.docx", "A 45692-2025")</f>
        <v/>
      </c>
      <c r="Z176">
        <f>HYPERLINK("https://klasma.github.io/Logging_2283/fåglar/A 45692-2025 prioriterade fågelarter.docx", "A 45692-2025")</f>
        <v/>
      </c>
    </row>
    <row r="177" ht="15" customHeight="1">
      <c r="A177" t="inlineStr">
        <is>
          <t>A 6235-2023</t>
        </is>
      </c>
      <c r="B177" s="1" t="n">
        <v>44964</v>
      </c>
      <c r="C177" s="1" t="n">
        <v>46199</v>
      </c>
      <c r="D177" t="inlineStr">
        <is>
          <t>VÄSTERNORRLANDS LÄN</t>
        </is>
      </c>
      <c r="E177" t="inlineStr">
        <is>
          <t>SOLLEFTEÅ</t>
        </is>
      </c>
      <c r="F177" t="inlineStr">
        <is>
          <t>SCA</t>
        </is>
      </c>
      <c r="G177" t="n">
        <v>0.6</v>
      </c>
      <c r="H177" t="n">
        <v>2</v>
      </c>
      <c r="I177" t="n">
        <v>0</v>
      </c>
      <c r="J177" t="n">
        <v>4</v>
      </c>
      <c r="K177" t="n">
        <v>0</v>
      </c>
      <c r="L177" t="n">
        <v>0</v>
      </c>
      <c r="M177" t="n">
        <v>0</v>
      </c>
      <c r="N177" t="n">
        <v>0</v>
      </c>
      <c r="O177" t="n">
        <v>4</v>
      </c>
      <c r="P177" t="n">
        <v>0</v>
      </c>
      <c r="Q177" t="n">
        <v>5</v>
      </c>
      <c r="R177" s="2" t="inlineStr">
        <is>
          <t>Gammelgransskål
Harticka
Lunglav
Tretåig hackspett
Tjäder</t>
        </is>
      </c>
      <c r="S177">
        <f>HYPERLINK("https://klasma.github.io/Logging_2283/artfynd/A 6235-2023 artfynd.xlsx", "A 6235-2023")</f>
        <v/>
      </c>
      <c r="T177">
        <f>HYPERLINK("https://klasma.github.io/Logging_2283/kartor/A 6235-2023 karta.png", "A 6235-2023")</f>
        <v/>
      </c>
      <c r="V177">
        <f>HYPERLINK("https://klasma.github.io/Logging_2283/klagomål/A 6235-2023 FSC-klagomål.docx", "A 6235-2023")</f>
        <v/>
      </c>
      <c r="W177">
        <f>HYPERLINK("https://klasma.github.io/Logging_2283/klagomålsmail/A 6235-2023 FSC-klagomål mail.docx", "A 6235-2023")</f>
        <v/>
      </c>
      <c r="X177">
        <f>HYPERLINK("https://klasma.github.io/Logging_2283/tillsyn/A 6235-2023 tillsynsbegäran.docx", "A 6235-2023")</f>
        <v/>
      </c>
      <c r="Y177">
        <f>HYPERLINK("https://klasma.github.io/Logging_2283/tillsynsmail/A 6235-2023 tillsynsbegäran mail.docx", "A 6235-2023")</f>
        <v/>
      </c>
      <c r="Z177">
        <f>HYPERLINK("https://klasma.github.io/Logging_2283/fåglar/A 6235-2023 prioriterade fågelarter.docx", "A 6235-2023")</f>
        <v/>
      </c>
    </row>
    <row r="178" ht="15" customHeight="1">
      <c r="A178" t="inlineStr">
        <is>
          <t>A 45007-2023</t>
        </is>
      </c>
      <c r="B178" s="1" t="n">
        <v>45190</v>
      </c>
      <c r="C178" s="1" t="n">
        <v>46199</v>
      </c>
      <c r="D178" t="inlineStr">
        <is>
          <t>VÄSTERNORRLANDS LÄN</t>
        </is>
      </c>
      <c r="E178" t="inlineStr">
        <is>
          <t>SOLLEFTEÅ</t>
        </is>
      </c>
      <c r="F178" t="inlineStr">
        <is>
          <t>SCA</t>
        </is>
      </c>
      <c r="G178" t="n">
        <v>2.1</v>
      </c>
      <c r="H178" t="n">
        <v>3</v>
      </c>
      <c r="I178" t="n">
        <v>0</v>
      </c>
      <c r="J178" t="n">
        <v>3</v>
      </c>
      <c r="K178" t="n">
        <v>1</v>
      </c>
      <c r="L178" t="n">
        <v>0</v>
      </c>
      <c r="M178" t="n">
        <v>0</v>
      </c>
      <c r="N178" t="n">
        <v>0</v>
      </c>
      <c r="O178" t="n">
        <v>4</v>
      </c>
      <c r="P178" t="n">
        <v>1</v>
      </c>
      <c r="Q178" t="n">
        <v>5</v>
      </c>
      <c r="R178" s="2" t="inlineStr">
        <is>
          <t>Garnlav
Lavskrika
Tretåig hackspett
Ullticka
Spillkråka</t>
        </is>
      </c>
      <c r="S178">
        <f>HYPERLINK("https://klasma.github.io/Logging_2283/artfynd/A 45007-2023 artfynd.xlsx", "A 45007-2023")</f>
        <v/>
      </c>
      <c r="T178">
        <f>HYPERLINK("https://klasma.github.io/Logging_2283/kartor/A 45007-2023 karta.png", "A 45007-2023")</f>
        <v/>
      </c>
      <c r="V178">
        <f>HYPERLINK("https://klasma.github.io/Logging_2283/klagomål/A 45007-2023 FSC-klagomål.docx", "A 45007-2023")</f>
        <v/>
      </c>
      <c r="W178">
        <f>HYPERLINK("https://klasma.github.io/Logging_2283/klagomålsmail/A 45007-2023 FSC-klagomål mail.docx", "A 45007-2023")</f>
        <v/>
      </c>
      <c r="X178">
        <f>HYPERLINK("https://klasma.github.io/Logging_2283/tillsyn/A 45007-2023 tillsynsbegäran.docx", "A 45007-2023")</f>
        <v/>
      </c>
      <c r="Y178">
        <f>HYPERLINK("https://klasma.github.io/Logging_2283/tillsynsmail/A 45007-2023 tillsynsbegäran mail.docx", "A 45007-2023")</f>
        <v/>
      </c>
      <c r="Z178">
        <f>HYPERLINK("https://klasma.github.io/Logging_2283/fåglar/A 45007-2023 prioriterade fågelarter.docx", "A 45007-2023")</f>
        <v/>
      </c>
    </row>
    <row r="179" ht="15" customHeight="1">
      <c r="A179" t="inlineStr">
        <is>
          <t>A 27675-2023</t>
        </is>
      </c>
      <c r="B179" s="1" t="n">
        <v>45097</v>
      </c>
      <c r="C179" s="1" t="n">
        <v>46199</v>
      </c>
      <c r="D179" t="inlineStr">
        <is>
          <t>VÄSTERNORRLANDS LÄN</t>
        </is>
      </c>
      <c r="E179" t="inlineStr">
        <is>
          <t>SOLLEFTEÅ</t>
        </is>
      </c>
      <c r="G179" t="n">
        <v>4.7</v>
      </c>
      <c r="H179" t="n">
        <v>1</v>
      </c>
      <c r="I179" t="n">
        <v>1</v>
      </c>
      <c r="J179" t="n">
        <v>2</v>
      </c>
      <c r="K179" t="n">
        <v>2</v>
      </c>
      <c r="L179" t="n">
        <v>0</v>
      </c>
      <c r="M179" t="n">
        <v>0</v>
      </c>
      <c r="N179" t="n">
        <v>0</v>
      </c>
      <c r="O179" t="n">
        <v>4</v>
      </c>
      <c r="P179" t="n">
        <v>2</v>
      </c>
      <c r="Q179" t="n">
        <v>5</v>
      </c>
      <c r="R179" s="2" t="inlineStr">
        <is>
          <t>Garnlav
Knärot
Lunglav
Ullticka
Stuplav</t>
        </is>
      </c>
      <c r="S179">
        <f>HYPERLINK("https://klasma.github.io/Logging_2283/artfynd/A 27675-2023 artfynd.xlsx", "A 27675-2023")</f>
        <v/>
      </c>
      <c r="T179">
        <f>HYPERLINK("https://klasma.github.io/Logging_2283/kartor/A 27675-2023 karta.png", "A 27675-2023")</f>
        <v/>
      </c>
      <c r="U179">
        <f>HYPERLINK("https://klasma.github.io/Logging_2283/knärot/A 27675-2023 karta knärot.png", "A 27675-2023")</f>
        <v/>
      </c>
      <c r="V179">
        <f>HYPERLINK("https://klasma.github.io/Logging_2283/klagomål/A 27675-2023 FSC-klagomål.docx", "A 27675-2023")</f>
        <v/>
      </c>
      <c r="W179">
        <f>HYPERLINK("https://klasma.github.io/Logging_2283/klagomålsmail/A 27675-2023 FSC-klagomål mail.docx", "A 27675-2023")</f>
        <v/>
      </c>
      <c r="X179">
        <f>HYPERLINK("https://klasma.github.io/Logging_2283/tillsyn/A 27675-2023 tillsynsbegäran.docx", "A 27675-2023")</f>
        <v/>
      </c>
      <c r="Y179">
        <f>HYPERLINK("https://klasma.github.io/Logging_2283/tillsynsmail/A 27675-2023 tillsynsbegäran mail.docx", "A 27675-2023")</f>
        <v/>
      </c>
    </row>
    <row r="180" ht="15" customHeight="1">
      <c r="A180" t="inlineStr">
        <is>
          <t>A 36470-2024</t>
        </is>
      </c>
      <c r="B180" s="1" t="n">
        <v>45537</v>
      </c>
      <c r="C180" s="1" t="n">
        <v>46199</v>
      </c>
      <c r="D180" t="inlineStr">
        <is>
          <t>VÄSTERNORRLANDS LÄN</t>
        </is>
      </c>
      <c r="E180" t="inlineStr">
        <is>
          <t>SOLLEFTEÅ</t>
        </is>
      </c>
      <c r="F180" t="inlineStr">
        <is>
          <t>SCA</t>
        </is>
      </c>
      <c r="G180" t="n">
        <v>10.3</v>
      </c>
      <c r="H180" t="n">
        <v>3</v>
      </c>
      <c r="I180" t="n">
        <v>0</v>
      </c>
      <c r="J180" t="n">
        <v>4</v>
      </c>
      <c r="K180" t="n">
        <v>0</v>
      </c>
      <c r="L180" t="n">
        <v>0</v>
      </c>
      <c r="M180" t="n">
        <v>0</v>
      </c>
      <c r="N180" t="n">
        <v>0</v>
      </c>
      <c r="O180" t="n">
        <v>4</v>
      </c>
      <c r="P180" t="n">
        <v>0</v>
      </c>
      <c r="Q180" t="n">
        <v>5</v>
      </c>
      <c r="R180" s="2" t="inlineStr">
        <is>
          <t>Gammelgransskål
Harticka
Talltita
Tretåig hackspett
Spillkråka</t>
        </is>
      </c>
      <c r="S180">
        <f>HYPERLINK("https://klasma.github.io/Logging_2283/artfynd/A 36470-2024 artfynd.xlsx", "A 36470-2024")</f>
        <v/>
      </c>
      <c r="T180">
        <f>HYPERLINK("https://klasma.github.io/Logging_2283/kartor/A 36470-2024 karta.png", "A 36470-2024")</f>
        <v/>
      </c>
      <c r="V180">
        <f>HYPERLINK("https://klasma.github.io/Logging_2283/klagomål/A 36470-2024 FSC-klagomål.docx", "A 36470-2024")</f>
        <v/>
      </c>
      <c r="W180">
        <f>HYPERLINK("https://klasma.github.io/Logging_2283/klagomålsmail/A 36470-2024 FSC-klagomål mail.docx", "A 36470-2024")</f>
        <v/>
      </c>
      <c r="X180">
        <f>HYPERLINK("https://klasma.github.io/Logging_2283/tillsyn/A 36470-2024 tillsynsbegäran.docx", "A 36470-2024")</f>
        <v/>
      </c>
      <c r="Y180">
        <f>HYPERLINK("https://klasma.github.io/Logging_2283/tillsynsmail/A 36470-2024 tillsynsbegäran mail.docx", "A 36470-2024")</f>
        <v/>
      </c>
      <c r="Z180">
        <f>HYPERLINK("https://klasma.github.io/Logging_2283/fåglar/A 36470-2024 prioriterade fågelarter.docx", "A 36470-2024")</f>
        <v/>
      </c>
    </row>
    <row r="181" ht="15" customHeight="1">
      <c r="A181" t="inlineStr">
        <is>
          <t>A 30235-2022</t>
        </is>
      </c>
      <c r="B181" s="1" t="n">
        <v>44757</v>
      </c>
      <c r="C181" s="1" t="n">
        <v>46199</v>
      </c>
      <c r="D181" t="inlineStr">
        <is>
          <t>VÄSTERNORRLANDS LÄN</t>
        </is>
      </c>
      <c r="E181" t="inlineStr">
        <is>
          <t>SOLLEFTEÅ</t>
        </is>
      </c>
      <c r="F181" t="inlineStr">
        <is>
          <t>SCA</t>
        </is>
      </c>
      <c r="G181" t="n">
        <v>4.7</v>
      </c>
      <c r="H181" t="n">
        <v>3</v>
      </c>
      <c r="I181" t="n">
        <v>0</v>
      </c>
      <c r="J181" t="n">
        <v>3</v>
      </c>
      <c r="K181" t="n">
        <v>2</v>
      </c>
      <c r="L181" t="n">
        <v>0</v>
      </c>
      <c r="M181" t="n">
        <v>0</v>
      </c>
      <c r="N181" t="n">
        <v>0</v>
      </c>
      <c r="O181" t="n">
        <v>5</v>
      </c>
      <c r="P181" t="n">
        <v>2</v>
      </c>
      <c r="Q181" t="n">
        <v>5</v>
      </c>
      <c r="R181" s="2" t="inlineStr">
        <is>
          <t>Doftticka
Knärot
Lunglav
Skrovellav
Tretåig hackspett</t>
        </is>
      </c>
      <c r="S181">
        <f>HYPERLINK("https://klasma.github.io/Logging_2283/artfynd/A 30235-2022 artfynd.xlsx", "A 30235-2022")</f>
        <v/>
      </c>
      <c r="T181">
        <f>HYPERLINK("https://klasma.github.io/Logging_2283/kartor/A 30235-2022 karta.png", "A 30235-2022")</f>
        <v/>
      </c>
      <c r="U181">
        <f>HYPERLINK("https://klasma.github.io/Logging_2283/knärot/A 30235-2022 karta knärot.png", "A 30235-2022")</f>
        <v/>
      </c>
      <c r="V181">
        <f>HYPERLINK("https://klasma.github.io/Logging_2283/klagomål/A 30235-2022 FSC-klagomål.docx", "A 30235-2022")</f>
        <v/>
      </c>
      <c r="W181">
        <f>HYPERLINK("https://klasma.github.io/Logging_2283/klagomålsmail/A 30235-2022 FSC-klagomål mail.docx", "A 30235-2022")</f>
        <v/>
      </c>
      <c r="X181">
        <f>HYPERLINK("https://klasma.github.io/Logging_2283/tillsyn/A 30235-2022 tillsynsbegäran.docx", "A 30235-2022")</f>
        <v/>
      </c>
      <c r="Y181">
        <f>HYPERLINK("https://klasma.github.io/Logging_2283/tillsynsmail/A 30235-2022 tillsynsbegäran mail.docx", "A 30235-2022")</f>
        <v/>
      </c>
      <c r="Z181">
        <f>HYPERLINK("https://klasma.github.io/Logging_2283/fåglar/A 30235-2022 prioriterade fågelarter.docx", "A 30235-2022")</f>
        <v/>
      </c>
    </row>
    <row r="182" ht="15" customHeight="1">
      <c r="A182" t="inlineStr">
        <is>
          <t>A 3795-2022</t>
        </is>
      </c>
      <c r="B182" s="1" t="n">
        <v>44586</v>
      </c>
      <c r="C182" s="1" t="n">
        <v>46199</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46199</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46199</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42301-2022</t>
        </is>
      </c>
      <c r="B185" s="1" t="n">
        <v>44830</v>
      </c>
      <c r="C185" s="1" t="n">
        <v>46199</v>
      </c>
      <c r="D185" t="inlineStr">
        <is>
          <t>VÄSTERNORRLANDS LÄN</t>
        </is>
      </c>
      <c r="E185" t="inlineStr">
        <is>
          <t>SOLLEFTEÅ</t>
        </is>
      </c>
      <c r="F185" t="inlineStr">
        <is>
          <t>SCA</t>
        </is>
      </c>
      <c r="G185" t="n">
        <v>0.8</v>
      </c>
      <c r="H185" t="n">
        <v>2</v>
      </c>
      <c r="I185" t="n">
        <v>0</v>
      </c>
      <c r="J185" t="n">
        <v>4</v>
      </c>
      <c r="K185" t="n">
        <v>0</v>
      </c>
      <c r="L185" t="n">
        <v>0</v>
      </c>
      <c r="M185" t="n">
        <v>0</v>
      </c>
      <c r="N185" t="n">
        <v>0</v>
      </c>
      <c r="O185" t="n">
        <v>4</v>
      </c>
      <c r="P185" t="n">
        <v>0</v>
      </c>
      <c r="Q185" t="n">
        <v>4</v>
      </c>
      <c r="R185" s="2" t="inlineStr">
        <is>
          <t>Gammelgransskål
Harticka
Talltita
Tretåig hackspett</t>
        </is>
      </c>
      <c r="S185">
        <f>HYPERLINK("https://klasma.github.io/Logging_2283/artfynd/A 42301-2022 artfynd.xlsx", "A 42301-2022")</f>
        <v/>
      </c>
      <c r="T185">
        <f>HYPERLINK("https://klasma.github.io/Logging_2283/kartor/A 42301-2022 karta.png", "A 42301-2022")</f>
        <v/>
      </c>
      <c r="V185">
        <f>HYPERLINK("https://klasma.github.io/Logging_2283/klagomål/A 42301-2022 FSC-klagomål.docx", "A 42301-2022")</f>
        <v/>
      </c>
      <c r="W185">
        <f>HYPERLINK("https://klasma.github.io/Logging_2283/klagomålsmail/A 42301-2022 FSC-klagomål mail.docx", "A 42301-2022")</f>
        <v/>
      </c>
      <c r="X185">
        <f>HYPERLINK("https://klasma.github.io/Logging_2283/tillsyn/A 42301-2022 tillsynsbegäran.docx", "A 42301-2022")</f>
        <v/>
      </c>
      <c r="Y185">
        <f>HYPERLINK("https://klasma.github.io/Logging_2283/tillsynsmail/A 42301-2022 tillsynsbegäran mail.docx", "A 42301-2022")</f>
        <v/>
      </c>
      <c r="Z185">
        <f>HYPERLINK("https://klasma.github.io/Logging_2283/fåglar/A 42301-2022 prioriterade fågelarter.docx", "A 42301-2022")</f>
        <v/>
      </c>
    </row>
    <row r="186" ht="15" customHeight="1">
      <c r="A186" t="inlineStr">
        <is>
          <t>A 27106-2022</t>
        </is>
      </c>
      <c r="B186" s="1" t="n">
        <v>44741</v>
      </c>
      <c r="C186" s="1" t="n">
        <v>46199</v>
      </c>
      <c r="D186" t="inlineStr">
        <is>
          <t>VÄSTERNORRLANDS LÄN</t>
        </is>
      </c>
      <c r="E186" t="inlineStr">
        <is>
          <t>SOLLEFTEÅ</t>
        </is>
      </c>
      <c r="G186" t="n">
        <v>1.3</v>
      </c>
      <c r="H186" t="n">
        <v>1</v>
      </c>
      <c r="I186" t="n">
        <v>3</v>
      </c>
      <c r="J186" t="n">
        <v>0</v>
      </c>
      <c r="K186" t="n">
        <v>0</v>
      </c>
      <c r="L186" t="n">
        <v>0</v>
      </c>
      <c r="M186" t="n">
        <v>0</v>
      </c>
      <c r="N186" t="n">
        <v>0</v>
      </c>
      <c r="O186" t="n">
        <v>0</v>
      </c>
      <c r="P186" t="n">
        <v>0</v>
      </c>
      <c r="Q186" t="n">
        <v>4</v>
      </c>
      <c r="R186" s="2" t="inlineStr">
        <is>
          <t>Guldlockmossa
Svart trolldruva
Underviol
Revlummer</t>
        </is>
      </c>
      <c r="S186">
        <f>HYPERLINK("https://klasma.github.io/Logging_2283/artfynd/A 27106-2022 artfynd.xlsx", "A 27106-2022")</f>
        <v/>
      </c>
      <c r="T186">
        <f>HYPERLINK("https://klasma.github.io/Logging_2283/kartor/A 27106-2022 karta.png", "A 27106-2022")</f>
        <v/>
      </c>
      <c r="V186">
        <f>HYPERLINK("https://klasma.github.io/Logging_2283/klagomål/A 27106-2022 FSC-klagomål.docx", "A 27106-2022")</f>
        <v/>
      </c>
      <c r="W186">
        <f>HYPERLINK("https://klasma.github.io/Logging_2283/klagomålsmail/A 27106-2022 FSC-klagomål mail.docx", "A 27106-2022")</f>
        <v/>
      </c>
      <c r="X186">
        <f>HYPERLINK("https://klasma.github.io/Logging_2283/tillsyn/A 27106-2022 tillsynsbegäran.docx", "A 27106-2022")</f>
        <v/>
      </c>
      <c r="Y186">
        <f>HYPERLINK("https://klasma.github.io/Logging_2283/tillsynsmail/A 27106-2022 tillsynsbegäran mail.docx", "A 27106-2022")</f>
        <v/>
      </c>
    </row>
    <row r="187" ht="15" customHeight="1">
      <c r="A187" t="inlineStr">
        <is>
          <t>A 53130-2022</t>
        </is>
      </c>
      <c r="B187" s="1" t="n">
        <v>44873</v>
      </c>
      <c r="C187" s="1" t="n">
        <v>46199</v>
      </c>
      <c r="D187" t="inlineStr">
        <is>
          <t>VÄSTERNORRLANDS LÄN</t>
        </is>
      </c>
      <c r="E187" t="inlineStr">
        <is>
          <t>SOLLEFTEÅ</t>
        </is>
      </c>
      <c r="G187" t="n">
        <v>19.8</v>
      </c>
      <c r="H187" t="n">
        <v>2</v>
      </c>
      <c r="I187" t="n">
        <v>1</v>
      </c>
      <c r="J187" t="n">
        <v>1</v>
      </c>
      <c r="K187" t="n">
        <v>0</v>
      </c>
      <c r="L187" t="n">
        <v>0</v>
      </c>
      <c r="M187" t="n">
        <v>0</v>
      </c>
      <c r="N187" t="n">
        <v>0</v>
      </c>
      <c r="O187" t="n">
        <v>1</v>
      </c>
      <c r="P187" t="n">
        <v>0</v>
      </c>
      <c r="Q187" t="n">
        <v>4</v>
      </c>
      <c r="R187" s="2" t="inlineStr">
        <is>
          <t>Lunglav
Bårdlav
Myrbräcka
Fläcknycklar</t>
        </is>
      </c>
      <c r="S187">
        <f>HYPERLINK("https://klasma.github.io/Logging_2283/artfynd/A 53130-2022 artfynd.xlsx", "A 53130-2022")</f>
        <v/>
      </c>
      <c r="T187">
        <f>HYPERLINK("https://klasma.github.io/Logging_2283/kartor/A 53130-2022 karta.png", "A 53130-2022")</f>
        <v/>
      </c>
      <c r="V187">
        <f>HYPERLINK("https://klasma.github.io/Logging_2283/klagomål/A 53130-2022 FSC-klagomål.docx", "A 53130-2022")</f>
        <v/>
      </c>
      <c r="W187">
        <f>HYPERLINK("https://klasma.github.io/Logging_2283/klagomålsmail/A 53130-2022 FSC-klagomål mail.docx", "A 53130-2022")</f>
        <v/>
      </c>
      <c r="X187">
        <f>HYPERLINK("https://klasma.github.io/Logging_2283/tillsyn/A 53130-2022 tillsynsbegäran.docx", "A 53130-2022")</f>
        <v/>
      </c>
      <c r="Y187">
        <f>HYPERLINK("https://klasma.github.io/Logging_2283/tillsynsmail/A 53130-2022 tillsynsbegäran mail.docx", "A 53130-2022")</f>
        <v/>
      </c>
    </row>
    <row r="188" ht="15" customHeight="1">
      <c r="A188" t="inlineStr">
        <is>
          <t>A 21099-2024</t>
        </is>
      </c>
      <c r="B188" s="1" t="n">
        <v>45439</v>
      </c>
      <c r="C188" s="1" t="n">
        <v>46199</v>
      </c>
      <c r="D188" t="inlineStr">
        <is>
          <t>VÄSTERNORRLANDS LÄN</t>
        </is>
      </c>
      <c r="E188" t="inlineStr">
        <is>
          <t>SOLLEFTEÅ</t>
        </is>
      </c>
      <c r="F188" t="inlineStr">
        <is>
          <t>SCA</t>
        </is>
      </c>
      <c r="G188" t="n">
        <v>2.5</v>
      </c>
      <c r="H188" t="n">
        <v>0</v>
      </c>
      <c r="I188" t="n">
        <v>2</v>
      </c>
      <c r="J188" t="n">
        <v>1</v>
      </c>
      <c r="K188" t="n">
        <v>1</v>
      </c>
      <c r="L188" t="n">
        <v>0</v>
      </c>
      <c r="M188" t="n">
        <v>0</v>
      </c>
      <c r="N188" t="n">
        <v>0</v>
      </c>
      <c r="O188" t="n">
        <v>2</v>
      </c>
      <c r="P188" t="n">
        <v>1</v>
      </c>
      <c r="Q188" t="n">
        <v>4</v>
      </c>
      <c r="R188" s="2" t="inlineStr">
        <is>
          <t>Gränsticka
Lunglav
Barkticka
Stuplav</t>
        </is>
      </c>
      <c r="S188">
        <f>HYPERLINK("https://klasma.github.io/Logging_2283/artfynd/A 21099-2024 artfynd.xlsx", "A 21099-2024")</f>
        <v/>
      </c>
      <c r="T188">
        <f>HYPERLINK("https://klasma.github.io/Logging_2283/kartor/A 21099-2024 karta.png", "A 21099-2024")</f>
        <v/>
      </c>
      <c r="V188">
        <f>HYPERLINK("https://klasma.github.io/Logging_2283/klagomål/A 21099-2024 FSC-klagomål.docx", "A 21099-2024")</f>
        <v/>
      </c>
      <c r="W188">
        <f>HYPERLINK("https://klasma.github.io/Logging_2283/klagomålsmail/A 21099-2024 FSC-klagomål mail.docx", "A 21099-2024")</f>
        <v/>
      </c>
      <c r="X188">
        <f>HYPERLINK("https://klasma.github.io/Logging_2283/tillsyn/A 21099-2024 tillsynsbegäran.docx", "A 21099-2024")</f>
        <v/>
      </c>
      <c r="Y188">
        <f>HYPERLINK("https://klasma.github.io/Logging_2283/tillsynsmail/A 21099-2024 tillsynsbegäran mail.docx", "A 21099-2024")</f>
        <v/>
      </c>
    </row>
    <row r="189" ht="15" customHeight="1">
      <c r="A189" t="inlineStr">
        <is>
          <t>A 9819-2024</t>
        </is>
      </c>
      <c r="B189" s="1" t="n">
        <v>45363</v>
      </c>
      <c r="C189" s="1" t="n">
        <v>46199</v>
      </c>
      <c r="D189" t="inlineStr">
        <is>
          <t>VÄSTERNORRLANDS LÄN</t>
        </is>
      </c>
      <c r="E189" t="inlineStr">
        <is>
          <t>SOLLEFTEÅ</t>
        </is>
      </c>
      <c r="F189" t="inlineStr">
        <is>
          <t>SCA</t>
        </is>
      </c>
      <c r="G189" t="n">
        <v>6.8</v>
      </c>
      <c r="H189" t="n">
        <v>1</v>
      </c>
      <c r="I189" t="n">
        <v>0</v>
      </c>
      <c r="J189" t="n">
        <v>3</v>
      </c>
      <c r="K189" t="n">
        <v>1</v>
      </c>
      <c r="L189" t="n">
        <v>0</v>
      </c>
      <c r="M189" t="n">
        <v>0</v>
      </c>
      <c r="N189" t="n">
        <v>0</v>
      </c>
      <c r="O189" t="n">
        <v>4</v>
      </c>
      <c r="P189" t="n">
        <v>1</v>
      </c>
      <c r="Q189" t="n">
        <v>4</v>
      </c>
      <c r="R189" s="2" t="inlineStr">
        <is>
          <t>Knärot
Dropptaggsvamp
Motaggsvamp
Vitgrynig nållav</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22808-2025</t>
        </is>
      </c>
      <c r="B190" s="1" t="n">
        <v>45789</v>
      </c>
      <c r="C190" s="1" t="n">
        <v>46199</v>
      </c>
      <c r="D190" t="inlineStr">
        <is>
          <t>VÄSTERNORRLANDS LÄN</t>
        </is>
      </c>
      <c r="E190" t="inlineStr">
        <is>
          <t>SOLLEFTEÅ</t>
        </is>
      </c>
      <c r="G190" t="n">
        <v>0.7</v>
      </c>
      <c r="H190" t="n">
        <v>2</v>
      </c>
      <c r="I190" t="n">
        <v>1</v>
      </c>
      <c r="J190" t="n">
        <v>2</v>
      </c>
      <c r="K190" t="n">
        <v>0</v>
      </c>
      <c r="L190" t="n">
        <v>0</v>
      </c>
      <c r="M190" t="n">
        <v>0</v>
      </c>
      <c r="N190" t="n">
        <v>0</v>
      </c>
      <c r="O190" t="n">
        <v>2</v>
      </c>
      <c r="P190" t="n">
        <v>0</v>
      </c>
      <c r="Q190" t="n">
        <v>4</v>
      </c>
      <c r="R190" s="2" t="inlineStr">
        <is>
          <t>Lunglav
Nordfladdermus
Bårdlav
Vattenfladdermus</t>
        </is>
      </c>
      <c r="S190">
        <f>HYPERLINK("https://klasma.github.io/Logging_2283/artfynd/A 22808-2025 artfynd.xlsx", "A 22808-2025")</f>
        <v/>
      </c>
      <c r="T190">
        <f>HYPERLINK("https://klasma.github.io/Logging_2283/kartor/A 22808-2025 karta.png", "A 22808-2025")</f>
        <v/>
      </c>
      <c r="V190">
        <f>HYPERLINK("https://klasma.github.io/Logging_2283/klagomål/A 22808-2025 FSC-klagomål.docx", "A 22808-2025")</f>
        <v/>
      </c>
      <c r="W190">
        <f>HYPERLINK("https://klasma.github.io/Logging_2283/klagomålsmail/A 22808-2025 FSC-klagomål mail.docx", "A 22808-2025")</f>
        <v/>
      </c>
      <c r="X190">
        <f>HYPERLINK("https://klasma.github.io/Logging_2283/tillsyn/A 22808-2025 tillsynsbegäran.docx", "A 22808-2025")</f>
        <v/>
      </c>
      <c r="Y190">
        <f>HYPERLINK("https://klasma.github.io/Logging_2283/tillsynsmail/A 22808-2025 tillsynsbegäran mail.docx", "A 22808-2025")</f>
        <v/>
      </c>
    </row>
    <row r="191" ht="15" customHeight="1">
      <c r="A191" t="inlineStr">
        <is>
          <t>A 13342-2024</t>
        </is>
      </c>
      <c r="B191" s="1" t="n">
        <v>45386</v>
      </c>
      <c r="C191" s="1" t="n">
        <v>46199</v>
      </c>
      <c r="D191" t="inlineStr">
        <is>
          <t>VÄSTERNORRLANDS LÄN</t>
        </is>
      </c>
      <c r="E191" t="inlineStr">
        <is>
          <t>SOLLEFTEÅ</t>
        </is>
      </c>
      <c r="F191" t="inlineStr">
        <is>
          <t>SCA</t>
        </is>
      </c>
      <c r="G191" t="n">
        <v>4.4</v>
      </c>
      <c r="H191" t="n">
        <v>0</v>
      </c>
      <c r="I191" t="n">
        <v>1</v>
      </c>
      <c r="J191" t="n">
        <v>3</v>
      </c>
      <c r="K191" t="n">
        <v>0</v>
      </c>
      <c r="L191" t="n">
        <v>0</v>
      </c>
      <c r="M191" t="n">
        <v>0</v>
      </c>
      <c r="N191" t="n">
        <v>0</v>
      </c>
      <c r="O191" t="n">
        <v>3</v>
      </c>
      <c r="P191" t="n">
        <v>0</v>
      </c>
      <c r="Q191" t="n">
        <v>4</v>
      </c>
      <c r="R191" s="2" t="inlineStr">
        <is>
          <t>Lunglav
Skrovellav
Ullticka
Stuplav</t>
        </is>
      </c>
      <c r="S191">
        <f>HYPERLINK("https://klasma.github.io/Logging_2283/artfynd/A 13342-2024 artfynd.xlsx", "A 13342-2024")</f>
        <v/>
      </c>
      <c r="T191">
        <f>HYPERLINK("https://klasma.github.io/Logging_2283/kartor/A 13342-2024 karta.png", "A 13342-2024")</f>
        <v/>
      </c>
      <c r="V191">
        <f>HYPERLINK("https://klasma.github.io/Logging_2283/klagomål/A 13342-2024 FSC-klagomål.docx", "A 13342-2024")</f>
        <v/>
      </c>
      <c r="W191">
        <f>HYPERLINK("https://klasma.github.io/Logging_2283/klagomålsmail/A 13342-2024 FSC-klagomål mail.docx", "A 13342-2024")</f>
        <v/>
      </c>
      <c r="X191">
        <f>HYPERLINK("https://klasma.github.io/Logging_2283/tillsyn/A 13342-2024 tillsynsbegäran.docx", "A 13342-2024")</f>
        <v/>
      </c>
      <c r="Y191">
        <f>HYPERLINK("https://klasma.github.io/Logging_2283/tillsynsmail/A 13342-2024 tillsynsbegäran mail.docx", "A 13342-2024")</f>
        <v/>
      </c>
    </row>
    <row r="192" ht="15" customHeight="1">
      <c r="A192" t="inlineStr">
        <is>
          <t>A 58027-2025</t>
        </is>
      </c>
      <c r="B192" s="1" t="n">
        <v>45982</v>
      </c>
      <c r="C192" s="1" t="n">
        <v>46199</v>
      </c>
      <c r="D192" t="inlineStr">
        <is>
          <t>VÄSTERNORRLANDS LÄN</t>
        </is>
      </c>
      <c r="E192" t="inlineStr">
        <is>
          <t>SOLLEFTEÅ</t>
        </is>
      </c>
      <c r="G192" t="n">
        <v>1.9</v>
      </c>
      <c r="H192" t="n">
        <v>0</v>
      </c>
      <c r="I192" t="n">
        <v>2</v>
      </c>
      <c r="J192" t="n">
        <v>1</v>
      </c>
      <c r="K192" t="n">
        <v>1</v>
      </c>
      <c r="L192" t="n">
        <v>0</v>
      </c>
      <c r="M192" t="n">
        <v>0</v>
      </c>
      <c r="N192" t="n">
        <v>0</v>
      </c>
      <c r="O192" t="n">
        <v>2</v>
      </c>
      <c r="P192" t="n">
        <v>1</v>
      </c>
      <c r="Q192" t="n">
        <v>4</v>
      </c>
      <c r="R192" s="2" t="inlineStr">
        <is>
          <t>Garnlav
Rosenticka
Norrlandslav
Vedticka</t>
        </is>
      </c>
      <c r="S192">
        <f>HYPERLINK("https://klasma.github.io/Logging_2283/artfynd/A 58027-2025 artfynd.xlsx", "A 58027-2025")</f>
        <v/>
      </c>
      <c r="T192">
        <f>HYPERLINK("https://klasma.github.io/Logging_2283/kartor/A 58027-2025 karta.png", "A 58027-2025")</f>
        <v/>
      </c>
      <c r="V192">
        <f>HYPERLINK("https://klasma.github.io/Logging_2283/klagomål/A 58027-2025 FSC-klagomål.docx", "A 58027-2025")</f>
        <v/>
      </c>
      <c r="W192">
        <f>HYPERLINK("https://klasma.github.io/Logging_2283/klagomålsmail/A 58027-2025 FSC-klagomål mail.docx", "A 58027-2025")</f>
        <v/>
      </c>
      <c r="X192">
        <f>HYPERLINK("https://klasma.github.io/Logging_2283/tillsyn/A 58027-2025 tillsynsbegäran.docx", "A 58027-2025")</f>
        <v/>
      </c>
      <c r="Y192">
        <f>HYPERLINK("https://klasma.github.io/Logging_2283/tillsynsmail/A 58027-2025 tillsynsbegäran mail.docx", "A 58027-2025")</f>
        <v/>
      </c>
    </row>
    <row r="193" ht="15" customHeight="1">
      <c r="A193" t="inlineStr">
        <is>
          <t>A 50418-2024</t>
        </is>
      </c>
      <c r="B193" s="1" t="n">
        <v>45601</v>
      </c>
      <c r="C193" s="1" t="n">
        <v>46199</v>
      </c>
      <c r="D193" t="inlineStr">
        <is>
          <t>VÄSTERNORRLANDS LÄN</t>
        </is>
      </c>
      <c r="E193" t="inlineStr">
        <is>
          <t>SOLLEFTEÅ</t>
        </is>
      </c>
      <c r="F193" t="inlineStr">
        <is>
          <t>SCA</t>
        </is>
      </c>
      <c r="G193" t="n">
        <v>3.4</v>
      </c>
      <c r="H193" t="n">
        <v>0</v>
      </c>
      <c r="I193" t="n">
        <v>0</v>
      </c>
      <c r="J193" t="n">
        <v>3</v>
      </c>
      <c r="K193" t="n">
        <v>1</v>
      </c>
      <c r="L193" t="n">
        <v>0</v>
      </c>
      <c r="M193" t="n">
        <v>0</v>
      </c>
      <c r="N193" t="n">
        <v>0</v>
      </c>
      <c r="O193" t="n">
        <v>4</v>
      </c>
      <c r="P193" t="n">
        <v>1</v>
      </c>
      <c r="Q193" t="n">
        <v>4</v>
      </c>
      <c r="R193" s="2" t="inlineStr">
        <is>
          <t>Garnlav
Harticka
Lunglav
Rynkskinn</t>
        </is>
      </c>
      <c r="S193">
        <f>HYPERLINK("https://klasma.github.io/Logging_2283/artfynd/A 50418-2024 artfynd.xlsx", "A 50418-2024")</f>
        <v/>
      </c>
      <c r="T193">
        <f>HYPERLINK("https://klasma.github.io/Logging_2283/kartor/A 50418-2024 karta.png", "A 50418-2024")</f>
        <v/>
      </c>
      <c r="V193">
        <f>HYPERLINK("https://klasma.github.io/Logging_2283/klagomål/A 50418-2024 FSC-klagomål.docx", "A 50418-2024")</f>
        <v/>
      </c>
      <c r="W193">
        <f>HYPERLINK("https://klasma.github.io/Logging_2283/klagomålsmail/A 50418-2024 FSC-klagomål mail.docx", "A 50418-2024")</f>
        <v/>
      </c>
      <c r="X193">
        <f>HYPERLINK("https://klasma.github.io/Logging_2283/tillsyn/A 50418-2024 tillsynsbegäran.docx", "A 50418-2024")</f>
        <v/>
      </c>
      <c r="Y193">
        <f>HYPERLINK("https://klasma.github.io/Logging_2283/tillsynsmail/A 50418-2024 tillsynsbegäran mail.docx", "A 50418-2024")</f>
        <v/>
      </c>
    </row>
    <row r="194" ht="15" customHeight="1">
      <c r="A194" t="inlineStr">
        <is>
          <t>A 38911-2025</t>
        </is>
      </c>
      <c r="B194" s="1" t="n">
        <v>45887</v>
      </c>
      <c r="C194" s="1" t="n">
        <v>46199</v>
      </c>
      <c r="D194" t="inlineStr">
        <is>
          <t>VÄSTERNORRLANDS LÄN</t>
        </is>
      </c>
      <c r="E194" t="inlineStr">
        <is>
          <t>SOLLEFTEÅ</t>
        </is>
      </c>
      <c r="F194" t="inlineStr">
        <is>
          <t>SCA</t>
        </is>
      </c>
      <c r="G194" t="n">
        <v>10.5</v>
      </c>
      <c r="H194" t="n">
        <v>0</v>
      </c>
      <c r="I194" t="n">
        <v>2</v>
      </c>
      <c r="J194" t="n">
        <v>1</v>
      </c>
      <c r="K194" t="n">
        <v>1</v>
      </c>
      <c r="L194" t="n">
        <v>0</v>
      </c>
      <c r="M194" t="n">
        <v>0</v>
      </c>
      <c r="N194" t="n">
        <v>0</v>
      </c>
      <c r="O194" t="n">
        <v>2</v>
      </c>
      <c r="P194" t="n">
        <v>1</v>
      </c>
      <c r="Q194" t="n">
        <v>4</v>
      </c>
      <c r="R194" s="2" t="inlineStr">
        <is>
          <t>Garnlav
Rosenticka
Trådticka
Vedticka</t>
        </is>
      </c>
      <c r="S194">
        <f>HYPERLINK("https://klasma.github.io/Logging_2283/artfynd/A 38911-2025 artfynd.xlsx", "A 38911-2025")</f>
        <v/>
      </c>
      <c r="T194">
        <f>HYPERLINK("https://klasma.github.io/Logging_2283/kartor/A 38911-2025 karta.png", "A 38911-2025")</f>
        <v/>
      </c>
      <c r="U194">
        <f>HYPERLINK("https://klasma.github.io/Logging_2283/knärot/A 38911-2025 karta knärot.png", "A 38911-2025")</f>
        <v/>
      </c>
      <c r="V194">
        <f>HYPERLINK("https://klasma.github.io/Logging_2283/klagomål/A 38911-2025 FSC-klagomål.docx", "A 38911-2025")</f>
        <v/>
      </c>
      <c r="W194">
        <f>HYPERLINK("https://klasma.github.io/Logging_2283/klagomålsmail/A 38911-2025 FSC-klagomål mail.docx", "A 38911-2025")</f>
        <v/>
      </c>
      <c r="X194">
        <f>HYPERLINK("https://klasma.github.io/Logging_2283/tillsyn/A 38911-2025 tillsynsbegäran.docx", "A 38911-2025")</f>
        <v/>
      </c>
      <c r="Y194">
        <f>HYPERLINK("https://klasma.github.io/Logging_2283/tillsynsmail/A 38911-2025 tillsynsbegäran mail.docx", "A 38911-2025")</f>
        <v/>
      </c>
    </row>
    <row r="195" ht="15" customHeight="1">
      <c r="A195" t="inlineStr">
        <is>
          <t>A 59046-2022</t>
        </is>
      </c>
      <c r="B195" s="1" t="n">
        <v>44903</v>
      </c>
      <c r="C195" s="1" t="n">
        <v>46199</v>
      </c>
      <c r="D195" t="inlineStr">
        <is>
          <t>VÄSTERNORRLANDS LÄN</t>
        </is>
      </c>
      <c r="E195" t="inlineStr">
        <is>
          <t>SOLLEFTEÅ</t>
        </is>
      </c>
      <c r="F195" t="inlineStr">
        <is>
          <t>SCA</t>
        </is>
      </c>
      <c r="G195" t="n">
        <v>10.3</v>
      </c>
      <c r="H195" t="n">
        <v>1</v>
      </c>
      <c r="I195" t="n">
        <v>1</v>
      </c>
      <c r="J195" t="n">
        <v>3</v>
      </c>
      <c r="K195" t="n">
        <v>0</v>
      </c>
      <c r="L195" t="n">
        <v>0</v>
      </c>
      <c r="M195" t="n">
        <v>0</v>
      </c>
      <c r="N195" t="n">
        <v>0</v>
      </c>
      <c r="O195" t="n">
        <v>3</v>
      </c>
      <c r="P195" t="n">
        <v>0</v>
      </c>
      <c r="Q195" t="n">
        <v>4</v>
      </c>
      <c r="R195" s="2" t="inlineStr">
        <is>
          <t>Lunglav
Orange taggsvamp
Tretåig hackspett
Strutbräken</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26019-2025</t>
        </is>
      </c>
      <c r="B196" s="1" t="n">
        <v>45804</v>
      </c>
      <c r="C196" s="1" t="n">
        <v>46199</v>
      </c>
      <c r="D196" t="inlineStr">
        <is>
          <t>VÄSTERNORRLANDS LÄN</t>
        </is>
      </c>
      <c r="E196" t="inlineStr">
        <is>
          <t>SOLLEFTEÅ</t>
        </is>
      </c>
      <c r="F196" t="inlineStr">
        <is>
          <t>SCA</t>
        </is>
      </c>
      <c r="G196" t="n">
        <v>3.7</v>
      </c>
      <c r="H196" t="n">
        <v>1</v>
      </c>
      <c r="I196" t="n">
        <v>0</v>
      </c>
      <c r="J196" t="n">
        <v>2</v>
      </c>
      <c r="K196" t="n">
        <v>1</v>
      </c>
      <c r="L196" t="n">
        <v>0</v>
      </c>
      <c r="M196" t="n">
        <v>0</v>
      </c>
      <c r="N196" t="n">
        <v>0</v>
      </c>
      <c r="O196" t="n">
        <v>3</v>
      </c>
      <c r="P196" t="n">
        <v>1</v>
      </c>
      <c r="Q196" t="n">
        <v>4</v>
      </c>
      <c r="R196" s="2" t="inlineStr">
        <is>
          <t>Garnlav
Rosenticka
Ullticka
Fläcknycklar</t>
        </is>
      </c>
      <c r="S196">
        <f>HYPERLINK("https://klasma.github.io/Logging_2283/artfynd/A 26019-2025 artfynd.xlsx", "A 26019-2025")</f>
        <v/>
      </c>
      <c r="T196">
        <f>HYPERLINK("https://klasma.github.io/Logging_2283/kartor/A 26019-2025 karta.png", "A 26019-2025")</f>
        <v/>
      </c>
      <c r="V196">
        <f>HYPERLINK("https://klasma.github.io/Logging_2283/klagomål/A 26019-2025 FSC-klagomål.docx", "A 26019-2025")</f>
        <v/>
      </c>
      <c r="W196">
        <f>HYPERLINK("https://klasma.github.io/Logging_2283/klagomålsmail/A 26019-2025 FSC-klagomål mail.docx", "A 26019-2025")</f>
        <v/>
      </c>
      <c r="X196">
        <f>HYPERLINK("https://klasma.github.io/Logging_2283/tillsyn/A 26019-2025 tillsynsbegäran.docx", "A 26019-2025")</f>
        <v/>
      </c>
      <c r="Y196">
        <f>HYPERLINK("https://klasma.github.io/Logging_2283/tillsynsmail/A 26019-2025 tillsynsbegäran mail.docx", "A 26019-2025")</f>
        <v/>
      </c>
    </row>
    <row r="197" ht="15" customHeight="1">
      <c r="A197" t="inlineStr">
        <is>
          <t>A 44407-2025</t>
        </is>
      </c>
      <c r="B197" s="1" t="n">
        <v>45916</v>
      </c>
      <c r="C197" s="1" t="n">
        <v>46199</v>
      </c>
      <c r="D197" t="inlineStr">
        <is>
          <t>VÄSTERNORRLANDS LÄN</t>
        </is>
      </c>
      <c r="E197" t="inlineStr">
        <is>
          <t>SOLLEFTEÅ</t>
        </is>
      </c>
      <c r="G197" t="n">
        <v>4.1</v>
      </c>
      <c r="H197" t="n">
        <v>1</v>
      </c>
      <c r="I197" t="n">
        <v>3</v>
      </c>
      <c r="J197" t="n">
        <v>0</v>
      </c>
      <c r="K197" t="n">
        <v>0</v>
      </c>
      <c r="L197" t="n">
        <v>0</v>
      </c>
      <c r="M197" t="n">
        <v>0</v>
      </c>
      <c r="N197" t="n">
        <v>0</v>
      </c>
      <c r="O197" t="n">
        <v>0</v>
      </c>
      <c r="P197" t="n">
        <v>0</v>
      </c>
      <c r="Q197" t="n">
        <v>4</v>
      </c>
      <c r="R197" s="2" t="inlineStr">
        <is>
          <t>Dvärghäxört
Luddlav
Stuplav
Revlummer</t>
        </is>
      </c>
      <c r="S197">
        <f>HYPERLINK("https://klasma.github.io/Logging_2283/artfynd/A 44407-2025 artfynd.xlsx", "A 44407-2025")</f>
        <v/>
      </c>
      <c r="T197">
        <f>HYPERLINK("https://klasma.github.io/Logging_2283/kartor/A 44407-2025 karta.png", "A 44407-2025")</f>
        <v/>
      </c>
      <c r="V197">
        <f>HYPERLINK("https://klasma.github.io/Logging_2283/klagomål/A 44407-2025 FSC-klagomål.docx", "A 44407-2025")</f>
        <v/>
      </c>
      <c r="W197">
        <f>HYPERLINK("https://klasma.github.io/Logging_2283/klagomålsmail/A 44407-2025 FSC-klagomål mail.docx", "A 44407-2025")</f>
        <v/>
      </c>
      <c r="X197">
        <f>HYPERLINK("https://klasma.github.io/Logging_2283/tillsyn/A 44407-2025 tillsynsbegäran.docx", "A 44407-2025")</f>
        <v/>
      </c>
      <c r="Y197">
        <f>HYPERLINK("https://klasma.github.io/Logging_2283/tillsynsmail/A 44407-2025 tillsynsbegäran mail.docx", "A 44407-2025")</f>
        <v/>
      </c>
    </row>
    <row r="198" ht="15" customHeight="1">
      <c r="A198" t="inlineStr">
        <is>
          <t>A 28698-2025</t>
        </is>
      </c>
      <c r="B198" s="1" t="n">
        <v>45819</v>
      </c>
      <c r="C198" s="1" t="n">
        <v>46199</v>
      </c>
      <c r="D198" t="inlineStr">
        <is>
          <t>VÄSTERNORRLANDS LÄN</t>
        </is>
      </c>
      <c r="E198" t="inlineStr">
        <is>
          <t>SOLLEFTEÅ</t>
        </is>
      </c>
      <c r="G198" t="n">
        <v>1.5</v>
      </c>
      <c r="H198" t="n">
        <v>0</v>
      </c>
      <c r="I198" t="n">
        <v>0</v>
      </c>
      <c r="J198" t="n">
        <v>3</v>
      </c>
      <c r="K198" t="n">
        <v>1</v>
      </c>
      <c r="L198" t="n">
        <v>0</v>
      </c>
      <c r="M198" t="n">
        <v>0</v>
      </c>
      <c r="N198" t="n">
        <v>0</v>
      </c>
      <c r="O198" t="n">
        <v>4</v>
      </c>
      <c r="P198" t="n">
        <v>1</v>
      </c>
      <c r="Q198" t="n">
        <v>4</v>
      </c>
      <c r="R198" s="2" t="inlineStr">
        <is>
          <t>Garnlav
Dropptaggsvamp
Rosenticka
Ullticka</t>
        </is>
      </c>
      <c r="S198">
        <f>HYPERLINK("https://klasma.github.io/Logging_2283/artfynd/A 28698-2025 artfynd.xlsx", "A 28698-2025")</f>
        <v/>
      </c>
      <c r="T198">
        <f>HYPERLINK("https://klasma.github.io/Logging_2283/kartor/A 28698-2025 karta.png", "A 28698-2025")</f>
        <v/>
      </c>
      <c r="V198">
        <f>HYPERLINK("https://klasma.github.io/Logging_2283/klagomål/A 28698-2025 FSC-klagomål.docx", "A 28698-2025")</f>
        <v/>
      </c>
      <c r="W198">
        <f>HYPERLINK("https://klasma.github.io/Logging_2283/klagomålsmail/A 28698-2025 FSC-klagomål mail.docx", "A 28698-2025")</f>
        <v/>
      </c>
      <c r="X198">
        <f>HYPERLINK("https://klasma.github.io/Logging_2283/tillsyn/A 28698-2025 tillsynsbegäran.docx", "A 28698-2025")</f>
        <v/>
      </c>
      <c r="Y198">
        <f>HYPERLINK("https://klasma.github.io/Logging_2283/tillsynsmail/A 28698-2025 tillsynsbegäran mail.docx", "A 28698-2025")</f>
        <v/>
      </c>
    </row>
    <row r="199" ht="15" customHeight="1">
      <c r="A199" t="inlineStr">
        <is>
          <t>A 62638-2022</t>
        </is>
      </c>
      <c r="B199" s="1" t="n">
        <v>44925</v>
      </c>
      <c r="C199" s="1" t="n">
        <v>46199</v>
      </c>
      <c r="D199" t="inlineStr">
        <is>
          <t>VÄSTERNORRLANDS LÄN</t>
        </is>
      </c>
      <c r="E199" t="inlineStr">
        <is>
          <t>SOLLEFTEÅ</t>
        </is>
      </c>
      <c r="F199" t="inlineStr">
        <is>
          <t>Holmen skog AB</t>
        </is>
      </c>
      <c r="G199" t="n">
        <v>4</v>
      </c>
      <c r="H199" t="n">
        <v>1</v>
      </c>
      <c r="I199" t="n">
        <v>1</v>
      </c>
      <c r="J199" t="n">
        <v>2</v>
      </c>
      <c r="K199" t="n">
        <v>1</v>
      </c>
      <c r="L199" t="n">
        <v>0</v>
      </c>
      <c r="M199" t="n">
        <v>0</v>
      </c>
      <c r="N199" t="n">
        <v>0</v>
      </c>
      <c r="O199" t="n">
        <v>3</v>
      </c>
      <c r="P199" t="n">
        <v>1</v>
      </c>
      <c r="Q199" t="n">
        <v>4</v>
      </c>
      <c r="R199" s="2" t="inlineStr">
        <is>
          <t>Knärot
Koralltaggsvamp
Lunglav
Skinnlav</t>
        </is>
      </c>
      <c r="S199">
        <f>HYPERLINK("https://klasma.github.io/Logging_2283/artfynd/A 62638-2022 artfynd.xlsx", "A 62638-2022")</f>
        <v/>
      </c>
      <c r="T199">
        <f>HYPERLINK("https://klasma.github.io/Logging_2283/kartor/A 62638-2022 karta.png", "A 62638-2022")</f>
        <v/>
      </c>
      <c r="U199">
        <f>HYPERLINK("https://klasma.github.io/Logging_2283/knärot/A 62638-2022 karta knärot.png", "A 62638-2022")</f>
        <v/>
      </c>
      <c r="V199">
        <f>HYPERLINK("https://klasma.github.io/Logging_2283/klagomål/A 62638-2022 FSC-klagomål.docx", "A 62638-2022")</f>
        <v/>
      </c>
      <c r="W199">
        <f>HYPERLINK("https://klasma.github.io/Logging_2283/klagomålsmail/A 62638-2022 FSC-klagomål mail.docx", "A 62638-2022")</f>
        <v/>
      </c>
      <c r="X199">
        <f>HYPERLINK("https://klasma.github.io/Logging_2283/tillsyn/A 62638-2022 tillsynsbegäran.docx", "A 62638-2022")</f>
        <v/>
      </c>
      <c r="Y199">
        <f>HYPERLINK("https://klasma.github.io/Logging_2283/tillsynsmail/A 62638-2022 tillsynsbegäran mail.docx", "A 62638-2022")</f>
        <v/>
      </c>
    </row>
    <row r="200" ht="15" customHeight="1">
      <c r="A200" t="inlineStr">
        <is>
          <t>A 51372-2025</t>
        </is>
      </c>
      <c r="B200" s="1" t="n">
        <v>45950</v>
      </c>
      <c r="C200" s="1" t="n">
        <v>46199</v>
      </c>
      <c r="D200" t="inlineStr">
        <is>
          <t>VÄSTERNORRLANDS LÄN</t>
        </is>
      </c>
      <c r="E200" t="inlineStr">
        <is>
          <t>SOLLEFTEÅ</t>
        </is>
      </c>
      <c r="F200" t="inlineStr">
        <is>
          <t>SCA</t>
        </is>
      </c>
      <c r="G200" t="n">
        <v>1.5</v>
      </c>
      <c r="H200" t="n">
        <v>1</v>
      </c>
      <c r="I200" t="n">
        <v>2</v>
      </c>
      <c r="J200" t="n">
        <v>2</v>
      </c>
      <c r="K200" t="n">
        <v>0</v>
      </c>
      <c r="L200" t="n">
        <v>0</v>
      </c>
      <c r="M200" t="n">
        <v>0</v>
      </c>
      <c r="N200" t="n">
        <v>0</v>
      </c>
      <c r="O200" t="n">
        <v>2</v>
      </c>
      <c r="P200" t="n">
        <v>0</v>
      </c>
      <c r="Q200" t="n">
        <v>4</v>
      </c>
      <c r="R200" s="2" t="inlineStr">
        <is>
          <t>Lunglav
Ullticka
Korallrot
Stuplav</t>
        </is>
      </c>
      <c r="S200">
        <f>HYPERLINK("https://klasma.github.io/Logging_2283/artfynd/A 51372-2025 artfynd.xlsx", "A 51372-2025")</f>
        <v/>
      </c>
      <c r="T200">
        <f>HYPERLINK("https://klasma.github.io/Logging_2283/kartor/A 51372-2025 karta.png", "A 51372-2025")</f>
        <v/>
      </c>
      <c r="V200">
        <f>HYPERLINK("https://klasma.github.io/Logging_2283/klagomål/A 51372-2025 FSC-klagomål.docx", "A 51372-2025")</f>
        <v/>
      </c>
      <c r="W200">
        <f>HYPERLINK("https://klasma.github.io/Logging_2283/klagomålsmail/A 51372-2025 FSC-klagomål mail.docx", "A 51372-2025")</f>
        <v/>
      </c>
      <c r="X200">
        <f>HYPERLINK("https://klasma.github.io/Logging_2283/tillsyn/A 51372-2025 tillsynsbegäran.docx", "A 51372-2025")</f>
        <v/>
      </c>
      <c r="Y200">
        <f>HYPERLINK("https://klasma.github.io/Logging_2283/tillsynsmail/A 51372-2025 tillsynsbegäran mail.docx", "A 51372-2025")</f>
        <v/>
      </c>
    </row>
    <row r="201" ht="15" customHeight="1">
      <c r="A201" t="inlineStr">
        <is>
          <t>A 34638-2024</t>
        </is>
      </c>
      <c r="B201" s="1" t="n">
        <v>45526</v>
      </c>
      <c r="C201" s="1" t="n">
        <v>46199</v>
      </c>
      <c r="D201" t="inlineStr">
        <is>
          <t>VÄSTERNORRLANDS LÄN</t>
        </is>
      </c>
      <c r="E201" t="inlineStr">
        <is>
          <t>SOLLEFTEÅ</t>
        </is>
      </c>
      <c r="F201" t="inlineStr">
        <is>
          <t>SCA</t>
        </is>
      </c>
      <c r="G201" t="n">
        <v>3.3</v>
      </c>
      <c r="H201" t="n">
        <v>1</v>
      </c>
      <c r="I201" t="n">
        <v>0</v>
      </c>
      <c r="J201" t="n">
        <v>2</v>
      </c>
      <c r="K201" t="n">
        <v>2</v>
      </c>
      <c r="L201" t="n">
        <v>0</v>
      </c>
      <c r="M201" t="n">
        <v>0</v>
      </c>
      <c r="N201" t="n">
        <v>0</v>
      </c>
      <c r="O201" t="n">
        <v>4</v>
      </c>
      <c r="P201" t="n">
        <v>2</v>
      </c>
      <c r="Q201" t="n">
        <v>4</v>
      </c>
      <c r="R201" s="2" t="inlineStr">
        <is>
          <t>Garnlav
Knärot
Lunglav
Reliktbock</t>
        </is>
      </c>
      <c r="S201">
        <f>HYPERLINK("https://klasma.github.io/Logging_2283/artfynd/A 34638-2024 artfynd.xlsx", "A 34638-2024")</f>
        <v/>
      </c>
      <c r="T201">
        <f>HYPERLINK("https://klasma.github.io/Logging_2283/kartor/A 34638-2024 karta.png", "A 34638-2024")</f>
        <v/>
      </c>
      <c r="U201">
        <f>HYPERLINK("https://klasma.github.io/Logging_2283/knärot/A 34638-2024 karta knärot.png", "A 34638-2024")</f>
        <v/>
      </c>
      <c r="V201">
        <f>HYPERLINK("https://klasma.github.io/Logging_2283/klagomål/A 34638-2024 FSC-klagomål.docx", "A 34638-2024")</f>
        <v/>
      </c>
      <c r="W201">
        <f>HYPERLINK("https://klasma.github.io/Logging_2283/klagomålsmail/A 34638-2024 FSC-klagomål mail.docx", "A 34638-2024")</f>
        <v/>
      </c>
      <c r="X201">
        <f>HYPERLINK("https://klasma.github.io/Logging_2283/tillsyn/A 34638-2024 tillsynsbegäran.docx", "A 34638-2024")</f>
        <v/>
      </c>
      <c r="Y201">
        <f>HYPERLINK("https://klasma.github.io/Logging_2283/tillsynsmail/A 34638-2024 tillsynsbegäran mail.docx", "A 34638-2024")</f>
        <v/>
      </c>
    </row>
    <row r="202" ht="15" customHeight="1">
      <c r="A202" t="inlineStr">
        <is>
          <t>A 53822-2025</t>
        </is>
      </c>
      <c r="B202" s="1" t="n">
        <v>45961</v>
      </c>
      <c r="C202" s="1" t="n">
        <v>46199</v>
      </c>
      <c r="D202" t="inlineStr">
        <is>
          <t>VÄSTERNORRLANDS LÄN</t>
        </is>
      </c>
      <c r="E202" t="inlineStr">
        <is>
          <t>SOLLEFTEÅ</t>
        </is>
      </c>
      <c r="G202" t="n">
        <v>2.1</v>
      </c>
      <c r="H202" t="n">
        <v>3</v>
      </c>
      <c r="I202" t="n">
        <v>0</v>
      </c>
      <c r="J202" t="n">
        <v>3</v>
      </c>
      <c r="K202" t="n">
        <v>0</v>
      </c>
      <c r="L202" t="n">
        <v>0</v>
      </c>
      <c r="M202" t="n">
        <v>0</v>
      </c>
      <c r="N202" t="n">
        <v>0</v>
      </c>
      <c r="O202" t="n">
        <v>3</v>
      </c>
      <c r="P202" t="n">
        <v>0</v>
      </c>
      <c r="Q202" t="n">
        <v>4</v>
      </c>
      <c r="R202" s="2" t="inlineStr">
        <is>
          <t>Humlerotfjäril
Ladusvala
Sädesärla
Sångsvan</t>
        </is>
      </c>
      <c r="S202">
        <f>HYPERLINK("https://klasma.github.io/Logging_2283/artfynd/A 53822-2025 artfynd.xlsx", "A 53822-2025")</f>
        <v/>
      </c>
      <c r="T202">
        <f>HYPERLINK("https://klasma.github.io/Logging_2283/kartor/A 53822-2025 karta.png", "A 53822-2025")</f>
        <v/>
      </c>
      <c r="V202">
        <f>HYPERLINK("https://klasma.github.io/Logging_2283/klagomål/A 53822-2025 FSC-klagomål.docx", "A 53822-2025")</f>
        <v/>
      </c>
      <c r="W202">
        <f>HYPERLINK("https://klasma.github.io/Logging_2283/klagomålsmail/A 53822-2025 FSC-klagomål mail.docx", "A 53822-2025")</f>
        <v/>
      </c>
      <c r="X202">
        <f>HYPERLINK("https://klasma.github.io/Logging_2283/tillsyn/A 53822-2025 tillsynsbegäran.docx", "A 53822-2025")</f>
        <v/>
      </c>
      <c r="Y202">
        <f>HYPERLINK("https://klasma.github.io/Logging_2283/tillsynsmail/A 53822-2025 tillsynsbegäran mail.docx", "A 53822-2025")</f>
        <v/>
      </c>
      <c r="Z202">
        <f>HYPERLINK("https://klasma.github.io/Logging_2283/fåglar/A 53822-2025 prioriterade fågelarter.docx", "A 53822-2025")</f>
        <v/>
      </c>
    </row>
    <row r="203" ht="15" customHeight="1">
      <c r="A203" t="inlineStr">
        <is>
          <t>A 3807-2026</t>
        </is>
      </c>
      <c r="B203" s="1" t="n">
        <v>46043</v>
      </c>
      <c r="C203" s="1" t="n">
        <v>46199</v>
      </c>
      <c r="D203" t="inlineStr">
        <is>
          <t>VÄSTERNORRLANDS LÄN</t>
        </is>
      </c>
      <c r="E203" t="inlineStr">
        <is>
          <t>SOLLEFTEÅ</t>
        </is>
      </c>
      <c r="F203" t="inlineStr">
        <is>
          <t>SCA</t>
        </is>
      </c>
      <c r="G203" t="n">
        <v>0.5</v>
      </c>
      <c r="H203" t="n">
        <v>1</v>
      </c>
      <c r="I203" t="n">
        <v>1</v>
      </c>
      <c r="J203" t="n">
        <v>2</v>
      </c>
      <c r="K203" t="n">
        <v>0</v>
      </c>
      <c r="L203" t="n">
        <v>0</v>
      </c>
      <c r="M203" t="n">
        <v>0</v>
      </c>
      <c r="N203" t="n">
        <v>0</v>
      </c>
      <c r="O203" t="n">
        <v>2</v>
      </c>
      <c r="P203" t="n">
        <v>0</v>
      </c>
      <c r="Q203" t="n">
        <v>4</v>
      </c>
      <c r="R203" s="2" t="inlineStr">
        <is>
          <t>Vedflamlav
Vedskivlav
Nästlav
Fläcknycklar</t>
        </is>
      </c>
      <c r="S203">
        <f>HYPERLINK("https://klasma.github.io/Logging_2283/artfynd/A 3807-2026 artfynd.xlsx", "A 3807-2026")</f>
        <v/>
      </c>
      <c r="T203">
        <f>HYPERLINK("https://klasma.github.io/Logging_2283/kartor/A 3807-2026 karta.png", "A 3807-2026")</f>
        <v/>
      </c>
      <c r="V203">
        <f>HYPERLINK("https://klasma.github.io/Logging_2283/klagomål/A 3807-2026 FSC-klagomål.docx", "A 3807-2026")</f>
        <v/>
      </c>
      <c r="W203">
        <f>HYPERLINK("https://klasma.github.io/Logging_2283/klagomålsmail/A 3807-2026 FSC-klagomål mail.docx", "A 3807-2026")</f>
        <v/>
      </c>
      <c r="X203">
        <f>HYPERLINK("https://klasma.github.io/Logging_2283/tillsyn/A 3807-2026 tillsynsbegäran.docx", "A 3807-2026")</f>
        <v/>
      </c>
      <c r="Y203">
        <f>HYPERLINK("https://klasma.github.io/Logging_2283/tillsynsmail/A 3807-2026 tillsynsbegäran mail.docx", "A 3807-2026")</f>
        <v/>
      </c>
    </row>
    <row r="204" ht="15" customHeight="1">
      <c r="A204" t="inlineStr">
        <is>
          <t>A 7905-2026</t>
        </is>
      </c>
      <c r="B204" s="1" t="n">
        <v>46063</v>
      </c>
      <c r="C204" s="1" t="n">
        <v>46199</v>
      </c>
      <c r="D204" t="inlineStr">
        <is>
          <t>VÄSTERNORRLANDS LÄN</t>
        </is>
      </c>
      <c r="E204" t="inlineStr">
        <is>
          <t>SOLLEFTEÅ</t>
        </is>
      </c>
      <c r="G204" t="n">
        <v>3.2</v>
      </c>
      <c r="H204" t="n">
        <v>4</v>
      </c>
      <c r="I204" t="n">
        <v>0</v>
      </c>
      <c r="J204" t="n">
        <v>2</v>
      </c>
      <c r="K204" t="n">
        <v>0</v>
      </c>
      <c r="L204" t="n">
        <v>0</v>
      </c>
      <c r="M204" t="n">
        <v>0</v>
      </c>
      <c r="N204" t="n">
        <v>0</v>
      </c>
      <c r="O204" t="n">
        <v>2</v>
      </c>
      <c r="P204" t="n">
        <v>0</v>
      </c>
      <c r="Q204" t="n">
        <v>4</v>
      </c>
      <c r="R204" s="2" t="inlineStr">
        <is>
          <t>Lavskrika
Talltita
Tjäder
Orre</t>
        </is>
      </c>
      <c r="S204">
        <f>HYPERLINK("https://klasma.github.io/Logging_2283/artfynd/A 7905-2026 artfynd.xlsx", "A 7905-2026")</f>
        <v/>
      </c>
      <c r="T204">
        <f>HYPERLINK("https://klasma.github.io/Logging_2283/kartor/A 7905-2026 karta.png", "A 7905-2026")</f>
        <v/>
      </c>
      <c r="V204">
        <f>HYPERLINK("https://klasma.github.io/Logging_2283/klagomål/A 7905-2026 FSC-klagomål.docx", "A 7905-2026")</f>
        <v/>
      </c>
      <c r="W204">
        <f>HYPERLINK("https://klasma.github.io/Logging_2283/klagomålsmail/A 7905-2026 FSC-klagomål mail.docx", "A 7905-2026")</f>
        <v/>
      </c>
      <c r="X204">
        <f>HYPERLINK("https://klasma.github.io/Logging_2283/tillsyn/A 7905-2026 tillsynsbegäran.docx", "A 7905-2026")</f>
        <v/>
      </c>
      <c r="Y204">
        <f>HYPERLINK("https://klasma.github.io/Logging_2283/tillsynsmail/A 7905-2026 tillsynsbegäran mail.docx", "A 7905-2026")</f>
        <v/>
      </c>
      <c r="Z204">
        <f>HYPERLINK("https://klasma.github.io/Logging_2283/fåglar/A 7905-2026 prioriterade fågelarter.docx", "A 7905-2026")</f>
        <v/>
      </c>
    </row>
    <row r="205" ht="15" customHeight="1">
      <c r="A205" t="inlineStr">
        <is>
          <t>A 9458-2026</t>
        </is>
      </c>
      <c r="B205" s="1" t="n">
        <v>46071</v>
      </c>
      <c r="C205" s="1" t="n">
        <v>46199</v>
      </c>
      <c r="D205" t="inlineStr">
        <is>
          <t>VÄSTERNORRLANDS LÄN</t>
        </is>
      </c>
      <c r="E205" t="inlineStr">
        <is>
          <t>SOLLEFTEÅ</t>
        </is>
      </c>
      <c r="G205" t="n">
        <v>3.4</v>
      </c>
      <c r="H205" t="n">
        <v>4</v>
      </c>
      <c r="I205" t="n">
        <v>0</v>
      </c>
      <c r="J205" t="n">
        <v>1</v>
      </c>
      <c r="K205" t="n">
        <v>1</v>
      </c>
      <c r="L205" t="n">
        <v>0</v>
      </c>
      <c r="M205" t="n">
        <v>0</v>
      </c>
      <c r="N205" t="n">
        <v>0</v>
      </c>
      <c r="O205" t="n">
        <v>2</v>
      </c>
      <c r="P205" t="n">
        <v>1</v>
      </c>
      <c r="Q205" t="n">
        <v>4</v>
      </c>
      <c r="R205" s="2" t="inlineStr">
        <is>
          <t>Knärot
Tretåig hackspett
Tofsmes
Kungsfågel</t>
        </is>
      </c>
      <c r="S205">
        <f>HYPERLINK("https://klasma.github.io/Logging_2283/artfynd/A 9458-2026 artfynd.xlsx", "A 9458-2026")</f>
        <v/>
      </c>
      <c r="T205">
        <f>HYPERLINK("https://klasma.github.io/Logging_2283/kartor/A 9458-2026 karta.png", "A 9458-2026")</f>
        <v/>
      </c>
      <c r="U205">
        <f>HYPERLINK("https://klasma.github.io/Logging_2283/knärot/A 9458-2026 karta knärot.png", "A 9458-2026")</f>
        <v/>
      </c>
      <c r="V205">
        <f>HYPERLINK("https://klasma.github.io/Logging_2283/klagomål/A 9458-2026 FSC-klagomål.docx", "A 9458-2026")</f>
        <v/>
      </c>
      <c r="W205">
        <f>HYPERLINK("https://klasma.github.io/Logging_2283/klagomålsmail/A 9458-2026 FSC-klagomål mail.docx", "A 9458-2026")</f>
        <v/>
      </c>
      <c r="X205">
        <f>HYPERLINK("https://klasma.github.io/Logging_2283/tillsyn/A 9458-2026 tillsynsbegäran.docx", "A 9458-2026")</f>
        <v/>
      </c>
      <c r="Y205">
        <f>HYPERLINK("https://klasma.github.io/Logging_2283/tillsynsmail/A 9458-2026 tillsynsbegäran mail.docx", "A 9458-2026")</f>
        <v/>
      </c>
      <c r="Z205">
        <f>HYPERLINK("https://klasma.github.io/Logging_2283/fåglar/A 9458-2026 prioriterade fågelarter.docx", "A 9458-2026")</f>
        <v/>
      </c>
    </row>
    <row r="206" ht="15" customHeight="1">
      <c r="A206" t="inlineStr">
        <is>
          <t>A 54093-2024</t>
        </is>
      </c>
      <c r="B206" s="1" t="n">
        <v>45616</v>
      </c>
      <c r="C206" s="1" t="n">
        <v>46199</v>
      </c>
      <c r="D206" t="inlineStr">
        <is>
          <t>VÄSTERNORRLANDS LÄN</t>
        </is>
      </c>
      <c r="E206" t="inlineStr">
        <is>
          <t>SOLLEFTEÅ</t>
        </is>
      </c>
      <c r="F206" t="inlineStr">
        <is>
          <t>SCA</t>
        </is>
      </c>
      <c r="G206" t="n">
        <v>3.9</v>
      </c>
      <c r="H206" t="n">
        <v>0</v>
      </c>
      <c r="I206" t="n">
        <v>0</v>
      </c>
      <c r="J206" t="n">
        <v>3</v>
      </c>
      <c r="K206" t="n">
        <v>1</v>
      </c>
      <c r="L206" t="n">
        <v>0</v>
      </c>
      <c r="M206" t="n">
        <v>0</v>
      </c>
      <c r="N206" t="n">
        <v>0</v>
      </c>
      <c r="O206" t="n">
        <v>4</v>
      </c>
      <c r="P206" t="n">
        <v>1</v>
      </c>
      <c r="Q206" t="n">
        <v>4</v>
      </c>
      <c r="R206" s="2" t="inlineStr">
        <is>
          <t>Garnlav
Lunglav
Rosenticka
Ullticka</t>
        </is>
      </c>
      <c r="S206">
        <f>HYPERLINK("https://klasma.github.io/Logging_2283/artfynd/A 54093-2024 artfynd.xlsx", "A 54093-2024")</f>
        <v/>
      </c>
      <c r="T206">
        <f>HYPERLINK("https://klasma.github.io/Logging_2283/kartor/A 54093-2024 karta.png", "A 54093-2024")</f>
        <v/>
      </c>
      <c r="V206">
        <f>HYPERLINK("https://klasma.github.io/Logging_2283/klagomål/A 54093-2024 FSC-klagomål.docx", "A 54093-2024")</f>
        <v/>
      </c>
      <c r="W206">
        <f>HYPERLINK("https://klasma.github.io/Logging_2283/klagomålsmail/A 54093-2024 FSC-klagomål mail.docx", "A 54093-2024")</f>
        <v/>
      </c>
      <c r="X206">
        <f>HYPERLINK("https://klasma.github.io/Logging_2283/tillsyn/A 54093-2024 tillsynsbegäran.docx", "A 54093-2024")</f>
        <v/>
      </c>
      <c r="Y206">
        <f>HYPERLINK("https://klasma.github.io/Logging_2283/tillsynsmail/A 54093-2024 tillsynsbegäran mail.docx", "A 54093-2024")</f>
        <v/>
      </c>
    </row>
    <row r="207" ht="15" customHeight="1">
      <c r="A207" t="inlineStr">
        <is>
          <t>A 26467-2024</t>
        </is>
      </c>
      <c r="B207" s="1" t="n">
        <v>45469</v>
      </c>
      <c r="C207" s="1" t="n">
        <v>46199</v>
      </c>
      <c r="D207" t="inlineStr">
        <is>
          <t>VÄSTERNORRLANDS LÄN</t>
        </is>
      </c>
      <c r="E207" t="inlineStr">
        <is>
          <t>SOLLEFTEÅ</t>
        </is>
      </c>
      <c r="G207" t="n">
        <v>1.1</v>
      </c>
      <c r="H207" t="n">
        <v>2</v>
      </c>
      <c r="I207" t="n">
        <v>1</v>
      </c>
      <c r="J207" t="n">
        <v>1</v>
      </c>
      <c r="K207" t="n">
        <v>0</v>
      </c>
      <c r="L207" t="n">
        <v>0</v>
      </c>
      <c r="M207" t="n">
        <v>0</v>
      </c>
      <c r="N207" t="n">
        <v>0</v>
      </c>
      <c r="O207" t="n">
        <v>1</v>
      </c>
      <c r="P207" t="n">
        <v>0</v>
      </c>
      <c r="Q207" t="n">
        <v>4</v>
      </c>
      <c r="R207" s="2" t="inlineStr">
        <is>
          <t>Rosenticka
Springkorn
Skogsrör
Revlummer</t>
        </is>
      </c>
      <c r="S207">
        <f>HYPERLINK("https://klasma.github.io/Logging_2283/artfynd/A 26467-2024 artfynd.xlsx", "A 26467-2024")</f>
        <v/>
      </c>
      <c r="T207">
        <f>HYPERLINK("https://klasma.github.io/Logging_2283/kartor/A 26467-2024 karta.png", "A 26467-2024")</f>
        <v/>
      </c>
      <c r="V207">
        <f>HYPERLINK("https://klasma.github.io/Logging_2283/klagomål/A 26467-2024 FSC-klagomål.docx", "A 26467-2024")</f>
        <v/>
      </c>
      <c r="W207">
        <f>HYPERLINK("https://klasma.github.io/Logging_2283/klagomålsmail/A 26467-2024 FSC-klagomål mail.docx", "A 26467-2024")</f>
        <v/>
      </c>
      <c r="X207">
        <f>HYPERLINK("https://klasma.github.io/Logging_2283/tillsyn/A 26467-2024 tillsynsbegäran.docx", "A 26467-2024")</f>
        <v/>
      </c>
      <c r="Y207">
        <f>HYPERLINK("https://klasma.github.io/Logging_2283/tillsynsmail/A 26467-2024 tillsynsbegäran mail.docx", "A 26467-2024")</f>
        <v/>
      </c>
    </row>
    <row r="208" ht="15" customHeight="1">
      <c r="A208" t="inlineStr">
        <is>
          <t>A 7942-2025</t>
        </is>
      </c>
      <c r="B208" s="1" t="n">
        <v>45707</v>
      </c>
      <c r="C208" s="1" t="n">
        <v>46199</v>
      </c>
      <c r="D208" t="inlineStr">
        <is>
          <t>VÄSTERNORRLANDS LÄN</t>
        </is>
      </c>
      <c r="E208" t="inlineStr">
        <is>
          <t>SOLLEFTEÅ</t>
        </is>
      </c>
      <c r="F208" t="inlineStr">
        <is>
          <t>SCA</t>
        </is>
      </c>
      <c r="G208" t="n">
        <v>6.2</v>
      </c>
      <c r="H208" t="n">
        <v>1</v>
      </c>
      <c r="I208" t="n">
        <v>0</v>
      </c>
      <c r="J208" t="n">
        <v>3</v>
      </c>
      <c r="K208" t="n">
        <v>1</v>
      </c>
      <c r="L208" t="n">
        <v>0</v>
      </c>
      <c r="M208" t="n">
        <v>0</v>
      </c>
      <c r="N208" t="n">
        <v>0</v>
      </c>
      <c r="O208" t="n">
        <v>4</v>
      </c>
      <c r="P208" t="n">
        <v>1</v>
      </c>
      <c r="Q208" t="n">
        <v>4</v>
      </c>
      <c r="R208" s="2" t="inlineStr">
        <is>
          <t>Gräddporing
Mörk kolflarnlav
Talltita
Vaddporing</t>
        </is>
      </c>
      <c r="S208">
        <f>HYPERLINK("https://klasma.github.io/Logging_2283/artfynd/A 7942-2025 artfynd.xlsx", "A 7942-2025")</f>
        <v/>
      </c>
      <c r="T208">
        <f>HYPERLINK("https://klasma.github.io/Logging_2283/kartor/A 7942-2025 karta.png", "A 7942-2025")</f>
        <v/>
      </c>
      <c r="V208">
        <f>HYPERLINK("https://klasma.github.io/Logging_2283/klagomål/A 7942-2025 FSC-klagomål.docx", "A 7942-2025")</f>
        <v/>
      </c>
      <c r="W208">
        <f>HYPERLINK("https://klasma.github.io/Logging_2283/klagomålsmail/A 7942-2025 FSC-klagomål mail.docx", "A 7942-2025")</f>
        <v/>
      </c>
      <c r="X208">
        <f>HYPERLINK("https://klasma.github.io/Logging_2283/tillsyn/A 7942-2025 tillsynsbegäran.docx", "A 7942-2025")</f>
        <v/>
      </c>
      <c r="Y208">
        <f>HYPERLINK("https://klasma.github.io/Logging_2283/tillsynsmail/A 7942-2025 tillsynsbegäran mail.docx", "A 7942-2025")</f>
        <v/>
      </c>
      <c r="Z208">
        <f>HYPERLINK("https://klasma.github.io/Logging_2283/fåglar/A 7942-2025 prioriterade fågelarter.docx", "A 7942-2025")</f>
        <v/>
      </c>
    </row>
    <row r="209" ht="15" customHeight="1">
      <c r="A209" t="inlineStr">
        <is>
          <t>A 19892-2025</t>
        </is>
      </c>
      <c r="B209" s="1" t="n">
        <v>45771</v>
      </c>
      <c r="C209" s="1" t="n">
        <v>46199</v>
      </c>
      <c r="D209" t="inlineStr">
        <is>
          <t>VÄSTERNORRLANDS LÄN</t>
        </is>
      </c>
      <c r="E209" t="inlineStr">
        <is>
          <t>SOLLEFTEÅ</t>
        </is>
      </c>
      <c r="F209" t="inlineStr">
        <is>
          <t>SCA</t>
        </is>
      </c>
      <c r="G209" t="n">
        <v>1.1</v>
      </c>
      <c r="H209" t="n">
        <v>0</v>
      </c>
      <c r="I209" t="n">
        <v>0</v>
      </c>
      <c r="J209" t="n">
        <v>4</v>
      </c>
      <c r="K209" t="n">
        <v>0</v>
      </c>
      <c r="L209" t="n">
        <v>0</v>
      </c>
      <c r="M209" t="n">
        <v>0</v>
      </c>
      <c r="N209" t="n">
        <v>0</v>
      </c>
      <c r="O209" t="n">
        <v>4</v>
      </c>
      <c r="P209" t="n">
        <v>0</v>
      </c>
      <c r="Q209" t="n">
        <v>4</v>
      </c>
      <c r="R209" s="2" t="inlineStr">
        <is>
          <t>Doftskinn
Gammelgransskål
Lunglav
Ullticka</t>
        </is>
      </c>
      <c r="S209">
        <f>HYPERLINK("https://klasma.github.io/Logging_2283/artfynd/A 19892-2025 artfynd.xlsx", "A 19892-2025")</f>
        <v/>
      </c>
      <c r="T209">
        <f>HYPERLINK("https://klasma.github.io/Logging_2283/kartor/A 19892-2025 karta.png", "A 19892-2025")</f>
        <v/>
      </c>
      <c r="V209">
        <f>HYPERLINK("https://klasma.github.io/Logging_2283/klagomål/A 19892-2025 FSC-klagomål.docx", "A 19892-2025")</f>
        <v/>
      </c>
      <c r="W209">
        <f>HYPERLINK("https://klasma.github.io/Logging_2283/klagomålsmail/A 19892-2025 FSC-klagomål mail.docx", "A 19892-2025")</f>
        <v/>
      </c>
      <c r="X209">
        <f>HYPERLINK("https://klasma.github.io/Logging_2283/tillsyn/A 19892-2025 tillsynsbegäran.docx", "A 19892-2025")</f>
        <v/>
      </c>
      <c r="Y209">
        <f>HYPERLINK("https://klasma.github.io/Logging_2283/tillsynsmail/A 19892-2025 tillsynsbegäran mail.docx", "A 19892-2025")</f>
        <v/>
      </c>
    </row>
    <row r="210" ht="15" customHeight="1">
      <c r="A210" t="inlineStr">
        <is>
          <t>A 38053-2024</t>
        </is>
      </c>
      <c r="B210" s="1" t="n">
        <v>45544</v>
      </c>
      <c r="C210" s="1" t="n">
        <v>46199</v>
      </c>
      <c r="D210" t="inlineStr">
        <is>
          <t>VÄSTERNORRLANDS LÄN</t>
        </is>
      </c>
      <c r="E210" t="inlineStr">
        <is>
          <t>SOLLEFTEÅ</t>
        </is>
      </c>
      <c r="F210" t="inlineStr">
        <is>
          <t>SCA</t>
        </is>
      </c>
      <c r="G210" t="n">
        <v>2.5</v>
      </c>
      <c r="H210" t="n">
        <v>2</v>
      </c>
      <c r="I210" t="n">
        <v>0</v>
      </c>
      <c r="J210" t="n">
        <v>3</v>
      </c>
      <c r="K210" t="n">
        <v>1</v>
      </c>
      <c r="L210" t="n">
        <v>0</v>
      </c>
      <c r="M210" t="n">
        <v>0</v>
      </c>
      <c r="N210" t="n">
        <v>0</v>
      </c>
      <c r="O210" t="n">
        <v>4</v>
      </c>
      <c r="P210" t="n">
        <v>1</v>
      </c>
      <c r="Q210" t="n">
        <v>4</v>
      </c>
      <c r="R210" s="2" t="inlineStr">
        <is>
          <t>Knärot
Lunglav
Tretåig hackspett
Ullticka</t>
        </is>
      </c>
      <c r="S210">
        <f>HYPERLINK("https://klasma.github.io/Logging_2283/artfynd/A 38053-2024 artfynd.xlsx", "A 38053-2024")</f>
        <v/>
      </c>
      <c r="T210">
        <f>HYPERLINK("https://klasma.github.io/Logging_2283/kartor/A 38053-2024 karta.png", "A 38053-2024")</f>
        <v/>
      </c>
      <c r="U210">
        <f>HYPERLINK("https://klasma.github.io/Logging_2283/knärot/A 38053-2024 karta knärot.png", "A 38053-2024")</f>
        <v/>
      </c>
      <c r="V210">
        <f>HYPERLINK("https://klasma.github.io/Logging_2283/klagomål/A 38053-2024 FSC-klagomål.docx", "A 38053-2024")</f>
        <v/>
      </c>
      <c r="W210">
        <f>HYPERLINK("https://klasma.github.io/Logging_2283/klagomålsmail/A 38053-2024 FSC-klagomål mail.docx", "A 38053-2024")</f>
        <v/>
      </c>
      <c r="X210">
        <f>HYPERLINK("https://klasma.github.io/Logging_2283/tillsyn/A 38053-2024 tillsynsbegäran.docx", "A 38053-2024")</f>
        <v/>
      </c>
      <c r="Y210">
        <f>HYPERLINK("https://klasma.github.io/Logging_2283/tillsynsmail/A 38053-2024 tillsynsbegäran mail.docx", "A 38053-2024")</f>
        <v/>
      </c>
      <c r="Z210">
        <f>HYPERLINK("https://klasma.github.io/Logging_2283/fåglar/A 38053-2024 prioriterade fågelarter.docx", "A 38053-2024")</f>
        <v/>
      </c>
    </row>
    <row r="211" ht="15" customHeight="1">
      <c r="A211" t="inlineStr">
        <is>
          <t>A 9741-2026</t>
        </is>
      </c>
      <c r="B211" s="1" t="n">
        <v>46072</v>
      </c>
      <c r="C211" s="1" t="n">
        <v>46199</v>
      </c>
      <c r="D211" t="inlineStr">
        <is>
          <t>VÄSTERNORRLANDS LÄN</t>
        </is>
      </c>
      <c r="E211" t="inlineStr">
        <is>
          <t>SOLLEFTEÅ</t>
        </is>
      </c>
      <c r="G211" t="n">
        <v>4.6</v>
      </c>
      <c r="H211" t="n">
        <v>0</v>
      </c>
      <c r="I211" t="n">
        <v>3</v>
      </c>
      <c r="J211" t="n">
        <v>1</v>
      </c>
      <c r="K211" t="n">
        <v>0</v>
      </c>
      <c r="L211" t="n">
        <v>0</v>
      </c>
      <c r="M211" t="n">
        <v>0</v>
      </c>
      <c r="N211" t="n">
        <v>0</v>
      </c>
      <c r="O211" t="n">
        <v>1</v>
      </c>
      <c r="P211" t="n">
        <v>0</v>
      </c>
      <c r="Q211" t="n">
        <v>4</v>
      </c>
      <c r="R211" s="2" t="inlineStr">
        <is>
          <t>Lunglav
Bårdlav
Dvärgtufs
Skinnlav</t>
        </is>
      </c>
      <c r="S211">
        <f>HYPERLINK("https://klasma.github.io/Logging_2283/artfynd/A 9741-2026 artfynd.xlsx", "A 9741-2026")</f>
        <v/>
      </c>
      <c r="T211">
        <f>HYPERLINK("https://klasma.github.io/Logging_2283/kartor/A 9741-2026 karta.png", "A 9741-2026")</f>
        <v/>
      </c>
      <c r="V211">
        <f>HYPERLINK("https://klasma.github.io/Logging_2283/klagomål/A 9741-2026 FSC-klagomål.docx", "A 9741-2026")</f>
        <v/>
      </c>
      <c r="W211">
        <f>HYPERLINK("https://klasma.github.io/Logging_2283/klagomålsmail/A 9741-2026 FSC-klagomål mail.docx", "A 9741-2026")</f>
        <v/>
      </c>
      <c r="X211">
        <f>HYPERLINK("https://klasma.github.io/Logging_2283/tillsyn/A 9741-2026 tillsynsbegäran.docx", "A 9741-2026")</f>
        <v/>
      </c>
      <c r="Y211">
        <f>HYPERLINK("https://klasma.github.io/Logging_2283/tillsynsmail/A 9741-2026 tillsynsbegäran mail.docx", "A 9741-2026")</f>
        <v/>
      </c>
    </row>
    <row r="212" ht="15" customHeight="1">
      <c r="A212" t="inlineStr">
        <is>
          <t>A 13257-2025</t>
        </is>
      </c>
      <c r="B212" s="1" t="n">
        <v>45735</v>
      </c>
      <c r="C212" s="1" t="n">
        <v>46199</v>
      </c>
      <c r="D212" t="inlineStr">
        <is>
          <t>VÄSTERNORRLANDS LÄN</t>
        </is>
      </c>
      <c r="E212" t="inlineStr">
        <is>
          <t>SOLLEFTEÅ</t>
        </is>
      </c>
      <c r="F212" t="inlineStr">
        <is>
          <t>SCA</t>
        </is>
      </c>
      <c r="G212" t="n">
        <v>15.3</v>
      </c>
      <c r="H212" t="n">
        <v>0</v>
      </c>
      <c r="I212" t="n">
        <v>1</v>
      </c>
      <c r="J212" t="n">
        <v>2</v>
      </c>
      <c r="K212" t="n">
        <v>1</v>
      </c>
      <c r="L212" t="n">
        <v>0</v>
      </c>
      <c r="M212" t="n">
        <v>0</v>
      </c>
      <c r="N212" t="n">
        <v>0</v>
      </c>
      <c r="O212" t="n">
        <v>3</v>
      </c>
      <c r="P212" t="n">
        <v>1</v>
      </c>
      <c r="Q212" t="n">
        <v>4</v>
      </c>
      <c r="R212" s="2" t="inlineStr">
        <is>
          <t>Gränsticka
Rynkskinn
Ullticka
Vedticka</t>
        </is>
      </c>
      <c r="S212">
        <f>HYPERLINK("https://klasma.github.io/Logging_2283/artfynd/A 13257-2025 artfynd.xlsx", "A 13257-2025")</f>
        <v/>
      </c>
      <c r="T212">
        <f>HYPERLINK("https://klasma.github.io/Logging_2283/kartor/A 13257-2025 karta.png", "A 13257-2025")</f>
        <v/>
      </c>
      <c r="V212">
        <f>HYPERLINK("https://klasma.github.io/Logging_2283/klagomål/A 13257-2025 FSC-klagomål.docx", "A 13257-2025")</f>
        <v/>
      </c>
      <c r="W212">
        <f>HYPERLINK("https://klasma.github.io/Logging_2283/klagomålsmail/A 13257-2025 FSC-klagomål mail.docx", "A 13257-2025")</f>
        <v/>
      </c>
      <c r="X212">
        <f>HYPERLINK("https://klasma.github.io/Logging_2283/tillsyn/A 13257-2025 tillsynsbegäran.docx", "A 13257-2025")</f>
        <v/>
      </c>
      <c r="Y212">
        <f>HYPERLINK("https://klasma.github.io/Logging_2283/tillsynsmail/A 13257-2025 tillsynsbegäran mail.docx", "A 13257-2025")</f>
        <v/>
      </c>
    </row>
    <row r="213" ht="15" customHeight="1">
      <c r="A213" t="inlineStr">
        <is>
          <t>A 26338-2025</t>
        </is>
      </c>
      <c r="B213" s="1" t="n">
        <v>45805</v>
      </c>
      <c r="C213" s="1" t="n">
        <v>46199</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62632-2022</t>
        </is>
      </c>
      <c r="B214" s="1" t="n">
        <v>44925</v>
      </c>
      <c r="C214" s="1" t="n">
        <v>46199</v>
      </c>
      <c r="D214" t="inlineStr">
        <is>
          <t>VÄSTERNORRLANDS LÄN</t>
        </is>
      </c>
      <c r="E214" t="inlineStr">
        <is>
          <t>SOLLEFTEÅ</t>
        </is>
      </c>
      <c r="F214" t="inlineStr">
        <is>
          <t>Holmen skog AB</t>
        </is>
      </c>
      <c r="G214" t="n">
        <v>4.4</v>
      </c>
      <c r="H214" t="n">
        <v>1</v>
      </c>
      <c r="I214" t="n">
        <v>1</v>
      </c>
      <c r="J214" t="n">
        <v>2</v>
      </c>
      <c r="K214" t="n">
        <v>0</v>
      </c>
      <c r="L214" t="n">
        <v>1</v>
      </c>
      <c r="M214" t="n">
        <v>0</v>
      </c>
      <c r="N214" t="n">
        <v>0</v>
      </c>
      <c r="O214" t="n">
        <v>3</v>
      </c>
      <c r="P214" t="n">
        <v>1</v>
      </c>
      <c r="Q214" t="n">
        <v>4</v>
      </c>
      <c r="R214" s="2" t="inlineStr">
        <is>
          <t>Bitter taggsvamp
Blå taggsvamp
Orange taggsvamp
Plattlummer</t>
        </is>
      </c>
      <c r="S214">
        <f>HYPERLINK("https://klasma.github.io/Logging_2283/artfynd/A 62632-2022 artfynd.xlsx", "A 62632-2022")</f>
        <v/>
      </c>
      <c r="T214">
        <f>HYPERLINK("https://klasma.github.io/Logging_2283/kartor/A 62632-2022 karta.png", "A 62632-2022")</f>
        <v/>
      </c>
      <c r="V214">
        <f>HYPERLINK("https://klasma.github.io/Logging_2283/klagomål/A 62632-2022 FSC-klagomål.docx", "A 62632-2022")</f>
        <v/>
      </c>
      <c r="W214">
        <f>HYPERLINK("https://klasma.github.io/Logging_2283/klagomålsmail/A 62632-2022 FSC-klagomål mail.docx", "A 62632-2022")</f>
        <v/>
      </c>
      <c r="X214">
        <f>HYPERLINK("https://klasma.github.io/Logging_2283/tillsyn/A 62632-2022 tillsynsbegäran.docx", "A 62632-2022")</f>
        <v/>
      </c>
      <c r="Y214">
        <f>HYPERLINK("https://klasma.github.io/Logging_2283/tillsynsmail/A 62632-2022 tillsynsbegäran mail.docx", "A 62632-2022")</f>
        <v/>
      </c>
    </row>
    <row r="215" ht="15" customHeight="1">
      <c r="A215" t="inlineStr">
        <is>
          <t>A 5018-2025</t>
        </is>
      </c>
      <c r="B215" s="1" t="n">
        <v>45691</v>
      </c>
      <c r="C215" s="1" t="n">
        <v>46199</v>
      </c>
      <c r="D215" t="inlineStr">
        <is>
          <t>VÄSTERNORRLANDS LÄN</t>
        </is>
      </c>
      <c r="E215" t="inlineStr">
        <is>
          <t>SOLLEFTEÅ</t>
        </is>
      </c>
      <c r="G215" t="n">
        <v>11.5</v>
      </c>
      <c r="H215" t="n">
        <v>2</v>
      </c>
      <c r="I215" t="n">
        <v>0</v>
      </c>
      <c r="J215" t="n">
        <v>2</v>
      </c>
      <c r="K215" t="n">
        <v>1</v>
      </c>
      <c r="L215" t="n">
        <v>0</v>
      </c>
      <c r="M215" t="n">
        <v>0</v>
      </c>
      <c r="N215" t="n">
        <v>0</v>
      </c>
      <c r="O215" t="n">
        <v>3</v>
      </c>
      <c r="P215" t="n">
        <v>1</v>
      </c>
      <c r="Q215" t="n">
        <v>4</v>
      </c>
      <c r="R215" s="2" t="inlineStr">
        <is>
          <t>Garnlav
Rosenticka
Tretåig hackspett
Tjäder</t>
        </is>
      </c>
      <c r="S215">
        <f>HYPERLINK("https://klasma.github.io/Logging_2283/artfynd/A 5018-2025 artfynd.xlsx", "A 5018-2025")</f>
        <v/>
      </c>
      <c r="T215">
        <f>HYPERLINK("https://klasma.github.io/Logging_2283/kartor/A 5018-2025 karta.png", "A 5018-2025")</f>
        <v/>
      </c>
      <c r="V215">
        <f>HYPERLINK("https://klasma.github.io/Logging_2283/klagomål/A 5018-2025 FSC-klagomål.docx", "A 5018-2025")</f>
        <v/>
      </c>
      <c r="W215">
        <f>HYPERLINK("https://klasma.github.io/Logging_2283/klagomålsmail/A 5018-2025 FSC-klagomål mail.docx", "A 5018-2025")</f>
        <v/>
      </c>
      <c r="X215">
        <f>HYPERLINK("https://klasma.github.io/Logging_2283/tillsyn/A 5018-2025 tillsynsbegäran.docx", "A 5018-2025")</f>
        <v/>
      </c>
      <c r="Y215">
        <f>HYPERLINK("https://klasma.github.io/Logging_2283/tillsynsmail/A 5018-2025 tillsynsbegäran mail.docx", "A 5018-2025")</f>
        <v/>
      </c>
      <c r="Z215">
        <f>HYPERLINK("https://klasma.github.io/Logging_2283/fåglar/A 5018-2025 prioriterade fågelarter.docx", "A 5018-2025")</f>
        <v/>
      </c>
    </row>
    <row r="216" ht="15" customHeight="1">
      <c r="A216" t="inlineStr">
        <is>
          <t>A 28113-2026</t>
        </is>
      </c>
      <c r="B216" s="1" t="n">
        <v>46195</v>
      </c>
      <c r="C216" s="1" t="n">
        <v>46199</v>
      </c>
      <c r="D216" t="inlineStr">
        <is>
          <t>VÄSTERNORRLANDS LÄN</t>
        </is>
      </c>
      <c r="E216" t="inlineStr">
        <is>
          <t>SOLLEFTEÅ</t>
        </is>
      </c>
      <c r="F216" t="inlineStr">
        <is>
          <t>SCA</t>
        </is>
      </c>
      <c r="G216" t="n">
        <v>7.3</v>
      </c>
      <c r="H216" t="n">
        <v>1</v>
      </c>
      <c r="I216" t="n">
        <v>0</v>
      </c>
      <c r="J216" t="n">
        <v>3</v>
      </c>
      <c r="K216" t="n">
        <v>1</v>
      </c>
      <c r="L216" t="n">
        <v>0</v>
      </c>
      <c r="M216" t="n">
        <v>0</v>
      </c>
      <c r="N216" t="n">
        <v>0</v>
      </c>
      <c r="O216" t="n">
        <v>4</v>
      </c>
      <c r="P216" t="n">
        <v>1</v>
      </c>
      <c r="Q216" t="n">
        <v>4</v>
      </c>
      <c r="R216" s="2" t="inlineStr">
        <is>
          <t>Skrovlig taggsvamp
Dropptaggsvamp
Kolflarnlav
Tretåig hackspett</t>
        </is>
      </c>
      <c r="S216">
        <f>HYPERLINK("https://klasma.github.io/Logging_2283/artfynd/A 28113-2026 artfynd.xlsx", "A 28113-2026")</f>
        <v/>
      </c>
      <c r="T216">
        <f>HYPERLINK("https://klasma.github.io/Logging_2283/kartor/A 28113-2026 karta.png", "A 28113-2026")</f>
        <v/>
      </c>
      <c r="V216">
        <f>HYPERLINK("https://klasma.github.io/Logging_2283/klagomål/A 28113-2026 FSC-klagomål.docx", "A 28113-2026")</f>
        <v/>
      </c>
      <c r="W216">
        <f>HYPERLINK("https://klasma.github.io/Logging_2283/klagomålsmail/A 28113-2026 FSC-klagomål mail.docx", "A 28113-2026")</f>
        <v/>
      </c>
      <c r="X216">
        <f>HYPERLINK("https://klasma.github.io/Logging_2283/tillsyn/A 28113-2026 tillsynsbegäran.docx", "A 28113-2026")</f>
        <v/>
      </c>
      <c r="Y216">
        <f>HYPERLINK("https://klasma.github.io/Logging_2283/tillsynsmail/A 28113-2026 tillsynsbegäran mail.docx", "A 28113-2026")</f>
        <v/>
      </c>
      <c r="Z216">
        <f>HYPERLINK("https://klasma.github.io/Logging_2283/fåglar/A 28113-2026 prioriterade fågelarter.docx", "A 28113-2026")</f>
        <v/>
      </c>
    </row>
    <row r="217" ht="15" customHeight="1">
      <c r="A217" t="inlineStr">
        <is>
          <t>A 53898-2024</t>
        </is>
      </c>
      <c r="B217" s="1" t="n">
        <v>45615</v>
      </c>
      <c r="C217" s="1" t="n">
        <v>46199</v>
      </c>
      <c r="D217" t="inlineStr">
        <is>
          <t>VÄSTERNORRLANDS LÄN</t>
        </is>
      </c>
      <c r="E217" t="inlineStr">
        <is>
          <t>SOLLEFTEÅ</t>
        </is>
      </c>
      <c r="F217" t="inlineStr">
        <is>
          <t>SCA</t>
        </is>
      </c>
      <c r="G217" t="n">
        <v>2</v>
      </c>
      <c r="H217" t="n">
        <v>0</v>
      </c>
      <c r="I217" t="n">
        <v>2</v>
      </c>
      <c r="J217" t="n">
        <v>1</v>
      </c>
      <c r="K217" t="n">
        <v>1</v>
      </c>
      <c r="L217" t="n">
        <v>0</v>
      </c>
      <c r="M217" t="n">
        <v>0</v>
      </c>
      <c r="N217" t="n">
        <v>0</v>
      </c>
      <c r="O217" t="n">
        <v>2</v>
      </c>
      <c r="P217" t="n">
        <v>1</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6236-2023</t>
        </is>
      </c>
      <c r="B218" s="1" t="n">
        <v>44964</v>
      </c>
      <c r="C218" s="1" t="n">
        <v>46199</v>
      </c>
      <c r="D218" t="inlineStr">
        <is>
          <t>VÄSTERNORRLANDS LÄN</t>
        </is>
      </c>
      <c r="E218" t="inlineStr">
        <is>
          <t>SOLLEFTEÅ</t>
        </is>
      </c>
      <c r="F218" t="inlineStr">
        <is>
          <t>SCA</t>
        </is>
      </c>
      <c r="G218" t="n">
        <v>0.1</v>
      </c>
      <c r="H218" t="n">
        <v>4</v>
      </c>
      <c r="I218" t="n">
        <v>1</v>
      </c>
      <c r="J218" t="n">
        <v>1</v>
      </c>
      <c r="K218" t="n">
        <v>1</v>
      </c>
      <c r="L218" t="n">
        <v>0</v>
      </c>
      <c r="M218" t="n">
        <v>0</v>
      </c>
      <c r="N218" t="n">
        <v>0</v>
      </c>
      <c r="O218" t="n">
        <v>2</v>
      </c>
      <c r="P218" t="n">
        <v>1</v>
      </c>
      <c r="Q218" t="n">
        <v>4</v>
      </c>
      <c r="R218" s="2" t="inlineStr">
        <is>
          <t>Knärot
Tretåig hackspett
Lappranunkel
Järpe</t>
        </is>
      </c>
      <c r="S218">
        <f>HYPERLINK("https://klasma.github.io/Logging_2283/artfynd/A 6236-2023 artfynd.xlsx", "A 6236-2023")</f>
        <v/>
      </c>
      <c r="T218">
        <f>HYPERLINK("https://klasma.github.io/Logging_2283/kartor/A 6236-2023 karta.png", "A 6236-2023")</f>
        <v/>
      </c>
      <c r="U218">
        <f>HYPERLINK("https://klasma.github.io/Logging_2283/knärot/A 6236-2023 karta knärot.png", "A 6236-2023")</f>
        <v/>
      </c>
      <c r="V218">
        <f>HYPERLINK("https://klasma.github.io/Logging_2283/klagomål/A 6236-2023 FSC-klagomål.docx", "A 6236-2023")</f>
        <v/>
      </c>
      <c r="W218">
        <f>HYPERLINK("https://klasma.github.io/Logging_2283/klagomålsmail/A 6236-2023 FSC-klagomål mail.docx", "A 6236-2023")</f>
        <v/>
      </c>
      <c r="X218">
        <f>HYPERLINK("https://klasma.github.io/Logging_2283/tillsyn/A 6236-2023 tillsynsbegäran.docx", "A 6236-2023")</f>
        <v/>
      </c>
      <c r="Y218">
        <f>HYPERLINK("https://klasma.github.io/Logging_2283/tillsynsmail/A 6236-2023 tillsynsbegäran mail.docx", "A 6236-2023")</f>
        <v/>
      </c>
      <c r="Z218">
        <f>HYPERLINK("https://klasma.github.io/Logging_2283/fåglar/A 6236-2023 prioriterade fågelarter.docx", "A 6236-2023")</f>
        <v/>
      </c>
    </row>
    <row r="219" ht="15" customHeight="1">
      <c r="A219" t="inlineStr">
        <is>
          <t>A 37270-2023</t>
        </is>
      </c>
      <c r="B219" s="1" t="n">
        <v>45155</v>
      </c>
      <c r="C219" s="1" t="n">
        <v>46199</v>
      </c>
      <c r="D219" t="inlineStr">
        <is>
          <t>VÄSTERNORRLANDS LÄN</t>
        </is>
      </c>
      <c r="E219" t="inlineStr">
        <is>
          <t>SOLLEFTEÅ</t>
        </is>
      </c>
      <c r="F219" t="inlineStr">
        <is>
          <t>SCA</t>
        </is>
      </c>
      <c r="G219" t="n">
        <v>2.3</v>
      </c>
      <c r="H219" t="n">
        <v>1</v>
      </c>
      <c r="I219" t="n">
        <v>0</v>
      </c>
      <c r="J219" t="n">
        <v>4</v>
      </c>
      <c r="K219" t="n">
        <v>0</v>
      </c>
      <c r="L219" t="n">
        <v>0</v>
      </c>
      <c r="M219" t="n">
        <v>0</v>
      </c>
      <c r="N219" t="n">
        <v>0</v>
      </c>
      <c r="O219" t="n">
        <v>4</v>
      </c>
      <c r="P219" t="n">
        <v>0</v>
      </c>
      <c r="Q219" t="n">
        <v>4</v>
      </c>
      <c r="R219" s="2" t="inlineStr">
        <is>
          <t>Dropptaggsvamp
Orange taggsvamp
Tallticka
Tretåig hackspett</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57081-2024</t>
        </is>
      </c>
      <c r="B220" s="1" t="n">
        <v>45629</v>
      </c>
      <c r="C220" s="1" t="n">
        <v>46199</v>
      </c>
      <c r="D220" t="inlineStr">
        <is>
          <t>VÄSTERNORRLANDS LÄN</t>
        </is>
      </c>
      <c r="E220" t="inlineStr">
        <is>
          <t>SOLLEFTEÅ</t>
        </is>
      </c>
      <c r="F220" t="inlineStr">
        <is>
          <t>SCA</t>
        </is>
      </c>
      <c r="G220" t="n">
        <v>0.7</v>
      </c>
      <c r="H220" t="n">
        <v>1</v>
      </c>
      <c r="I220" t="n">
        <v>0</v>
      </c>
      <c r="J220" t="n">
        <v>3</v>
      </c>
      <c r="K220" t="n">
        <v>1</v>
      </c>
      <c r="L220" t="n">
        <v>0</v>
      </c>
      <c r="M220" t="n">
        <v>0</v>
      </c>
      <c r="N220" t="n">
        <v>0</v>
      </c>
      <c r="O220" t="n">
        <v>4</v>
      </c>
      <c r="P220" t="n">
        <v>1</v>
      </c>
      <c r="Q220" t="n">
        <v>4</v>
      </c>
      <c r="R220" s="2" t="inlineStr">
        <is>
          <t>Garnlav
Lunglav
Tretåig hackspett
Ullticka</t>
        </is>
      </c>
      <c r="S220">
        <f>HYPERLINK("https://klasma.github.io/Logging_2283/artfynd/A 57081-2024 artfynd.xlsx", "A 57081-2024")</f>
        <v/>
      </c>
      <c r="T220">
        <f>HYPERLINK("https://klasma.github.io/Logging_2283/kartor/A 57081-2024 karta.png", "A 57081-2024")</f>
        <v/>
      </c>
      <c r="V220">
        <f>HYPERLINK("https://klasma.github.io/Logging_2283/klagomål/A 57081-2024 FSC-klagomål.docx", "A 57081-2024")</f>
        <v/>
      </c>
      <c r="W220">
        <f>HYPERLINK("https://klasma.github.io/Logging_2283/klagomålsmail/A 57081-2024 FSC-klagomål mail.docx", "A 57081-2024")</f>
        <v/>
      </c>
      <c r="X220">
        <f>HYPERLINK("https://klasma.github.io/Logging_2283/tillsyn/A 57081-2024 tillsynsbegäran.docx", "A 57081-2024")</f>
        <v/>
      </c>
      <c r="Y220">
        <f>HYPERLINK("https://klasma.github.io/Logging_2283/tillsynsmail/A 57081-2024 tillsynsbegäran mail.docx", "A 57081-2024")</f>
        <v/>
      </c>
      <c r="Z220">
        <f>HYPERLINK("https://klasma.github.io/Logging_2283/fåglar/A 57081-2024 prioriterade fågelarter.docx", "A 57081-2024")</f>
        <v/>
      </c>
    </row>
    <row r="221" ht="15" customHeight="1">
      <c r="A221" t="inlineStr">
        <is>
          <t>A 21742-2025</t>
        </is>
      </c>
      <c r="B221" s="1" t="n">
        <v>45783</v>
      </c>
      <c r="C221" s="1" t="n">
        <v>46199</v>
      </c>
      <c r="D221" t="inlineStr">
        <is>
          <t>VÄSTERNORRLANDS LÄN</t>
        </is>
      </c>
      <c r="E221" t="inlineStr">
        <is>
          <t>SOLLEFTEÅ</t>
        </is>
      </c>
      <c r="F221" t="inlineStr">
        <is>
          <t>SCA</t>
        </is>
      </c>
      <c r="G221" t="n">
        <v>1.5</v>
      </c>
      <c r="H221" t="n">
        <v>3</v>
      </c>
      <c r="I221" t="n">
        <v>0</v>
      </c>
      <c r="J221" t="n">
        <v>0</v>
      </c>
      <c r="K221" t="n">
        <v>1</v>
      </c>
      <c r="L221" t="n">
        <v>0</v>
      </c>
      <c r="M221" t="n">
        <v>0</v>
      </c>
      <c r="N221" t="n">
        <v>0</v>
      </c>
      <c r="O221" t="n">
        <v>1</v>
      </c>
      <c r="P221" t="n">
        <v>1</v>
      </c>
      <c r="Q221" t="n">
        <v>4</v>
      </c>
      <c r="R221" s="2" t="inlineStr">
        <is>
          <t>Garnlav
Spillkråka
Fläcknycklar
Revlummer</t>
        </is>
      </c>
      <c r="S221">
        <f>HYPERLINK("https://klasma.github.io/Logging_2283/artfynd/A 21742-2025 artfynd.xlsx", "A 21742-2025")</f>
        <v/>
      </c>
      <c r="T221">
        <f>HYPERLINK("https://klasma.github.io/Logging_2283/kartor/A 21742-2025 karta.png", "A 21742-2025")</f>
        <v/>
      </c>
      <c r="V221">
        <f>HYPERLINK("https://klasma.github.io/Logging_2283/klagomål/A 21742-2025 FSC-klagomål.docx", "A 21742-2025")</f>
        <v/>
      </c>
      <c r="W221">
        <f>HYPERLINK("https://klasma.github.io/Logging_2283/klagomålsmail/A 21742-2025 FSC-klagomål mail.docx", "A 21742-2025")</f>
        <v/>
      </c>
      <c r="X221">
        <f>HYPERLINK("https://klasma.github.io/Logging_2283/tillsyn/A 21742-2025 tillsynsbegäran.docx", "A 21742-2025")</f>
        <v/>
      </c>
      <c r="Y221">
        <f>HYPERLINK("https://klasma.github.io/Logging_2283/tillsynsmail/A 21742-2025 tillsynsbegäran mail.docx", "A 21742-2025")</f>
        <v/>
      </c>
      <c r="Z221">
        <f>HYPERLINK("https://klasma.github.io/Logging_2283/fåglar/A 21742-2025 prioriterade fågelarter.docx", "A 21742-2025")</f>
        <v/>
      </c>
    </row>
    <row r="222" ht="15" customHeight="1">
      <c r="A222" t="inlineStr">
        <is>
          <t>A 44599-2021</t>
        </is>
      </c>
      <c r="B222" s="1" t="n">
        <v>44435</v>
      </c>
      <c r="C222" s="1" t="n">
        <v>46199</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46199</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22183-2025</t>
        </is>
      </c>
      <c r="B224" s="1" t="n">
        <v>45785</v>
      </c>
      <c r="C224" s="1" t="n">
        <v>46199</v>
      </c>
      <c r="D224" t="inlineStr">
        <is>
          <t>VÄSTERNORRLANDS LÄN</t>
        </is>
      </c>
      <c r="E224" t="inlineStr">
        <is>
          <t>SOLLEFTEÅ</t>
        </is>
      </c>
      <c r="F224" t="inlineStr">
        <is>
          <t>SCA</t>
        </is>
      </c>
      <c r="G224" t="n">
        <v>0.3</v>
      </c>
      <c r="H224" t="n">
        <v>0</v>
      </c>
      <c r="I224" t="n">
        <v>1</v>
      </c>
      <c r="J224" t="n">
        <v>1</v>
      </c>
      <c r="K224" t="n">
        <v>1</v>
      </c>
      <c r="L224" t="n">
        <v>0</v>
      </c>
      <c r="M224" t="n">
        <v>0</v>
      </c>
      <c r="N224" t="n">
        <v>0</v>
      </c>
      <c r="O224" t="n">
        <v>2</v>
      </c>
      <c r="P224" t="n">
        <v>1</v>
      </c>
      <c r="Q224" t="n">
        <v>3</v>
      </c>
      <c r="R224" s="2" t="inlineStr">
        <is>
          <t>Garnlav
Rosenticka
Trådticka</t>
        </is>
      </c>
      <c r="S224">
        <f>HYPERLINK("https://klasma.github.io/Logging_2283/artfynd/A 22183-2025 artfynd.xlsx", "A 22183-2025")</f>
        <v/>
      </c>
      <c r="T224">
        <f>HYPERLINK("https://klasma.github.io/Logging_2283/kartor/A 22183-2025 karta.png", "A 22183-2025")</f>
        <v/>
      </c>
      <c r="V224">
        <f>HYPERLINK("https://klasma.github.io/Logging_2283/klagomål/A 22183-2025 FSC-klagomål.docx", "A 22183-2025")</f>
        <v/>
      </c>
      <c r="W224">
        <f>HYPERLINK("https://klasma.github.io/Logging_2283/klagomålsmail/A 22183-2025 FSC-klagomål mail.docx", "A 22183-2025")</f>
        <v/>
      </c>
      <c r="X224">
        <f>HYPERLINK("https://klasma.github.io/Logging_2283/tillsyn/A 22183-2025 tillsynsbegäran.docx", "A 22183-2025")</f>
        <v/>
      </c>
      <c r="Y224">
        <f>HYPERLINK("https://klasma.github.io/Logging_2283/tillsynsmail/A 22183-2025 tillsynsbegäran mail.docx", "A 22183-2025")</f>
        <v/>
      </c>
    </row>
    <row r="225" ht="15" customHeight="1">
      <c r="A225" t="inlineStr">
        <is>
          <t>A 34812-2024</t>
        </is>
      </c>
      <c r="B225" s="1" t="n">
        <v>45526</v>
      </c>
      <c r="C225" s="1" t="n">
        <v>46199</v>
      </c>
      <c r="D225" t="inlineStr">
        <is>
          <t>VÄSTERNORRLANDS LÄN</t>
        </is>
      </c>
      <c r="E225" t="inlineStr">
        <is>
          <t>SOLLEFTEÅ</t>
        </is>
      </c>
      <c r="G225" t="n">
        <v>8.1</v>
      </c>
      <c r="H225" t="n">
        <v>0</v>
      </c>
      <c r="I225" t="n">
        <v>0</v>
      </c>
      <c r="J225" t="n">
        <v>2</v>
      </c>
      <c r="K225" t="n">
        <v>1</v>
      </c>
      <c r="L225" t="n">
        <v>0</v>
      </c>
      <c r="M225" t="n">
        <v>0</v>
      </c>
      <c r="N225" t="n">
        <v>0</v>
      </c>
      <c r="O225" t="n">
        <v>3</v>
      </c>
      <c r="P225" t="n">
        <v>1</v>
      </c>
      <c r="Q225" t="n">
        <v>3</v>
      </c>
      <c r="R225" s="2" t="inlineStr">
        <is>
          <t>Garnlav
Dropptaggsvamp
Ullticka</t>
        </is>
      </c>
      <c r="S225">
        <f>HYPERLINK("https://klasma.github.io/Logging_2283/artfynd/A 34812-2024 artfynd.xlsx", "A 34812-2024")</f>
        <v/>
      </c>
      <c r="T225">
        <f>HYPERLINK("https://klasma.github.io/Logging_2283/kartor/A 34812-2024 karta.png", "A 34812-2024")</f>
        <v/>
      </c>
      <c r="V225">
        <f>HYPERLINK("https://klasma.github.io/Logging_2283/klagomål/A 34812-2024 FSC-klagomål.docx", "A 34812-2024")</f>
        <v/>
      </c>
      <c r="W225">
        <f>HYPERLINK("https://klasma.github.io/Logging_2283/klagomålsmail/A 34812-2024 FSC-klagomål mail.docx", "A 34812-2024")</f>
        <v/>
      </c>
      <c r="X225">
        <f>HYPERLINK("https://klasma.github.io/Logging_2283/tillsyn/A 34812-2024 tillsynsbegäran.docx", "A 34812-2024")</f>
        <v/>
      </c>
      <c r="Y225">
        <f>HYPERLINK("https://klasma.github.io/Logging_2283/tillsynsmail/A 34812-2024 tillsynsbegäran mail.docx", "A 34812-2024")</f>
        <v/>
      </c>
    </row>
    <row r="226" ht="15" customHeight="1">
      <c r="A226" t="inlineStr">
        <is>
          <t>A 56783-2025</t>
        </is>
      </c>
      <c r="B226" s="1" t="n">
        <v>45978</v>
      </c>
      <c r="C226" s="1" t="n">
        <v>46199</v>
      </c>
      <c r="D226" t="inlineStr">
        <is>
          <t>VÄSTERNORRLANDS LÄN</t>
        </is>
      </c>
      <c r="E226" t="inlineStr">
        <is>
          <t>SOLLEFTEÅ</t>
        </is>
      </c>
      <c r="F226" t="inlineStr">
        <is>
          <t>SCA</t>
        </is>
      </c>
      <c r="G226" t="n">
        <v>2.5</v>
      </c>
      <c r="H226" t="n">
        <v>0</v>
      </c>
      <c r="I226" t="n">
        <v>0</v>
      </c>
      <c r="J226" t="n">
        <v>3</v>
      </c>
      <c r="K226" t="n">
        <v>0</v>
      </c>
      <c r="L226" t="n">
        <v>0</v>
      </c>
      <c r="M226" t="n">
        <v>0</v>
      </c>
      <c r="N226" t="n">
        <v>0</v>
      </c>
      <c r="O226" t="n">
        <v>3</v>
      </c>
      <c r="P226" t="n">
        <v>0</v>
      </c>
      <c r="Q226" t="n">
        <v>3</v>
      </c>
      <c r="R226" s="2" t="inlineStr">
        <is>
          <t>Kolflarnlav
Lunglav
Orange taggsvamp</t>
        </is>
      </c>
      <c r="S226">
        <f>HYPERLINK("https://klasma.github.io/Logging_2283/artfynd/A 56783-2025 artfynd.xlsx", "A 56783-2025")</f>
        <v/>
      </c>
      <c r="T226">
        <f>HYPERLINK("https://klasma.github.io/Logging_2283/kartor/A 56783-2025 karta.png", "A 56783-2025")</f>
        <v/>
      </c>
      <c r="V226">
        <f>HYPERLINK("https://klasma.github.io/Logging_2283/klagomål/A 56783-2025 FSC-klagomål.docx", "A 56783-2025")</f>
        <v/>
      </c>
      <c r="W226">
        <f>HYPERLINK("https://klasma.github.io/Logging_2283/klagomålsmail/A 56783-2025 FSC-klagomål mail.docx", "A 56783-2025")</f>
        <v/>
      </c>
      <c r="X226">
        <f>HYPERLINK("https://klasma.github.io/Logging_2283/tillsyn/A 56783-2025 tillsynsbegäran.docx", "A 56783-2025")</f>
        <v/>
      </c>
      <c r="Y226">
        <f>HYPERLINK("https://klasma.github.io/Logging_2283/tillsynsmail/A 56783-2025 tillsynsbegäran mail.docx", "A 56783-2025")</f>
        <v/>
      </c>
    </row>
    <row r="227" ht="15" customHeight="1">
      <c r="A227" t="inlineStr">
        <is>
          <t>A 27314-2024</t>
        </is>
      </c>
      <c r="B227" s="1" t="n">
        <v>45471</v>
      </c>
      <c r="C227" s="1" t="n">
        <v>46199</v>
      </c>
      <c r="D227" t="inlineStr">
        <is>
          <t>VÄSTERNORRLANDS LÄN</t>
        </is>
      </c>
      <c r="E227" t="inlineStr">
        <is>
          <t>SOLLEFTEÅ</t>
        </is>
      </c>
      <c r="G227" t="n">
        <v>3.8</v>
      </c>
      <c r="H227" t="n">
        <v>1</v>
      </c>
      <c r="I227" t="n">
        <v>1</v>
      </c>
      <c r="J227" t="n">
        <v>1</v>
      </c>
      <c r="K227" t="n">
        <v>1</v>
      </c>
      <c r="L227" t="n">
        <v>0</v>
      </c>
      <c r="M227" t="n">
        <v>0</v>
      </c>
      <c r="N227" t="n">
        <v>0</v>
      </c>
      <c r="O227" t="n">
        <v>2</v>
      </c>
      <c r="P227" t="n">
        <v>1</v>
      </c>
      <c r="Q227" t="n">
        <v>3</v>
      </c>
      <c r="R227" s="2" t="inlineStr">
        <is>
          <t>Knärot
Rosenticka
Norrlandslav</t>
        </is>
      </c>
      <c r="S227">
        <f>HYPERLINK("https://klasma.github.io/Logging_2283/artfynd/A 27314-2024 artfynd.xlsx", "A 27314-2024")</f>
        <v/>
      </c>
      <c r="T227">
        <f>HYPERLINK("https://klasma.github.io/Logging_2283/kartor/A 27314-2024 karta.png", "A 27314-2024")</f>
        <v/>
      </c>
      <c r="U227">
        <f>HYPERLINK("https://klasma.github.io/Logging_2283/knärot/A 27314-2024 karta knärot.png", "A 27314-2024")</f>
        <v/>
      </c>
      <c r="V227">
        <f>HYPERLINK("https://klasma.github.io/Logging_2283/klagomål/A 27314-2024 FSC-klagomål.docx", "A 27314-2024")</f>
        <v/>
      </c>
      <c r="W227">
        <f>HYPERLINK("https://klasma.github.io/Logging_2283/klagomålsmail/A 27314-2024 FSC-klagomål mail.docx", "A 27314-2024")</f>
        <v/>
      </c>
      <c r="X227">
        <f>HYPERLINK("https://klasma.github.io/Logging_2283/tillsyn/A 27314-2024 tillsynsbegäran.docx", "A 27314-2024")</f>
        <v/>
      </c>
      <c r="Y227">
        <f>HYPERLINK("https://klasma.github.io/Logging_2283/tillsynsmail/A 27314-2024 tillsynsbegäran mail.docx", "A 27314-2024")</f>
        <v/>
      </c>
    </row>
    <row r="228" ht="15" customHeight="1">
      <c r="A228" t="inlineStr">
        <is>
          <t>A 40450-2025</t>
        </is>
      </c>
      <c r="B228" s="1" t="n">
        <v>45895</v>
      </c>
      <c r="C228" s="1" t="n">
        <v>46199</v>
      </c>
      <c r="D228" t="inlineStr">
        <is>
          <t>VÄSTERNORRLANDS LÄN</t>
        </is>
      </c>
      <c r="E228" t="inlineStr">
        <is>
          <t>SOLLEFTEÅ</t>
        </is>
      </c>
      <c r="F228" t="inlineStr">
        <is>
          <t>SCA</t>
        </is>
      </c>
      <c r="G228" t="n">
        <v>3.8</v>
      </c>
      <c r="H228" t="n">
        <v>1</v>
      </c>
      <c r="I228" t="n">
        <v>0</v>
      </c>
      <c r="J228" t="n">
        <v>2</v>
      </c>
      <c r="K228" t="n">
        <v>0</v>
      </c>
      <c r="L228" t="n">
        <v>0</v>
      </c>
      <c r="M228" t="n">
        <v>0</v>
      </c>
      <c r="N228" t="n">
        <v>0</v>
      </c>
      <c r="O228" t="n">
        <v>2</v>
      </c>
      <c r="P228" t="n">
        <v>0</v>
      </c>
      <c r="Q228" t="n">
        <v>3</v>
      </c>
      <c r="R228" s="2" t="inlineStr">
        <is>
          <t>Rosenticka
Ullticka
Spillkråka</t>
        </is>
      </c>
      <c r="S228">
        <f>HYPERLINK("https://klasma.github.io/Logging_2283/artfynd/A 40450-2025 artfynd.xlsx", "A 40450-2025")</f>
        <v/>
      </c>
      <c r="T228">
        <f>HYPERLINK("https://klasma.github.io/Logging_2283/kartor/A 40450-2025 karta.png", "A 40450-2025")</f>
        <v/>
      </c>
      <c r="V228">
        <f>HYPERLINK("https://klasma.github.io/Logging_2283/klagomål/A 40450-2025 FSC-klagomål.docx", "A 40450-2025")</f>
        <v/>
      </c>
      <c r="W228">
        <f>HYPERLINK("https://klasma.github.io/Logging_2283/klagomålsmail/A 40450-2025 FSC-klagomål mail.docx", "A 40450-2025")</f>
        <v/>
      </c>
      <c r="X228">
        <f>HYPERLINK("https://klasma.github.io/Logging_2283/tillsyn/A 40450-2025 tillsynsbegäran.docx", "A 40450-2025")</f>
        <v/>
      </c>
      <c r="Y228">
        <f>HYPERLINK("https://klasma.github.io/Logging_2283/tillsynsmail/A 40450-2025 tillsynsbegäran mail.docx", "A 40450-2025")</f>
        <v/>
      </c>
      <c r="Z228">
        <f>HYPERLINK("https://klasma.github.io/Logging_2283/fåglar/A 40450-2025 prioriterade fågelarter.docx", "A 40450-2025")</f>
        <v/>
      </c>
    </row>
    <row r="229" ht="15" customHeight="1">
      <c r="A229" t="inlineStr">
        <is>
          <t>A 43279-2025</t>
        </is>
      </c>
      <c r="B229" s="1" t="n">
        <v>45910</v>
      </c>
      <c r="C229" s="1" t="n">
        <v>46199</v>
      </c>
      <c r="D229" t="inlineStr">
        <is>
          <t>VÄSTERNORRLANDS LÄN</t>
        </is>
      </c>
      <c r="E229" t="inlineStr">
        <is>
          <t>SOLLEFTEÅ</t>
        </is>
      </c>
      <c r="F229" t="inlineStr">
        <is>
          <t>SCA</t>
        </is>
      </c>
      <c r="G229" t="n">
        <v>1.7</v>
      </c>
      <c r="H229" t="n">
        <v>0</v>
      </c>
      <c r="I229" t="n">
        <v>0</v>
      </c>
      <c r="J229" t="n">
        <v>2</v>
      </c>
      <c r="K229" t="n">
        <v>1</v>
      </c>
      <c r="L229" t="n">
        <v>0</v>
      </c>
      <c r="M229" t="n">
        <v>0</v>
      </c>
      <c r="N229" t="n">
        <v>0</v>
      </c>
      <c r="O229" t="n">
        <v>3</v>
      </c>
      <c r="P229" t="n">
        <v>1</v>
      </c>
      <c r="Q229" t="n">
        <v>3</v>
      </c>
      <c r="R229" s="2" t="inlineStr">
        <is>
          <t>Garnlav
Dropptaggsvamp
Orange taggsvamp</t>
        </is>
      </c>
      <c r="S229">
        <f>HYPERLINK("https://klasma.github.io/Logging_2283/artfynd/A 43279-2025 artfynd.xlsx", "A 43279-2025")</f>
        <v/>
      </c>
      <c r="T229">
        <f>HYPERLINK("https://klasma.github.io/Logging_2283/kartor/A 43279-2025 karta.png", "A 43279-2025")</f>
        <v/>
      </c>
      <c r="V229">
        <f>HYPERLINK("https://klasma.github.io/Logging_2283/klagomål/A 43279-2025 FSC-klagomål.docx", "A 43279-2025")</f>
        <v/>
      </c>
      <c r="W229">
        <f>HYPERLINK("https://klasma.github.io/Logging_2283/klagomålsmail/A 43279-2025 FSC-klagomål mail.docx", "A 43279-2025")</f>
        <v/>
      </c>
      <c r="X229">
        <f>HYPERLINK("https://klasma.github.io/Logging_2283/tillsyn/A 43279-2025 tillsynsbegäran.docx", "A 43279-2025")</f>
        <v/>
      </c>
      <c r="Y229">
        <f>HYPERLINK("https://klasma.github.io/Logging_2283/tillsynsmail/A 43279-2025 tillsynsbegäran mail.docx", "A 43279-2025")</f>
        <v/>
      </c>
    </row>
    <row r="230" ht="15" customHeight="1">
      <c r="A230" t="inlineStr">
        <is>
          <t>A 51212-2022</t>
        </is>
      </c>
      <c r="B230" s="1" t="n">
        <v>44868</v>
      </c>
      <c r="C230" s="1" t="n">
        <v>46199</v>
      </c>
      <c r="D230" t="inlineStr">
        <is>
          <t>VÄSTERNORRLANDS LÄN</t>
        </is>
      </c>
      <c r="E230" t="inlineStr">
        <is>
          <t>SOLLEFTEÅ</t>
        </is>
      </c>
      <c r="F230" t="inlineStr">
        <is>
          <t>Holmen skog AB</t>
        </is>
      </c>
      <c r="G230" t="n">
        <v>18.3</v>
      </c>
      <c r="H230" t="n">
        <v>1</v>
      </c>
      <c r="I230" t="n">
        <v>1</v>
      </c>
      <c r="J230" t="n">
        <v>1</v>
      </c>
      <c r="K230" t="n">
        <v>1</v>
      </c>
      <c r="L230" t="n">
        <v>0</v>
      </c>
      <c r="M230" t="n">
        <v>0</v>
      </c>
      <c r="N230" t="n">
        <v>0</v>
      </c>
      <c r="O230" t="n">
        <v>2</v>
      </c>
      <c r="P230" t="n">
        <v>1</v>
      </c>
      <c r="Q230" t="n">
        <v>3</v>
      </c>
      <c r="R230" s="2" t="inlineStr">
        <is>
          <t>Doftticka
Lunglav
Stuplav</t>
        </is>
      </c>
      <c r="S230">
        <f>HYPERLINK("https://klasma.github.io/Logging_2283/artfynd/A 51212-2022 artfynd.xlsx", "A 51212-2022")</f>
        <v/>
      </c>
      <c r="T230">
        <f>HYPERLINK("https://klasma.github.io/Logging_2283/kartor/A 51212-2022 karta.png", "A 51212-2022")</f>
        <v/>
      </c>
      <c r="V230">
        <f>HYPERLINK("https://klasma.github.io/Logging_2283/klagomål/A 51212-2022 FSC-klagomål.docx", "A 51212-2022")</f>
        <v/>
      </c>
      <c r="W230">
        <f>HYPERLINK("https://klasma.github.io/Logging_2283/klagomålsmail/A 51212-2022 FSC-klagomål mail.docx", "A 51212-2022")</f>
        <v/>
      </c>
      <c r="X230">
        <f>HYPERLINK("https://klasma.github.io/Logging_2283/tillsyn/A 51212-2022 tillsynsbegäran.docx", "A 51212-2022")</f>
        <v/>
      </c>
      <c r="Y230">
        <f>HYPERLINK("https://klasma.github.io/Logging_2283/tillsynsmail/A 51212-2022 tillsynsbegäran mail.docx", "A 51212-2022")</f>
        <v/>
      </c>
    </row>
    <row r="231" ht="15" customHeight="1">
      <c r="A231" t="inlineStr">
        <is>
          <t>A 32256-2024</t>
        </is>
      </c>
      <c r="B231" s="1" t="n">
        <v>45511</v>
      </c>
      <c r="C231" s="1" t="n">
        <v>46199</v>
      </c>
      <c r="D231" t="inlineStr">
        <is>
          <t>VÄSTERNORRLANDS LÄN</t>
        </is>
      </c>
      <c r="E231" t="inlineStr">
        <is>
          <t>SOLLEFTEÅ</t>
        </is>
      </c>
      <c r="F231" t="inlineStr">
        <is>
          <t>SCA</t>
        </is>
      </c>
      <c r="G231" t="n">
        <v>3.9</v>
      </c>
      <c r="H231" t="n">
        <v>1</v>
      </c>
      <c r="I231" t="n">
        <v>0</v>
      </c>
      <c r="J231" t="n">
        <v>3</v>
      </c>
      <c r="K231" t="n">
        <v>0</v>
      </c>
      <c r="L231" t="n">
        <v>0</v>
      </c>
      <c r="M231" t="n">
        <v>0</v>
      </c>
      <c r="N231" t="n">
        <v>0</v>
      </c>
      <c r="O231" t="n">
        <v>3</v>
      </c>
      <c r="P231" t="n">
        <v>0</v>
      </c>
      <c r="Q231" t="n">
        <v>3</v>
      </c>
      <c r="R231" s="2" t="inlineStr">
        <is>
          <t>Fjällig taggsvamp s.str.
Tretåig hackspett
Vedtrappmossa</t>
        </is>
      </c>
      <c r="S231">
        <f>HYPERLINK("https://klasma.github.io/Logging_2283/artfynd/A 32256-2024 artfynd.xlsx", "A 32256-2024")</f>
        <v/>
      </c>
      <c r="T231">
        <f>HYPERLINK("https://klasma.github.io/Logging_2283/kartor/A 32256-2024 karta.png", "A 32256-2024")</f>
        <v/>
      </c>
      <c r="V231">
        <f>HYPERLINK("https://klasma.github.io/Logging_2283/klagomål/A 32256-2024 FSC-klagomål.docx", "A 32256-2024")</f>
        <v/>
      </c>
      <c r="W231">
        <f>HYPERLINK("https://klasma.github.io/Logging_2283/klagomålsmail/A 32256-2024 FSC-klagomål mail.docx", "A 32256-2024")</f>
        <v/>
      </c>
      <c r="X231">
        <f>HYPERLINK("https://klasma.github.io/Logging_2283/tillsyn/A 32256-2024 tillsynsbegäran.docx", "A 32256-2024")</f>
        <v/>
      </c>
      <c r="Y231">
        <f>HYPERLINK("https://klasma.github.io/Logging_2283/tillsynsmail/A 32256-2024 tillsynsbegäran mail.docx", "A 32256-2024")</f>
        <v/>
      </c>
      <c r="Z231">
        <f>HYPERLINK("https://klasma.github.io/Logging_2283/fåglar/A 32256-2024 prioriterade fågelarter.docx", "A 32256-2024")</f>
        <v/>
      </c>
    </row>
    <row r="232" ht="15" customHeight="1">
      <c r="A232" t="inlineStr">
        <is>
          <t>A 27660-2025</t>
        </is>
      </c>
      <c r="B232" s="1" t="n">
        <v>45813</v>
      </c>
      <c r="C232" s="1" t="n">
        <v>46199</v>
      </c>
      <c r="D232" t="inlineStr">
        <is>
          <t>VÄSTERNORRLANDS LÄN</t>
        </is>
      </c>
      <c r="E232" t="inlineStr">
        <is>
          <t>SOLLEFTEÅ</t>
        </is>
      </c>
      <c r="F232" t="inlineStr">
        <is>
          <t>SCA</t>
        </is>
      </c>
      <c r="G232" t="n">
        <v>2.3</v>
      </c>
      <c r="H232" t="n">
        <v>0</v>
      </c>
      <c r="I232" t="n">
        <v>0</v>
      </c>
      <c r="J232" t="n">
        <v>3</v>
      </c>
      <c r="K232" t="n">
        <v>0</v>
      </c>
      <c r="L232" t="n">
        <v>0</v>
      </c>
      <c r="M232" t="n">
        <v>0</v>
      </c>
      <c r="N232" t="n">
        <v>0</v>
      </c>
      <c r="O232" t="n">
        <v>3</v>
      </c>
      <c r="P232" t="n">
        <v>0</v>
      </c>
      <c r="Q232" t="n">
        <v>3</v>
      </c>
      <c r="R232" s="2" t="inlineStr">
        <is>
          <t>Dropptaggsvamp
Skuggblåslav
Vedskivlav</t>
        </is>
      </c>
      <c r="S232">
        <f>HYPERLINK("https://klasma.github.io/Logging_2283/artfynd/A 27660-2025 artfynd.xlsx", "A 27660-2025")</f>
        <v/>
      </c>
      <c r="T232">
        <f>HYPERLINK("https://klasma.github.io/Logging_2283/kartor/A 27660-2025 karta.png", "A 27660-2025")</f>
        <v/>
      </c>
      <c r="V232">
        <f>HYPERLINK("https://klasma.github.io/Logging_2283/klagomål/A 27660-2025 FSC-klagomål.docx", "A 27660-2025")</f>
        <v/>
      </c>
      <c r="W232">
        <f>HYPERLINK("https://klasma.github.io/Logging_2283/klagomålsmail/A 27660-2025 FSC-klagomål mail.docx", "A 27660-2025")</f>
        <v/>
      </c>
      <c r="X232">
        <f>HYPERLINK("https://klasma.github.io/Logging_2283/tillsyn/A 27660-2025 tillsynsbegäran.docx", "A 27660-2025")</f>
        <v/>
      </c>
      <c r="Y232">
        <f>HYPERLINK("https://klasma.github.io/Logging_2283/tillsynsmail/A 27660-2025 tillsynsbegäran mail.docx", "A 27660-2025")</f>
        <v/>
      </c>
    </row>
    <row r="233" ht="15" customHeight="1">
      <c r="A233" t="inlineStr">
        <is>
          <t>A 44556-2025</t>
        </is>
      </c>
      <c r="B233" s="1" t="n">
        <v>45917</v>
      </c>
      <c r="C233" s="1" t="n">
        <v>46199</v>
      </c>
      <c r="D233" t="inlineStr">
        <is>
          <t>VÄSTERNORRLANDS LÄN</t>
        </is>
      </c>
      <c r="E233" t="inlineStr">
        <is>
          <t>SOLLEFTEÅ</t>
        </is>
      </c>
      <c r="F233" t="inlineStr">
        <is>
          <t>SCA</t>
        </is>
      </c>
      <c r="G233" t="n">
        <v>8.4</v>
      </c>
      <c r="H233" t="n">
        <v>3</v>
      </c>
      <c r="I233" t="n">
        <v>0</v>
      </c>
      <c r="J233" t="n">
        <v>1</v>
      </c>
      <c r="K233" t="n">
        <v>1</v>
      </c>
      <c r="L233" t="n">
        <v>0</v>
      </c>
      <c r="M233" t="n">
        <v>0</v>
      </c>
      <c r="N233" t="n">
        <v>0</v>
      </c>
      <c r="O233" t="n">
        <v>2</v>
      </c>
      <c r="P233" t="n">
        <v>1</v>
      </c>
      <c r="Q233" t="n">
        <v>3</v>
      </c>
      <c r="R233" s="2" t="inlineStr">
        <is>
          <t>Lappuggla
Tretåig hackspett
Blåsippa</t>
        </is>
      </c>
      <c r="S233">
        <f>HYPERLINK("https://klasma.github.io/Logging_2283/artfynd/A 44556-2025 artfynd.xlsx", "A 44556-2025")</f>
        <v/>
      </c>
      <c r="T233">
        <f>HYPERLINK("https://klasma.github.io/Logging_2283/kartor/A 44556-2025 karta.png", "A 44556-2025")</f>
        <v/>
      </c>
      <c r="V233">
        <f>HYPERLINK("https://klasma.github.io/Logging_2283/klagomål/A 44556-2025 FSC-klagomål.docx", "A 44556-2025")</f>
        <v/>
      </c>
      <c r="W233">
        <f>HYPERLINK("https://klasma.github.io/Logging_2283/klagomålsmail/A 44556-2025 FSC-klagomål mail.docx", "A 44556-2025")</f>
        <v/>
      </c>
      <c r="X233">
        <f>HYPERLINK("https://klasma.github.io/Logging_2283/tillsyn/A 44556-2025 tillsynsbegäran.docx", "A 44556-2025")</f>
        <v/>
      </c>
      <c r="Y233">
        <f>HYPERLINK("https://klasma.github.io/Logging_2283/tillsynsmail/A 44556-2025 tillsynsbegäran mail.docx", "A 44556-2025")</f>
        <v/>
      </c>
      <c r="Z233">
        <f>HYPERLINK("https://klasma.github.io/Logging_2283/fåglar/A 44556-2025 prioriterade fågelarter.docx", "A 44556-2025")</f>
        <v/>
      </c>
    </row>
    <row r="234" ht="15" customHeight="1">
      <c r="A234" t="inlineStr">
        <is>
          <t>A 42478-2025</t>
        </is>
      </c>
      <c r="B234" s="1" t="n">
        <v>45905</v>
      </c>
      <c r="C234" s="1" t="n">
        <v>46199</v>
      </c>
      <c r="D234" t="inlineStr">
        <is>
          <t>VÄSTERNORRLANDS LÄN</t>
        </is>
      </c>
      <c r="E234" t="inlineStr">
        <is>
          <t>SOLLEFTEÅ</t>
        </is>
      </c>
      <c r="F234" t="inlineStr">
        <is>
          <t>SCA</t>
        </is>
      </c>
      <c r="G234" t="n">
        <v>9.300000000000001</v>
      </c>
      <c r="H234" t="n">
        <v>1</v>
      </c>
      <c r="I234" t="n">
        <v>0</v>
      </c>
      <c r="J234" t="n">
        <v>2</v>
      </c>
      <c r="K234" t="n">
        <v>1</v>
      </c>
      <c r="L234" t="n">
        <v>0</v>
      </c>
      <c r="M234" t="n">
        <v>0</v>
      </c>
      <c r="N234" t="n">
        <v>0</v>
      </c>
      <c r="O234" t="n">
        <v>3</v>
      </c>
      <c r="P234" t="n">
        <v>1</v>
      </c>
      <c r="Q234" t="n">
        <v>3</v>
      </c>
      <c r="R234" s="2" t="inlineStr">
        <is>
          <t>Gränsticka
Rosenticka
Tretåig hackspett</t>
        </is>
      </c>
      <c r="S234">
        <f>HYPERLINK("https://klasma.github.io/Logging_2283/artfynd/A 42478-2025 artfynd.xlsx", "A 42478-2025")</f>
        <v/>
      </c>
      <c r="T234">
        <f>HYPERLINK("https://klasma.github.io/Logging_2283/kartor/A 42478-2025 karta.png", "A 42478-2025")</f>
        <v/>
      </c>
      <c r="V234">
        <f>HYPERLINK("https://klasma.github.io/Logging_2283/klagomål/A 42478-2025 FSC-klagomål.docx", "A 42478-2025")</f>
        <v/>
      </c>
      <c r="W234">
        <f>HYPERLINK("https://klasma.github.io/Logging_2283/klagomålsmail/A 42478-2025 FSC-klagomål mail.docx", "A 42478-2025")</f>
        <v/>
      </c>
      <c r="X234">
        <f>HYPERLINK("https://klasma.github.io/Logging_2283/tillsyn/A 42478-2025 tillsynsbegäran.docx", "A 42478-2025")</f>
        <v/>
      </c>
      <c r="Y234">
        <f>HYPERLINK("https://klasma.github.io/Logging_2283/tillsynsmail/A 42478-2025 tillsynsbegäran mail.docx", "A 42478-2025")</f>
        <v/>
      </c>
      <c r="Z234">
        <f>HYPERLINK("https://klasma.github.io/Logging_2283/fåglar/A 42478-2025 prioriterade fågelarter.docx", "A 42478-2025")</f>
        <v/>
      </c>
    </row>
    <row r="235" ht="15" customHeight="1">
      <c r="A235" t="inlineStr">
        <is>
          <t>A 60255-2025</t>
        </is>
      </c>
      <c r="B235" s="1" t="n">
        <v>45994</v>
      </c>
      <c r="C235" s="1" t="n">
        <v>46199</v>
      </c>
      <c r="D235" t="inlineStr">
        <is>
          <t>VÄSTERNORRLANDS LÄN</t>
        </is>
      </c>
      <c r="E235" t="inlineStr">
        <is>
          <t>SOLLEFTEÅ</t>
        </is>
      </c>
      <c r="G235" t="n">
        <v>2.2</v>
      </c>
      <c r="H235" t="n">
        <v>2</v>
      </c>
      <c r="I235" t="n">
        <v>1</v>
      </c>
      <c r="J235" t="n">
        <v>0</v>
      </c>
      <c r="K235" t="n">
        <v>1</v>
      </c>
      <c r="L235" t="n">
        <v>0</v>
      </c>
      <c r="M235" t="n">
        <v>0</v>
      </c>
      <c r="N235" t="n">
        <v>0</v>
      </c>
      <c r="O235" t="n">
        <v>1</v>
      </c>
      <c r="P235" t="n">
        <v>1</v>
      </c>
      <c r="Q235" t="n">
        <v>3</v>
      </c>
      <c r="R235" s="2" t="inlineStr">
        <is>
          <t>Garnlav
Plattlummer
Revlummer</t>
        </is>
      </c>
      <c r="S235">
        <f>HYPERLINK("https://klasma.github.io/Logging_2283/artfynd/A 60255-2025 artfynd.xlsx", "A 60255-2025")</f>
        <v/>
      </c>
      <c r="T235">
        <f>HYPERLINK("https://klasma.github.io/Logging_2283/kartor/A 60255-2025 karta.png", "A 60255-2025")</f>
        <v/>
      </c>
      <c r="V235">
        <f>HYPERLINK("https://klasma.github.io/Logging_2283/klagomål/A 60255-2025 FSC-klagomål.docx", "A 60255-2025")</f>
        <v/>
      </c>
      <c r="W235">
        <f>HYPERLINK("https://klasma.github.io/Logging_2283/klagomålsmail/A 60255-2025 FSC-klagomål mail.docx", "A 60255-2025")</f>
        <v/>
      </c>
      <c r="X235">
        <f>HYPERLINK("https://klasma.github.io/Logging_2283/tillsyn/A 60255-2025 tillsynsbegäran.docx", "A 60255-2025")</f>
        <v/>
      </c>
      <c r="Y235">
        <f>HYPERLINK("https://klasma.github.io/Logging_2283/tillsynsmail/A 60255-2025 tillsynsbegäran mail.docx", "A 60255-2025")</f>
        <v/>
      </c>
    </row>
    <row r="236" ht="15" customHeight="1">
      <c r="A236" t="inlineStr">
        <is>
          <t>A 47216-2025</t>
        </is>
      </c>
      <c r="B236" s="1" t="n">
        <v>45930</v>
      </c>
      <c r="C236" s="1" t="n">
        <v>46199</v>
      </c>
      <c r="D236" t="inlineStr">
        <is>
          <t>VÄSTERNORRLANDS LÄN</t>
        </is>
      </c>
      <c r="E236" t="inlineStr">
        <is>
          <t>SOLLEFTEÅ</t>
        </is>
      </c>
      <c r="F236" t="inlineStr">
        <is>
          <t>SCA</t>
        </is>
      </c>
      <c r="G236" t="n">
        <v>13.6</v>
      </c>
      <c r="H236" t="n">
        <v>0</v>
      </c>
      <c r="I236" t="n">
        <v>0</v>
      </c>
      <c r="J236" t="n">
        <v>3</v>
      </c>
      <c r="K236" t="n">
        <v>0</v>
      </c>
      <c r="L236" t="n">
        <v>0</v>
      </c>
      <c r="M236" t="n">
        <v>0</v>
      </c>
      <c r="N236" t="n">
        <v>0</v>
      </c>
      <c r="O236" t="n">
        <v>3</v>
      </c>
      <c r="P236" t="n">
        <v>0</v>
      </c>
      <c r="Q236" t="n">
        <v>3</v>
      </c>
      <c r="R236" s="2" t="inlineStr">
        <is>
          <t>Lunglav
Skrovellav
Violettgrå tagellav</t>
        </is>
      </c>
      <c r="S236">
        <f>HYPERLINK("https://klasma.github.io/Logging_2283/artfynd/A 47216-2025 artfynd.xlsx", "A 47216-2025")</f>
        <v/>
      </c>
      <c r="T236">
        <f>HYPERLINK("https://klasma.github.io/Logging_2283/kartor/A 47216-2025 karta.png", "A 47216-2025")</f>
        <v/>
      </c>
      <c r="V236">
        <f>HYPERLINK("https://klasma.github.io/Logging_2283/klagomål/A 47216-2025 FSC-klagomål.docx", "A 47216-2025")</f>
        <v/>
      </c>
      <c r="W236">
        <f>HYPERLINK("https://klasma.github.io/Logging_2283/klagomålsmail/A 47216-2025 FSC-klagomål mail.docx", "A 47216-2025")</f>
        <v/>
      </c>
      <c r="X236">
        <f>HYPERLINK("https://klasma.github.io/Logging_2283/tillsyn/A 47216-2025 tillsynsbegäran.docx", "A 47216-2025")</f>
        <v/>
      </c>
      <c r="Y236">
        <f>HYPERLINK("https://klasma.github.io/Logging_2283/tillsynsmail/A 47216-2025 tillsynsbegäran mail.docx", "A 47216-2025")</f>
        <v/>
      </c>
    </row>
    <row r="237" ht="15" customHeight="1">
      <c r="A237" t="inlineStr">
        <is>
          <t>A 31503-2025</t>
        </is>
      </c>
      <c r="B237" s="1" t="n">
        <v>45833</v>
      </c>
      <c r="C237" s="1" t="n">
        <v>46199</v>
      </c>
      <c r="D237" t="inlineStr">
        <is>
          <t>VÄSTERNORRLANDS LÄN</t>
        </is>
      </c>
      <c r="E237" t="inlineStr">
        <is>
          <t>SOLLEFTEÅ</t>
        </is>
      </c>
      <c r="F237" t="inlineStr">
        <is>
          <t>SCA</t>
        </is>
      </c>
      <c r="G237" t="n">
        <v>22.8</v>
      </c>
      <c r="H237" t="n">
        <v>2</v>
      </c>
      <c r="I237" t="n">
        <v>1</v>
      </c>
      <c r="J237" t="n">
        <v>0</v>
      </c>
      <c r="K237" t="n">
        <v>2</v>
      </c>
      <c r="L237" t="n">
        <v>0</v>
      </c>
      <c r="M237" t="n">
        <v>0</v>
      </c>
      <c r="N237" t="n">
        <v>0</v>
      </c>
      <c r="O237" t="n">
        <v>2</v>
      </c>
      <c r="P237" t="n">
        <v>2</v>
      </c>
      <c r="Q237" t="n">
        <v>3</v>
      </c>
      <c r="R237" s="2" t="inlineStr">
        <is>
          <t>Knärot
Laxporing
Plattlummer</t>
        </is>
      </c>
      <c r="S237">
        <f>HYPERLINK("https://klasma.github.io/Logging_2283/artfynd/A 31503-2025 artfynd.xlsx", "A 31503-2025")</f>
        <v/>
      </c>
      <c r="T237">
        <f>HYPERLINK("https://klasma.github.io/Logging_2283/kartor/A 31503-2025 karta.png", "A 31503-2025")</f>
        <v/>
      </c>
      <c r="U237">
        <f>HYPERLINK("https://klasma.github.io/Logging_2283/knärot/A 31503-2025 karta knärot.png", "A 31503-2025")</f>
        <v/>
      </c>
      <c r="V237">
        <f>HYPERLINK("https://klasma.github.io/Logging_2283/klagomål/A 31503-2025 FSC-klagomål.docx", "A 31503-2025")</f>
        <v/>
      </c>
      <c r="W237">
        <f>HYPERLINK("https://klasma.github.io/Logging_2283/klagomålsmail/A 31503-2025 FSC-klagomål mail.docx", "A 31503-2025")</f>
        <v/>
      </c>
      <c r="X237">
        <f>HYPERLINK("https://klasma.github.io/Logging_2283/tillsyn/A 31503-2025 tillsynsbegäran.docx", "A 31503-2025")</f>
        <v/>
      </c>
      <c r="Y237">
        <f>HYPERLINK("https://klasma.github.io/Logging_2283/tillsynsmail/A 31503-2025 tillsynsbegäran mail.docx", "A 31503-2025")</f>
        <v/>
      </c>
    </row>
    <row r="238" ht="15" customHeight="1">
      <c r="A238" t="inlineStr">
        <is>
          <t>A 48308-2025</t>
        </is>
      </c>
      <c r="B238" s="1" t="n">
        <v>45933</v>
      </c>
      <c r="C238" s="1" t="n">
        <v>46199</v>
      </c>
      <c r="D238" t="inlineStr">
        <is>
          <t>VÄSTERNORRLANDS LÄN</t>
        </is>
      </c>
      <c r="E238" t="inlineStr">
        <is>
          <t>SOLLEFTEÅ</t>
        </is>
      </c>
      <c r="F238" t="inlineStr">
        <is>
          <t>SCA</t>
        </is>
      </c>
      <c r="G238" t="n">
        <v>10.2</v>
      </c>
      <c r="H238" t="n">
        <v>0</v>
      </c>
      <c r="I238" t="n">
        <v>0</v>
      </c>
      <c r="J238" t="n">
        <v>2</v>
      </c>
      <c r="K238" t="n">
        <v>1</v>
      </c>
      <c r="L238" t="n">
        <v>0</v>
      </c>
      <c r="M238" t="n">
        <v>0</v>
      </c>
      <c r="N238" t="n">
        <v>0</v>
      </c>
      <c r="O238" t="n">
        <v>3</v>
      </c>
      <c r="P238" t="n">
        <v>1</v>
      </c>
      <c r="Q238" t="n">
        <v>3</v>
      </c>
      <c r="R238" s="2" t="inlineStr">
        <is>
          <t>Garnlav
Doftskinn
Violettgrå tagellav</t>
        </is>
      </c>
      <c r="S238">
        <f>HYPERLINK("https://klasma.github.io/Logging_2283/artfynd/A 48308-2025 artfynd.xlsx", "A 48308-2025")</f>
        <v/>
      </c>
      <c r="T238">
        <f>HYPERLINK("https://klasma.github.io/Logging_2283/kartor/A 48308-2025 karta.png", "A 48308-2025")</f>
        <v/>
      </c>
      <c r="V238">
        <f>HYPERLINK("https://klasma.github.io/Logging_2283/klagomål/A 48308-2025 FSC-klagomål.docx", "A 48308-2025")</f>
        <v/>
      </c>
      <c r="W238">
        <f>HYPERLINK("https://klasma.github.io/Logging_2283/klagomålsmail/A 48308-2025 FSC-klagomål mail.docx", "A 48308-2025")</f>
        <v/>
      </c>
      <c r="X238">
        <f>HYPERLINK("https://klasma.github.io/Logging_2283/tillsyn/A 48308-2025 tillsynsbegäran.docx", "A 48308-2025")</f>
        <v/>
      </c>
      <c r="Y238">
        <f>HYPERLINK("https://klasma.github.io/Logging_2283/tillsynsmail/A 48308-2025 tillsynsbegäran mail.docx", "A 48308-2025")</f>
        <v/>
      </c>
    </row>
    <row r="239" ht="15" customHeight="1">
      <c r="A239" t="inlineStr">
        <is>
          <t>A 63728-2025</t>
        </is>
      </c>
      <c r="B239" s="1" t="n">
        <v>46010</v>
      </c>
      <c r="C239" s="1" t="n">
        <v>46199</v>
      </c>
      <c r="D239" t="inlineStr">
        <is>
          <t>VÄSTERNORRLANDS LÄN</t>
        </is>
      </c>
      <c r="E239" t="inlineStr">
        <is>
          <t>SOLLEFTEÅ</t>
        </is>
      </c>
      <c r="G239" t="n">
        <v>2.2</v>
      </c>
      <c r="H239" t="n">
        <v>2</v>
      </c>
      <c r="I239" t="n">
        <v>0</v>
      </c>
      <c r="J239" t="n">
        <v>0</v>
      </c>
      <c r="K239" t="n">
        <v>1</v>
      </c>
      <c r="L239" t="n">
        <v>0</v>
      </c>
      <c r="M239" t="n">
        <v>0</v>
      </c>
      <c r="N239" t="n">
        <v>0</v>
      </c>
      <c r="O239" t="n">
        <v>1</v>
      </c>
      <c r="P239" t="n">
        <v>1</v>
      </c>
      <c r="Q239" t="n">
        <v>3</v>
      </c>
      <c r="R239" s="2" t="inlineStr">
        <is>
          <t>Garnlav
Järpe
Fläcknycklar</t>
        </is>
      </c>
      <c r="S239">
        <f>HYPERLINK("https://klasma.github.io/Logging_2283/artfynd/A 63728-2025 artfynd.xlsx", "A 63728-2025")</f>
        <v/>
      </c>
      <c r="T239">
        <f>HYPERLINK("https://klasma.github.io/Logging_2283/kartor/A 63728-2025 karta.png", "A 63728-2025")</f>
        <v/>
      </c>
      <c r="V239">
        <f>HYPERLINK("https://klasma.github.io/Logging_2283/klagomål/A 63728-2025 FSC-klagomål.docx", "A 63728-2025")</f>
        <v/>
      </c>
      <c r="W239">
        <f>HYPERLINK("https://klasma.github.io/Logging_2283/klagomålsmail/A 63728-2025 FSC-klagomål mail.docx", "A 63728-2025")</f>
        <v/>
      </c>
      <c r="X239">
        <f>HYPERLINK("https://klasma.github.io/Logging_2283/tillsyn/A 63728-2025 tillsynsbegäran.docx", "A 63728-2025")</f>
        <v/>
      </c>
      <c r="Y239">
        <f>HYPERLINK("https://klasma.github.io/Logging_2283/tillsynsmail/A 63728-2025 tillsynsbegäran mail.docx", "A 63728-2025")</f>
        <v/>
      </c>
      <c r="Z239">
        <f>HYPERLINK("https://klasma.github.io/Logging_2283/fåglar/A 63728-2025 prioriterade fågelarter.docx", "A 63728-2025")</f>
        <v/>
      </c>
    </row>
    <row r="240" ht="15" customHeight="1">
      <c r="A240" t="inlineStr">
        <is>
          <t>A 35217-2025</t>
        </is>
      </c>
      <c r="B240" s="1" t="n">
        <v>45853</v>
      </c>
      <c r="C240" s="1" t="n">
        <v>46199</v>
      </c>
      <c r="D240" t="inlineStr">
        <is>
          <t>VÄSTERNORRLANDS LÄN</t>
        </is>
      </c>
      <c r="E240" t="inlineStr">
        <is>
          <t>SOLLEFTEÅ</t>
        </is>
      </c>
      <c r="F240" t="inlineStr">
        <is>
          <t>SCA</t>
        </is>
      </c>
      <c r="G240" t="n">
        <v>2.1</v>
      </c>
      <c r="H240" t="n">
        <v>3</v>
      </c>
      <c r="I240" t="n">
        <v>0</v>
      </c>
      <c r="J240" t="n">
        <v>1</v>
      </c>
      <c r="K240" t="n">
        <v>0</v>
      </c>
      <c r="L240" t="n">
        <v>0</v>
      </c>
      <c r="M240" t="n">
        <v>0</v>
      </c>
      <c r="N240" t="n">
        <v>0</v>
      </c>
      <c r="O240" t="n">
        <v>1</v>
      </c>
      <c r="P240" t="n">
        <v>0</v>
      </c>
      <c r="Q240" t="n">
        <v>3</v>
      </c>
      <c r="R240" s="2" t="inlineStr">
        <is>
          <t>Lavskrika
Mattlummer
Fläcknycklar</t>
        </is>
      </c>
      <c r="S240">
        <f>HYPERLINK("https://klasma.github.io/Logging_2283/artfynd/A 35217-2025 artfynd.xlsx", "A 35217-2025")</f>
        <v/>
      </c>
      <c r="T240">
        <f>HYPERLINK("https://klasma.github.io/Logging_2283/kartor/A 35217-2025 karta.png", "A 35217-2025")</f>
        <v/>
      </c>
      <c r="V240">
        <f>HYPERLINK("https://klasma.github.io/Logging_2283/klagomål/A 35217-2025 FSC-klagomål.docx", "A 35217-2025")</f>
        <v/>
      </c>
      <c r="W240">
        <f>HYPERLINK("https://klasma.github.io/Logging_2283/klagomålsmail/A 35217-2025 FSC-klagomål mail.docx", "A 35217-2025")</f>
        <v/>
      </c>
      <c r="X240">
        <f>HYPERLINK("https://klasma.github.io/Logging_2283/tillsyn/A 35217-2025 tillsynsbegäran.docx", "A 35217-2025")</f>
        <v/>
      </c>
      <c r="Y240">
        <f>HYPERLINK("https://klasma.github.io/Logging_2283/tillsynsmail/A 35217-2025 tillsynsbegäran mail.docx", "A 35217-2025")</f>
        <v/>
      </c>
      <c r="Z240">
        <f>HYPERLINK("https://klasma.github.io/Logging_2283/fåglar/A 35217-2025 prioriterade fågelarter.docx", "A 35217-2025")</f>
        <v/>
      </c>
    </row>
    <row r="241" ht="15" customHeight="1">
      <c r="A241" t="inlineStr">
        <is>
          <t>A 61676-2025</t>
        </is>
      </c>
      <c r="B241" s="1" t="n">
        <v>46002</v>
      </c>
      <c r="C241" s="1" t="n">
        <v>46199</v>
      </c>
      <c r="D241" t="inlineStr">
        <is>
          <t>VÄSTERNORRLANDS LÄN</t>
        </is>
      </c>
      <c r="E241" t="inlineStr">
        <is>
          <t>SOLLEFTEÅ</t>
        </is>
      </c>
      <c r="G241" t="n">
        <v>2.9</v>
      </c>
      <c r="H241" t="n">
        <v>1</v>
      </c>
      <c r="I241" t="n">
        <v>0</v>
      </c>
      <c r="J241" t="n">
        <v>2</v>
      </c>
      <c r="K241" t="n">
        <v>1</v>
      </c>
      <c r="L241" t="n">
        <v>0</v>
      </c>
      <c r="M241" t="n">
        <v>0</v>
      </c>
      <c r="N241" t="n">
        <v>0</v>
      </c>
      <c r="O241" t="n">
        <v>3</v>
      </c>
      <c r="P241" t="n">
        <v>1</v>
      </c>
      <c r="Q241" t="n">
        <v>3</v>
      </c>
      <c r="R241" s="2" t="inlineStr">
        <is>
          <t>Garnlav
Mörk kolflarnlav
Tretåig hackspett</t>
        </is>
      </c>
      <c r="S241">
        <f>HYPERLINK("https://klasma.github.io/Logging_2283/artfynd/A 61676-2025 artfynd.xlsx", "A 61676-2025")</f>
        <v/>
      </c>
      <c r="T241">
        <f>HYPERLINK("https://klasma.github.io/Logging_2283/kartor/A 61676-2025 karta.png", "A 61676-2025")</f>
        <v/>
      </c>
      <c r="V241">
        <f>HYPERLINK("https://klasma.github.io/Logging_2283/klagomål/A 61676-2025 FSC-klagomål.docx", "A 61676-2025")</f>
        <v/>
      </c>
      <c r="W241">
        <f>HYPERLINK("https://klasma.github.io/Logging_2283/klagomålsmail/A 61676-2025 FSC-klagomål mail.docx", "A 61676-2025")</f>
        <v/>
      </c>
      <c r="X241">
        <f>HYPERLINK("https://klasma.github.io/Logging_2283/tillsyn/A 61676-2025 tillsynsbegäran.docx", "A 61676-2025")</f>
        <v/>
      </c>
      <c r="Y241">
        <f>HYPERLINK("https://klasma.github.io/Logging_2283/tillsynsmail/A 61676-2025 tillsynsbegäran mail.docx", "A 61676-2025")</f>
        <v/>
      </c>
      <c r="Z241">
        <f>HYPERLINK("https://klasma.github.io/Logging_2283/fåglar/A 61676-2025 prioriterade fågelarter.docx", "A 61676-2025")</f>
        <v/>
      </c>
    </row>
    <row r="242" ht="15" customHeight="1">
      <c r="A242" t="inlineStr">
        <is>
          <t>A 54254-2025</t>
        </is>
      </c>
      <c r="B242" s="1" t="n">
        <v>45964</v>
      </c>
      <c r="C242" s="1" t="n">
        <v>46199</v>
      </c>
      <c r="D242" t="inlineStr">
        <is>
          <t>VÄSTERNORRLANDS LÄN</t>
        </is>
      </c>
      <c r="E242" t="inlineStr">
        <is>
          <t>SOLLEFTEÅ</t>
        </is>
      </c>
      <c r="F242" t="inlineStr">
        <is>
          <t>SCA</t>
        </is>
      </c>
      <c r="G242" t="n">
        <v>2.2</v>
      </c>
      <c r="H242" t="n">
        <v>0</v>
      </c>
      <c r="I242" t="n">
        <v>1</v>
      </c>
      <c r="J242" t="n">
        <v>1</v>
      </c>
      <c r="K242" t="n">
        <v>1</v>
      </c>
      <c r="L242" t="n">
        <v>0</v>
      </c>
      <c r="M242" t="n">
        <v>0</v>
      </c>
      <c r="N242" t="n">
        <v>0</v>
      </c>
      <c r="O242" t="n">
        <v>2</v>
      </c>
      <c r="P242" t="n">
        <v>1</v>
      </c>
      <c r="Q242" t="n">
        <v>3</v>
      </c>
      <c r="R242" s="2" t="inlineStr">
        <is>
          <t>Garnlav
Skarp dropptaggsvamp
Norrlandslav</t>
        </is>
      </c>
      <c r="S242">
        <f>HYPERLINK("https://klasma.github.io/Logging_2283/artfynd/A 54254-2025 artfynd.xlsx", "A 54254-2025")</f>
        <v/>
      </c>
      <c r="T242">
        <f>HYPERLINK("https://klasma.github.io/Logging_2283/kartor/A 54254-2025 karta.png", "A 54254-2025")</f>
        <v/>
      </c>
      <c r="V242">
        <f>HYPERLINK("https://klasma.github.io/Logging_2283/klagomål/A 54254-2025 FSC-klagomål.docx", "A 54254-2025")</f>
        <v/>
      </c>
      <c r="W242">
        <f>HYPERLINK("https://klasma.github.io/Logging_2283/klagomålsmail/A 54254-2025 FSC-klagomål mail.docx", "A 54254-2025")</f>
        <v/>
      </c>
      <c r="X242">
        <f>HYPERLINK("https://klasma.github.io/Logging_2283/tillsyn/A 54254-2025 tillsynsbegäran.docx", "A 54254-2025")</f>
        <v/>
      </c>
      <c r="Y242">
        <f>HYPERLINK("https://klasma.github.io/Logging_2283/tillsynsmail/A 54254-2025 tillsynsbegäran mail.docx", "A 54254-2025")</f>
        <v/>
      </c>
    </row>
    <row r="243" ht="15" customHeight="1">
      <c r="A243" t="inlineStr">
        <is>
          <t>A 55125-2025</t>
        </is>
      </c>
      <c r="B243" s="1" t="n">
        <v>45968</v>
      </c>
      <c r="C243" s="1" t="n">
        <v>46199</v>
      </c>
      <c r="D243" t="inlineStr">
        <is>
          <t>VÄSTERNORRLANDS LÄN</t>
        </is>
      </c>
      <c r="E243" t="inlineStr">
        <is>
          <t>SOLLEFTEÅ</t>
        </is>
      </c>
      <c r="F243" t="inlineStr">
        <is>
          <t>SCA</t>
        </is>
      </c>
      <c r="G243" t="n">
        <v>6.1</v>
      </c>
      <c r="H243" t="n">
        <v>2</v>
      </c>
      <c r="I243" t="n">
        <v>0</v>
      </c>
      <c r="J243" t="n">
        <v>3</v>
      </c>
      <c r="K243" t="n">
        <v>0</v>
      </c>
      <c r="L243" t="n">
        <v>0</v>
      </c>
      <c r="M243" t="n">
        <v>0</v>
      </c>
      <c r="N243" t="n">
        <v>0</v>
      </c>
      <c r="O243" t="n">
        <v>3</v>
      </c>
      <c r="P243" t="n">
        <v>0</v>
      </c>
      <c r="Q243" t="n">
        <v>3</v>
      </c>
      <c r="R243" s="2" t="inlineStr">
        <is>
          <t>Harticka
Talltita
Tretåig hackspett</t>
        </is>
      </c>
      <c r="S243">
        <f>HYPERLINK("https://klasma.github.io/Logging_2283/artfynd/A 55125-2025 artfynd.xlsx", "A 55125-2025")</f>
        <v/>
      </c>
      <c r="T243">
        <f>HYPERLINK("https://klasma.github.io/Logging_2283/kartor/A 55125-2025 karta.png", "A 55125-2025")</f>
        <v/>
      </c>
      <c r="V243">
        <f>HYPERLINK("https://klasma.github.io/Logging_2283/klagomål/A 55125-2025 FSC-klagomål.docx", "A 55125-2025")</f>
        <v/>
      </c>
      <c r="W243">
        <f>HYPERLINK("https://klasma.github.io/Logging_2283/klagomålsmail/A 55125-2025 FSC-klagomål mail.docx", "A 55125-2025")</f>
        <v/>
      </c>
      <c r="X243">
        <f>HYPERLINK("https://klasma.github.io/Logging_2283/tillsyn/A 55125-2025 tillsynsbegäran.docx", "A 55125-2025")</f>
        <v/>
      </c>
      <c r="Y243">
        <f>HYPERLINK("https://klasma.github.io/Logging_2283/tillsynsmail/A 55125-2025 tillsynsbegäran mail.docx", "A 55125-2025")</f>
        <v/>
      </c>
      <c r="Z243">
        <f>HYPERLINK("https://klasma.github.io/Logging_2283/fåglar/A 55125-2025 prioriterade fågelarter.docx", "A 55125-2025")</f>
        <v/>
      </c>
    </row>
    <row r="244" ht="15" customHeight="1">
      <c r="A244" t="inlineStr">
        <is>
          <t>A 5111-2026</t>
        </is>
      </c>
      <c r="B244" s="1" t="n">
        <v>46049</v>
      </c>
      <c r="C244" s="1" t="n">
        <v>46199</v>
      </c>
      <c r="D244" t="inlineStr">
        <is>
          <t>VÄSTERNORRLANDS LÄN</t>
        </is>
      </c>
      <c r="E244" t="inlineStr">
        <is>
          <t>SOLLEFTEÅ</t>
        </is>
      </c>
      <c r="F244" t="inlineStr">
        <is>
          <t>SCA</t>
        </is>
      </c>
      <c r="G244" t="n">
        <v>4.4</v>
      </c>
      <c r="H244" t="n">
        <v>0</v>
      </c>
      <c r="I244" t="n">
        <v>0</v>
      </c>
      <c r="J244" t="n">
        <v>3</v>
      </c>
      <c r="K244" t="n">
        <v>0</v>
      </c>
      <c r="L244" t="n">
        <v>0</v>
      </c>
      <c r="M244" t="n">
        <v>0</v>
      </c>
      <c r="N244" t="n">
        <v>0</v>
      </c>
      <c r="O244" t="n">
        <v>3</v>
      </c>
      <c r="P244" t="n">
        <v>0</v>
      </c>
      <c r="Q244" t="n">
        <v>3</v>
      </c>
      <c r="R244" s="2" t="inlineStr">
        <is>
          <t>Lunglav
Ullticka
Vitgrynig nållav</t>
        </is>
      </c>
      <c r="S244">
        <f>HYPERLINK("https://klasma.github.io/Logging_2283/artfynd/A 5111-2026 artfynd.xlsx", "A 5111-2026")</f>
        <v/>
      </c>
      <c r="T244">
        <f>HYPERLINK("https://klasma.github.io/Logging_2283/kartor/A 5111-2026 karta.png", "A 5111-2026")</f>
        <v/>
      </c>
      <c r="V244">
        <f>HYPERLINK("https://klasma.github.io/Logging_2283/klagomål/A 5111-2026 FSC-klagomål.docx", "A 5111-2026")</f>
        <v/>
      </c>
      <c r="W244">
        <f>HYPERLINK("https://klasma.github.io/Logging_2283/klagomålsmail/A 5111-2026 FSC-klagomål mail.docx", "A 5111-2026")</f>
        <v/>
      </c>
      <c r="X244">
        <f>HYPERLINK("https://klasma.github.io/Logging_2283/tillsyn/A 5111-2026 tillsynsbegäran.docx", "A 5111-2026")</f>
        <v/>
      </c>
      <c r="Y244">
        <f>HYPERLINK("https://klasma.github.io/Logging_2283/tillsynsmail/A 5111-2026 tillsynsbegäran mail.docx", "A 5111-2026")</f>
        <v/>
      </c>
    </row>
    <row r="245" ht="15" customHeight="1">
      <c r="A245" t="inlineStr">
        <is>
          <t>A 2347-2025</t>
        </is>
      </c>
      <c r="B245" s="1" t="n">
        <v>45673</v>
      </c>
      <c r="C245" s="1" t="n">
        <v>46199</v>
      </c>
      <c r="D245" t="inlineStr">
        <is>
          <t>VÄSTERNORRLANDS LÄN</t>
        </is>
      </c>
      <c r="E245" t="inlineStr">
        <is>
          <t>SOLLEFTEÅ</t>
        </is>
      </c>
      <c r="F245" t="inlineStr">
        <is>
          <t>SCA</t>
        </is>
      </c>
      <c r="G245" t="n">
        <v>3.3</v>
      </c>
      <c r="H245" t="n">
        <v>1</v>
      </c>
      <c r="I245" t="n">
        <v>0</v>
      </c>
      <c r="J245" t="n">
        <v>1</v>
      </c>
      <c r="K245" t="n">
        <v>1</v>
      </c>
      <c r="L245" t="n">
        <v>0</v>
      </c>
      <c r="M245" t="n">
        <v>0</v>
      </c>
      <c r="N245" t="n">
        <v>0</v>
      </c>
      <c r="O245" t="n">
        <v>2</v>
      </c>
      <c r="P245" t="n">
        <v>1</v>
      </c>
      <c r="Q245" t="n">
        <v>3</v>
      </c>
      <c r="R245" s="2" t="inlineStr">
        <is>
          <t>Garnlav
Lunglav
Spillkråka</t>
        </is>
      </c>
      <c r="S245">
        <f>HYPERLINK("https://klasma.github.io/Logging_2283/artfynd/A 2347-2025 artfynd.xlsx", "A 2347-2025")</f>
        <v/>
      </c>
      <c r="T245">
        <f>HYPERLINK("https://klasma.github.io/Logging_2283/kartor/A 2347-2025 karta.png", "A 2347-2025")</f>
        <v/>
      </c>
      <c r="V245">
        <f>HYPERLINK("https://klasma.github.io/Logging_2283/klagomål/A 2347-2025 FSC-klagomål.docx", "A 2347-2025")</f>
        <v/>
      </c>
      <c r="W245">
        <f>HYPERLINK("https://klasma.github.io/Logging_2283/klagomålsmail/A 2347-2025 FSC-klagomål mail.docx", "A 2347-2025")</f>
        <v/>
      </c>
      <c r="X245">
        <f>HYPERLINK("https://klasma.github.io/Logging_2283/tillsyn/A 2347-2025 tillsynsbegäran.docx", "A 2347-2025")</f>
        <v/>
      </c>
      <c r="Y245">
        <f>HYPERLINK("https://klasma.github.io/Logging_2283/tillsynsmail/A 2347-2025 tillsynsbegäran mail.docx", "A 2347-2025")</f>
        <v/>
      </c>
      <c r="Z245">
        <f>HYPERLINK("https://klasma.github.io/Logging_2283/fåglar/A 2347-2025 prioriterade fågelarter.docx", "A 2347-2025")</f>
        <v/>
      </c>
    </row>
    <row r="246" ht="15" customHeight="1">
      <c r="A246" t="inlineStr">
        <is>
          <t>A 50838-2023</t>
        </is>
      </c>
      <c r="B246" s="1" t="n">
        <v>45217</v>
      </c>
      <c r="C246" s="1" t="n">
        <v>46199</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50839-2023</t>
        </is>
      </c>
      <c r="B247" s="1" t="n">
        <v>45217</v>
      </c>
      <c r="C247" s="1" t="n">
        <v>46199</v>
      </c>
      <c r="D247" t="inlineStr">
        <is>
          <t>VÄSTERNORRLANDS LÄN</t>
        </is>
      </c>
      <c r="E247" t="inlineStr">
        <is>
          <t>SOLLEFTEÅ</t>
        </is>
      </c>
      <c r="F247" t="inlineStr">
        <is>
          <t>SCA</t>
        </is>
      </c>
      <c r="G247" t="n">
        <v>2.8</v>
      </c>
      <c r="H247" t="n">
        <v>0</v>
      </c>
      <c r="I247" t="n">
        <v>1</v>
      </c>
      <c r="J247" t="n">
        <v>0</v>
      </c>
      <c r="K247" t="n">
        <v>2</v>
      </c>
      <c r="L247" t="n">
        <v>0</v>
      </c>
      <c r="M247" t="n">
        <v>0</v>
      </c>
      <c r="N247" t="n">
        <v>0</v>
      </c>
      <c r="O247" t="n">
        <v>2</v>
      </c>
      <c r="P247" t="n">
        <v>2</v>
      </c>
      <c r="Q247" t="n">
        <v>3</v>
      </c>
      <c r="R247" s="2" t="inlineStr">
        <is>
          <t>Garnlav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8077-2025</t>
        </is>
      </c>
      <c r="B248" s="1" t="n">
        <v>45707</v>
      </c>
      <c r="C248" s="1" t="n">
        <v>46199</v>
      </c>
      <c r="D248" t="inlineStr">
        <is>
          <t>VÄSTERNORRLANDS LÄN</t>
        </is>
      </c>
      <c r="E248" t="inlineStr">
        <is>
          <t>SOLLEFTEÅ</t>
        </is>
      </c>
      <c r="F248" t="inlineStr">
        <is>
          <t>SCA</t>
        </is>
      </c>
      <c r="G248" t="n">
        <v>2.7</v>
      </c>
      <c r="H248" t="n">
        <v>3</v>
      </c>
      <c r="I248" t="n">
        <v>0</v>
      </c>
      <c r="J248" t="n">
        <v>1</v>
      </c>
      <c r="K248" t="n">
        <v>0</v>
      </c>
      <c r="L248" t="n">
        <v>0</v>
      </c>
      <c r="M248" t="n">
        <v>0</v>
      </c>
      <c r="N248" t="n">
        <v>0</v>
      </c>
      <c r="O248" t="n">
        <v>1</v>
      </c>
      <c r="P248" t="n">
        <v>0</v>
      </c>
      <c r="Q248" t="n">
        <v>3</v>
      </c>
      <c r="R248" s="2" t="inlineStr">
        <is>
          <t>Tretåig hackspett
Spillkråka
Tjäder</t>
        </is>
      </c>
      <c r="S248">
        <f>HYPERLINK("https://klasma.github.io/Logging_2283/artfynd/A 8077-2025 artfynd.xlsx", "A 8077-2025")</f>
        <v/>
      </c>
      <c r="T248">
        <f>HYPERLINK("https://klasma.github.io/Logging_2283/kartor/A 8077-2025 karta.png", "A 8077-2025")</f>
        <v/>
      </c>
      <c r="V248">
        <f>HYPERLINK("https://klasma.github.io/Logging_2283/klagomål/A 8077-2025 FSC-klagomål.docx", "A 8077-2025")</f>
        <v/>
      </c>
      <c r="W248">
        <f>HYPERLINK("https://klasma.github.io/Logging_2283/klagomålsmail/A 8077-2025 FSC-klagomål mail.docx", "A 8077-2025")</f>
        <v/>
      </c>
      <c r="X248">
        <f>HYPERLINK("https://klasma.github.io/Logging_2283/tillsyn/A 8077-2025 tillsynsbegäran.docx", "A 8077-2025")</f>
        <v/>
      </c>
      <c r="Y248">
        <f>HYPERLINK("https://klasma.github.io/Logging_2283/tillsynsmail/A 8077-2025 tillsynsbegäran mail.docx", "A 8077-2025")</f>
        <v/>
      </c>
      <c r="Z248">
        <f>HYPERLINK("https://klasma.github.io/Logging_2283/fåglar/A 8077-2025 prioriterade fågelarter.docx", "A 8077-2025")</f>
        <v/>
      </c>
    </row>
    <row r="249" ht="15" customHeight="1">
      <c r="A249" t="inlineStr">
        <is>
          <t>A 25919-2025</t>
        </is>
      </c>
      <c r="B249" s="1" t="n">
        <v>45804</v>
      </c>
      <c r="C249" s="1" t="n">
        <v>46199</v>
      </c>
      <c r="D249" t="inlineStr">
        <is>
          <t>VÄSTERNORRLANDS LÄN</t>
        </is>
      </c>
      <c r="E249" t="inlineStr">
        <is>
          <t>SOLLEFTEÅ</t>
        </is>
      </c>
      <c r="G249" t="n">
        <v>8.5</v>
      </c>
      <c r="H249" t="n">
        <v>0</v>
      </c>
      <c r="I249" t="n">
        <v>1</v>
      </c>
      <c r="J249" t="n">
        <v>2</v>
      </c>
      <c r="K249" t="n">
        <v>0</v>
      </c>
      <c r="L249" t="n">
        <v>0</v>
      </c>
      <c r="M249" t="n">
        <v>0</v>
      </c>
      <c r="N249" t="n">
        <v>0</v>
      </c>
      <c r="O249" t="n">
        <v>2</v>
      </c>
      <c r="P249" t="n">
        <v>0</v>
      </c>
      <c r="Q249" t="n">
        <v>3</v>
      </c>
      <c r="R249" s="2" t="inlineStr">
        <is>
          <t>Vedtrappmossa
Vårärt
Svart trolldruva</t>
        </is>
      </c>
      <c r="S249">
        <f>HYPERLINK("https://klasma.github.io/Logging_2283/artfynd/A 25919-2025 artfynd.xlsx", "A 25919-2025")</f>
        <v/>
      </c>
      <c r="T249">
        <f>HYPERLINK("https://klasma.github.io/Logging_2283/kartor/A 25919-2025 karta.png", "A 25919-2025")</f>
        <v/>
      </c>
      <c r="V249">
        <f>HYPERLINK("https://klasma.github.io/Logging_2283/klagomål/A 25919-2025 FSC-klagomål.docx", "A 25919-2025")</f>
        <v/>
      </c>
      <c r="W249">
        <f>HYPERLINK("https://klasma.github.io/Logging_2283/klagomålsmail/A 25919-2025 FSC-klagomål mail.docx", "A 25919-2025")</f>
        <v/>
      </c>
      <c r="X249">
        <f>HYPERLINK("https://klasma.github.io/Logging_2283/tillsyn/A 25919-2025 tillsynsbegäran.docx", "A 25919-2025")</f>
        <v/>
      </c>
      <c r="Y249">
        <f>HYPERLINK("https://klasma.github.io/Logging_2283/tillsynsmail/A 25919-2025 tillsynsbegäran mail.docx", "A 25919-2025")</f>
        <v/>
      </c>
    </row>
    <row r="250" ht="15" customHeight="1">
      <c r="A250" t="inlineStr">
        <is>
          <t>A 23462-2026</t>
        </is>
      </c>
      <c r="B250" s="1" t="n">
        <v>46163</v>
      </c>
      <c r="C250" s="1" t="n">
        <v>46199</v>
      </c>
      <c r="D250" t="inlineStr">
        <is>
          <t>VÄSTERNORRLANDS LÄN</t>
        </is>
      </c>
      <c r="E250" t="inlineStr">
        <is>
          <t>SOLLEFTEÅ</t>
        </is>
      </c>
      <c r="F250" t="inlineStr">
        <is>
          <t>SCA</t>
        </is>
      </c>
      <c r="G250" t="n">
        <v>2.4</v>
      </c>
      <c r="H250" t="n">
        <v>0</v>
      </c>
      <c r="I250" t="n">
        <v>0</v>
      </c>
      <c r="J250" t="n">
        <v>2</v>
      </c>
      <c r="K250" t="n">
        <v>1</v>
      </c>
      <c r="L250" t="n">
        <v>0</v>
      </c>
      <c r="M250" t="n">
        <v>0</v>
      </c>
      <c r="N250" t="n">
        <v>0</v>
      </c>
      <c r="O250" t="n">
        <v>3</v>
      </c>
      <c r="P250" t="n">
        <v>1</v>
      </c>
      <c r="Q250" t="n">
        <v>3</v>
      </c>
      <c r="R250" s="2" t="inlineStr">
        <is>
          <t>Garnlav
Gammelgransskål
Vitgrynig nållav</t>
        </is>
      </c>
      <c r="S250">
        <f>HYPERLINK("https://klasma.github.io/Logging_2283/artfynd/A 23462-2026 artfynd.xlsx", "A 23462-2026")</f>
        <v/>
      </c>
      <c r="T250">
        <f>HYPERLINK("https://klasma.github.io/Logging_2283/kartor/A 23462-2026 karta.png", "A 23462-2026")</f>
        <v/>
      </c>
      <c r="V250">
        <f>HYPERLINK("https://klasma.github.io/Logging_2283/klagomål/A 23462-2026 FSC-klagomål.docx", "A 23462-2026")</f>
        <v/>
      </c>
      <c r="W250">
        <f>HYPERLINK("https://klasma.github.io/Logging_2283/klagomålsmail/A 23462-2026 FSC-klagomål mail.docx", "A 23462-2026")</f>
        <v/>
      </c>
      <c r="X250">
        <f>HYPERLINK("https://klasma.github.io/Logging_2283/tillsyn/A 23462-2026 tillsynsbegäran.docx", "A 23462-2026")</f>
        <v/>
      </c>
      <c r="Y250">
        <f>HYPERLINK("https://klasma.github.io/Logging_2283/tillsynsmail/A 23462-2026 tillsynsbegäran mail.docx", "A 23462-2026")</f>
        <v/>
      </c>
    </row>
    <row r="251" ht="15" customHeight="1">
      <c r="A251" t="inlineStr">
        <is>
          <t>A 14169-2024</t>
        </is>
      </c>
      <c r="B251" s="1" t="n">
        <v>45392</v>
      </c>
      <c r="C251" s="1" t="n">
        <v>46199</v>
      </c>
      <c r="D251" t="inlineStr">
        <is>
          <t>VÄSTERNORRLANDS LÄN</t>
        </is>
      </c>
      <c r="E251" t="inlineStr">
        <is>
          <t>SOLLEFTEÅ</t>
        </is>
      </c>
      <c r="F251" t="inlineStr">
        <is>
          <t>SCA</t>
        </is>
      </c>
      <c r="G251" t="n">
        <v>5.2</v>
      </c>
      <c r="H251" t="n">
        <v>3</v>
      </c>
      <c r="I251" t="n">
        <v>0</v>
      </c>
      <c r="J251" t="n">
        <v>1</v>
      </c>
      <c r="K251" t="n">
        <v>0</v>
      </c>
      <c r="L251" t="n">
        <v>0</v>
      </c>
      <c r="M251" t="n">
        <v>0</v>
      </c>
      <c r="N251" t="n">
        <v>0</v>
      </c>
      <c r="O251" t="n">
        <v>1</v>
      </c>
      <c r="P251" t="n">
        <v>0</v>
      </c>
      <c r="Q251" t="n">
        <v>3</v>
      </c>
      <c r="R251" s="2" t="inlineStr">
        <is>
          <t>Lavskrika
Orre
Trana</t>
        </is>
      </c>
      <c r="S251">
        <f>HYPERLINK("https://klasma.github.io/Logging_2283/artfynd/A 14169-2024 artfynd.xlsx", "A 14169-2024")</f>
        <v/>
      </c>
      <c r="T251">
        <f>HYPERLINK("https://klasma.github.io/Logging_2283/kartor/A 14169-2024 karta.png", "A 14169-2024")</f>
        <v/>
      </c>
      <c r="V251">
        <f>HYPERLINK("https://klasma.github.io/Logging_2283/klagomål/A 14169-2024 FSC-klagomål.docx", "A 14169-2024")</f>
        <v/>
      </c>
      <c r="W251">
        <f>HYPERLINK("https://klasma.github.io/Logging_2283/klagomålsmail/A 14169-2024 FSC-klagomål mail.docx", "A 14169-2024")</f>
        <v/>
      </c>
      <c r="X251">
        <f>HYPERLINK("https://klasma.github.io/Logging_2283/tillsyn/A 14169-2024 tillsynsbegäran.docx", "A 14169-2024")</f>
        <v/>
      </c>
      <c r="Y251">
        <f>HYPERLINK("https://klasma.github.io/Logging_2283/tillsynsmail/A 14169-2024 tillsynsbegäran mail.docx", "A 14169-2024")</f>
        <v/>
      </c>
      <c r="Z251">
        <f>HYPERLINK("https://klasma.github.io/Logging_2283/fåglar/A 14169-2024 prioriterade fågelarter.docx", "A 14169-2024")</f>
        <v/>
      </c>
    </row>
    <row r="252" ht="15" customHeight="1">
      <c r="A252" t="inlineStr">
        <is>
          <t>A 24998-2026</t>
        </is>
      </c>
      <c r="B252" s="1" t="n">
        <v>46174</v>
      </c>
      <c r="C252" s="1" t="n">
        <v>46199</v>
      </c>
      <c r="D252" t="inlineStr">
        <is>
          <t>VÄSTERNORRLANDS LÄN</t>
        </is>
      </c>
      <c r="E252" t="inlineStr">
        <is>
          <t>SOLLEFTEÅ</t>
        </is>
      </c>
      <c r="F252" t="inlineStr">
        <is>
          <t>SCA</t>
        </is>
      </c>
      <c r="G252" t="n">
        <v>32.5</v>
      </c>
      <c r="H252" t="n">
        <v>0</v>
      </c>
      <c r="I252" t="n">
        <v>2</v>
      </c>
      <c r="J252" t="n">
        <v>1</v>
      </c>
      <c r="K252" t="n">
        <v>0</v>
      </c>
      <c r="L252" t="n">
        <v>0</v>
      </c>
      <c r="M252" t="n">
        <v>0</v>
      </c>
      <c r="N252" t="n">
        <v>0</v>
      </c>
      <c r="O252" t="n">
        <v>1</v>
      </c>
      <c r="P252" t="n">
        <v>0</v>
      </c>
      <c r="Q252" t="n">
        <v>3</v>
      </c>
      <c r="R252" s="2" t="inlineStr">
        <is>
          <t>Lunglav
Dvärgtufs
Korallblylav</t>
        </is>
      </c>
      <c r="S252">
        <f>HYPERLINK("https://klasma.github.io/Logging_2283/artfynd/A 24998-2026 artfynd.xlsx", "A 24998-2026")</f>
        <v/>
      </c>
      <c r="T252">
        <f>HYPERLINK("https://klasma.github.io/Logging_2283/kartor/A 24998-2026 karta.png", "A 24998-2026")</f>
        <v/>
      </c>
      <c r="V252">
        <f>HYPERLINK("https://klasma.github.io/Logging_2283/klagomål/A 24998-2026 FSC-klagomål.docx", "A 24998-2026")</f>
        <v/>
      </c>
      <c r="W252">
        <f>HYPERLINK("https://klasma.github.io/Logging_2283/klagomålsmail/A 24998-2026 FSC-klagomål mail.docx", "A 24998-2026")</f>
        <v/>
      </c>
      <c r="X252">
        <f>HYPERLINK("https://klasma.github.io/Logging_2283/tillsyn/A 24998-2026 tillsynsbegäran.docx", "A 24998-2026")</f>
        <v/>
      </c>
      <c r="Y252">
        <f>HYPERLINK("https://klasma.github.io/Logging_2283/tillsynsmail/A 24998-2026 tillsynsbegäran mail.docx", "A 24998-2026")</f>
        <v/>
      </c>
    </row>
    <row r="253" ht="15" customHeight="1">
      <c r="A253" t="inlineStr">
        <is>
          <t>A 21364-2024</t>
        </is>
      </c>
      <c r="B253" s="1" t="n">
        <v>45440</v>
      </c>
      <c r="C253" s="1" t="n">
        <v>46199</v>
      </c>
      <c r="D253" t="inlineStr">
        <is>
          <t>VÄSTERNORRLANDS LÄN</t>
        </is>
      </c>
      <c r="E253" t="inlineStr">
        <is>
          <t>SOLLEFTEÅ</t>
        </is>
      </c>
      <c r="F253" t="inlineStr">
        <is>
          <t>SCA</t>
        </is>
      </c>
      <c r="G253" t="n">
        <v>2.1</v>
      </c>
      <c r="H253" t="n">
        <v>0</v>
      </c>
      <c r="I253" t="n">
        <v>0</v>
      </c>
      <c r="J253" t="n">
        <v>1</v>
      </c>
      <c r="K253" t="n">
        <v>1</v>
      </c>
      <c r="L253" t="n">
        <v>0</v>
      </c>
      <c r="M253" t="n">
        <v>0</v>
      </c>
      <c r="N253" t="n">
        <v>0</v>
      </c>
      <c r="O253" t="n">
        <v>2</v>
      </c>
      <c r="P253" t="n">
        <v>1</v>
      </c>
      <c r="Q253" t="n">
        <v>3</v>
      </c>
      <c r="R253" s="2" t="inlineStr">
        <is>
          <t>Garnlav
Grantaggsvamp
Kärrfibbla</t>
        </is>
      </c>
      <c r="S253">
        <f>HYPERLINK("https://klasma.github.io/Logging_2283/artfynd/A 21364-2024 artfynd.xlsx", "A 21364-2024")</f>
        <v/>
      </c>
      <c r="T253">
        <f>HYPERLINK("https://klasma.github.io/Logging_2283/kartor/A 21364-2024 karta.png", "A 21364-2024")</f>
        <v/>
      </c>
      <c r="V253">
        <f>HYPERLINK("https://klasma.github.io/Logging_2283/klagomål/A 21364-2024 FSC-klagomål.docx", "A 21364-2024")</f>
        <v/>
      </c>
      <c r="W253">
        <f>HYPERLINK("https://klasma.github.io/Logging_2283/klagomålsmail/A 21364-2024 FSC-klagomål mail.docx", "A 21364-2024")</f>
        <v/>
      </c>
      <c r="X253">
        <f>HYPERLINK("https://klasma.github.io/Logging_2283/tillsyn/A 21364-2024 tillsynsbegäran.docx", "A 21364-2024")</f>
        <v/>
      </c>
      <c r="Y253">
        <f>HYPERLINK("https://klasma.github.io/Logging_2283/tillsynsmail/A 21364-2024 tillsynsbegäran mail.docx", "A 21364-2024")</f>
        <v/>
      </c>
    </row>
    <row r="254" ht="15" customHeight="1">
      <c r="A254" t="inlineStr">
        <is>
          <t>A 48017-2024</t>
        </is>
      </c>
      <c r="B254" s="1" t="n">
        <v>45589</v>
      </c>
      <c r="C254" s="1" t="n">
        <v>46199</v>
      </c>
      <c r="D254" t="inlineStr">
        <is>
          <t>VÄSTERNORRLANDS LÄN</t>
        </is>
      </c>
      <c r="E254" t="inlineStr">
        <is>
          <t>SOLLEFTEÅ</t>
        </is>
      </c>
      <c r="F254" t="inlineStr">
        <is>
          <t>SCA</t>
        </is>
      </c>
      <c r="G254" t="n">
        <v>1.4</v>
      </c>
      <c r="H254" t="n">
        <v>0</v>
      </c>
      <c r="I254" t="n">
        <v>0</v>
      </c>
      <c r="J254" t="n">
        <v>2</v>
      </c>
      <c r="K254" t="n">
        <v>1</v>
      </c>
      <c r="L254" t="n">
        <v>0</v>
      </c>
      <c r="M254" t="n">
        <v>0</v>
      </c>
      <c r="N254" t="n">
        <v>0</v>
      </c>
      <c r="O254" t="n">
        <v>3</v>
      </c>
      <c r="P254" t="n">
        <v>1</v>
      </c>
      <c r="Q254" t="n">
        <v>3</v>
      </c>
      <c r="R254" s="2" t="inlineStr">
        <is>
          <t>Garnlav
Dropptaggsvamp
Kolflarnlav</t>
        </is>
      </c>
      <c r="S254">
        <f>HYPERLINK("https://klasma.github.io/Logging_2283/artfynd/A 48017-2024 artfynd.xlsx", "A 48017-2024")</f>
        <v/>
      </c>
      <c r="T254">
        <f>HYPERLINK("https://klasma.github.io/Logging_2283/kartor/A 48017-2024 karta.png", "A 48017-2024")</f>
        <v/>
      </c>
      <c r="V254">
        <f>HYPERLINK("https://klasma.github.io/Logging_2283/klagomål/A 48017-2024 FSC-klagomål.docx", "A 48017-2024")</f>
        <v/>
      </c>
      <c r="W254">
        <f>HYPERLINK("https://klasma.github.io/Logging_2283/klagomålsmail/A 48017-2024 FSC-klagomål mail.docx", "A 48017-2024")</f>
        <v/>
      </c>
      <c r="X254">
        <f>HYPERLINK("https://klasma.github.io/Logging_2283/tillsyn/A 48017-2024 tillsynsbegäran.docx", "A 48017-2024")</f>
        <v/>
      </c>
      <c r="Y254">
        <f>HYPERLINK("https://klasma.github.io/Logging_2283/tillsynsmail/A 48017-2024 tillsynsbegäran mail.docx", "A 48017-2024")</f>
        <v/>
      </c>
    </row>
    <row r="255" ht="15" customHeight="1">
      <c r="A255" t="inlineStr">
        <is>
          <t>A 45016-2023</t>
        </is>
      </c>
      <c r="B255" s="1" t="n">
        <v>45190</v>
      </c>
      <c r="C255" s="1" t="n">
        <v>46199</v>
      </c>
      <c r="D255" t="inlineStr">
        <is>
          <t>VÄSTERNORRLANDS LÄN</t>
        </is>
      </c>
      <c r="E255" t="inlineStr">
        <is>
          <t>SOLLEFTEÅ</t>
        </is>
      </c>
      <c r="F255" t="inlineStr">
        <is>
          <t>SCA</t>
        </is>
      </c>
      <c r="G255" t="n">
        <v>1.5</v>
      </c>
      <c r="H255" t="n">
        <v>1</v>
      </c>
      <c r="I255" t="n">
        <v>0</v>
      </c>
      <c r="J255" t="n">
        <v>1</v>
      </c>
      <c r="K255" t="n">
        <v>1</v>
      </c>
      <c r="L255" t="n">
        <v>0</v>
      </c>
      <c r="M255" t="n">
        <v>0</v>
      </c>
      <c r="N255" t="n">
        <v>0</v>
      </c>
      <c r="O255" t="n">
        <v>2</v>
      </c>
      <c r="P255" t="n">
        <v>1</v>
      </c>
      <c r="Q255" t="n">
        <v>3</v>
      </c>
      <c r="R255" s="2" t="inlineStr">
        <is>
          <t>Garnlav
Lunglav
Tjäder</t>
        </is>
      </c>
      <c r="S255">
        <f>HYPERLINK("https://klasma.github.io/Logging_2283/artfynd/A 45016-2023 artfynd.xlsx", "A 45016-2023")</f>
        <v/>
      </c>
      <c r="T255">
        <f>HYPERLINK("https://klasma.github.io/Logging_2283/kartor/A 45016-2023 karta.png", "A 45016-2023")</f>
        <v/>
      </c>
      <c r="V255">
        <f>HYPERLINK("https://klasma.github.io/Logging_2283/klagomål/A 45016-2023 FSC-klagomål.docx", "A 45016-2023")</f>
        <v/>
      </c>
      <c r="W255">
        <f>HYPERLINK("https://klasma.github.io/Logging_2283/klagomålsmail/A 45016-2023 FSC-klagomål mail.docx", "A 45016-2023")</f>
        <v/>
      </c>
      <c r="X255">
        <f>HYPERLINK("https://klasma.github.io/Logging_2283/tillsyn/A 45016-2023 tillsynsbegäran.docx", "A 45016-2023")</f>
        <v/>
      </c>
      <c r="Y255">
        <f>HYPERLINK("https://klasma.github.io/Logging_2283/tillsynsmail/A 45016-2023 tillsynsbegäran mail.docx", "A 45016-2023")</f>
        <v/>
      </c>
      <c r="Z255">
        <f>HYPERLINK("https://klasma.github.io/Logging_2283/fåglar/A 45016-2023 prioriterade fågelarter.docx", "A 45016-2023")</f>
        <v/>
      </c>
    </row>
    <row r="256" ht="15" customHeight="1">
      <c r="A256" t="inlineStr">
        <is>
          <t>A 12164-2023</t>
        </is>
      </c>
      <c r="B256" s="1" t="n">
        <v>44995</v>
      </c>
      <c r="C256" s="1" t="n">
        <v>46199</v>
      </c>
      <c r="D256" t="inlineStr">
        <is>
          <t>VÄSTERNORRLANDS LÄN</t>
        </is>
      </c>
      <c r="E256" t="inlineStr">
        <is>
          <t>SOLLEFTEÅ</t>
        </is>
      </c>
      <c r="G256" t="n">
        <v>18.3</v>
      </c>
      <c r="H256" t="n">
        <v>2</v>
      </c>
      <c r="I256" t="n">
        <v>0</v>
      </c>
      <c r="J256" t="n">
        <v>2</v>
      </c>
      <c r="K256" t="n">
        <v>0</v>
      </c>
      <c r="L256" t="n">
        <v>0</v>
      </c>
      <c r="M256" t="n">
        <v>0</v>
      </c>
      <c r="N256" t="n">
        <v>0</v>
      </c>
      <c r="O256" t="n">
        <v>2</v>
      </c>
      <c r="P256" t="n">
        <v>0</v>
      </c>
      <c r="Q256" t="n">
        <v>3</v>
      </c>
      <c r="R256" s="2" t="inlineStr">
        <is>
          <t>Tretåig hackspett
Ullticka
Fläcknycklar</t>
        </is>
      </c>
      <c r="S256">
        <f>HYPERLINK("https://klasma.github.io/Logging_2283/artfynd/A 12164-2023 artfynd.xlsx", "A 12164-2023")</f>
        <v/>
      </c>
      <c r="T256">
        <f>HYPERLINK("https://klasma.github.io/Logging_2283/kartor/A 12164-2023 karta.png", "A 12164-2023")</f>
        <v/>
      </c>
      <c r="V256">
        <f>HYPERLINK("https://klasma.github.io/Logging_2283/klagomål/A 12164-2023 FSC-klagomål.docx", "A 12164-2023")</f>
        <v/>
      </c>
      <c r="W256">
        <f>HYPERLINK("https://klasma.github.io/Logging_2283/klagomålsmail/A 12164-2023 FSC-klagomål mail.docx", "A 12164-2023")</f>
        <v/>
      </c>
      <c r="X256">
        <f>HYPERLINK("https://klasma.github.io/Logging_2283/tillsyn/A 12164-2023 tillsynsbegäran.docx", "A 12164-2023")</f>
        <v/>
      </c>
      <c r="Y256">
        <f>HYPERLINK("https://klasma.github.io/Logging_2283/tillsynsmail/A 12164-2023 tillsynsbegäran mail.docx", "A 12164-2023")</f>
        <v/>
      </c>
      <c r="Z256">
        <f>HYPERLINK("https://klasma.github.io/Logging_2283/fåglar/A 12164-2023 prioriterade fågelarter.docx", "A 12164-2023")</f>
        <v/>
      </c>
    </row>
    <row r="257" ht="15" customHeight="1">
      <c r="A257" t="inlineStr">
        <is>
          <t>A 19053-2022</t>
        </is>
      </c>
      <c r="B257" s="1" t="n">
        <v>44691</v>
      </c>
      <c r="C257" s="1" t="n">
        <v>46199</v>
      </c>
      <c r="D257" t="inlineStr">
        <is>
          <t>VÄSTERNORRLANDS LÄN</t>
        </is>
      </c>
      <c r="E257" t="inlineStr">
        <is>
          <t>SOLLEFTEÅ</t>
        </is>
      </c>
      <c r="G257" t="n">
        <v>1.9</v>
      </c>
      <c r="H257" t="n">
        <v>0</v>
      </c>
      <c r="I257" t="n">
        <v>0</v>
      </c>
      <c r="J257" t="n">
        <v>2</v>
      </c>
      <c r="K257" t="n">
        <v>1</v>
      </c>
      <c r="L257" t="n">
        <v>0</v>
      </c>
      <c r="M257" t="n">
        <v>0</v>
      </c>
      <c r="N257" t="n">
        <v>0</v>
      </c>
      <c r="O257" t="n">
        <v>3</v>
      </c>
      <c r="P257" t="n">
        <v>1</v>
      </c>
      <c r="Q257" t="n">
        <v>3</v>
      </c>
      <c r="R257" s="2" t="inlineStr">
        <is>
          <t>Lappticka
Rosenticka
Ullticka</t>
        </is>
      </c>
      <c r="S257">
        <f>HYPERLINK("https://klasma.github.io/Logging_2283/artfynd/A 19053-2022 artfynd.xlsx", "A 19053-2022")</f>
        <v/>
      </c>
      <c r="T257">
        <f>HYPERLINK("https://klasma.github.io/Logging_2283/kartor/A 19053-2022 karta.png", "A 19053-2022")</f>
        <v/>
      </c>
      <c r="V257">
        <f>HYPERLINK("https://klasma.github.io/Logging_2283/klagomål/A 19053-2022 FSC-klagomål.docx", "A 19053-2022")</f>
        <v/>
      </c>
      <c r="W257">
        <f>HYPERLINK("https://klasma.github.io/Logging_2283/klagomålsmail/A 19053-2022 FSC-klagomål mail.docx", "A 19053-2022")</f>
        <v/>
      </c>
      <c r="X257">
        <f>HYPERLINK("https://klasma.github.io/Logging_2283/tillsyn/A 19053-2022 tillsynsbegäran.docx", "A 19053-2022")</f>
        <v/>
      </c>
      <c r="Y257">
        <f>HYPERLINK("https://klasma.github.io/Logging_2283/tillsynsmail/A 19053-2022 tillsynsbegäran mail.docx", "A 19053-2022")</f>
        <v/>
      </c>
    </row>
    <row r="258" ht="15" customHeight="1">
      <c r="A258" t="inlineStr">
        <is>
          <t>A 54486-2024</t>
        </is>
      </c>
      <c r="B258" s="1" t="n">
        <v>45617</v>
      </c>
      <c r="C258" s="1" t="n">
        <v>46199</v>
      </c>
      <c r="D258" t="inlineStr">
        <is>
          <t>VÄSTERNORRLANDS LÄN</t>
        </is>
      </c>
      <c r="E258" t="inlineStr">
        <is>
          <t>SOLLEFTEÅ</t>
        </is>
      </c>
      <c r="G258" t="n">
        <v>18.3</v>
      </c>
      <c r="H258" t="n">
        <v>3</v>
      </c>
      <c r="I258" t="n">
        <v>1</v>
      </c>
      <c r="J258" t="n">
        <v>0</v>
      </c>
      <c r="K258" t="n">
        <v>0</v>
      </c>
      <c r="L258" t="n">
        <v>0</v>
      </c>
      <c r="M258" t="n">
        <v>0</v>
      </c>
      <c r="N258" t="n">
        <v>0</v>
      </c>
      <c r="O258" t="n">
        <v>0</v>
      </c>
      <c r="P258" t="n">
        <v>0</v>
      </c>
      <c r="Q258" t="n">
        <v>3</v>
      </c>
      <c r="R258" s="2" t="inlineStr">
        <is>
          <t>Tvåblad
Fläcknycklar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21590-2026</t>
        </is>
      </c>
      <c r="B259" s="1" t="n">
        <v>46149</v>
      </c>
      <c r="C259" s="1" t="n">
        <v>46199</v>
      </c>
      <c r="D259" t="inlineStr">
        <is>
          <t>VÄSTERNORRLANDS LÄN</t>
        </is>
      </c>
      <c r="E259" t="inlineStr">
        <is>
          <t>SOLLEFTEÅ</t>
        </is>
      </c>
      <c r="F259" t="inlineStr">
        <is>
          <t>SCA</t>
        </is>
      </c>
      <c r="G259" t="n">
        <v>2</v>
      </c>
      <c r="H259" t="n">
        <v>1</v>
      </c>
      <c r="I259" t="n">
        <v>1</v>
      </c>
      <c r="J259" t="n">
        <v>2</v>
      </c>
      <c r="K259" t="n">
        <v>0</v>
      </c>
      <c r="L259" t="n">
        <v>0</v>
      </c>
      <c r="M259" t="n">
        <v>0</v>
      </c>
      <c r="N259" t="n">
        <v>0</v>
      </c>
      <c r="O259" t="n">
        <v>2</v>
      </c>
      <c r="P259" t="n">
        <v>0</v>
      </c>
      <c r="Q259" t="n">
        <v>3</v>
      </c>
      <c r="R259" s="2" t="inlineStr">
        <is>
          <t>Gammelgransskål
Tretåig hackspett
Bollvitmossa</t>
        </is>
      </c>
      <c r="S259">
        <f>HYPERLINK("https://klasma.github.io/Logging_2283/artfynd/A 21590-2026 artfynd.xlsx", "A 21590-2026")</f>
        <v/>
      </c>
      <c r="T259">
        <f>HYPERLINK("https://klasma.github.io/Logging_2283/kartor/A 21590-2026 karta.png", "A 21590-2026")</f>
        <v/>
      </c>
      <c r="V259">
        <f>HYPERLINK("https://klasma.github.io/Logging_2283/klagomål/A 21590-2026 FSC-klagomål.docx", "A 21590-2026")</f>
        <v/>
      </c>
      <c r="W259">
        <f>HYPERLINK("https://klasma.github.io/Logging_2283/klagomålsmail/A 21590-2026 FSC-klagomål mail.docx", "A 21590-2026")</f>
        <v/>
      </c>
      <c r="X259">
        <f>HYPERLINK("https://klasma.github.io/Logging_2283/tillsyn/A 21590-2026 tillsynsbegäran.docx", "A 21590-2026")</f>
        <v/>
      </c>
      <c r="Y259">
        <f>HYPERLINK("https://klasma.github.io/Logging_2283/tillsynsmail/A 21590-2026 tillsynsbegäran mail.docx", "A 21590-2026")</f>
        <v/>
      </c>
      <c r="Z259">
        <f>HYPERLINK("https://klasma.github.io/Logging_2283/fåglar/A 21590-2026 prioriterade fågelarter.docx", "A 21590-2026")</f>
        <v/>
      </c>
    </row>
    <row r="260" ht="15" customHeight="1">
      <c r="A260" t="inlineStr">
        <is>
          <t>A 54624-2024</t>
        </is>
      </c>
      <c r="B260" s="1" t="n">
        <v>45617</v>
      </c>
      <c r="C260" s="1" t="n">
        <v>46199</v>
      </c>
      <c r="D260" t="inlineStr">
        <is>
          <t>VÄSTERNORRLANDS LÄN</t>
        </is>
      </c>
      <c r="E260" t="inlineStr">
        <is>
          <t>SOLLEFTEÅ</t>
        </is>
      </c>
      <c r="G260" t="n">
        <v>11.5</v>
      </c>
      <c r="H260" t="n">
        <v>0</v>
      </c>
      <c r="I260" t="n">
        <v>2</v>
      </c>
      <c r="J260" t="n">
        <v>1</v>
      </c>
      <c r="K260" t="n">
        <v>0</v>
      </c>
      <c r="L260" t="n">
        <v>0</v>
      </c>
      <c r="M260" t="n">
        <v>0</v>
      </c>
      <c r="N260" t="n">
        <v>0</v>
      </c>
      <c r="O260" t="n">
        <v>1</v>
      </c>
      <c r="P260" t="n">
        <v>0</v>
      </c>
      <c r="Q260" t="n">
        <v>3</v>
      </c>
      <c r="R260" s="2" t="inlineStr">
        <is>
          <t>Ullticka
Stuplav
Vedticka</t>
        </is>
      </c>
      <c r="S260">
        <f>HYPERLINK("https://klasma.github.io/Logging_2283/artfynd/A 54624-2024 artfynd.xlsx", "A 54624-2024")</f>
        <v/>
      </c>
      <c r="T260">
        <f>HYPERLINK("https://klasma.github.io/Logging_2283/kartor/A 54624-2024 karta.png", "A 54624-2024")</f>
        <v/>
      </c>
      <c r="V260">
        <f>HYPERLINK("https://klasma.github.io/Logging_2283/klagomål/A 54624-2024 FSC-klagomål.docx", "A 54624-2024")</f>
        <v/>
      </c>
      <c r="W260">
        <f>HYPERLINK("https://klasma.github.io/Logging_2283/klagomålsmail/A 54624-2024 FSC-klagomål mail.docx", "A 54624-2024")</f>
        <v/>
      </c>
      <c r="X260">
        <f>HYPERLINK("https://klasma.github.io/Logging_2283/tillsyn/A 54624-2024 tillsynsbegäran.docx", "A 54624-2024")</f>
        <v/>
      </c>
      <c r="Y260">
        <f>HYPERLINK("https://klasma.github.io/Logging_2283/tillsynsmail/A 54624-2024 tillsynsbegäran mail.docx", "A 54624-2024")</f>
        <v/>
      </c>
    </row>
    <row r="261" ht="15" customHeight="1">
      <c r="A261" t="inlineStr">
        <is>
          <t>A 8885-2024</t>
        </is>
      </c>
      <c r="B261" s="1" t="n">
        <v>45357</v>
      </c>
      <c r="C261" s="1" t="n">
        <v>46199</v>
      </c>
      <c r="D261" t="inlineStr">
        <is>
          <t>VÄSTERNORRLANDS LÄN</t>
        </is>
      </c>
      <c r="E261" t="inlineStr">
        <is>
          <t>SOLLEFTEÅ</t>
        </is>
      </c>
      <c r="F261" t="inlineStr">
        <is>
          <t>SCA</t>
        </is>
      </c>
      <c r="G261" t="n">
        <v>4.5</v>
      </c>
      <c r="H261" t="n">
        <v>1</v>
      </c>
      <c r="I261" t="n">
        <v>1</v>
      </c>
      <c r="J261" t="n">
        <v>2</v>
      </c>
      <c r="K261" t="n">
        <v>0</v>
      </c>
      <c r="L261" t="n">
        <v>0</v>
      </c>
      <c r="M261" t="n">
        <v>0</v>
      </c>
      <c r="N261" t="n">
        <v>0</v>
      </c>
      <c r="O261" t="n">
        <v>2</v>
      </c>
      <c r="P261" t="n">
        <v>0</v>
      </c>
      <c r="Q261" t="n">
        <v>3</v>
      </c>
      <c r="R261" s="2" t="inlineStr">
        <is>
          <t>Gammelgransskål
Tretåig hackspett
Vedticka</t>
        </is>
      </c>
      <c r="S261">
        <f>HYPERLINK("https://klasma.github.io/Logging_2283/artfynd/A 8885-2024 artfynd.xlsx", "A 8885-2024")</f>
        <v/>
      </c>
      <c r="T261">
        <f>HYPERLINK("https://klasma.github.io/Logging_2283/kartor/A 8885-2024 karta.png", "A 8885-2024")</f>
        <v/>
      </c>
      <c r="V261">
        <f>HYPERLINK("https://klasma.github.io/Logging_2283/klagomål/A 8885-2024 FSC-klagomål.docx", "A 8885-2024")</f>
        <v/>
      </c>
      <c r="W261">
        <f>HYPERLINK("https://klasma.github.io/Logging_2283/klagomålsmail/A 8885-2024 FSC-klagomål mail.docx", "A 8885-2024")</f>
        <v/>
      </c>
      <c r="X261">
        <f>HYPERLINK("https://klasma.github.io/Logging_2283/tillsyn/A 8885-2024 tillsynsbegäran.docx", "A 8885-2024")</f>
        <v/>
      </c>
      <c r="Y261">
        <f>HYPERLINK("https://klasma.github.io/Logging_2283/tillsynsmail/A 8885-2024 tillsynsbegäran mail.docx", "A 8885-2024")</f>
        <v/>
      </c>
      <c r="Z261">
        <f>HYPERLINK("https://klasma.github.io/Logging_2283/fåglar/A 8885-2024 prioriterade fågelarter.docx", "A 8885-2024")</f>
        <v/>
      </c>
    </row>
    <row r="262" ht="15" customHeight="1">
      <c r="A262" t="inlineStr">
        <is>
          <t>A 8541-2024</t>
        </is>
      </c>
      <c r="B262" s="1" t="n">
        <v>45351</v>
      </c>
      <c r="C262" s="1" t="n">
        <v>46199</v>
      </c>
      <c r="D262" t="inlineStr">
        <is>
          <t>VÄSTERNORRLANDS LÄN</t>
        </is>
      </c>
      <c r="E262" t="inlineStr">
        <is>
          <t>SOLLEFTEÅ</t>
        </is>
      </c>
      <c r="F262" t="inlineStr">
        <is>
          <t>Kommuner</t>
        </is>
      </c>
      <c r="G262" t="n">
        <v>0.6</v>
      </c>
      <c r="H262" t="n">
        <v>2</v>
      </c>
      <c r="I262" t="n">
        <v>1</v>
      </c>
      <c r="J262" t="n">
        <v>1</v>
      </c>
      <c r="K262" t="n">
        <v>0</v>
      </c>
      <c r="L262" t="n">
        <v>0</v>
      </c>
      <c r="M262" t="n">
        <v>0</v>
      </c>
      <c r="N262" t="n">
        <v>0</v>
      </c>
      <c r="O262" t="n">
        <v>1</v>
      </c>
      <c r="P262" t="n">
        <v>0</v>
      </c>
      <c r="Q262" t="n">
        <v>3</v>
      </c>
      <c r="R262" s="2" t="inlineStr">
        <is>
          <t>Järnsparv
Strutbräken
Äkta lopplummer</t>
        </is>
      </c>
      <c r="S262">
        <f>HYPERLINK("https://klasma.github.io/Logging_2283/artfynd/A 8541-2024 artfynd.xlsx", "A 8541-2024")</f>
        <v/>
      </c>
      <c r="T262">
        <f>HYPERLINK("https://klasma.github.io/Logging_2283/kartor/A 8541-2024 karta.png", "A 8541-2024")</f>
        <v/>
      </c>
      <c r="V262">
        <f>HYPERLINK("https://klasma.github.io/Logging_2283/klagomål/A 8541-2024 FSC-klagomål.docx", "A 8541-2024")</f>
        <v/>
      </c>
      <c r="W262">
        <f>HYPERLINK("https://klasma.github.io/Logging_2283/klagomålsmail/A 8541-2024 FSC-klagomål mail.docx", "A 8541-2024")</f>
        <v/>
      </c>
      <c r="X262">
        <f>HYPERLINK("https://klasma.github.io/Logging_2283/tillsyn/A 8541-2024 tillsynsbegäran.docx", "A 8541-2024")</f>
        <v/>
      </c>
      <c r="Y262">
        <f>HYPERLINK("https://klasma.github.io/Logging_2283/tillsynsmail/A 8541-2024 tillsynsbegäran mail.docx", "A 8541-2024")</f>
        <v/>
      </c>
      <c r="Z262">
        <f>HYPERLINK("https://klasma.github.io/Logging_2283/fåglar/A 8541-2024 prioriterade fågelarter.docx", "A 8541-2024")</f>
        <v/>
      </c>
    </row>
    <row r="263" ht="15" customHeight="1">
      <c r="A263" t="inlineStr">
        <is>
          <t>A 3959-2024</t>
        </is>
      </c>
      <c r="B263" s="1" t="n">
        <v>45322</v>
      </c>
      <c r="C263" s="1" t="n">
        <v>46199</v>
      </c>
      <c r="D263" t="inlineStr">
        <is>
          <t>VÄSTERNORRLANDS LÄN</t>
        </is>
      </c>
      <c r="E263" t="inlineStr">
        <is>
          <t>SOLLEFTEÅ</t>
        </is>
      </c>
      <c r="F263" t="inlineStr">
        <is>
          <t>Kommuner</t>
        </is>
      </c>
      <c r="G263" t="n">
        <v>1</v>
      </c>
      <c r="H263" t="n">
        <v>2</v>
      </c>
      <c r="I263" t="n">
        <v>0</v>
      </c>
      <c r="J263" t="n">
        <v>1</v>
      </c>
      <c r="K263" t="n">
        <v>1</v>
      </c>
      <c r="L263" t="n">
        <v>0</v>
      </c>
      <c r="M263" t="n">
        <v>0</v>
      </c>
      <c r="N263" t="n">
        <v>0</v>
      </c>
      <c r="O263" t="n">
        <v>2</v>
      </c>
      <c r="P263" t="n">
        <v>1</v>
      </c>
      <c r="Q263" t="n">
        <v>3</v>
      </c>
      <c r="R263" s="2" t="inlineStr">
        <is>
          <t>Garnlav
Tretåig hackspett
Gråspett</t>
        </is>
      </c>
      <c r="S263">
        <f>HYPERLINK("https://klasma.github.io/Logging_2283/artfynd/A 3959-2024 artfynd.xlsx", "A 3959-2024")</f>
        <v/>
      </c>
      <c r="T263">
        <f>HYPERLINK("https://klasma.github.io/Logging_2283/kartor/A 3959-2024 karta.png", "A 3959-2024")</f>
        <v/>
      </c>
      <c r="V263">
        <f>HYPERLINK("https://klasma.github.io/Logging_2283/klagomål/A 3959-2024 FSC-klagomål.docx", "A 3959-2024")</f>
        <v/>
      </c>
      <c r="W263">
        <f>HYPERLINK("https://klasma.github.io/Logging_2283/klagomålsmail/A 3959-2024 FSC-klagomål mail.docx", "A 3959-2024")</f>
        <v/>
      </c>
      <c r="X263">
        <f>HYPERLINK("https://klasma.github.io/Logging_2283/tillsyn/A 3959-2024 tillsynsbegäran.docx", "A 3959-2024")</f>
        <v/>
      </c>
      <c r="Y263">
        <f>HYPERLINK("https://klasma.github.io/Logging_2283/tillsynsmail/A 3959-2024 tillsynsbegäran mail.docx", "A 3959-2024")</f>
        <v/>
      </c>
      <c r="Z263">
        <f>HYPERLINK("https://klasma.github.io/Logging_2283/fåglar/A 3959-2024 prioriterade fågelarter.docx", "A 3959-2024")</f>
        <v/>
      </c>
    </row>
    <row r="264" ht="15" customHeight="1">
      <c r="A264" t="inlineStr">
        <is>
          <t>A 9583-2022</t>
        </is>
      </c>
      <c r="B264" s="1" t="n">
        <v>44617</v>
      </c>
      <c r="C264" s="1" t="n">
        <v>46199</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46199</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46199</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46199</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46199</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46199</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46199</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46199</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46199</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46199</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46199</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33504-2022</t>
        </is>
      </c>
      <c r="B275" s="1" t="n">
        <v>44788</v>
      </c>
      <c r="C275" s="1" t="n">
        <v>46199</v>
      </c>
      <c r="D275" t="inlineStr">
        <is>
          <t>VÄSTERNORRLANDS LÄN</t>
        </is>
      </c>
      <c r="E275" t="inlineStr">
        <is>
          <t>SOLLEFTEÅ</t>
        </is>
      </c>
      <c r="F275" t="inlineStr">
        <is>
          <t>SCA</t>
        </is>
      </c>
      <c r="G275" t="n">
        <v>5.2</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33504-2022 artfynd.xlsx", "A 33504-2022")</f>
        <v/>
      </c>
      <c r="T275">
        <f>HYPERLINK("https://klasma.github.io/Logging_2283/kartor/A 33504-2022 karta.png", "A 33504-2022")</f>
        <v/>
      </c>
      <c r="U275">
        <f>HYPERLINK("https://klasma.github.io/Logging_2283/knärot/A 33504-2022 karta knärot.png", "A 33504-2022")</f>
        <v/>
      </c>
      <c r="V275">
        <f>HYPERLINK("https://klasma.github.io/Logging_2283/klagomål/A 33504-2022 FSC-klagomål.docx", "A 33504-2022")</f>
        <v/>
      </c>
      <c r="W275">
        <f>HYPERLINK("https://klasma.github.io/Logging_2283/klagomålsmail/A 33504-2022 FSC-klagomål mail.docx", "A 33504-2022")</f>
        <v/>
      </c>
      <c r="X275">
        <f>HYPERLINK("https://klasma.github.io/Logging_2283/tillsyn/A 33504-2022 tillsynsbegäran.docx", "A 33504-2022")</f>
        <v/>
      </c>
      <c r="Y275">
        <f>HYPERLINK("https://klasma.github.io/Logging_2283/tillsynsmail/A 33504-2022 tillsynsbegäran mail.docx", "A 33504-2022")</f>
        <v/>
      </c>
      <c r="Z275">
        <f>HYPERLINK("https://klasma.github.io/Logging_2283/fåglar/A 33504-2022 prioriterade fågelarter.docx", "A 33504-2022")</f>
        <v/>
      </c>
    </row>
    <row r="276" ht="15" customHeight="1">
      <c r="A276" t="inlineStr">
        <is>
          <t>A 50655-2022</t>
        </is>
      </c>
      <c r="B276" s="1" t="n">
        <v>44866</v>
      </c>
      <c r="C276" s="1" t="n">
        <v>46199</v>
      </c>
      <c r="D276" t="inlineStr">
        <is>
          <t>VÄSTERNORRLANDS LÄN</t>
        </is>
      </c>
      <c r="E276" t="inlineStr">
        <is>
          <t>SOLLEFTEÅ</t>
        </is>
      </c>
      <c r="G276" t="n">
        <v>4.4</v>
      </c>
      <c r="H276" t="n">
        <v>0</v>
      </c>
      <c r="I276" t="n">
        <v>0</v>
      </c>
      <c r="J276" t="n">
        <v>1</v>
      </c>
      <c r="K276" t="n">
        <v>1</v>
      </c>
      <c r="L276" t="n">
        <v>0</v>
      </c>
      <c r="M276" t="n">
        <v>0</v>
      </c>
      <c r="N276" t="n">
        <v>0</v>
      </c>
      <c r="O276" t="n">
        <v>2</v>
      </c>
      <c r="P276" t="n">
        <v>1</v>
      </c>
      <c r="Q276" t="n">
        <v>2</v>
      </c>
      <c r="R276" s="2" t="inlineStr">
        <is>
          <t>Garnlav
Lunglav</t>
        </is>
      </c>
      <c r="S276">
        <f>HYPERLINK("https://klasma.github.io/Logging_2283/artfynd/A 50655-2022 artfynd.xlsx", "A 50655-2022")</f>
        <v/>
      </c>
      <c r="T276">
        <f>HYPERLINK("https://klasma.github.io/Logging_2283/kartor/A 50655-2022 karta.png", "A 50655-2022")</f>
        <v/>
      </c>
      <c r="V276">
        <f>HYPERLINK("https://klasma.github.io/Logging_2283/klagomål/A 50655-2022 FSC-klagomål.docx", "A 50655-2022")</f>
        <v/>
      </c>
      <c r="W276">
        <f>HYPERLINK("https://klasma.github.io/Logging_2283/klagomålsmail/A 50655-2022 FSC-klagomål mail.docx", "A 50655-2022")</f>
        <v/>
      </c>
      <c r="X276">
        <f>HYPERLINK("https://klasma.github.io/Logging_2283/tillsyn/A 50655-2022 tillsynsbegäran.docx", "A 50655-2022")</f>
        <v/>
      </c>
      <c r="Y276">
        <f>HYPERLINK("https://klasma.github.io/Logging_2283/tillsynsmail/A 50655-2022 tillsynsbegäran mail.docx", "A 50655-2022")</f>
        <v/>
      </c>
    </row>
    <row r="277" ht="15" customHeight="1">
      <c r="A277" t="inlineStr">
        <is>
          <t>A 26374-2023</t>
        </is>
      </c>
      <c r="B277" s="1" t="n">
        <v>45091</v>
      </c>
      <c r="C277" s="1" t="n">
        <v>46199</v>
      </c>
      <c r="D277" t="inlineStr">
        <is>
          <t>VÄSTERNORRLANDS LÄN</t>
        </is>
      </c>
      <c r="E277" t="inlineStr">
        <is>
          <t>SOLLEFTEÅ</t>
        </is>
      </c>
      <c r="F277" t="inlineStr">
        <is>
          <t>SCA</t>
        </is>
      </c>
      <c r="G277" t="n">
        <v>0.9</v>
      </c>
      <c r="H277" t="n">
        <v>0</v>
      </c>
      <c r="I277" t="n">
        <v>0</v>
      </c>
      <c r="J277" t="n">
        <v>1</v>
      </c>
      <c r="K277" t="n">
        <v>1</v>
      </c>
      <c r="L277" t="n">
        <v>0</v>
      </c>
      <c r="M277" t="n">
        <v>0</v>
      </c>
      <c r="N277" t="n">
        <v>0</v>
      </c>
      <c r="O277" t="n">
        <v>2</v>
      </c>
      <c r="P277" t="n">
        <v>1</v>
      </c>
      <c r="Q277" t="n">
        <v>2</v>
      </c>
      <c r="R277" s="2" t="inlineStr">
        <is>
          <t>Blackticka
Ullticka</t>
        </is>
      </c>
      <c r="S277">
        <f>HYPERLINK("https://klasma.github.io/Logging_2283/artfynd/A 26374-2023 artfynd.xlsx", "A 26374-2023")</f>
        <v/>
      </c>
      <c r="T277">
        <f>HYPERLINK("https://klasma.github.io/Logging_2283/kartor/A 26374-2023 karta.png", "A 26374-2023")</f>
        <v/>
      </c>
      <c r="V277">
        <f>HYPERLINK("https://klasma.github.io/Logging_2283/klagomål/A 26374-2023 FSC-klagomål.docx", "A 26374-2023")</f>
        <v/>
      </c>
      <c r="W277">
        <f>HYPERLINK("https://klasma.github.io/Logging_2283/klagomålsmail/A 26374-2023 FSC-klagomål mail.docx", "A 26374-2023")</f>
        <v/>
      </c>
      <c r="X277">
        <f>HYPERLINK("https://klasma.github.io/Logging_2283/tillsyn/A 26374-2023 tillsynsbegäran.docx", "A 26374-2023")</f>
        <v/>
      </c>
      <c r="Y277">
        <f>HYPERLINK("https://klasma.github.io/Logging_2283/tillsynsmail/A 26374-2023 tillsynsbegäran mail.docx", "A 26374-2023")</f>
        <v/>
      </c>
    </row>
    <row r="278" ht="15" customHeight="1">
      <c r="A278" t="inlineStr">
        <is>
          <t>A 22220-2025</t>
        </is>
      </c>
      <c r="B278" s="1" t="n">
        <v>45785</v>
      </c>
      <c r="C278" s="1" t="n">
        <v>46199</v>
      </c>
      <c r="D278" t="inlineStr">
        <is>
          <t>VÄSTERNORRLANDS LÄN</t>
        </is>
      </c>
      <c r="E278" t="inlineStr">
        <is>
          <t>SOLLEFTEÅ</t>
        </is>
      </c>
      <c r="F278" t="inlineStr">
        <is>
          <t>SCA</t>
        </is>
      </c>
      <c r="G278" t="n">
        <v>4.6</v>
      </c>
      <c r="H278" t="n">
        <v>0</v>
      </c>
      <c r="I278" t="n">
        <v>1</v>
      </c>
      <c r="J278" t="n">
        <v>1</v>
      </c>
      <c r="K278" t="n">
        <v>0</v>
      </c>
      <c r="L278" t="n">
        <v>0</v>
      </c>
      <c r="M278" t="n">
        <v>0</v>
      </c>
      <c r="N278" t="n">
        <v>0</v>
      </c>
      <c r="O278" t="n">
        <v>1</v>
      </c>
      <c r="P278" t="n">
        <v>0</v>
      </c>
      <c r="Q278" t="n">
        <v>2</v>
      </c>
      <c r="R278" s="2" t="inlineStr">
        <is>
          <t>Lunglav
Stor aspticka</t>
        </is>
      </c>
      <c r="S278">
        <f>HYPERLINK("https://klasma.github.io/Logging_2283/artfynd/A 22220-2025 artfynd.xlsx", "A 22220-2025")</f>
        <v/>
      </c>
      <c r="T278">
        <f>HYPERLINK("https://klasma.github.io/Logging_2283/kartor/A 22220-2025 karta.png", "A 22220-2025")</f>
        <v/>
      </c>
      <c r="V278">
        <f>HYPERLINK("https://klasma.github.io/Logging_2283/klagomål/A 22220-2025 FSC-klagomål.docx", "A 22220-2025")</f>
        <v/>
      </c>
      <c r="W278">
        <f>HYPERLINK("https://klasma.github.io/Logging_2283/klagomålsmail/A 22220-2025 FSC-klagomål mail.docx", "A 22220-2025")</f>
        <v/>
      </c>
      <c r="X278">
        <f>HYPERLINK("https://klasma.github.io/Logging_2283/tillsyn/A 22220-2025 tillsynsbegäran.docx", "A 22220-2025")</f>
        <v/>
      </c>
      <c r="Y278">
        <f>HYPERLINK("https://klasma.github.io/Logging_2283/tillsynsmail/A 22220-2025 tillsynsbegäran mail.docx", "A 22220-2025")</f>
        <v/>
      </c>
    </row>
    <row r="279" ht="15" customHeight="1">
      <c r="A279" t="inlineStr">
        <is>
          <t>A 57042-2025</t>
        </is>
      </c>
      <c r="B279" s="1" t="n">
        <v>45979</v>
      </c>
      <c r="C279" s="1" t="n">
        <v>46199</v>
      </c>
      <c r="D279" t="inlineStr">
        <is>
          <t>VÄSTERNORRLANDS LÄN</t>
        </is>
      </c>
      <c r="E279" t="inlineStr">
        <is>
          <t>SOLLEFTEÅ</t>
        </is>
      </c>
      <c r="F279" t="inlineStr">
        <is>
          <t>SCA</t>
        </is>
      </c>
      <c r="G279" t="n">
        <v>2.5</v>
      </c>
      <c r="H279" t="n">
        <v>2</v>
      </c>
      <c r="I279" t="n">
        <v>0</v>
      </c>
      <c r="J279" t="n">
        <v>1</v>
      </c>
      <c r="K279" t="n">
        <v>0</v>
      </c>
      <c r="L279" t="n">
        <v>0</v>
      </c>
      <c r="M279" t="n">
        <v>0</v>
      </c>
      <c r="N279" t="n">
        <v>0</v>
      </c>
      <c r="O279" t="n">
        <v>1</v>
      </c>
      <c r="P279" t="n">
        <v>0</v>
      </c>
      <c r="Q279" t="n">
        <v>2</v>
      </c>
      <c r="R279" s="2" t="inlineStr">
        <is>
          <t>Kungsörn
Orre</t>
        </is>
      </c>
      <c r="S279">
        <f>HYPERLINK("https://klasma.github.io/Logging_2283/artfynd/A 57042-2025 artfynd.xlsx", "A 57042-2025")</f>
        <v/>
      </c>
      <c r="T279">
        <f>HYPERLINK("https://klasma.github.io/Logging_2283/kartor/A 57042-2025 karta.png", "A 57042-2025")</f>
        <v/>
      </c>
      <c r="V279">
        <f>HYPERLINK("https://klasma.github.io/Logging_2283/klagomål/A 57042-2025 FSC-klagomål.docx", "A 57042-2025")</f>
        <v/>
      </c>
      <c r="W279">
        <f>HYPERLINK("https://klasma.github.io/Logging_2283/klagomålsmail/A 57042-2025 FSC-klagomål mail.docx", "A 57042-2025")</f>
        <v/>
      </c>
      <c r="X279">
        <f>HYPERLINK("https://klasma.github.io/Logging_2283/tillsyn/A 57042-2025 tillsynsbegäran.docx", "A 57042-2025")</f>
        <v/>
      </c>
      <c r="Y279">
        <f>HYPERLINK("https://klasma.github.io/Logging_2283/tillsynsmail/A 57042-2025 tillsynsbegäran mail.docx", "A 57042-2025")</f>
        <v/>
      </c>
      <c r="Z279">
        <f>HYPERLINK("https://klasma.github.io/Logging_2283/fåglar/A 57042-2025 prioriterade fågelarter.docx", "A 57042-2025")</f>
        <v/>
      </c>
    </row>
    <row r="280" ht="15" customHeight="1">
      <c r="A280" t="inlineStr">
        <is>
          <t>A 22518-2025</t>
        </is>
      </c>
      <c r="B280" s="1" t="n">
        <v>45786</v>
      </c>
      <c r="C280" s="1" t="n">
        <v>46199</v>
      </c>
      <c r="D280" t="inlineStr">
        <is>
          <t>VÄSTERNORRLANDS LÄN</t>
        </is>
      </c>
      <c r="E280" t="inlineStr">
        <is>
          <t>SOLLEFTEÅ</t>
        </is>
      </c>
      <c r="F280" t="inlineStr">
        <is>
          <t>SCA</t>
        </is>
      </c>
      <c r="G280" t="n">
        <v>4</v>
      </c>
      <c r="H280" t="n">
        <v>0</v>
      </c>
      <c r="I280" t="n">
        <v>0</v>
      </c>
      <c r="J280" t="n">
        <v>1</v>
      </c>
      <c r="K280" t="n">
        <v>1</v>
      </c>
      <c r="L280" t="n">
        <v>0</v>
      </c>
      <c r="M280" t="n">
        <v>0</v>
      </c>
      <c r="N280" t="n">
        <v>0</v>
      </c>
      <c r="O280" t="n">
        <v>2</v>
      </c>
      <c r="P280" t="n">
        <v>1</v>
      </c>
      <c r="Q280" t="n">
        <v>2</v>
      </c>
      <c r="R280" s="2" t="inlineStr">
        <is>
          <t>Garnlav
Ullticka</t>
        </is>
      </c>
      <c r="S280">
        <f>HYPERLINK("https://klasma.github.io/Logging_2283/artfynd/A 22518-2025 artfynd.xlsx", "A 22518-2025")</f>
        <v/>
      </c>
      <c r="T280">
        <f>HYPERLINK("https://klasma.github.io/Logging_2283/kartor/A 22518-2025 karta.png", "A 22518-2025")</f>
        <v/>
      </c>
      <c r="V280">
        <f>HYPERLINK("https://klasma.github.io/Logging_2283/klagomål/A 22518-2025 FSC-klagomål.docx", "A 22518-2025")</f>
        <v/>
      </c>
      <c r="W280">
        <f>HYPERLINK("https://klasma.github.io/Logging_2283/klagomålsmail/A 22518-2025 FSC-klagomål mail.docx", "A 22518-2025")</f>
        <v/>
      </c>
      <c r="X280">
        <f>HYPERLINK("https://klasma.github.io/Logging_2283/tillsyn/A 22518-2025 tillsynsbegäran.docx", "A 22518-2025")</f>
        <v/>
      </c>
      <c r="Y280">
        <f>HYPERLINK("https://klasma.github.io/Logging_2283/tillsynsmail/A 22518-2025 tillsynsbegäran mail.docx", "A 22518-2025")</f>
        <v/>
      </c>
    </row>
    <row r="281" ht="15" customHeight="1">
      <c r="A281" t="inlineStr">
        <is>
          <t>A 45083-2022</t>
        </is>
      </c>
      <c r="B281" s="1" t="n">
        <v>44841</v>
      </c>
      <c r="C281" s="1" t="n">
        <v>46199</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45083-2022 artfynd.xlsx", "A 45083-2022")</f>
        <v/>
      </c>
      <c r="T281">
        <f>HYPERLINK("https://klasma.github.io/Logging_2283/kartor/A 45083-2022 karta.png", "A 45083-2022")</f>
        <v/>
      </c>
      <c r="V281">
        <f>HYPERLINK("https://klasma.github.io/Logging_2283/klagomål/A 45083-2022 FSC-klagomål.docx", "A 45083-2022")</f>
        <v/>
      </c>
      <c r="W281">
        <f>HYPERLINK("https://klasma.github.io/Logging_2283/klagomålsmail/A 45083-2022 FSC-klagomål mail.docx", "A 45083-2022")</f>
        <v/>
      </c>
      <c r="X281">
        <f>HYPERLINK("https://klasma.github.io/Logging_2283/tillsyn/A 45083-2022 tillsynsbegäran.docx", "A 45083-2022")</f>
        <v/>
      </c>
      <c r="Y281">
        <f>HYPERLINK("https://klasma.github.io/Logging_2283/tillsynsmail/A 45083-2022 tillsynsbegäran mail.docx", "A 45083-2022")</f>
        <v/>
      </c>
      <c r="Z281">
        <f>HYPERLINK("https://klasma.github.io/Logging_2283/fåglar/A 45083-2022 prioriterade fågelarter.docx", "A 45083-2022")</f>
        <v/>
      </c>
    </row>
    <row r="282" ht="15" customHeight="1">
      <c r="A282" t="inlineStr">
        <is>
          <t>A 57987-2025</t>
        </is>
      </c>
      <c r="B282" s="1" t="n">
        <v>45982</v>
      </c>
      <c r="C282" s="1" t="n">
        <v>46199</v>
      </c>
      <c r="D282" t="inlineStr">
        <is>
          <t>VÄSTERNORRLANDS LÄN</t>
        </is>
      </c>
      <c r="E282" t="inlineStr">
        <is>
          <t>SOLLEFTEÅ</t>
        </is>
      </c>
      <c r="G282" t="n">
        <v>2.8</v>
      </c>
      <c r="H282" t="n">
        <v>1</v>
      </c>
      <c r="I282" t="n">
        <v>1</v>
      </c>
      <c r="J282" t="n">
        <v>0</v>
      </c>
      <c r="K282" t="n">
        <v>0</v>
      </c>
      <c r="L282" t="n">
        <v>0</v>
      </c>
      <c r="M282" t="n">
        <v>0</v>
      </c>
      <c r="N282" t="n">
        <v>0</v>
      </c>
      <c r="O282" t="n">
        <v>0</v>
      </c>
      <c r="P282" t="n">
        <v>0</v>
      </c>
      <c r="Q282" t="n">
        <v>2</v>
      </c>
      <c r="R282" s="2" t="inlineStr">
        <is>
          <t>Stuplav
Gråspett</t>
        </is>
      </c>
      <c r="S282">
        <f>HYPERLINK("https://klasma.github.io/Logging_2283/artfynd/A 57987-2025 artfynd.xlsx", "A 57987-2025")</f>
        <v/>
      </c>
      <c r="T282">
        <f>HYPERLINK("https://klasma.github.io/Logging_2283/kartor/A 57987-2025 karta.png", "A 57987-2025")</f>
        <v/>
      </c>
      <c r="V282">
        <f>HYPERLINK("https://klasma.github.io/Logging_2283/klagomål/A 57987-2025 FSC-klagomål.docx", "A 57987-2025")</f>
        <v/>
      </c>
      <c r="W282">
        <f>HYPERLINK("https://klasma.github.io/Logging_2283/klagomålsmail/A 57987-2025 FSC-klagomål mail.docx", "A 57987-2025")</f>
        <v/>
      </c>
      <c r="X282">
        <f>HYPERLINK("https://klasma.github.io/Logging_2283/tillsyn/A 57987-2025 tillsynsbegäran.docx", "A 57987-2025")</f>
        <v/>
      </c>
      <c r="Y282">
        <f>HYPERLINK("https://klasma.github.io/Logging_2283/tillsynsmail/A 57987-2025 tillsynsbegäran mail.docx", "A 57987-2025")</f>
        <v/>
      </c>
      <c r="Z282">
        <f>HYPERLINK("https://klasma.github.io/Logging_2283/fåglar/A 57987-2025 prioriterade fågelarter.docx", "A 57987-2025")</f>
        <v/>
      </c>
    </row>
    <row r="283" ht="15" customHeight="1">
      <c r="A283" t="inlineStr">
        <is>
          <t>A 40190-2025</t>
        </is>
      </c>
      <c r="B283" s="1" t="n">
        <v>45894</v>
      </c>
      <c r="C283" s="1" t="n">
        <v>46199</v>
      </c>
      <c r="D283" t="inlineStr">
        <is>
          <t>VÄSTERNORRLANDS LÄN</t>
        </is>
      </c>
      <c r="E283" t="inlineStr">
        <is>
          <t>SOLLEFTEÅ</t>
        </is>
      </c>
      <c r="F283" t="inlineStr">
        <is>
          <t>SCA</t>
        </is>
      </c>
      <c r="G283" t="n">
        <v>6.5</v>
      </c>
      <c r="H283" t="n">
        <v>1</v>
      </c>
      <c r="I283" t="n">
        <v>0</v>
      </c>
      <c r="J283" t="n">
        <v>1</v>
      </c>
      <c r="K283" t="n">
        <v>0</v>
      </c>
      <c r="L283" t="n">
        <v>0</v>
      </c>
      <c r="M283" t="n">
        <v>0</v>
      </c>
      <c r="N283" t="n">
        <v>0</v>
      </c>
      <c r="O283" t="n">
        <v>1</v>
      </c>
      <c r="P283" t="n">
        <v>0</v>
      </c>
      <c r="Q283" t="n">
        <v>2</v>
      </c>
      <c r="R283" s="2" t="inlineStr">
        <is>
          <t>Ullticka
Spillkråka</t>
        </is>
      </c>
      <c r="S283">
        <f>HYPERLINK("https://klasma.github.io/Logging_2283/artfynd/A 40190-2025 artfynd.xlsx", "A 40190-2025")</f>
        <v/>
      </c>
      <c r="T283">
        <f>HYPERLINK("https://klasma.github.io/Logging_2283/kartor/A 40190-2025 karta.png", "A 40190-2025")</f>
        <v/>
      </c>
      <c r="V283">
        <f>HYPERLINK("https://klasma.github.io/Logging_2283/klagomål/A 40190-2025 FSC-klagomål.docx", "A 40190-2025")</f>
        <v/>
      </c>
      <c r="W283">
        <f>HYPERLINK("https://klasma.github.io/Logging_2283/klagomålsmail/A 40190-2025 FSC-klagomål mail.docx", "A 40190-2025")</f>
        <v/>
      </c>
      <c r="X283">
        <f>HYPERLINK("https://klasma.github.io/Logging_2283/tillsyn/A 40190-2025 tillsynsbegäran.docx", "A 40190-2025")</f>
        <v/>
      </c>
      <c r="Y283">
        <f>HYPERLINK("https://klasma.github.io/Logging_2283/tillsynsmail/A 40190-2025 tillsynsbegäran mail.docx", "A 40190-2025")</f>
        <v/>
      </c>
      <c r="Z283">
        <f>HYPERLINK("https://klasma.github.io/Logging_2283/fåglar/A 40190-2025 prioriterade fågelarter.docx", "A 40190-2025")</f>
        <v/>
      </c>
    </row>
    <row r="284" ht="15" customHeight="1">
      <c r="A284" t="inlineStr">
        <is>
          <t>A 41472-2025</t>
        </is>
      </c>
      <c r="B284" s="1" t="n">
        <v>45901</v>
      </c>
      <c r="C284" s="1" t="n">
        <v>46199</v>
      </c>
      <c r="D284" t="inlineStr">
        <is>
          <t>VÄSTERNORRLANDS LÄN</t>
        </is>
      </c>
      <c r="E284" t="inlineStr">
        <is>
          <t>SOLLEFTEÅ</t>
        </is>
      </c>
      <c r="F284" t="inlineStr">
        <is>
          <t>SCA</t>
        </is>
      </c>
      <c r="G284" t="n">
        <v>6.1</v>
      </c>
      <c r="H284" t="n">
        <v>1</v>
      </c>
      <c r="I284" t="n">
        <v>0</v>
      </c>
      <c r="J284" t="n">
        <v>2</v>
      </c>
      <c r="K284" t="n">
        <v>0</v>
      </c>
      <c r="L284" t="n">
        <v>0</v>
      </c>
      <c r="M284" t="n">
        <v>0</v>
      </c>
      <c r="N284" t="n">
        <v>0</v>
      </c>
      <c r="O284" t="n">
        <v>2</v>
      </c>
      <c r="P284" t="n">
        <v>0</v>
      </c>
      <c r="Q284" t="n">
        <v>2</v>
      </c>
      <c r="R284" s="2" t="inlineStr">
        <is>
          <t>Skogshare
Tretåig hackspett</t>
        </is>
      </c>
      <c r="S284">
        <f>HYPERLINK("https://klasma.github.io/Logging_2283/artfynd/A 41472-2025 artfynd.xlsx", "A 41472-2025")</f>
        <v/>
      </c>
      <c r="T284">
        <f>HYPERLINK("https://klasma.github.io/Logging_2283/kartor/A 41472-2025 karta.png", "A 41472-2025")</f>
        <v/>
      </c>
      <c r="V284">
        <f>HYPERLINK("https://klasma.github.io/Logging_2283/klagomål/A 41472-2025 FSC-klagomål.docx", "A 41472-2025")</f>
        <v/>
      </c>
      <c r="W284">
        <f>HYPERLINK("https://klasma.github.io/Logging_2283/klagomålsmail/A 41472-2025 FSC-klagomål mail.docx", "A 41472-2025")</f>
        <v/>
      </c>
      <c r="X284">
        <f>HYPERLINK("https://klasma.github.io/Logging_2283/tillsyn/A 41472-2025 tillsynsbegäran.docx", "A 41472-2025")</f>
        <v/>
      </c>
      <c r="Y284">
        <f>HYPERLINK("https://klasma.github.io/Logging_2283/tillsynsmail/A 41472-2025 tillsynsbegäran mail.docx", "A 41472-2025")</f>
        <v/>
      </c>
      <c r="Z284">
        <f>HYPERLINK("https://klasma.github.io/Logging_2283/fåglar/A 41472-2025 prioriterade fågelarter.docx", "A 41472-2025")</f>
        <v/>
      </c>
    </row>
    <row r="285" ht="15" customHeight="1">
      <c r="A285" t="inlineStr">
        <is>
          <t>A 38100-2023</t>
        </is>
      </c>
      <c r="B285" s="1" t="n">
        <v>45160</v>
      </c>
      <c r="C285" s="1" t="n">
        <v>46199</v>
      </c>
      <c r="D285" t="inlineStr">
        <is>
          <t>VÄSTERNORRLANDS LÄN</t>
        </is>
      </c>
      <c r="E285" t="inlineStr">
        <is>
          <t>SOLLEFTEÅ</t>
        </is>
      </c>
      <c r="F285" t="inlineStr">
        <is>
          <t>SCA</t>
        </is>
      </c>
      <c r="G285" t="n">
        <v>4.6</v>
      </c>
      <c r="H285" t="n">
        <v>0</v>
      </c>
      <c r="I285" t="n">
        <v>0</v>
      </c>
      <c r="J285" t="n">
        <v>2</v>
      </c>
      <c r="K285" t="n">
        <v>0</v>
      </c>
      <c r="L285" t="n">
        <v>0</v>
      </c>
      <c r="M285" t="n">
        <v>0</v>
      </c>
      <c r="N285" t="n">
        <v>0</v>
      </c>
      <c r="O285" t="n">
        <v>2</v>
      </c>
      <c r="P285" t="n">
        <v>0</v>
      </c>
      <c r="Q285" t="n">
        <v>2</v>
      </c>
      <c r="R285" s="2" t="inlineStr">
        <is>
          <t>Doftskinn
Ullticka</t>
        </is>
      </c>
      <c r="S285">
        <f>HYPERLINK("https://klasma.github.io/Logging_2283/artfynd/A 38100-2023 artfynd.xlsx", "A 38100-2023")</f>
        <v/>
      </c>
      <c r="T285">
        <f>HYPERLINK("https://klasma.github.io/Logging_2283/kartor/A 38100-2023 karta.png", "A 38100-2023")</f>
        <v/>
      </c>
      <c r="V285">
        <f>HYPERLINK("https://klasma.github.io/Logging_2283/klagomål/A 38100-2023 FSC-klagomål.docx", "A 38100-2023")</f>
        <v/>
      </c>
      <c r="W285">
        <f>HYPERLINK("https://klasma.github.io/Logging_2283/klagomålsmail/A 38100-2023 FSC-klagomål mail.docx", "A 38100-2023")</f>
        <v/>
      </c>
      <c r="X285">
        <f>HYPERLINK("https://klasma.github.io/Logging_2283/tillsyn/A 38100-2023 tillsynsbegäran.docx", "A 38100-2023")</f>
        <v/>
      </c>
      <c r="Y285">
        <f>HYPERLINK("https://klasma.github.io/Logging_2283/tillsynsmail/A 38100-2023 tillsynsbegäran mail.docx", "A 38100-2023")</f>
        <v/>
      </c>
    </row>
    <row r="286" ht="15" customHeight="1">
      <c r="A286" t="inlineStr">
        <is>
          <t>A 60596-2025</t>
        </is>
      </c>
      <c r="B286" s="1" t="n">
        <v>45996</v>
      </c>
      <c r="C286" s="1" t="n">
        <v>46199</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46784-2025</t>
        </is>
      </c>
      <c r="B287" s="1" t="n">
        <v>45926</v>
      </c>
      <c r="C287" s="1" t="n">
        <v>46199</v>
      </c>
      <c r="D287" t="inlineStr">
        <is>
          <t>VÄSTERNORRLANDS LÄN</t>
        </is>
      </c>
      <c r="E287" t="inlineStr">
        <is>
          <t>SOLLEFTEÅ</t>
        </is>
      </c>
      <c r="G287" t="n">
        <v>7.3</v>
      </c>
      <c r="H287" t="n">
        <v>2</v>
      </c>
      <c r="I287" t="n">
        <v>0</v>
      </c>
      <c r="J287" t="n">
        <v>0</v>
      </c>
      <c r="K287" t="n">
        <v>1</v>
      </c>
      <c r="L287" t="n">
        <v>0</v>
      </c>
      <c r="M287" t="n">
        <v>0</v>
      </c>
      <c r="N287" t="n">
        <v>0</v>
      </c>
      <c r="O287" t="n">
        <v>1</v>
      </c>
      <c r="P287" t="n">
        <v>1</v>
      </c>
      <c r="Q287" t="n">
        <v>2</v>
      </c>
      <c r="R287" s="2" t="inlineStr">
        <is>
          <t>Violett guldvinge
Mattlummer</t>
        </is>
      </c>
      <c r="S287">
        <f>HYPERLINK("https://klasma.github.io/Logging_2283/artfynd/A 46784-2025 artfynd.xlsx", "A 46784-2025")</f>
        <v/>
      </c>
      <c r="T287">
        <f>HYPERLINK("https://klasma.github.io/Logging_2283/kartor/A 46784-2025 karta.png", "A 46784-2025")</f>
        <v/>
      </c>
      <c r="V287">
        <f>HYPERLINK("https://klasma.github.io/Logging_2283/klagomål/A 46784-2025 FSC-klagomål.docx", "A 46784-2025")</f>
        <v/>
      </c>
      <c r="W287">
        <f>HYPERLINK("https://klasma.github.io/Logging_2283/klagomålsmail/A 46784-2025 FSC-klagomål mail.docx", "A 46784-2025")</f>
        <v/>
      </c>
      <c r="X287">
        <f>HYPERLINK("https://klasma.github.io/Logging_2283/tillsyn/A 46784-2025 tillsynsbegäran.docx", "A 46784-2025")</f>
        <v/>
      </c>
      <c r="Y287">
        <f>HYPERLINK("https://klasma.github.io/Logging_2283/tillsynsmail/A 46784-2025 tillsynsbegäran mail.docx", "A 46784-2025")</f>
        <v/>
      </c>
    </row>
    <row r="288" ht="15" customHeight="1">
      <c r="A288" t="inlineStr">
        <is>
          <t>A 46898-2025</t>
        </is>
      </c>
      <c r="B288" s="1" t="n">
        <v>45929</v>
      </c>
      <c r="C288" s="1" t="n">
        <v>46199</v>
      </c>
      <c r="D288" t="inlineStr">
        <is>
          <t>VÄSTERNORRLANDS LÄN</t>
        </is>
      </c>
      <c r="E288" t="inlineStr">
        <is>
          <t>SOLLEFTEÅ</t>
        </is>
      </c>
      <c r="F288" t="inlineStr">
        <is>
          <t>SCA</t>
        </is>
      </c>
      <c r="G288" t="n">
        <v>5.7</v>
      </c>
      <c r="H288" t="n">
        <v>2</v>
      </c>
      <c r="I288" t="n">
        <v>0</v>
      </c>
      <c r="J288" t="n">
        <v>2</v>
      </c>
      <c r="K288" t="n">
        <v>0</v>
      </c>
      <c r="L288" t="n">
        <v>0</v>
      </c>
      <c r="M288" t="n">
        <v>0</v>
      </c>
      <c r="N288" t="n">
        <v>0</v>
      </c>
      <c r="O288" t="n">
        <v>2</v>
      </c>
      <c r="P288" t="n">
        <v>0</v>
      </c>
      <c r="Q288" t="n">
        <v>2</v>
      </c>
      <c r="R288" s="2" t="inlineStr">
        <is>
          <t>Talltita
Tretåig hackspett</t>
        </is>
      </c>
      <c r="S288">
        <f>HYPERLINK("https://klasma.github.io/Logging_2283/artfynd/A 46898-2025 artfynd.xlsx", "A 46898-2025")</f>
        <v/>
      </c>
      <c r="T288">
        <f>HYPERLINK("https://klasma.github.io/Logging_2283/kartor/A 46898-2025 karta.png", "A 46898-2025")</f>
        <v/>
      </c>
      <c r="V288">
        <f>HYPERLINK("https://klasma.github.io/Logging_2283/klagomål/A 46898-2025 FSC-klagomål.docx", "A 46898-2025")</f>
        <v/>
      </c>
      <c r="W288">
        <f>HYPERLINK("https://klasma.github.io/Logging_2283/klagomålsmail/A 46898-2025 FSC-klagomål mail.docx", "A 46898-2025")</f>
        <v/>
      </c>
      <c r="X288">
        <f>HYPERLINK("https://klasma.github.io/Logging_2283/tillsyn/A 46898-2025 tillsynsbegäran.docx", "A 46898-2025")</f>
        <v/>
      </c>
      <c r="Y288">
        <f>HYPERLINK("https://klasma.github.io/Logging_2283/tillsynsmail/A 46898-2025 tillsynsbegäran mail.docx", "A 46898-2025")</f>
        <v/>
      </c>
      <c r="Z288">
        <f>HYPERLINK("https://klasma.github.io/Logging_2283/fåglar/A 46898-2025 prioriterade fågelarter.docx", "A 46898-2025")</f>
        <v/>
      </c>
    </row>
    <row r="289" ht="15" customHeight="1">
      <c r="A289" t="inlineStr">
        <is>
          <t>A 61511-2025</t>
        </is>
      </c>
      <c r="B289" s="1" t="n">
        <v>46001</v>
      </c>
      <c r="C289" s="1" t="n">
        <v>46199</v>
      </c>
      <c r="D289" t="inlineStr">
        <is>
          <t>VÄSTERNORRLANDS LÄN</t>
        </is>
      </c>
      <c r="E289" t="inlineStr">
        <is>
          <t>SOLLEFTEÅ</t>
        </is>
      </c>
      <c r="F289" t="inlineStr">
        <is>
          <t>SCA</t>
        </is>
      </c>
      <c r="G289" t="n">
        <v>5.7</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61511-2025 artfynd.xlsx", "A 61511-2025")</f>
        <v/>
      </c>
      <c r="T289">
        <f>HYPERLINK("https://klasma.github.io/Logging_2283/kartor/A 61511-2025 karta.png", "A 61511-2025")</f>
        <v/>
      </c>
      <c r="V289">
        <f>HYPERLINK("https://klasma.github.io/Logging_2283/klagomål/A 61511-2025 FSC-klagomål.docx", "A 61511-2025")</f>
        <v/>
      </c>
      <c r="W289">
        <f>HYPERLINK("https://klasma.github.io/Logging_2283/klagomålsmail/A 61511-2025 FSC-klagomål mail.docx", "A 61511-2025")</f>
        <v/>
      </c>
      <c r="X289">
        <f>HYPERLINK("https://klasma.github.io/Logging_2283/tillsyn/A 61511-2025 tillsynsbegäran.docx", "A 61511-2025")</f>
        <v/>
      </c>
      <c r="Y289">
        <f>HYPERLINK("https://klasma.github.io/Logging_2283/tillsynsmail/A 61511-2025 tillsynsbegäran mail.docx", "A 61511-2025")</f>
        <v/>
      </c>
    </row>
    <row r="290" ht="15" customHeight="1">
      <c r="A290" t="inlineStr">
        <is>
          <t>A 39995-2024</t>
        </is>
      </c>
      <c r="B290" s="1" t="n">
        <v>45553</v>
      </c>
      <c r="C290" s="1" t="n">
        <v>46199</v>
      </c>
      <c r="D290" t="inlineStr">
        <is>
          <t>VÄSTERNORRLANDS LÄN</t>
        </is>
      </c>
      <c r="E290" t="inlineStr">
        <is>
          <t>SOLLEFTEÅ</t>
        </is>
      </c>
      <c r="F290" t="inlineStr">
        <is>
          <t>SCA</t>
        </is>
      </c>
      <c r="G290" t="n">
        <v>3.5</v>
      </c>
      <c r="H290" t="n">
        <v>0</v>
      </c>
      <c r="I290" t="n">
        <v>0</v>
      </c>
      <c r="J290" t="n">
        <v>1</v>
      </c>
      <c r="K290" t="n">
        <v>1</v>
      </c>
      <c r="L290" t="n">
        <v>0</v>
      </c>
      <c r="M290" t="n">
        <v>0</v>
      </c>
      <c r="N290" t="n">
        <v>0</v>
      </c>
      <c r="O290" t="n">
        <v>2</v>
      </c>
      <c r="P290" t="n">
        <v>1</v>
      </c>
      <c r="Q290" t="n">
        <v>2</v>
      </c>
      <c r="R290" s="2" t="inlineStr">
        <is>
          <t>Garnlav
Vedskivlav</t>
        </is>
      </c>
      <c r="S290">
        <f>HYPERLINK("https://klasma.github.io/Logging_2283/artfynd/A 39995-2024 artfynd.xlsx", "A 39995-2024")</f>
        <v/>
      </c>
      <c r="T290">
        <f>HYPERLINK("https://klasma.github.io/Logging_2283/kartor/A 39995-2024 karta.png", "A 39995-2024")</f>
        <v/>
      </c>
      <c r="V290">
        <f>HYPERLINK("https://klasma.github.io/Logging_2283/klagomål/A 39995-2024 FSC-klagomål.docx", "A 39995-2024")</f>
        <v/>
      </c>
      <c r="W290">
        <f>HYPERLINK("https://klasma.github.io/Logging_2283/klagomålsmail/A 39995-2024 FSC-klagomål mail.docx", "A 39995-2024")</f>
        <v/>
      </c>
      <c r="X290">
        <f>HYPERLINK("https://klasma.github.io/Logging_2283/tillsyn/A 39995-2024 tillsynsbegäran.docx", "A 39995-2024")</f>
        <v/>
      </c>
      <c r="Y290">
        <f>HYPERLINK("https://klasma.github.io/Logging_2283/tillsynsmail/A 39995-2024 tillsynsbegäran mail.docx", "A 39995-2024")</f>
        <v/>
      </c>
    </row>
    <row r="291" ht="15" customHeight="1">
      <c r="A291" t="inlineStr">
        <is>
          <t>A 31338-2025</t>
        </is>
      </c>
      <c r="B291" s="1" t="n">
        <v>45833</v>
      </c>
      <c r="C291" s="1" t="n">
        <v>46199</v>
      </c>
      <c r="D291" t="inlineStr">
        <is>
          <t>VÄSTERNORRLANDS LÄN</t>
        </is>
      </c>
      <c r="E291" t="inlineStr">
        <is>
          <t>SOLLEFTEÅ</t>
        </is>
      </c>
      <c r="F291" t="inlineStr">
        <is>
          <t>SCA</t>
        </is>
      </c>
      <c r="G291" t="n">
        <v>2.1</v>
      </c>
      <c r="H291" t="n">
        <v>0</v>
      </c>
      <c r="I291" t="n">
        <v>0</v>
      </c>
      <c r="J291" t="n">
        <v>2</v>
      </c>
      <c r="K291" t="n">
        <v>0</v>
      </c>
      <c r="L291" t="n">
        <v>0</v>
      </c>
      <c r="M291" t="n">
        <v>0</v>
      </c>
      <c r="N291" t="n">
        <v>0</v>
      </c>
      <c r="O291" t="n">
        <v>2</v>
      </c>
      <c r="P291" t="n">
        <v>0</v>
      </c>
      <c r="Q291" t="n">
        <v>2</v>
      </c>
      <c r="R291" s="2" t="inlineStr">
        <is>
          <t>Kolflarnlav
Vedflamlav</t>
        </is>
      </c>
      <c r="S291">
        <f>HYPERLINK("https://klasma.github.io/Logging_2283/artfynd/A 31338-2025 artfynd.xlsx", "A 31338-2025")</f>
        <v/>
      </c>
      <c r="T291">
        <f>HYPERLINK("https://klasma.github.io/Logging_2283/kartor/A 31338-2025 karta.png", "A 31338-2025")</f>
        <v/>
      </c>
      <c r="V291">
        <f>HYPERLINK("https://klasma.github.io/Logging_2283/klagomål/A 31338-2025 FSC-klagomål.docx", "A 31338-2025")</f>
        <v/>
      </c>
      <c r="W291">
        <f>HYPERLINK("https://klasma.github.io/Logging_2283/klagomålsmail/A 31338-2025 FSC-klagomål mail.docx", "A 31338-2025")</f>
        <v/>
      </c>
      <c r="X291">
        <f>HYPERLINK("https://klasma.github.io/Logging_2283/tillsyn/A 31338-2025 tillsynsbegäran.docx", "A 31338-2025")</f>
        <v/>
      </c>
      <c r="Y291">
        <f>HYPERLINK("https://klasma.github.io/Logging_2283/tillsynsmail/A 31338-2025 tillsynsbegäran mail.docx", "A 31338-2025")</f>
        <v/>
      </c>
    </row>
    <row r="292" ht="15" customHeight="1">
      <c r="A292" t="inlineStr">
        <is>
          <t>A 62311-2025</t>
        </is>
      </c>
      <c r="B292" s="1" t="n">
        <v>46006</v>
      </c>
      <c r="C292" s="1" t="n">
        <v>46199</v>
      </c>
      <c r="D292" t="inlineStr">
        <is>
          <t>VÄSTERNORRLANDS LÄN</t>
        </is>
      </c>
      <c r="E292" t="inlineStr">
        <is>
          <t>SOLLEFTEÅ</t>
        </is>
      </c>
      <c r="F292" t="inlineStr">
        <is>
          <t>SCA</t>
        </is>
      </c>
      <c r="G292" t="n">
        <v>6.4</v>
      </c>
      <c r="H292" t="n">
        <v>2</v>
      </c>
      <c r="I292" t="n">
        <v>0</v>
      </c>
      <c r="J292" t="n">
        <v>0</v>
      </c>
      <c r="K292" t="n">
        <v>0</v>
      </c>
      <c r="L292" t="n">
        <v>0</v>
      </c>
      <c r="M292" t="n">
        <v>0</v>
      </c>
      <c r="N292" t="n">
        <v>0</v>
      </c>
      <c r="O292" t="n">
        <v>0</v>
      </c>
      <c r="P292" t="n">
        <v>0</v>
      </c>
      <c r="Q292" t="n">
        <v>2</v>
      </c>
      <c r="R292" s="2" t="inlineStr">
        <is>
          <t>Orre
Fläcknycklar</t>
        </is>
      </c>
      <c r="S292">
        <f>HYPERLINK("https://klasma.github.io/Logging_2283/artfynd/A 62311-2025 artfynd.xlsx", "A 62311-2025")</f>
        <v/>
      </c>
      <c r="T292">
        <f>HYPERLINK("https://klasma.github.io/Logging_2283/kartor/A 62311-2025 karta.png", "A 62311-2025")</f>
        <v/>
      </c>
      <c r="V292">
        <f>HYPERLINK("https://klasma.github.io/Logging_2283/klagomål/A 62311-2025 FSC-klagomål.docx", "A 62311-2025")</f>
        <v/>
      </c>
      <c r="W292">
        <f>HYPERLINK("https://klasma.github.io/Logging_2283/klagomålsmail/A 62311-2025 FSC-klagomål mail.docx", "A 62311-2025")</f>
        <v/>
      </c>
      <c r="X292">
        <f>HYPERLINK("https://klasma.github.io/Logging_2283/tillsyn/A 62311-2025 tillsynsbegäran.docx", "A 62311-2025")</f>
        <v/>
      </c>
      <c r="Y292">
        <f>HYPERLINK("https://klasma.github.io/Logging_2283/tillsynsmail/A 62311-2025 tillsynsbegäran mail.docx", "A 62311-2025")</f>
        <v/>
      </c>
      <c r="Z292">
        <f>HYPERLINK("https://klasma.github.io/Logging_2283/fåglar/A 62311-2025 prioriterade fågelarter.docx", "A 62311-2025")</f>
        <v/>
      </c>
    </row>
    <row r="293" ht="15" customHeight="1">
      <c r="A293" t="inlineStr">
        <is>
          <t>A 48526-2025</t>
        </is>
      </c>
      <c r="B293" s="1" t="n">
        <v>45936</v>
      </c>
      <c r="C293" s="1" t="n">
        <v>46199</v>
      </c>
      <c r="D293" t="inlineStr">
        <is>
          <t>VÄSTERNORRLANDS LÄN</t>
        </is>
      </c>
      <c r="E293" t="inlineStr">
        <is>
          <t>SOLLEFTEÅ</t>
        </is>
      </c>
      <c r="F293" t="inlineStr">
        <is>
          <t>SCA</t>
        </is>
      </c>
      <c r="G293" t="n">
        <v>6.9</v>
      </c>
      <c r="H293" t="n">
        <v>2</v>
      </c>
      <c r="I293" t="n">
        <v>0</v>
      </c>
      <c r="J293" t="n">
        <v>0</v>
      </c>
      <c r="K293" t="n">
        <v>0</v>
      </c>
      <c r="L293" t="n">
        <v>0</v>
      </c>
      <c r="M293" t="n">
        <v>0</v>
      </c>
      <c r="N293" t="n">
        <v>0</v>
      </c>
      <c r="O293" t="n">
        <v>0</v>
      </c>
      <c r="P293" t="n">
        <v>0</v>
      </c>
      <c r="Q293" t="n">
        <v>2</v>
      </c>
      <c r="R293" s="2" t="inlineStr">
        <is>
          <t>Fläcknycklar
Revlummer</t>
        </is>
      </c>
      <c r="S293">
        <f>HYPERLINK("https://klasma.github.io/Logging_2283/artfynd/A 48526-2025 artfynd.xlsx", "A 48526-2025")</f>
        <v/>
      </c>
      <c r="T293">
        <f>HYPERLINK("https://klasma.github.io/Logging_2283/kartor/A 48526-2025 karta.png", "A 48526-2025")</f>
        <v/>
      </c>
      <c r="V293">
        <f>HYPERLINK("https://klasma.github.io/Logging_2283/klagomål/A 48526-2025 FSC-klagomål.docx", "A 48526-2025")</f>
        <v/>
      </c>
      <c r="W293">
        <f>HYPERLINK("https://klasma.github.io/Logging_2283/klagomålsmail/A 48526-2025 FSC-klagomål mail.docx", "A 48526-2025")</f>
        <v/>
      </c>
      <c r="X293">
        <f>HYPERLINK("https://klasma.github.io/Logging_2283/tillsyn/A 48526-2025 tillsynsbegäran.docx", "A 48526-2025")</f>
        <v/>
      </c>
      <c r="Y293">
        <f>HYPERLINK("https://klasma.github.io/Logging_2283/tillsynsmail/A 48526-2025 tillsynsbegäran mail.docx", "A 48526-2025")</f>
        <v/>
      </c>
    </row>
    <row r="294" ht="15" customHeight="1">
      <c r="A294" t="inlineStr">
        <is>
          <t>A 32738-2025</t>
        </is>
      </c>
      <c r="B294" s="1" t="n">
        <v>45839</v>
      </c>
      <c r="C294" s="1" t="n">
        <v>46199</v>
      </c>
      <c r="D294" t="inlineStr">
        <is>
          <t>VÄSTERNORRLANDS LÄN</t>
        </is>
      </c>
      <c r="E294" t="inlineStr">
        <is>
          <t>SOLLEFTEÅ</t>
        </is>
      </c>
      <c r="G294" t="n">
        <v>3.1</v>
      </c>
      <c r="H294" t="n">
        <v>2</v>
      </c>
      <c r="I294" t="n">
        <v>0</v>
      </c>
      <c r="J294" t="n">
        <v>0</v>
      </c>
      <c r="K294" t="n">
        <v>0</v>
      </c>
      <c r="L294" t="n">
        <v>0</v>
      </c>
      <c r="M294" t="n">
        <v>0</v>
      </c>
      <c r="N294" t="n">
        <v>0</v>
      </c>
      <c r="O294" t="n">
        <v>0</v>
      </c>
      <c r="P294" t="n">
        <v>0</v>
      </c>
      <c r="Q294" t="n">
        <v>2</v>
      </c>
      <c r="R294" s="2" t="inlineStr">
        <is>
          <t>Spillkråka
Tjäder</t>
        </is>
      </c>
      <c r="S294">
        <f>HYPERLINK("https://klasma.github.io/Logging_2283/artfynd/A 32738-2025 artfynd.xlsx", "A 32738-2025")</f>
        <v/>
      </c>
      <c r="T294">
        <f>HYPERLINK("https://klasma.github.io/Logging_2283/kartor/A 32738-2025 karta.png", "A 32738-2025")</f>
        <v/>
      </c>
      <c r="V294">
        <f>HYPERLINK("https://klasma.github.io/Logging_2283/klagomål/A 32738-2025 FSC-klagomål.docx", "A 32738-2025")</f>
        <v/>
      </c>
      <c r="W294">
        <f>HYPERLINK("https://klasma.github.io/Logging_2283/klagomålsmail/A 32738-2025 FSC-klagomål mail.docx", "A 32738-2025")</f>
        <v/>
      </c>
      <c r="X294">
        <f>HYPERLINK("https://klasma.github.io/Logging_2283/tillsyn/A 32738-2025 tillsynsbegäran.docx", "A 32738-2025")</f>
        <v/>
      </c>
      <c r="Y294">
        <f>HYPERLINK("https://klasma.github.io/Logging_2283/tillsynsmail/A 32738-2025 tillsynsbegäran mail.docx", "A 32738-2025")</f>
        <v/>
      </c>
      <c r="Z294">
        <f>HYPERLINK("https://klasma.github.io/Logging_2283/fåglar/A 32738-2025 prioriterade fågelarter.docx", "A 32738-2025")</f>
        <v/>
      </c>
    </row>
    <row r="295" ht="15" customHeight="1">
      <c r="A295" t="inlineStr">
        <is>
          <t>A 34865-2025</t>
        </is>
      </c>
      <c r="B295" s="1" t="n">
        <v>45849</v>
      </c>
      <c r="C295" s="1" t="n">
        <v>46199</v>
      </c>
      <c r="D295" t="inlineStr">
        <is>
          <t>VÄSTERNORRLANDS LÄN</t>
        </is>
      </c>
      <c r="E295" t="inlineStr">
        <is>
          <t>SOLLEFTEÅ</t>
        </is>
      </c>
      <c r="G295" t="n">
        <v>3.3</v>
      </c>
      <c r="H295" t="n">
        <v>2</v>
      </c>
      <c r="I295" t="n">
        <v>0</v>
      </c>
      <c r="J295" t="n">
        <v>0</v>
      </c>
      <c r="K295" t="n">
        <v>0</v>
      </c>
      <c r="L295" t="n">
        <v>0</v>
      </c>
      <c r="M295" t="n">
        <v>0</v>
      </c>
      <c r="N295" t="n">
        <v>0</v>
      </c>
      <c r="O295" t="n">
        <v>0</v>
      </c>
      <c r="P295" t="n">
        <v>0</v>
      </c>
      <c r="Q295" t="n">
        <v>2</v>
      </c>
      <c r="R295" s="2" t="inlineStr">
        <is>
          <t>Spillkråka
Fläcknycklar</t>
        </is>
      </c>
      <c r="S295">
        <f>HYPERLINK("https://klasma.github.io/Logging_2283/artfynd/A 34865-2025 artfynd.xlsx", "A 34865-2025")</f>
        <v/>
      </c>
      <c r="T295">
        <f>HYPERLINK("https://klasma.github.io/Logging_2283/kartor/A 34865-2025 karta.png", "A 34865-2025")</f>
        <v/>
      </c>
      <c r="V295">
        <f>HYPERLINK("https://klasma.github.io/Logging_2283/klagomål/A 34865-2025 FSC-klagomål.docx", "A 34865-2025")</f>
        <v/>
      </c>
      <c r="W295">
        <f>HYPERLINK("https://klasma.github.io/Logging_2283/klagomålsmail/A 34865-2025 FSC-klagomål mail.docx", "A 34865-2025")</f>
        <v/>
      </c>
      <c r="X295">
        <f>HYPERLINK("https://klasma.github.io/Logging_2283/tillsyn/A 34865-2025 tillsynsbegäran.docx", "A 34865-2025")</f>
        <v/>
      </c>
      <c r="Y295">
        <f>HYPERLINK("https://klasma.github.io/Logging_2283/tillsynsmail/A 34865-2025 tillsynsbegäran mail.docx", "A 34865-2025")</f>
        <v/>
      </c>
      <c r="Z295">
        <f>HYPERLINK("https://klasma.github.io/Logging_2283/fåglar/A 34865-2025 prioriterade fågelarter.docx", "A 34865-2025")</f>
        <v/>
      </c>
    </row>
    <row r="296" ht="15" customHeight="1">
      <c r="A296" t="inlineStr">
        <is>
          <t>A 36912-2024</t>
        </is>
      </c>
      <c r="B296" s="1" t="n">
        <v>45538</v>
      </c>
      <c r="C296" s="1" t="n">
        <v>46199</v>
      </c>
      <c r="D296" t="inlineStr">
        <is>
          <t>VÄSTERNORRLANDS LÄN</t>
        </is>
      </c>
      <c r="E296" t="inlineStr">
        <is>
          <t>SOLLEFTEÅ</t>
        </is>
      </c>
      <c r="F296" t="inlineStr">
        <is>
          <t>SCA</t>
        </is>
      </c>
      <c r="G296" t="n">
        <v>2</v>
      </c>
      <c r="H296" t="n">
        <v>1</v>
      </c>
      <c r="I296" t="n">
        <v>0</v>
      </c>
      <c r="J296" t="n">
        <v>2</v>
      </c>
      <c r="K296" t="n">
        <v>0</v>
      </c>
      <c r="L296" t="n">
        <v>0</v>
      </c>
      <c r="M296" t="n">
        <v>0</v>
      </c>
      <c r="N296" t="n">
        <v>0</v>
      </c>
      <c r="O296" t="n">
        <v>2</v>
      </c>
      <c r="P296" t="n">
        <v>0</v>
      </c>
      <c r="Q296" t="n">
        <v>2</v>
      </c>
      <c r="R296" s="2" t="inlineStr">
        <is>
          <t>Talltita
Ullticka</t>
        </is>
      </c>
      <c r="S296">
        <f>HYPERLINK("https://klasma.github.io/Logging_2283/artfynd/A 36912-2024 artfynd.xlsx", "A 36912-2024")</f>
        <v/>
      </c>
      <c r="T296">
        <f>HYPERLINK("https://klasma.github.io/Logging_2283/kartor/A 36912-2024 karta.png", "A 36912-2024")</f>
        <v/>
      </c>
      <c r="V296">
        <f>HYPERLINK("https://klasma.github.io/Logging_2283/klagomål/A 36912-2024 FSC-klagomål.docx", "A 36912-2024")</f>
        <v/>
      </c>
      <c r="W296">
        <f>HYPERLINK("https://klasma.github.io/Logging_2283/klagomålsmail/A 36912-2024 FSC-klagomål mail.docx", "A 36912-2024")</f>
        <v/>
      </c>
      <c r="X296">
        <f>HYPERLINK("https://klasma.github.io/Logging_2283/tillsyn/A 36912-2024 tillsynsbegäran.docx", "A 36912-2024")</f>
        <v/>
      </c>
      <c r="Y296">
        <f>HYPERLINK("https://klasma.github.io/Logging_2283/tillsynsmail/A 36912-2024 tillsynsbegäran mail.docx", "A 36912-2024")</f>
        <v/>
      </c>
      <c r="Z296">
        <f>HYPERLINK("https://klasma.github.io/Logging_2283/fåglar/A 36912-2024 prioriterade fågelarter.docx", "A 36912-2024")</f>
        <v/>
      </c>
    </row>
    <row r="297" ht="15" customHeight="1">
      <c r="A297" t="inlineStr">
        <is>
          <t>A 54153-2021</t>
        </is>
      </c>
      <c r="B297" s="1" t="n">
        <v>44469</v>
      </c>
      <c r="C297" s="1" t="n">
        <v>46199</v>
      </c>
      <c r="D297" t="inlineStr">
        <is>
          <t>VÄSTERNORRLANDS LÄN</t>
        </is>
      </c>
      <c r="E297" t="inlineStr">
        <is>
          <t>SOLLEFTEÅ</t>
        </is>
      </c>
      <c r="G297" t="n">
        <v>1.4</v>
      </c>
      <c r="H297" t="n">
        <v>0</v>
      </c>
      <c r="I297" t="n">
        <v>0</v>
      </c>
      <c r="J297" t="n">
        <v>1</v>
      </c>
      <c r="K297" t="n">
        <v>1</v>
      </c>
      <c r="L297" t="n">
        <v>0</v>
      </c>
      <c r="M297" t="n">
        <v>0</v>
      </c>
      <c r="N297" t="n">
        <v>0</v>
      </c>
      <c r="O297" t="n">
        <v>2</v>
      </c>
      <c r="P297" t="n">
        <v>1</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37018-2025</t>
        </is>
      </c>
      <c r="B298" s="1" t="n">
        <v>45874</v>
      </c>
      <c r="C298" s="1" t="n">
        <v>46199</v>
      </c>
      <c r="D298" t="inlineStr">
        <is>
          <t>VÄSTERNORRLANDS LÄN</t>
        </is>
      </c>
      <c r="E298" t="inlineStr">
        <is>
          <t>SOLLEFTEÅ</t>
        </is>
      </c>
      <c r="G298" t="n">
        <v>3.6</v>
      </c>
      <c r="H298" t="n">
        <v>0</v>
      </c>
      <c r="I298" t="n">
        <v>0</v>
      </c>
      <c r="J298" t="n">
        <v>1</v>
      </c>
      <c r="K298" t="n">
        <v>1</v>
      </c>
      <c r="L298" t="n">
        <v>0</v>
      </c>
      <c r="M298" t="n">
        <v>0</v>
      </c>
      <c r="N298" t="n">
        <v>0</v>
      </c>
      <c r="O298" t="n">
        <v>2</v>
      </c>
      <c r="P298" t="n">
        <v>1</v>
      </c>
      <c r="Q298" t="n">
        <v>2</v>
      </c>
      <c r="R298" s="2" t="inlineStr">
        <is>
          <t>Garnlav
Ullticka</t>
        </is>
      </c>
      <c r="S298">
        <f>HYPERLINK("https://klasma.github.io/Logging_2283/artfynd/A 37018-2025 artfynd.xlsx", "A 37018-2025")</f>
        <v/>
      </c>
      <c r="T298">
        <f>HYPERLINK("https://klasma.github.io/Logging_2283/kartor/A 37018-2025 karta.png", "A 37018-2025")</f>
        <v/>
      </c>
      <c r="V298">
        <f>HYPERLINK("https://klasma.github.io/Logging_2283/klagomål/A 37018-2025 FSC-klagomål.docx", "A 37018-2025")</f>
        <v/>
      </c>
      <c r="W298">
        <f>HYPERLINK("https://klasma.github.io/Logging_2283/klagomålsmail/A 37018-2025 FSC-klagomål mail.docx", "A 37018-2025")</f>
        <v/>
      </c>
      <c r="X298">
        <f>HYPERLINK("https://klasma.github.io/Logging_2283/tillsyn/A 37018-2025 tillsynsbegäran.docx", "A 37018-2025")</f>
        <v/>
      </c>
      <c r="Y298">
        <f>HYPERLINK("https://klasma.github.io/Logging_2283/tillsynsmail/A 37018-2025 tillsynsbegäran mail.docx", "A 37018-2025")</f>
        <v/>
      </c>
    </row>
    <row r="299" ht="15" customHeight="1">
      <c r="A299" t="inlineStr">
        <is>
          <t>A 3873-2025</t>
        </is>
      </c>
      <c r="B299" s="1" t="n">
        <v>45684</v>
      </c>
      <c r="C299" s="1" t="n">
        <v>46199</v>
      </c>
      <c r="D299" t="inlineStr">
        <is>
          <t>VÄSTERNORRLANDS LÄN</t>
        </is>
      </c>
      <c r="E299" t="inlineStr">
        <is>
          <t>SOLLEFTEÅ</t>
        </is>
      </c>
      <c r="G299" t="n">
        <v>0.7</v>
      </c>
      <c r="H299" t="n">
        <v>0</v>
      </c>
      <c r="I299" t="n">
        <v>0</v>
      </c>
      <c r="J299" t="n">
        <v>1</v>
      </c>
      <c r="K299" t="n">
        <v>1</v>
      </c>
      <c r="L299" t="n">
        <v>0</v>
      </c>
      <c r="M299" t="n">
        <v>0</v>
      </c>
      <c r="N299" t="n">
        <v>0</v>
      </c>
      <c r="O299" t="n">
        <v>2</v>
      </c>
      <c r="P299" t="n">
        <v>1</v>
      </c>
      <c r="Q299" t="n">
        <v>2</v>
      </c>
      <c r="R299" s="2" t="inlineStr">
        <is>
          <t>Garnlav
Gammelgransskål</t>
        </is>
      </c>
      <c r="S299">
        <f>HYPERLINK("https://klasma.github.io/Logging_2283/artfynd/A 3873-2025 artfynd.xlsx", "A 3873-2025")</f>
        <v/>
      </c>
      <c r="T299">
        <f>HYPERLINK("https://klasma.github.io/Logging_2283/kartor/A 3873-2025 karta.png", "A 3873-2025")</f>
        <v/>
      </c>
      <c r="V299">
        <f>HYPERLINK("https://klasma.github.io/Logging_2283/klagomål/A 3873-2025 FSC-klagomål.docx", "A 3873-2025")</f>
        <v/>
      </c>
      <c r="W299">
        <f>HYPERLINK("https://klasma.github.io/Logging_2283/klagomålsmail/A 3873-2025 FSC-klagomål mail.docx", "A 3873-2025")</f>
        <v/>
      </c>
      <c r="X299">
        <f>HYPERLINK("https://klasma.github.io/Logging_2283/tillsyn/A 3873-2025 tillsynsbegäran.docx", "A 3873-2025")</f>
        <v/>
      </c>
      <c r="Y299">
        <f>HYPERLINK("https://klasma.github.io/Logging_2283/tillsynsmail/A 3873-2025 tillsynsbegäran mail.docx", "A 3873-2025")</f>
        <v/>
      </c>
    </row>
    <row r="300" ht="15" customHeight="1">
      <c r="A300" t="inlineStr">
        <is>
          <t>A 10793-2026</t>
        </is>
      </c>
      <c r="B300" s="1" t="n">
        <v>46078</v>
      </c>
      <c r="C300" s="1" t="n">
        <v>46199</v>
      </c>
      <c r="D300" t="inlineStr">
        <is>
          <t>VÄSTERNORRLANDS LÄN</t>
        </is>
      </c>
      <c r="E300" t="inlineStr">
        <is>
          <t>SOLLEFTEÅ</t>
        </is>
      </c>
      <c r="G300" t="n">
        <v>1.5</v>
      </c>
      <c r="H300" t="n">
        <v>0</v>
      </c>
      <c r="I300" t="n">
        <v>0</v>
      </c>
      <c r="J300" t="n">
        <v>1</v>
      </c>
      <c r="K300" t="n">
        <v>1</v>
      </c>
      <c r="L300" t="n">
        <v>0</v>
      </c>
      <c r="M300" t="n">
        <v>0</v>
      </c>
      <c r="N300" t="n">
        <v>0</v>
      </c>
      <c r="O300" t="n">
        <v>2</v>
      </c>
      <c r="P300" t="n">
        <v>1</v>
      </c>
      <c r="Q300" t="n">
        <v>2</v>
      </c>
      <c r="R300" s="2" t="inlineStr">
        <is>
          <t>Garnlav
Talltagel</t>
        </is>
      </c>
      <c r="S300">
        <f>HYPERLINK("https://klasma.github.io/Logging_2283/artfynd/A 10793-2026 artfynd.xlsx", "A 10793-2026")</f>
        <v/>
      </c>
      <c r="T300">
        <f>HYPERLINK("https://klasma.github.io/Logging_2283/kartor/A 10793-2026 karta.png", "A 10793-2026")</f>
        <v/>
      </c>
      <c r="V300">
        <f>HYPERLINK("https://klasma.github.io/Logging_2283/klagomål/A 10793-2026 FSC-klagomål.docx", "A 10793-2026")</f>
        <v/>
      </c>
      <c r="W300">
        <f>HYPERLINK("https://klasma.github.io/Logging_2283/klagomålsmail/A 10793-2026 FSC-klagomål mail.docx", "A 10793-2026")</f>
        <v/>
      </c>
      <c r="X300">
        <f>HYPERLINK("https://klasma.github.io/Logging_2283/tillsyn/A 10793-2026 tillsynsbegäran.docx", "A 10793-2026")</f>
        <v/>
      </c>
      <c r="Y300">
        <f>HYPERLINK("https://klasma.github.io/Logging_2283/tillsynsmail/A 10793-2026 tillsynsbegäran mail.docx", "A 10793-2026")</f>
        <v/>
      </c>
    </row>
    <row r="301" ht="15" customHeight="1">
      <c r="A301" t="inlineStr">
        <is>
          <t>A 10792-2026</t>
        </is>
      </c>
      <c r="B301" s="1" t="n">
        <v>46078</v>
      </c>
      <c r="C301" s="1" t="n">
        <v>46199</v>
      </c>
      <c r="D301" t="inlineStr">
        <is>
          <t>VÄSTERNORRLANDS LÄN</t>
        </is>
      </c>
      <c r="E301" t="inlineStr">
        <is>
          <t>SOLLEFTEÅ</t>
        </is>
      </c>
      <c r="G301" t="n">
        <v>2.4</v>
      </c>
      <c r="H301" t="n">
        <v>0</v>
      </c>
      <c r="I301" t="n">
        <v>0</v>
      </c>
      <c r="J301" t="n">
        <v>0</v>
      </c>
      <c r="K301" t="n">
        <v>2</v>
      </c>
      <c r="L301" t="n">
        <v>0</v>
      </c>
      <c r="M301" t="n">
        <v>0</v>
      </c>
      <c r="N301" t="n">
        <v>0</v>
      </c>
      <c r="O301" t="n">
        <v>2</v>
      </c>
      <c r="P301" t="n">
        <v>2</v>
      </c>
      <c r="Q301" t="n">
        <v>2</v>
      </c>
      <c r="R301" s="2" t="inlineStr">
        <is>
          <t>Garnlav
Mindre barkplattbagge</t>
        </is>
      </c>
      <c r="S301">
        <f>HYPERLINK("https://klasma.github.io/Logging_2283/artfynd/A 10792-2026 artfynd.xlsx", "A 10792-2026")</f>
        <v/>
      </c>
      <c r="T301">
        <f>HYPERLINK("https://klasma.github.io/Logging_2283/kartor/A 10792-2026 karta.png", "A 10792-2026")</f>
        <v/>
      </c>
      <c r="V301">
        <f>HYPERLINK("https://klasma.github.io/Logging_2283/klagomål/A 10792-2026 FSC-klagomål.docx", "A 10792-2026")</f>
        <v/>
      </c>
      <c r="W301">
        <f>HYPERLINK("https://klasma.github.io/Logging_2283/klagomålsmail/A 10792-2026 FSC-klagomål mail.docx", "A 10792-2026")</f>
        <v/>
      </c>
      <c r="X301">
        <f>HYPERLINK("https://klasma.github.io/Logging_2283/tillsyn/A 10792-2026 tillsynsbegäran.docx", "A 10792-2026")</f>
        <v/>
      </c>
      <c r="Y301">
        <f>HYPERLINK("https://klasma.github.io/Logging_2283/tillsynsmail/A 10792-2026 tillsynsbegäran mail.docx", "A 10792-2026")</f>
        <v/>
      </c>
    </row>
    <row r="302" ht="15" customHeight="1">
      <c r="A302" t="inlineStr">
        <is>
          <t>A 58880-2024</t>
        </is>
      </c>
      <c r="B302" s="1" t="n">
        <v>45636</v>
      </c>
      <c r="C302" s="1" t="n">
        <v>46199</v>
      </c>
      <c r="D302" t="inlineStr">
        <is>
          <t>VÄSTERNORRLANDS LÄN</t>
        </is>
      </c>
      <c r="E302" t="inlineStr">
        <is>
          <t>SOLLEFTEÅ</t>
        </is>
      </c>
      <c r="F302" t="inlineStr">
        <is>
          <t>SCA</t>
        </is>
      </c>
      <c r="G302" t="n">
        <v>2</v>
      </c>
      <c r="H302" t="n">
        <v>0</v>
      </c>
      <c r="I302" t="n">
        <v>0</v>
      </c>
      <c r="J302" t="n">
        <v>1</v>
      </c>
      <c r="K302" t="n">
        <v>1</v>
      </c>
      <c r="L302" t="n">
        <v>0</v>
      </c>
      <c r="M302" t="n">
        <v>0</v>
      </c>
      <c r="N302" t="n">
        <v>0</v>
      </c>
      <c r="O302" t="n">
        <v>2</v>
      </c>
      <c r="P302" t="n">
        <v>1</v>
      </c>
      <c r="Q302" t="n">
        <v>2</v>
      </c>
      <c r="R302" s="2" t="inlineStr">
        <is>
          <t>Garnlav
Gammelgransskål</t>
        </is>
      </c>
      <c r="S302">
        <f>HYPERLINK("https://klasma.github.io/Logging_2283/artfynd/A 58880-2024 artfynd.xlsx", "A 58880-2024")</f>
        <v/>
      </c>
      <c r="T302">
        <f>HYPERLINK("https://klasma.github.io/Logging_2283/kartor/A 58880-2024 karta.png", "A 58880-2024")</f>
        <v/>
      </c>
      <c r="V302">
        <f>HYPERLINK("https://klasma.github.io/Logging_2283/klagomål/A 58880-2024 FSC-klagomål.docx", "A 58880-2024")</f>
        <v/>
      </c>
      <c r="W302">
        <f>HYPERLINK("https://klasma.github.io/Logging_2283/klagomålsmail/A 58880-2024 FSC-klagomål mail.docx", "A 58880-2024")</f>
        <v/>
      </c>
      <c r="X302">
        <f>HYPERLINK("https://klasma.github.io/Logging_2283/tillsyn/A 58880-2024 tillsynsbegäran.docx", "A 58880-2024")</f>
        <v/>
      </c>
      <c r="Y302">
        <f>HYPERLINK("https://klasma.github.io/Logging_2283/tillsynsmail/A 58880-2024 tillsynsbegäran mail.docx", "A 58880-2024")</f>
        <v/>
      </c>
    </row>
    <row r="303" ht="15" customHeight="1">
      <c r="A303" t="inlineStr">
        <is>
          <t>A 49567-2024</t>
        </is>
      </c>
      <c r="B303" s="1" t="n">
        <v>45596</v>
      </c>
      <c r="C303" s="1" t="n">
        <v>46199</v>
      </c>
      <c r="D303" t="inlineStr">
        <is>
          <t>VÄSTERNORRLANDS LÄN</t>
        </is>
      </c>
      <c r="E303" t="inlineStr">
        <is>
          <t>SOLLEFTEÅ</t>
        </is>
      </c>
      <c r="F303" t="inlineStr">
        <is>
          <t>SCA</t>
        </is>
      </c>
      <c r="G303" t="n">
        <v>4.3</v>
      </c>
      <c r="H303" t="n">
        <v>1</v>
      </c>
      <c r="I303" t="n">
        <v>0</v>
      </c>
      <c r="J303" t="n">
        <v>0</v>
      </c>
      <c r="K303" t="n">
        <v>2</v>
      </c>
      <c r="L303" t="n">
        <v>0</v>
      </c>
      <c r="M303" t="n">
        <v>0</v>
      </c>
      <c r="N303" t="n">
        <v>0</v>
      </c>
      <c r="O303" t="n">
        <v>2</v>
      </c>
      <c r="P303" t="n">
        <v>2</v>
      </c>
      <c r="Q303" t="n">
        <v>2</v>
      </c>
      <c r="R303" s="2" t="inlineStr">
        <is>
          <t>Garnlav
Knärot</t>
        </is>
      </c>
      <c r="S303">
        <f>HYPERLINK("https://klasma.github.io/Logging_2283/artfynd/A 49567-2024 artfynd.xlsx", "A 49567-2024")</f>
        <v/>
      </c>
      <c r="T303">
        <f>HYPERLINK("https://klasma.github.io/Logging_2283/kartor/A 49567-2024 karta.png", "A 49567-2024")</f>
        <v/>
      </c>
      <c r="U303">
        <f>HYPERLINK("https://klasma.github.io/Logging_2283/knärot/A 49567-2024 karta knärot.png", "A 49567-2024")</f>
        <v/>
      </c>
      <c r="V303">
        <f>HYPERLINK("https://klasma.github.io/Logging_2283/klagomål/A 49567-2024 FSC-klagomål.docx", "A 49567-2024")</f>
        <v/>
      </c>
      <c r="W303">
        <f>HYPERLINK("https://klasma.github.io/Logging_2283/klagomålsmail/A 49567-2024 FSC-klagomål mail.docx", "A 49567-2024")</f>
        <v/>
      </c>
      <c r="X303">
        <f>HYPERLINK("https://klasma.github.io/Logging_2283/tillsyn/A 49567-2024 tillsynsbegäran.docx", "A 49567-2024")</f>
        <v/>
      </c>
      <c r="Y303">
        <f>HYPERLINK("https://klasma.github.io/Logging_2283/tillsynsmail/A 49567-2024 tillsynsbegäran mail.docx", "A 49567-2024")</f>
        <v/>
      </c>
    </row>
    <row r="304" ht="15" customHeight="1">
      <c r="A304" t="inlineStr">
        <is>
          <t>A 7837-2025</t>
        </is>
      </c>
      <c r="B304" s="1" t="n">
        <v>45706</v>
      </c>
      <c r="C304" s="1" t="n">
        <v>46199</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13323-2026</t>
        </is>
      </c>
      <c r="B305" s="1" t="n">
        <v>46094</v>
      </c>
      <c r="C305" s="1" t="n">
        <v>46199</v>
      </c>
      <c r="D305" t="inlineStr">
        <is>
          <t>VÄSTERNORRLANDS LÄN</t>
        </is>
      </c>
      <c r="E305" t="inlineStr">
        <is>
          <t>SOLLEFTEÅ</t>
        </is>
      </c>
      <c r="G305" t="n">
        <v>3.7</v>
      </c>
      <c r="H305" t="n">
        <v>0</v>
      </c>
      <c r="I305" t="n">
        <v>1</v>
      </c>
      <c r="J305" t="n">
        <v>1</v>
      </c>
      <c r="K305" t="n">
        <v>0</v>
      </c>
      <c r="L305" t="n">
        <v>0</v>
      </c>
      <c r="M305" t="n">
        <v>0</v>
      </c>
      <c r="N305" t="n">
        <v>0</v>
      </c>
      <c r="O305" t="n">
        <v>1</v>
      </c>
      <c r="P305" t="n">
        <v>0</v>
      </c>
      <c r="Q305" t="n">
        <v>2</v>
      </c>
      <c r="R305" s="2" t="inlineStr">
        <is>
          <t>Lunglav
Springkorn</t>
        </is>
      </c>
      <c r="S305">
        <f>HYPERLINK("https://klasma.github.io/Logging_2283/artfynd/A 13323-2026 artfynd.xlsx", "A 13323-2026")</f>
        <v/>
      </c>
      <c r="T305">
        <f>HYPERLINK("https://klasma.github.io/Logging_2283/kartor/A 13323-2026 karta.png", "A 13323-2026")</f>
        <v/>
      </c>
      <c r="V305">
        <f>HYPERLINK("https://klasma.github.io/Logging_2283/klagomål/A 13323-2026 FSC-klagomål.docx", "A 13323-2026")</f>
        <v/>
      </c>
      <c r="W305">
        <f>HYPERLINK("https://klasma.github.io/Logging_2283/klagomålsmail/A 13323-2026 FSC-klagomål mail.docx", "A 13323-2026")</f>
        <v/>
      </c>
      <c r="X305">
        <f>HYPERLINK("https://klasma.github.io/Logging_2283/tillsyn/A 13323-2026 tillsynsbegäran.docx", "A 13323-2026")</f>
        <v/>
      </c>
      <c r="Y305">
        <f>HYPERLINK("https://klasma.github.io/Logging_2283/tillsynsmail/A 13323-2026 tillsynsbegäran mail.docx", "A 13323-2026")</f>
        <v/>
      </c>
    </row>
    <row r="306" ht="15" customHeight="1">
      <c r="A306" t="inlineStr">
        <is>
          <t>A 58578-2024</t>
        </is>
      </c>
      <c r="B306" s="1" t="n">
        <v>45635</v>
      </c>
      <c r="C306" s="1" t="n">
        <v>46199</v>
      </c>
      <c r="D306" t="inlineStr">
        <is>
          <t>VÄSTERNORRLANDS LÄN</t>
        </is>
      </c>
      <c r="E306" t="inlineStr">
        <is>
          <t>SOLLEFTEÅ</t>
        </is>
      </c>
      <c r="G306" t="n">
        <v>2.2</v>
      </c>
      <c r="H306" t="n">
        <v>0</v>
      </c>
      <c r="I306" t="n">
        <v>1</v>
      </c>
      <c r="J306" t="n">
        <v>1</v>
      </c>
      <c r="K306" t="n">
        <v>0</v>
      </c>
      <c r="L306" t="n">
        <v>0</v>
      </c>
      <c r="M306" t="n">
        <v>0</v>
      </c>
      <c r="N306" t="n">
        <v>0</v>
      </c>
      <c r="O306" t="n">
        <v>1</v>
      </c>
      <c r="P306" t="n">
        <v>0</v>
      </c>
      <c r="Q306" t="n">
        <v>2</v>
      </c>
      <c r="R306" s="2" t="inlineStr">
        <is>
          <t>Lunglav
Gytterlav</t>
        </is>
      </c>
      <c r="S306">
        <f>HYPERLINK("https://klasma.github.io/Logging_2283/artfynd/A 58578-2024 artfynd.xlsx", "A 58578-2024")</f>
        <v/>
      </c>
      <c r="T306">
        <f>HYPERLINK("https://klasma.github.io/Logging_2283/kartor/A 58578-2024 karta.png", "A 58578-2024")</f>
        <v/>
      </c>
      <c r="V306">
        <f>HYPERLINK("https://klasma.github.io/Logging_2283/klagomål/A 58578-2024 FSC-klagomål.docx", "A 58578-2024")</f>
        <v/>
      </c>
      <c r="W306">
        <f>HYPERLINK("https://klasma.github.io/Logging_2283/klagomålsmail/A 58578-2024 FSC-klagomål mail.docx", "A 58578-2024")</f>
        <v/>
      </c>
      <c r="X306">
        <f>HYPERLINK("https://klasma.github.io/Logging_2283/tillsyn/A 58578-2024 tillsynsbegäran.docx", "A 58578-2024")</f>
        <v/>
      </c>
      <c r="Y306">
        <f>HYPERLINK("https://klasma.github.io/Logging_2283/tillsynsmail/A 58578-2024 tillsynsbegäran mail.docx", "A 58578-2024")</f>
        <v/>
      </c>
    </row>
    <row r="307" ht="15" customHeight="1">
      <c r="A307" t="inlineStr">
        <is>
          <t>A 38432-2022</t>
        </is>
      </c>
      <c r="B307" s="1" t="n">
        <v>44812</v>
      </c>
      <c r="C307" s="1" t="n">
        <v>46199</v>
      </c>
      <c r="D307" t="inlineStr">
        <is>
          <t>VÄSTERNORRLANDS LÄN</t>
        </is>
      </c>
      <c r="E307" t="inlineStr">
        <is>
          <t>SOLLEFTEÅ</t>
        </is>
      </c>
      <c r="G307" t="n">
        <v>2.9</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38432-2022 artfynd.xlsx", "A 38432-2022")</f>
        <v/>
      </c>
      <c r="T307">
        <f>HYPERLINK("https://klasma.github.io/Logging_2283/kartor/A 38432-2022 karta.png", "A 38432-2022")</f>
        <v/>
      </c>
      <c r="V307">
        <f>HYPERLINK("https://klasma.github.io/Logging_2283/klagomål/A 38432-2022 FSC-klagomål.docx", "A 38432-2022")</f>
        <v/>
      </c>
      <c r="W307">
        <f>HYPERLINK("https://klasma.github.io/Logging_2283/klagomålsmail/A 38432-2022 FSC-klagomål mail.docx", "A 38432-2022")</f>
        <v/>
      </c>
      <c r="X307">
        <f>HYPERLINK("https://klasma.github.io/Logging_2283/tillsyn/A 38432-2022 tillsynsbegäran.docx", "A 38432-2022")</f>
        <v/>
      </c>
      <c r="Y307">
        <f>HYPERLINK("https://klasma.github.io/Logging_2283/tillsynsmail/A 38432-2022 tillsynsbegäran mail.docx", "A 38432-2022")</f>
        <v/>
      </c>
    </row>
    <row r="308" ht="15" customHeight="1">
      <c r="A308" t="inlineStr">
        <is>
          <t>A 38017-2024</t>
        </is>
      </c>
      <c r="B308" s="1" t="n">
        <v>45544</v>
      </c>
      <c r="C308" s="1" t="n">
        <v>46199</v>
      </c>
      <c r="D308" t="inlineStr">
        <is>
          <t>VÄSTERNORRLANDS LÄN</t>
        </is>
      </c>
      <c r="E308" t="inlineStr">
        <is>
          <t>SOLLEFTEÅ</t>
        </is>
      </c>
      <c r="F308" t="inlineStr">
        <is>
          <t>SCA</t>
        </is>
      </c>
      <c r="G308" t="n">
        <v>1.9</v>
      </c>
      <c r="H308" t="n">
        <v>0</v>
      </c>
      <c r="I308" t="n">
        <v>1</v>
      </c>
      <c r="J308" t="n">
        <v>0</v>
      </c>
      <c r="K308" t="n">
        <v>1</v>
      </c>
      <c r="L308" t="n">
        <v>0</v>
      </c>
      <c r="M308" t="n">
        <v>0</v>
      </c>
      <c r="N308" t="n">
        <v>0</v>
      </c>
      <c r="O308" t="n">
        <v>1</v>
      </c>
      <c r="P308" t="n">
        <v>1</v>
      </c>
      <c r="Q308" t="n">
        <v>2</v>
      </c>
      <c r="R308" s="2" t="inlineStr">
        <is>
          <t>Garnlav
Bårdlav</t>
        </is>
      </c>
      <c r="S308">
        <f>HYPERLINK("https://klasma.github.io/Logging_2283/artfynd/A 38017-2024 artfynd.xlsx", "A 38017-2024")</f>
        <v/>
      </c>
      <c r="T308">
        <f>HYPERLINK("https://klasma.github.io/Logging_2283/kartor/A 38017-2024 karta.png", "A 38017-2024")</f>
        <v/>
      </c>
      <c r="V308">
        <f>HYPERLINK("https://klasma.github.io/Logging_2283/klagomål/A 38017-2024 FSC-klagomål.docx", "A 38017-2024")</f>
        <v/>
      </c>
      <c r="W308">
        <f>HYPERLINK("https://klasma.github.io/Logging_2283/klagomålsmail/A 38017-2024 FSC-klagomål mail.docx", "A 38017-2024")</f>
        <v/>
      </c>
      <c r="X308">
        <f>HYPERLINK("https://klasma.github.io/Logging_2283/tillsyn/A 38017-2024 tillsynsbegäran.docx", "A 38017-2024")</f>
        <v/>
      </c>
      <c r="Y308">
        <f>HYPERLINK("https://klasma.github.io/Logging_2283/tillsynsmail/A 38017-2024 tillsynsbegäran mail.docx", "A 38017-2024")</f>
        <v/>
      </c>
    </row>
    <row r="309" ht="15" customHeight="1">
      <c r="A309" t="inlineStr">
        <is>
          <t>A 54572-2024</t>
        </is>
      </c>
      <c r="B309" s="1" t="n">
        <v>45617</v>
      </c>
      <c r="C309" s="1" t="n">
        <v>46199</v>
      </c>
      <c r="D309" t="inlineStr">
        <is>
          <t>VÄSTERNORRLANDS LÄN</t>
        </is>
      </c>
      <c r="E309" t="inlineStr">
        <is>
          <t>SOLLEFTEÅ</t>
        </is>
      </c>
      <c r="G309" t="n">
        <v>28.2</v>
      </c>
      <c r="H309" t="n">
        <v>0</v>
      </c>
      <c r="I309" t="n">
        <v>0</v>
      </c>
      <c r="J309" t="n">
        <v>2</v>
      </c>
      <c r="K309" t="n">
        <v>0</v>
      </c>
      <c r="L309" t="n">
        <v>0</v>
      </c>
      <c r="M309" t="n">
        <v>0</v>
      </c>
      <c r="N309" t="n">
        <v>0</v>
      </c>
      <c r="O309" t="n">
        <v>2</v>
      </c>
      <c r="P309" t="n">
        <v>0</v>
      </c>
      <c r="Q309" t="n">
        <v>2</v>
      </c>
      <c r="R309" s="2" t="inlineStr">
        <is>
          <t>Rosenticka
Ullticka</t>
        </is>
      </c>
      <c r="S309">
        <f>HYPERLINK("https://klasma.github.io/Logging_2283/artfynd/A 54572-2024 artfynd.xlsx", "A 54572-2024")</f>
        <v/>
      </c>
      <c r="T309">
        <f>HYPERLINK("https://klasma.github.io/Logging_2283/kartor/A 54572-2024 karta.png", "A 54572-2024")</f>
        <v/>
      </c>
      <c r="V309">
        <f>HYPERLINK("https://klasma.github.io/Logging_2283/klagomål/A 54572-2024 FSC-klagomål.docx", "A 54572-2024")</f>
        <v/>
      </c>
      <c r="W309">
        <f>HYPERLINK("https://klasma.github.io/Logging_2283/klagomålsmail/A 54572-2024 FSC-klagomål mail.docx", "A 54572-2024")</f>
        <v/>
      </c>
      <c r="X309">
        <f>HYPERLINK("https://klasma.github.io/Logging_2283/tillsyn/A 54572-2024 tillsynsbegäran.docx", "A 54572-2024")</f>
        <v/>
      </c>
      <c r="Y309">
        <f>HYPERLINK("https://klasma.github.io/Logging_2283/tillsynsmail/A 54572-2024 tillsynsbegäran mail.docx", "A 54572-2024")</f>
        <v/>
      </c>
    </row>
    <row r="310" ht="15" customHeight="1">
      <c r="A310" t="inlineStr">
        <is>
          <t>A 17036-2026</t>
        </is>
      </c>
      <c r="B310" s="1" t="n">
        <v>46114</v>
      </c>
      <c r="C310" s="1" t="n">
        <v>46199</v>
      </c>
      <c r="D310" t="inlineStr">
        <is>
          <t>VÄSTERNORRLANDS LÄN</t>
        </is>
      </c>
      <c r="E310" t="inlineStr">
        <is>
          <t>SOLLEFTEÅ</t>
        </is>
      </c>
      <c r="F310" t="inlineStr">
        <is>
          <t>SCA</t>
        </is>
      </c>
      <c r="G310" t="n">
        <v>26.1</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17036-2026 artfynd.xlsx", "A 17036-2026")</f>
        <v/>
      </c>
      <c r="T310">
        <f>HYPERLINK("https://klasma.github.io/Logging_2283/kartor/A 17036-2026 karta.png", "A 17036-2026")</f>
        <v/>
      </c>
      <c r="V310">
        <f>HYPERLINK("https://klasma.github.io/Logging_2283/klagomål/A 17036-2026 FSC-klagomål.docx", "A 17036-2026")</f>
        <v/>
      </c>
      <c r="W310">
        <f>HYPERLINK("https://klasma.github.io/Logging_2283/klagomålsmail/A 17036-2026 FSC-klagomål mail.docx", "A 17036-2026")</f>
        <v/>
      </c>
      <c r="X310">
        <f>HYPERLINK("https://klasma.github.io/Logging_2283/tillsyn/A 17036-2026 tillsynsbegäran.docx", "A 17036-2026")</f>
        <v/>
      </c>
      <c r="Y310">
        <f>HYPERLINK("https://klasma.github.io/Logging_2283/tillsynsmail/A 17036-2026 tillsynsbegäran mail.docx", "A 17036-2026")</f>
        <v/>
      </c>
    </row>
    <row r="311" ht="15" customHeight="1">
      <c r="A311" t="inlineStr">
        <is>
          <t>A 20347-2025</t>
        </is>
      </c>
      <c r="B311" s="1" t="n">
        <v>45775</v>
      </c>
      <c r="C311" s="1" t="n">
        <v>46199</v>
      </c>
      <c r="D311" t="inlineStr">
        <is>
          <t>VÄSTERNORRLANDS LÄN</t>
        </is>
      </c>
      <c r="E311" t="inlineStr">
        <is>
          <t>SOLLEFTEÅ</t>
        </is>
      </c>
      <c r="G311" t="n">
        <v>8.699999999999999</v>
      </c>
      <c r="H311" t="n">
        <v>1</v>
      </c>
      <c r="I311" t="n">
        <v>1</v>
      </c>
      <c r="J311" t="n">
        <v>0</v>
      </c>
      <c r="K311" t="n">
        <v>0</v>
      </c>
      <c r="L311" t="n">
        <v>0</v>
      </c>
      <c r="M311" t="n">
        <v>0</v>
      </c>
      <c r="N311" t="n">
        <v>0</v>
      </c>
      <c r="O311" t="n">
        <v>0</v>
      </c>
      <c r="P311" t="n">
        <v>0</v>
      </c>
      <c r="Q311" t="n">
        <v>2</v>
      </c>
      <c r="R311" s="2" t="inlineStr">
        <is>
          <t>Gräsull
Fläcknycklar</t>
        </is>
      </c>
      <c r="S311">
        <f>HYPERLINK("https://klasma.github.io/Logging_2283/artfynd/A 20347-2025 artfynd.xlsx", "A 20347-2025")</f>
        <v/>
      </c>
      <c r="T311">
        <f>HYPERLINK("https://klasma.github.io/Logging_2283/kartor/A 20347-2025 karta.png", "A 20347-2025")</f>
        <v/>
      </c>
      <c r="V311">
        <f>HYPERLINK("https://klasma.github.io/Logging_2283/klagomål/A 20347-2025 FSC-klagomål.docx", "A 20347-2025")</f>
        <v/>
      </c>
      <c r="W311">
        <f>HYPERLINK("https://klasma.github.io/Logging_2283/klagomålsmail/A 20347-2025 FSC-klagomål mail.docx", "A 20347-2025")</f>
        <v/>
      </c>
      <c r="X311">
        <f>HYPERLINK("https://klasma.github.io/Logging_2283/tillsyn/A 20347-2025 tillsynsbegäran.docx", "A 20347-2025")</f>
        <v/>
      </c>
      <c r="Y311">
        <f>HYPERLINK("https://klasma.github.io/Logging_2283/tillsynsmail/A 20347-2025 tillsynsbegäran mail.docx", "A 20347-2025")</f>
        <v/>
      </c>
    </row>
    <row r="312" ht="15" customHeight="1">
      <c r="A312" t="inlineStr">
        <is>
          <t>A 5121-2025</t>
        </is>
      </c>
      <c r="B312" s="1" t="n">
        <v>45691</v>
      </c>
      <c r="C312" s="1" t="n">
        <v>46199</v>
      </c>
      <c r="D312" t="inlineStr">
        <is>
          <t>VÄSTERNORRLANDS LÄN</t>
        </is>
      </c>
      <c r="E312" t="inlineStr">
        <is>
          <t>SOLLEFTEÅ</t>
        </is>
      </c>
      <c r="G312" t="n">
        <v>3.4</v>
      </c>
      <c r="H312" t="n">
        <v>1</v>
      </c>
      <c r="I312" t="n">
        <v>0</v>
      </c>
      <c r="J312" t="n">
        <v>2</v>
      </c>
      <c r="K312" t="n">
        <v>0</v>
      </c>
      <c r="L312" t="n">
        <v>0</v>
      </c>
      <c r="M312" t="n">
        <v>0</v>
      </c>
      <c r="N312" t="n">
        <v>0</v>
      </c>
      <c r="O312" t="n">
        <v>2</v>
      </c>
      <c r="P312" t="n">
        <v>0</v>
      </c>
      <c r="Q312" t="n">
        <v>2</v>
      </c>
      <c r="R312" s="2" t="inlineStr">
        <is>
          <t>Tretåig hackspett
Ullticka</t>
        </is>
      </c>
      <c r="S312">
        <f>HYPERLINK("https://klasma.github.io/Logging_2283/artfynd/A 5121-2025 artfynd.xlsx", "A 5121-2025")</f>
        <v/>
      </c>
      <c r="T312">
        <f>HYPERLINK("https://klasma.github.io/Logging_2283/kartor/A 5121-2025 karta.png", "A 5121-2025")</f>
        <v/>
      </c>
      <c r="V312">
        <f>HYPERLINK("https://klasma.github.io/Logging_2283/klagomål/A 5121-2025 FSC-klagomål.docx", "A 5121-2025")</f>
        <v/>
      </c>
      <c r="W312">
        <f>HYPERLINK("https://klasma.github.io/Logging_2283/klagomålsmail/A 5121-2025 FSC-klagomål mail.docx", "A 5121-2025")</f>
        <v/>
      </c>
      <c r="X312">
        <f>HYPERLINK("https://klasma.github.io/Logging_2283/tillsyn/A 5121-2025 tillsynsbegäran.docx", "A 5121-2025")</f>
        <v/>
      </c>
      <c r="Y312">
        <f>HYPERLINK("https://klasma.github.io/Logging_2283/tillsynsmail/A 5121-2025 tillsynsbegäran mail.docx", "A 5121-2025")</f>
        <v/>
      </c>
      <c r="Z312">
        <f>HYPERLINK("https://klasma.github.io/Logging_2283/fåglar/A 5121-2025 prioriterade fågelarter.docx", "A 5121-2025")</f>
        <v/>
      </c>
    </row>
    <row r="313" ht="15" customHeight="1">
      <c r="A313" t="inlineStr">
        <is>
          <t>A 27572-2022</t>
        </is>
      </c>
      <c r="B313" s="1" t="n">
        <v>44742</v>
      </c>
      <c r="C313" s="1" t="n">
        <v>46199</v>
      </c>
      <c r="D313" t="inlineStr">
        <is>
          <t>VÄSTERNORRLANDS LÄN</t>
        </is>
      </c>
      <c r="E313" t="inlineStr">
        <is>
          <t>SOLLEFTEÅ</t>
        </is>
      </c>
      <c r="G313" t="n">
        <v>2.2</v>
      </c>
      <c r="H313" t="n">
        <v>0</v>
      </c>
      <c r="I313" t="n">
        <v>0</v>
      </c>
      <c r="J313" t="n">
        <v>2</v>
      </c>
      <c r="K313" t="n">
        <v>0</v>
      </c>
      <c r="L313" t="n">
        <v>0</v>
      </c>
      <c r="M313" t="n">
        <v>0</v>
      </c>
      <c r="N313" t="n">
        <v>0</v>
      </c>
      <c r="O313" t="n">
        <v>2</v>
      </c>
      <c r="P313" t="n">
        <v>0</v>
      </c>
      <c r="Q313" t="n">
        <v>2</v>
      </c>
      <c r="R313" s="2" t="inlineStr">
        <is>
          <t>Rosenticka
Ullticka</t>
        </is>
      </c>
      <c r="S313">
        <f>HYPERLINK("https://klasma.github.io/Logging_2283/artfynd/A 27572-2022 artfynd.xlsx", "A 27572-2022")</f>
        <v/>
      </c>
      <c r="T313">
        <f>HYPERLINK("https://klasma.github.io/Logging_2283/kartor/A 27572-2022 karta.png", "A 27572-2022")</f>
        <v/>
      </c>
      <c r="V313">
        <f>HYPERLINK("https://klasma.github.io/Logging_2283/klagomål/A 27572-2022 FSC-klagomål.docx", "A 27572-2022")</f>
        <v/>
      </c>
      <c r="W313">
        <f>HYPERLINK("https://klasma.github.io/Logging_2283/klagomålsmail/A 27572-2022 FSC-klagomål mail.docx", "A 27572-2022")</f>
        <v/>
      </c>
      <c r="X313">
        <f>HYPERLINK("https://klasma.github.io/Logging_2283/tillsyn/A 27572-2022 tillsynsbegäran.docx", "A 27572-2022")</f>
        <v/>
      </c>
      <c r="Y313">
        <f>HYPERLINK("https://klasma.github.io/Logging_2283/tillsynsmail/A 27572-2022 tillsynsbegäran mail.docx", "A 27572-2022")</f>
        <v/>
      </c>
    </row>
    <row r="314" ht="15" customHeight="1">
      <c r="A314" t="inlineStr">
        <is>
          <t>A 54734-2024</t>
        </is>
      </c>
      <c r="B314" s="1" t="n">
        <v>45618</v>
      </c>
      <c r="C314" s="1" t="n">
        <v>46199</v>
      </c>
      <c r="D314" t="inlineStr">
        <is>
          <t>VÄSTERNORRLANDS LÄN</t>
        </is>
      </c>
      <c r="E314" t="inlineStr">
        <is>
          <t>SOLLEFTEÅ</t>
        </is>
      </c>
      <c r="F314" t="inlineStr">
        <is>
          <t>SCA</t>
        </is>
      </c>
      <c r="G314" t="n">
        <v>3.2</v>
      </c>
      <c r="H314" t="n">
        <v>0</v>
      </c>
      <c r="I314" t="n">
        <v>0</v>
      </c>
      <c r="J314" t="n">
        <v>2</v>
      </c>
      <c r="K314" t="n">
        <v>0</v>
      </c>
      <c r="L314" t="n">
        <v>0</v>
      </c>
      <c r="M314" t="n">
        <v>0</v>
      </c>
      <c r="N314" t="n">
        <v>0</v>
      </c>
      <c r="O314" t="n">
        <v>2</v>
      </c>
      <c r="P314" t="n">
        <v>0</v>
      </c>
      <c r="Q314" t="n">
        <v>2</v>
      </c>
      <c r="R314" s="2" t="inlineStr">
        <is>
          <t>Ullticka
Vitgrynig nållav</t>
        </is>
      </c>
      <c r="S314">
        <f>HYPERLINK("https://klasma.github.io/Logging_2283/artfynd/A 54734-2024 artfynd.xlsx", "A 54734-2024")</f>
        <v/>
      </c>
      <c r="T314">
        <f>HYPERLINK("https://klasma.github.io/Logging_2283/kartor/A 54734-2024 karta.png", "A 54734-2024")</f>
        <v/>
      </c>
      <c r="V314">
        <f>HYPERLINK("https://klasma.github.io/Logging_2283/klagomål/A 54734-2024 FSC-klagomål.docx", "A 54734-2024")</f>
        <v/>
      </c>
      <c r="W314">
        <f>HYPERLINK("https://klasma.github.io/Logging_2283/klagomålsmail/A 54734-2024 FSC-klagomål mail.docx", "A 54734-2024")</f>
        <v/>
      </c>
      <c r="X314">
        <f>HYPERLINK("https://klasma.github.io/Logging_2283/tillsyn/A 54734-2024 tillsynsbegäran.docx", "A 54734-2024")</f>
        <v/>
      </c>
      <c r="Y314">
        <f>HYPERLINK("https://klasma.github.io/Logging_2283/tillsynsmail/A 54734-2024 tillsynsbegäran mail.docx", "A 54734-2024")</f>
        <v/>
      </c>
    </row>
    <row r="315" ht="15" customHeight="1">
      <c r="A315" t="inlineStr">
        <is>
          <t>A 45644-2023</t>
        </is>
      </c>
      <c r="B315" s="1" t="n">
        <v>45188</v>
      </c>
      <c r="C315" s="1" t="n">
        <v>46199</v>
      </c>
      <c r="D315" t="inlineStr">
        <is>
          <t>VÄSTERNORRLANDS LÄN</t>
        </is>
      </c>
      <c r="E315" t="inlineStr">
        <is>
          <t>SOLLEFTEÅ</t>
        </is>
      </c>
      <c r="F315" t="inlineStr">
        <is>
          <t>SCA</t>
        </is>
      </c>
      <c r="G315" t="n">
        <v>1</v>
      </c>
      <c r="H315" t="n">
        <v>1</v>
      </c>
      <c r="I315" t="n">
        <v>0</v>
      </c>
      <c r="J315" t="n">
        <v>1</v>
      </c>
      <c r="K315" t="n">
        <v>1</v>
      </c>
      <c r="L315" t="n">
        <v>0</v>
      </c>
      <c r="M315" t="n">
        <v>0</v>
      </c>
      <c r="N315" t="n">
        <v>0</v>
      </c>
      <c r="O315" t="n">
        <v>2</v>
      </c>
      <c r="P315" t="n">
        <v>1</v>
      </c>
      <c r="Q315" t="n">
        <v>2</v>
      </c>
      <c r="R315" s="2" t="inlineStr">
        <is>
          <t>Knärot
Rosenticka</t>
        </is>
      </c>
      <c r="S315">
        <f>HYPERLINK("https://klasma.github.io/Logging_2283/artfynd/A 45644-2023 artfynd.xlsx", "A 45644-2023")</f>
        <v/>
      </c>
      <c r="T315">
        <f>HYPERLINK("https://klasma.github.io/Logging_2283/kartor/A 45644-2023 karta.png", "A 45644-2023")</f>
        <v/>
      </c>
      <c r="U315">
        <f>HYPERLINK("https://klasma.github.io/Logging_2283/knärot/A 45644-2023 karta knärot.png", "A 45644-2023")</f>
        <v/>
      </c>
      <c r="V315">
        <f>HYPERLINK("https://klasma.github.io/Logging_2283/klagomål/A 45644-2023 FSC-klagomål.docx", "A 45644-2023")</f>
        <v/>
      </c>
      <c r="W315">
        <f>HYPERLINK("https://klasma.github.io/Logging_2283/klagomålsmail/A 45644-2023 FSC-klagomål mail.docx", "A 45644-2023")</f>
        <v/>
      </c>
      <c r="X315">
        <f>HYPERLINK("https://klasma.github.io/Logging_2283/tillsyn/A 45644-2023 tillsynsbegäran.docx", "A 45644-2023")</f>
        <v/>
      </c>
      <c r="Y315">
        <f>HYPERLINK("https://klasma.github.io/Logging_2283/tillsynsmail/A 45644-2023 tillsynsbegäran mail.docx", "A 45644-2023")</f>
        <v/>
      </c>
    </row>
    <row r="316" ht="15" customHeight="1">
      <c r="A316" t="inlineStr">
        <is>
          <t>A 49189-2025</t>
        </is>
      </c>
      <c r="B316" s="1" t="n">
        <v>45938</v>
      </c>
      <c r="C316" s="1" t="n">
        <v>46199</v>
      </c>
      <c r="D316" t="inlineStr">
        <is>
          <t>VÄSTERNORRLANDS LÄN</t>
        </is>
      </c>
      <c r="E316" t="inlineStr">
        <is>
          <t>SOLLEFTEÅ</t>
        </is>
      </c>
      <c r="F316" t="inlineStr">
        <is>
          <t>SCA</t>
        </is>
      </c>
      <c r="G316" t="n">
        <v>7.5</v>
      </c>
      <c r="H316" t="n">
        <v>1</v>
      </c>
      <c r="I316" t="n">
        <v>0</v>
      </c>
      <c r="J316" t="n">
        <v>1</v>
      </c>
      <c r="K316" t="n">
        <v>1</v>
      </c>
      <c r="L316" t="n">
        <v>0</v>
      </c>
      <c r="M316" t="n">
        <v>0</v>
      </c>
      <c r="N316" t="n">
        <v>0</v>
      </c>
      <c r="O316" t="n">
        <v>2</v>
      </c>
      <c r="P316" t="n">
        <v>1</v>
      </c>
      <c r="Q316" t="n">
        <v>2</v>
      </c>
      <c r="R316" s="2" t="inlineStr">
        <is>
          <t>Knärot
Rosenticka</t>
        </is>
      </c>
      <c r="S316">
        <f>HYPERLINK("https://klasma.github.io/Logging_2283/artfynd/A 49189-2025 artfynd.xlsx", "A 49189-2025")</f>
        <v/>
      </c>
      <c r="T316">
        <f>HYPERLINK("https://klasma.github.io/Logging_2283/kartor/A 49189-2025 karta.png", "A 49189-2025")</f>
        <v/>
      </c>
      <c r="U316">
        <f>HYPERLINK("https://klasma.github.io/Logging_2283/knärot/A 49189-2025 karta knärot.png", "A 49189-2025")</f>
        <v/>
      </c>
      <c r="V316">
        <f>HYPERLINK("https://klasma.github.io/Logging_2283/klagomål/A 49189-2025 FSC-klagomål.docx", "A 49189-2025")</f>
        <v/>
      </c>
      <c r="W316">
        <f>HYPERLINK("https://klasma.github.io/Logging_2283/klagomålsmail/A 49189-2025 FSC-klagomål mail.docx", "A 49189-2025")</f>
        <v/>
      </c>
      <c r="X316">
        <f>HYPERLINK("https://klasma.github.io/Logging_2283/tillsyn/A 49189-2025 tillsynsbegäran.docx", "A 49189-2025")</f>
        <v/>
      </c>
      <c r="Y316">
        <f>HYPERLINK("https://klasma.github.io/Logging_2283/tillsynsmail/A 49189-2025 tillsynsbegäran mail.docx", "A 49189-2025")</f>
        <v/>
      </c>
    </row>
    <row r="317" ht="15" customHeight="1">
      <c r="A317" t="inlineStr">
        <is>
          <t>A 15669-2022</t>
        </is>
      </c>
      <c r="B317" s="1" t="n">
        <v>44662</v>
      </c>
      <c r="C317" s="1" t="n">
        <v>46199</v>
      </c>
      <c r="D317" t="inlineStr">
        <is>
          <t>VÄSTERNORRLANDS LÄN</t>
        </is>
      </c>
      <c r="E317" t="inlineStr">
        <is>
          <t>SOLLEFTEÅ</t>
        </is>
      </c>
      <c r="G317" t="n">
        <v>12.1</v>
      </c>
      <c r="H317" t="n">
        <v>0</v>
      </c>
      <c r="I317" t="n">
        <v>1</v>
      </c>
      <c r="J317" t="n">
        <v>1</v>
      </c>
      <c r="K317" t="n">
        <v>0</v>
      </c>
      <c r="L317" t="n">
        <v>0</v>
      </c>
      <c r="M317" t="n">
        <v>0</v>
      </c>
      <c r="N317" t="n">
        <v>0</v>
      </c>
      <c r="O317" t="n">
        <v>1</v>
      </c>
      <c r="P317" t="n">
        <v>0</v>
      </c>
      <c r="Q317" t="n">
        <v>2</v>
      </c>
      <c r="R317" s="2" t="inlineStr">
        <is>
          <t>Ullticka
Skinnlav</t>
        </is>
      </c>
      <c r="S317">
        <f>HYPERLINK("https://klasma.github.io/Logging_2283/artfynd/A 15669-2022 artfynd.xlsx", "A 15669-2022")</f>
        <v/>
      </c>
      <c r="T317">
        <f>HYPERLINK("https://klasma.github.io/Logging_2283/kartor/A 15669-2022 karta.png", "A 15669-2022")</f>
        <v/>
      </c>
      <c r="V317">
        <f>HYPERLINK("https://klasma.github.io/Logging_2283/klagomål/A 15669-2022 FSC-klagomål.docx", "A 15669-2022")</f>
        <v/>
      </c>
      <c r="W317">
        <f>HYPERLINK("https://klasma.github.io/Logging_2283/klagomålsmail/A 15669-2022 FSC-klagomål mail.docx", "A 15669-2022")</f>
        <v/>
      </c>
      <c r="X317">
        <f>HYPERLINK("https://klasma.github.io/Logging_2283/tillsyn/A 15669-2022 tillsynsbegäran.docx", "A 15669-2022")</f>
        <v/>
      </c>
      <c r="Y317">
        <f>HYPERLINK("https://klasma.github.io/Logging_2283/tillsynsmail/A 15669-2022 tillsynsbegäran mail.docx", "A 15669-2022")</f>
        <v/>
      </c>
    </row>
    <row r="318" ht="15" customHeight="1">
      <c r="A318" t="inlineStr">
        <is>
          <t>A 10240-2025</t>
        </is>
      </c>
      <c r="B318" s="1" t="n">
        <v>45720</v>
      </c>
      <c r="C318" s="1" t="n">
        <v>46199</v>
      </c>
      <c r="D318" t="inlineStr">
        <is>
          <t>VÄSTERNORRLANDS LÄN</t>
        </is>
      </c>
      <c r="E318" t="inlineStr">
        <is>
          <t>SOLLEFTEÅ</t>
        </is>
      </c>
      <c r="F318" t="inlineStr">
        <is>
          <t>SCA</t>
        </is>
      </c>
      <c r="G318" t="n">
        <v>18.8</v>
      </c>
      <c r="H318" t="n">
        <v>2</v>
      </c>
      <c r="I318" t="n">
        <v>0</v>
      </c>
      <c r="J318" t="n">
        <v>0</v>
      </c>
      <c r="K318" t="n">
        <v>1</v>
      </c>
      <c r="L318" t="n">
        <v>0</v>
      </c>
      <c r="M318" t="n">
        <v>0</v>
      </c>
      <c r="N318" t="n">
        <v>0</v>
      </c>
      <c r="O318" t="n">
        <v>1</v>
      </c>
      <c r="P318" t="n">
        <v>1</v>
      </c>
      <c r="Q318" t="n">
        <v>2</v>
      </c>
      <c r="R318" s="2" t="inlineStr">
        <is>
          <t>Doftticka
Fläcknycklar</t>
        </is>
      </c>
      <c r="S318">
        <f>HYPERLINK("https://klasma.github.io/Logging_2283/artfynd/A 10240-2025 artfynd.xlsx", "A 10240-2025")</f>
        <v/>
      </c>
      <c r="T318">
        <f>HYPERLINK("https://klasma.github.io/Logging_2283/kartor/A 10240-2025 karta.png", "A 10240-2025")</f>
        <v/>
      </c>
      <c r="V318">
        <f>HYPERLINK("https://klasma.github.io/Logging_2283/klagomål/A 10240-2025 FSC-klagomål.docx", "A 10240-2025")</f>
        <v/>
      </c>
      <c r="W318">
        <f>HYPERLINK("https://klasma.github.io/Logging_2283/klagomålsmail/A 10240-2025 FSC-klagomål mail.docx", "A 10240-2025")</f>
        <v/>
      </c>
      <c r="X318">
        <f>HYPERLINK("https://klasma.github.io/Logging_2283/tillsyn/A 10240-2025 tillsynsbegäran.docx", "A 10240-2025")</f>
        <v/>
      </c>
      <c r="Y318">
        <f>HYPERLINK("https://klasma.github.io/Logging_2283/tillsynsmail/A 10240-2025 tillsynsbegäran mail.docx", "A 10240-2025")</f>
        <v/>
      </c>
    </row>
    <row r="319" ht="15" customHeight="1">
      <c r="A319" t="inlineStr">
        <is>
          <t>A 18075-2026</t>
        </is>
      </c>
      <c r="B319" s="1" t="n">
        <v>46125</v>
      </c>
      <c r="C319" s="1" t="n">
        <v>46199</v>
      </c>
      <c r="D319" t="inlineStr">
        <is>
          <t>VÄSTERNORRLANDS LÄN</t>
        </is>
      </c>
      <c r="E319" t="inlineStr">
        <is>
          <t>SOLLEFTEÅ</t>
        </is>
      </c>
      <c r="G319" t="n">
        <v>7.1</v>
      </c>
      <c r="H319" t="n">
        <v>0</v>
      </c>
      <c r="I319" t="n">
        <v>0</v>
      </c>
      <c r="J319" t="n">
        <v>2</v>
      </c>
      <c r="K319" t="n">
        <v>0</v>
      </c>
      <c r="L319" t="n">
        <v>0</v>
      </c>
      <c r="M319" t="n">
        <v>0</v>
      </c>
      <c r="N319" t="n">
        <v>0</v>
      </c>
      <c r="O319" t="n">
        <v>2</v>
      </c>
      <c r="P319" t="n">
        <v>0</v>
      </c>
      <c r="Q319" t="n">
        <v>2</v>
      </c>
      <c r="R319" s="2" t="inlineStr">
        <is>
          <t>Rosenticka
Rynkskinn</t>
        </is>
      </c>
      <c r="S319">
        <f>HYPERLINK("https://klasma.github.io/Logging_2283/artfynd/A 18075-2026 artfynd.xlsx", "A 18075-2026")</f>
        <v/>
      </c>
      <c r="T319">
        <f>HYPERLINK("https://klasma.github.io/Logging_2283/kartor/A 18075-2026 karta.png", "A 18075-2026")</f>
        <v/>
      </c>
      <c r="V319">
        <f>HYPERLINK("https://klasma.github.io/Logging_2283/klagomål/A 18075-2026 FSC-klagomål.docx", "A 18075-2026")</f>
        <v/>
      </c>
      <c r="W319">
        <f>HYPERLINK("https://klasma.github.io/Logging_2283/klagomålsmail/A 18075-2026 FSC-klagomål mail.docx", "A 18075-2026")</f>
        <v/>
      </c>
      <c r="X319">
        <f>HYPERLINK("https://klasma.github.io/Logging_2283/tillsyn/A 18075-2026 tillsynsbegäran.docx", "A 18075-2026")</f>
        <v/>
      </c>
      <c r="Y319">
        <f>HYPERLINK("https://klasma.github.io/Logging_2283/tillsynsmail/A 18075-2026 tillsynsbegäran mail.docx", "A 18075-2026")</f>
        <v/>
      </c>
    </row>
    <row r="320" ht="15" customHeight="1">
      <c r="A320" t="inlineStr">
        <is>
          <t>A 8895-2025</t>
        </is>
      </c>
      <c r="B320" s="1" t="n">
        <v>45713</v>
      </c>
      <c r="C320" s="1" t="n">
        <v>46199</v>
      </c>
      <c r="D320" t="inlineStr">
        <is>
          <t>VÄSTERNORRLANDS LÄN</t>
        </is>
      </c>
      <c r="E320" t="inlineStr">
        <is>
          <t>SOLLEFTEÅ</t>
        </is>
      </c>
      <c r="G320" t="n">
        <v>5.6</v>
      </c>
      <c r="H320" t="n">
        <v>0</v>
      </c>
      <c r="I320" t="n">
        <v>0</v>
      </c>
      <c r="J320" t="n">
        <v>2</v>
      </c>
      <c r="K320" t="n">
        <v>0</v>
      </c>
      <c r="L320" t="n">
        <v>0</v>
      </c>
      <c r="M320" t="n">
        <v>0</v>
      </c>
      <c r="N320" t="n">
        <v>0</v>
      </c>
      <c r="O320" t="n">
        <v>2</v>
      </c>
      <c r="P320" t="n">
        <v>0</v>
      </c>
      <c r="Q320" t="n">
        <v>2</v>
      </c>
      <c r="R320" s="2" t="inlineStr">
        <is>
          <t>Gammelgransskål
Lunglav</t>
        </is>
      </c>
      <c r="S320">
        <f>HYPERLINK("https://klasma.github.io/Logging_2283/artfynd/A 8895-2025 artfynd.xlsx", "A 8895-2025")</f>
        <v/>
      </c>
      <c r="T320">
        <f>HYPERLINK("https://klasma.github.io/Logging_2283/kartor/A 8895-2025 karta.png", "A 8895-2025")</f>
        <v/>
      </c>
      <c r="V320">
        <f>HYPERLINK("https://klasma.github.io/Logging_2283/klagomål/A 8895-2025 FSC-klagomål.docx", "A 8895-2025")</f>
        <v/>
      </c>
      <c r="W320">
        <f>HYPERLINK("https://klasma.github.io/Logging_2283/klagomålsmail/A 8895-2025 FSC-klagomål mail.docx", "A 8895-2025")</f>
        <v/>
      </c>
      <c r="X320">
        <f>HYPERLINK("https://klasma.github.io/Logging_2283/tillsyn/A 8895-2025 tillsynsbegäran.docx", "A 8895-2025")</f>
        <v/>
      </c>
      <c r="Y320">
        <f>HYPERLINK("https://klasma.github.io/Logging_2283/tillsynsmail/A 8895-2025 tillsynsbegäran mail.docx", "A 8895-2025")</f>
        <v/>
      </c>
    </row>
    <row r="321" ht="15" customHeight="1">
      <c r="A321" t="inlineStr">
        <is>
          <t>A 25522-2025</t>
        </is>
      </c>
      <c r="B321" s="1" t="n">
        <v>45803</v>
      </c>
      <c r="C321" s="1" t="n">
        <v>46199</v>
      </c>
      <c r="D321" t="inlineStr">
        <is>
          <t>VÄSTERNORRLANDS LÄN</t>
        </is>
      </c>
      <c r="E321" t="inlineStr">
        <is>
          <t>SOLLEFTEÅ</t>
        </is>
      </c>
      <c r="F321" t="inlineStr">
        <is>
          <t>SCA</t>
        </is>
      </c>
      <c r="G321" t="n">
        <v>0.8</v>
      </c>
      <c r="H321" t="n">
        <v>1</v>
      </c>
      <c r="I321" t="n">
        <v>0</v>
      </c>
      <c r="J321" t="n">
        <v>1</v>
      </c>
      <c r="K321" t="n">
        <v>1</v>
      </c>
      <c r="L321" t="n">
        <v>0</v>
      </c>
      <c r="M321" t="n">
        <v>0</v>
      </c>
      <c r="N321" t="n">
        <v>0</v>
      </c>
      <c r="O321" t="n">
        <v>2</v>
      </c>
      <c r="P321" t="n">
        <v>1</v>
      </c>
      <c r="Q321" t="n">
        <v>2</v>
      </c>
      <c r="R321" s="2" t="inlineStr">
        <is>
          <t>Garnlav
Tretåig hackspett</t>
        </is>
      </c>
      <c r="S321">
        <f>HYPERLINK("https://klasma.github.io/Logging_2283/artfynd/A 25522-2025 artfynd.xlsx", "A 25522-2025")</f>
        <v/>
      </c>
      <c r="T321">
        <f>HYPERLINK("https://klasma.github.io/Logging_2283/kartor/A 25522-2025 karta.png", "A 25522-2025")</f>
        <v/>
      </c>
      <c r="V321">
        <f>HYPERLINK("https://klasma.github.io/Logging_2283/klagomål/A 25522-2025 FSC-klagomål.docx", "A 25522-2025")</f>
        <v/>
      </c>
      <c r="W321">
        <f>HYPERLINK("https://klasma.github.io/Logging_2283/klagomålsmail/A 25522-2025 FSC-klagomål mail.docx", "A 25522-2025")</f>
        <v/>
      </c>
      <c r="X321">
        <f>HYPERLINK("https://klasma.github.io/Logging_2283/tillsyn/A 25522-2025 tillsynsbegäran.docx", "A 25522-2025")</f>
        <v/>
      </c>
      <c r="Y321">
        <f>HYPERLINK("https://klasma.github.io/Logging_2283/tillsynsmail/A 25522-2025 tillsynsbegäran mail.docx", "A 25522-2025")</f>
        <v/>
      </c>
      <c r="Z321">
        <f>HYPERLINK("https://klasma.github.io/Logging_2283/fåglar/A 25522-2025 prioriterade fågelarter.docx", "A 25522-2025")</f>
        <v/>
      </c>
    </row>
    <row r="322" ht="15" customHeight="1">
      <c r="A322" t="inlineStr">
        <is>
          <t>A 27590-2026</t>
        </is>
      </c>
      <c r="B322" s="1" t="n">
        <v>46190</v>
      </c>
      <c r="C322" s="1" t="n">
        <v>46199</v>
      </c>
      <c r="D322" t="inlineStr">
        <is>
          <t>VÄSTERNORRLANDS LÄN</t>
        </is>
      </c>
      <c r="E322" t="inlineStr">
        <is>
          <t>SOLLEFTEÅ</t>
        </is>
      </c>
      <c r="F322" t="inlineStr">
        <is>
          <t>SCA</t>
        </is>
      </c>
      <c r="G322" t="n">
        <v>3.6</v>
      </c>
      <c r="H322" t="n">
        <v>0</v>
      </c>
      <c r="I322" t="n">
        <v>0</v>
      </c>
      <c r="J322" t="n">
        <v>0</v>
      </c>
      <c r="K322" t="n">
        <v>2</v>
      </c>
      <c r="L322" t="n">
        <v>0</v>
      </c>
      <c r="M322" t="n">
        <v>0</v>
      </c>
      <c r="N322" t="n">
        <v>0</v>
      </c>
      <c r="O322" t="n">
        <v>2</v>
      </c>
      <c r="P322" t="n">
        <v>2</v>
      </c>
      <c r="Q322" t="n">
        <v>2</v>
      </c>
      <c r="R322" s="2" t="inlineStr">
        <is>
          <t>Goliatmusseron
Skrovlig taggsvamp</t>
        </is>
      </c>
      <c r="S322">
        <f>HYPERLINK("https://klasma.github.io/Logging_2283/artfynd/A 27590-2026 artfynd.xlsx", "A 27590-2026")</f>
        <v/>
      </c>
      <c r="T322">
        <f>HYPERLINK("https://klasma.github.io/Logging_2283/kartor/A 27590-2026 karta.png", "A 27590-2026")</f>
        <v/>
      </c>
      <c r="V322">
        <f>HYPERLINK("https://klasma.github.io/Logging_2283/klagomål/A 27590-2026 FSC-klagomål.docx", "A 27590-2026")</f>
        <v/>
      </c>
      <c r="W322">
        <f>HYPERLINK("https://klasma.github.io/Logging_2283/klagomålsmail/A 27590-2026 FSC-klagomål mail.docx", "A 27590-2026")</f>
        <v/>
      </c>
      <c r="X322">
        <f>HYPERLINK("https://klasma.github.io/Logging_2283/tillsyn/A 27590-2026 tillsynsbegäran.docx", "A 27590-2026")</f>
        <v/>
      </c>
      <c r="Y322">
        <f>HYPERLINK("https://klasma.github.io/Logging_2283/tillsynsmail/A 27590-2026 tillsynsbegäran mail.docx", "A 27590-2026")</f>
        <v/>
      </c>
    </row>
    <row r="323" ht="15" customHeight="1">
      <c r="A323" t="inlineStr">
        <is>
          <t>A 7108-2024</t>
        </is>
      </c>
      <c r="B323" s="1" t="n">
        <v>45343</v>
      </c>
      <c r="C323" s="1" t="n">
        <v>46199</v>
      </c>
      <c r="D323" t="inlineStr">
        <is>
          <t>VÄSTERNORRLANDS LÄN</t>
        </is>
      </c>
      <c r="E323" t="inlineStr">
        <is>
          <t>SOLLEFTEÅ</t>
        </is>
      </c>
      <c r="F323" t="inlineStr">
        <is>
          <t>SCA</t>
        </is>
      </c>
      <c r="G323" t="n">
        <v>3.8</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HYPERLINK("https://klasma.github.io/Logging_2283/artfynd/A 7108-2024 artfynd.xlsx", "A 7108-2024")</f>
        <v/>
      </c>
      <c r="T323">
        <f>HYPERLINK("https://klasma.github.io/Logging_2283/kartor/A 7108-2024 karta.png", "A 7108-2024")</f>
        <v/>
      </c>
      <c r="V323">
        <f>HYPERLINK("https://klasma.github.io/Logging_2283/klagomål/A 7108-2024 FSC-klagomål.docx", "A 7108-2024")</f>
        <v/>
      </c>
      <c r="W323">
        <f>HYPERLINK("https://klasma.github.io/Logging_2283/klagomålsmail/A 7108-2024 FSC-klagomål mail.docx", "A 7108-2024")</f>
        <v/>
      </c>
      <c r="X323">
        <f>HYPERLINK("https://klasma.github.io/Logging_2283/tillsyn/A 7108-2024 tillsynsbegäran.docx", "A 7108-2024")</f>
        <v/>
      </c>
      <c r="Y323">
        <f>HYPERLINK("https://klasma.github.io/Logging_2283/tillsynsmail/A 7108-2024 tillsynsbegäran mail.docx", "A 7108-2024")</f>
        <v/>
      </c>
    </row>
    <row r="324" ht="15" customHeight="1">
      <c r="A324" t="inlineStr">
        <is>
          <t>A 31920-2023</t>
        </is>
      </c>
      <c r="B324" s="1" t="n">
        <v>45118</v>
      </c>
      <c r="C324" s="1" t="n">
        <v>46199</v>
      </c>
      <c r="D324" t="inlineStr">
        <is>
          <t>VÄSTERNORRLANDS LÄN</t>
        </is>
      </c>
      <c r="E324" t="inlineStr">
        <is>
          <t>SOLLEFTEÅ</t>
        </is>
      </c>
      <c r="F324" t="inlineStr">
        <is>
          <t>SCA</t>
        </is>
      </c>
      <c r="G324" t="n">
        <v>2</v>
      </c>
      <c r="H324" t="n">
        <v>0</v>
      </c>
      <c r="I324" t="n">
        <v>1</v>
      </c>
      <c r="J324" t="n">
        <v>1</v>
      </c>
      <c r="K324" t="n">
        <v>0</v>
      </c>
      <c r="L324" t="n">
        <v>0</v>
      </c>
      <c r="M324" t="n">
        <v>0</v>
      </c>
      <c r="N324" t="n">
        <v>0</v>
      </c>
      <c r="O324" t="n">
        <v>1</v>
      </c>
      <c r="P324" t="n">
        <v>0</v>
      </c>
      <c r="Q324" t="n">
        <v>2</v>
      </c>
      <c r="R324" s="2" t="inlineStr">
        <is>
          <t>Ullticka
Korallblylav</t>
        </is>
      </c>
      <c r="S324">
        <f>HYPERLINK("https://klasma.github.io/Logging_2283/artfynd/A 31920-2023 artfynd.xlsx", "A 31920-2023")</f>
        <v/>
      </c>
      <c r="T324">
        <f>HYPERLINK("https://klasma.github.io/Logging_2283/kartor/A 31920-2023 karta.png", "A 31920-2023")</f>
        <v/>
      </c>
      <c r="V324">
        <f>HYPERLINK("https://klasma.github.io/Logging_2283/klagomål/A 31920-2023 FSC-klagomål.docx", "A 31920-2023")</f>
        <v/>
      </c>
      <c r="W324">
        <f>HYPERLINK("https://klasma.github.io/Logging_2283/klagomålsmail/A 31920-2023 FSC-klagomål mail.docx", "A 31920-2023")</f>
        <v/>
      </c>
      <c r="X324">
        <f>HYPERLINK("https://klasma.github.io/Logging_2283/tillsyn/A 31920-2023 tillsynsbegäran.docx", "A 31920-2023")</f>
        <v/>
      </c>
      <c r="Y324">
        <f>HYPERLINK("https://klasma.github.io/Logging_2283/tillsynsmail/A 31920-2023 tillsynsbegäran mail.docx", "A 31920-2023")</f>
        <v/>
      </c>
    </row>
    <row r="325" ht="15" customHeight="1">
      <c r="A325" t="inlineStr">
        <is>
          <t>A 386-2024</t>
        </is>
      </c>
      <c r="B325" s="1" t="n">
        <v>45296</v>
      </c>
      <c r="C325" s="1" t="n">
        <v>46199</v>
      </c>
      <c r="D325" t="inlineStr">
        <is>
          <t>VÄSTERNORRLANDS LÄN</t>
        </is>
      </c>
      <c r="E325" t="inlineStr">
        <is>
          <t>SOLLEFTEÅ</t>
        </is>
      </c>
      <c r="G325" t="n">
        <v>3.7</v>
      </c>
      <c r="H325" t="n">
        <v>0</v>
      </c>
      <c r="I325" t="n">
        <v>0</v>
      </c>
      <c r="J325" t="n">
        <v>1</v>
      </c>
      <c r="K325" t="n">
        <v>1</v>
      </c>
      <c r="L325" t="n">
        <v>0</v>
      </c>
      <c r="M325" t="n">
        <v>0</v>
      </c>
      <c r="N325" t="n">
        <v>0</v>
      </c>
      <c r="O325" t="n">
        <v>2</v>
      </c>
      <c r="P325" t="n">
        <v>1</v>
      </c>
      <c r="Q325" t="n">
        <v>2</v>
      </c>
      <c r="R325" s="2" t="inlineStr">
        <is>
          <t>Garnlav
Kolflarnlav</t>
        </is>
      </c>
      <c r="S325">
        <f>HYPERLINK("https://klasma.github.io/Logging_2283/artfynd/A 386-2024 artfynd.xlsx", "A 386-2024")</f>
        <v/>
      </c>
      <c r="T325">
        <f>HYPERLINK("https://klasma.github.io/Logging_2283/kartor/A 386-2024 karta.png", "A 386-2024")</f>
        <v/>
      </c>
      <c r="V325">
        <f>HYPERLINK("https://klasma.github.io/Logging_2283/klagomål/A 386-2024 FSC-klagomål.docx", "A 386-2024")</f>
        <v/>
      </c>
      <c r="W325">
        <f>HYPERLINK("https://klasma.github.io/Logging_2283/klagomålsmail/A 386-2024 FSC-klagomål mail.docx", "A 386-2024")</f>
        <v/>
      </c>
      <c r="X325">
        <f>HYPERLINK("https://klasma.github.io/Logging_2283/tillsyn/A 386-2024 tillsynsbegäran.docx", "A 386-2024")</f>
        <v/>
      </c>
      <c r="Y325">
        <f>HYPERLINK("https://klasma.github.io/Logging_2283/tillsynsmail/A 386-2024 tillsynsbegäran mail.docx", "A 386-2024")</f>
        <v/>
      </c>
    </row>
    <row r="326" ht="15" customHeight="1">
      <c r="A326" t="inlineStr">
        <is>
          <t>A 22645-2026</t>
        </is>
      </c>
      <c r="B326" s="1" t="n">
        <v>46155</v>
      </c>
      <c r="C326" s="1" t="n">
        <v>46199</v>
      </c>
      <c r="D326" t="inlineStr">
        <is>
          <t>VÄSTERNORRLANDS LÄN</t>
        </is>
      </c>
      <c r="E326" t="inlineStr">
        <is>
          <t>SOLLEFTEÅ</t>
        </is>
      </c>
      <c r="F326" t="inlineStr">
        <is>
          <t>SCA</t>
        </is>
      </c>
      <c r="G326" t="n">
        <v>3.8</v>
      </c>
      <c r="H326" t="n">
        <v>2</v>
      </c>
      <c r="I326" t="n">
        <v>0</v>
      </c>
      <c r="J326" t="n">
        <v>1</v>
      </c>
      <c r="K326" t="n">
        <v>0</v>
      </c>
      <c r="L326" t="n">
        <v>0</v>
      </c>
      <c r="M326" t="n">
        <v>0</v>
      </c>
      <c r="N326" t="n">
        <v>0</v>
      </c>
      <c r="O326" t="n">
        <v>1</v>
      </c>
      <c r="P326" t="n">
        <v>0</v>
      </c>
      <c r="Q326" t="n">
        <v>2</v>
      </c>
      <c r="R326" s="2" t="inlineStr">
        <is>
          <t>Duvhök
Orre</t>
        </is>
      </c>
      <c r="S326">
        <f>HYPERLINK("https://klasma.github.io/Logging_2283/artfynd/A 22645-2026 artfynd.xlsx", "A 22645-2026")</f>
        <v/>
      </c>
      <c r="T326">
        <f>HYPERLINK("https://klasma.github.io/Logging_2283/kartor/A 22645-2026 karta.png", "A 22645-2026")</f>
        <v/>
      </c>
      <c r="V326">
        <f>HYPERLINK("https://klasma.github.io/Logging_2283/klagomål/A 22645-2026 FSC-klagomål.docx", "A 22645-2026")</f>
        <v/>
      </c>
      <c r="W326">
        <f>HYPERLINK("https://klasma.github.io/Logging_2283/klagomålsmail/A 22645-2026 FSC-klagomål mail.docx", "A 22645-2026")</f>
        <v/>
      </c>
      <c r="X326">
        <f>HYPERLINK("https://klasma.github.io/Logging_2283/tillsyn/A 22645-2026 tillsynsbegäran.docx", "A 22645-2026")</f>
        <v/>
      </c>
      <c r="Y326">
        <f>HYPERLINK("https://klasma.github.io/Logging_2283/tillsynsmail/A 22645-2026 tillsynsbegäran mail.docx", "A 22645-2026")</f>
        <v/>
      </c>
      <c r="Z326">
        <f>HYPERLINK("https://klasma.github.io/Logging_2283/fåglar/A 22645-2026 prioriterade fågelarter.docx", "A 22645-2026")</f>
        <v/>
      </c>
    </row>
    <row r="327" ht="15" customHeight="1">
      <c r="A327" t="inlineStr">
        <is>
          <t>A 60757-2021</t>
        </is>
      </c>
      <c r="B327" s="1" t="n">
        <v>44496</v>
      </c>
      <c r="C327" s="1" t="n">
        <v>46199</v>
      </c>
      <c r="D327" t="inlineStr">
        <is>
          <t>VÄSTERNORRLANDS LÄN</t>
        </is>
      </c>
      <c r="E327" t="inlineStr">
        <is>
          <t>SOLLEFTEÅ</t>
        </is>
      </c>
      <c r="G327" t="n">
        <v>4.4</v>
      </c>
      <c r="H327" t="n">
        <v>0</v>
      </c>
      <c r="I327" t="n">
        <v>0</v>
      </c>
      <c r="J327" t="n">
        <v>2</v>
      </c>
      <c r="K327" t="n">
        <v>0</v>
      </c>
      <c r="L327" t="n">
        <v>0</v>
      </c>
      <c r="M327" t="n">
        <v>0</v>
      </c>
      <c r="N327" t="n">
        <v>0</v>
      </c>
      <c r="O327" t="n">
        <v>2</v>
      </c>
      <c r="P327" t="n">
        <v>0</v>
      </c>
      <c r="Q327" t="n">
        <v>2</v>
      </c>
      <c r="R327" s="2" t="inlineStr">
        <is>
          <t>Blå taggsvamp
Orange taggsvamp</t>
        </is>
      </c>
      <c r="S327">
        <f>HYPERLINK("https://klasma.github.io/Logging_2283/artfynd/A 60757-2021 artfynd.xlsx", "A 60757-2021")</f>
        <v/>
      </c>
      <c r="T327">
        <f>HYPERLINK("https://klasma.github.io/Logging_2283/kartor/A 60757-2021 karta.png", "A 60757-2021")</f>
        <v/>
      </c>
      <c r="V327">
        <f>HYPERLINK("https://klasma.github.io/Logging_2283/klagomål/A 60757-2021 FSC-klagomål.docx", "A 60757-2021")</f>
        <v/>
      </c>
      <c r="W327">
        <f>HYPERLINK("https://klasma.github.io/Logging_2283/klagomålsmail/A 60757-2021 FSC-klagomål mail.docx", "A 60757-2021")</f>
        <v/>
      </c>
      <c r="X327">
        <f>HYPERLINK("https://klasma.github.io/Logging_2283/tillsyn/A 60757-2021 tillsynsbegäran.docx", "A 60757-2021")</f>
        <v/>
      </c>
      <c r="Y327">
        <f>HYPERLINK("https://klasma.github.io/Logging_2283/tillsynsmail/A 60757-2021 tillsynsbegäran mail.docx", "A 60757-2021")</f>
        <v/>
      </c>
    </row>
    <row r="328" ht="15" customHeight="1">
      <c r="A328" t="inlineStr">
        <is>
          <t>A 34100-2023</t>
        </is>
      </c>
      <c r="B328" s="1" t="n">
        <v>45125</v>
      </c>
      <c r="C328" s="1" t="n">
        <v>46199</v>
      </c>
      <c r="D328" t="inlineStr">
        <is>
          <t>VÄSTERNORRLANDS LÄN</t>
        </is>
      </c>
      <c r="E328" t="inlineStr">
        <is>
          <t>SOLLEFTEÅ</t>
        </is>
      </c>
      <c r="F328" t="inlineStr">
        <is>
          <t>SCA</t>
        </is>
      </c>
      <c r="G328" t="n">
        <v>1.5</v>
      </c>
      <c r="H328" t="n">
        <v>0</v>
      </c>
      <c r="I328" t="n">
        <v>0</v>
      </c>
      <c r="J328" t="n">
        <v>2</v>
      </c>
      <c r="K328" t="n">
        <v>0</v>
      </c>
      <c r="L328" t="n">
        <v>0</v>
      </c>
      <c r="M328" t="n">
        <v>0</v>
      </c>
      <c r="N328" t="n">
        <v>0</v>
      </c>
      <c r="O328" t="n">
        <v>2</v>
      </c>
      <c r="P328" t="n">
        <v>0</v>
      </c>
      <c r="Q328" t="n">
        <v>2</v>
      </c>
      <c r="R328" s="2" t="inlineStr">
        <is>
          <t>Rosenticka
Ullticka</t>
        </is>
      </c>
      <c r="S328">
        <f>HYPERLINK("https://klasma.github.io/Logging_2283/artfynd/A 34100-2023 artfynd.xlsx", "A 34100-2023")</f>
        <v/>
      </c>
      <c r="T328">
        <f>HYPERLINK("https://klasma.github.io/Logging_2283/kartor/A 34100-2023 karta.png", "A 34100-2023")</f>
        <v/>
      </c>
      <c r="V328">
        <f>HYPERLINK("https://klasma.github.io/Logging_2283/klagomål/A 34100-2023 FSC-klagomål.docx", "A 34100-2023")</f>
        <v/>
      </c>
      <c r="W328">
        <f>HYPERLINK("https://klasma.github.io/Logging_2283/klagomålsmail/A 34100-2023 FSC-klagomål mail.docx", "A 34100-2023")</f>
        <v/>
      </c>
      <c r="X328">
        <f>HYPERLINK("https://klasma.github.io/Logging_2283/tillsyn/A 34100-2023 tillsynsbegäran.docx", "A 34100-2023")</f>
        <v/>
      </c>
      <c r="Y328">
        <f>HYPERLINK("https://klasma.github.io/Logging_2283/tillsynsmail/A 34100-2023 tillsynsbegäran mail.docx", "A 34100-2023")</f>
        <v/>
      </c>
    </row>
    <row r="329" ht="15" customHeight="1">
      <c r="A329" t="inlineStr">
        <is>
          <t>A 58314-2024</t>
        </is>
      </c>
      <c r="B329" s="1" t="n">
        <v>45632</v>
      </c>
      <c r="C329" s="1" t="n">
        <v>46199</v>
      </c>
      <c r="D329" t="inlineStr">
        <is>
          <t>VÄSTERNORRLANDS LÄN</t>
        </is>
      </c>
      <c r="E329" t="inlineStr">
        <is>
          <t>SOLLEFTEÅ</t>
        </is>
      </c>
      <c r="F329" t="inlineStr">
        <is>
          <t>SCA</t>
        </is>
      </c>
      <c r="G329" t="n">
        <v>3.3</v>
      </c>
      <c r="H329" t="n">
        <v>0</v>
      </c>
      <c r="I329" t="n">
        <v>0</v>
      </c>
      <c r="J329" t="n">
        <v>0</v>
      </c>
      <c r="K329" t="n">
        <v>2</v>
      </c>
      <c r="L329" t="n">
        <v>0</v>
      </c>
      <c r="M329" t="n">
        <v>0</v>
      </c>
      <c r="N329" t="n">
        <v>0</v>
      </c>
      <c r="O329" t="n">
        <v>2</v>
      </c>
      <c r="P329" t="n">
        <v>2</v>
      </c>
      <c r="Q329" t="n">
        <v>2</v>
      </c>
      <c r="R329" s="2" t="inlineStr">
        <is>
          <t>Garnlav
Gränsticka</t>
        </is>
      </c>
      <c r="S329">
        <f>HYPERLINK("https://klasma.github.io/Logging_2283/artfynd/A 58314-2024 artfynd.xlsx", "A 58314-2024")</f>
        <v/>
      </c>
      <c r="T329">
        <f>HYPERLINK("https://klasma.github.io/Logging_2283/kartor/A 58314-2024 karta.png", "A 58314-2024")</f>
        <v/>
      </c>
      <c r="V329">
        <f>HYPERLINK("https://klasma.github.io/Logging_2283/klagomål/A 58314-2024 FSC-klagomål.docx", "A 58314-2024")</f>
        <v/>
      </c>
      <c r="W329">
        <f>HYPERLINK("https://klasma.github.io/Logging_2283/klagomålsmail/A 58314-2024 FSC-klagomål mail.docx", "A 58314-2024")</f>
        <v/>
      </c>
      <c r="X329">
        <f>HYPERLINK("https://klasma.github.io/Logging_2283/tillsyn/A 58314-2024 tillsynsbegäran.docx", "A 58314-2024")</f>
        <v/>
      </c>
      <c r="Y329">
        <f>HYPERLINK("https://klasma.github.io/Logging_2283/tillsynsmail/A 58314-2024 tillsynsbegäran mail.docx", "A 58314-2024")</f>
        <v/>
      </c>
    </row>
    <row r="330" ht="15" customHeight="1">
      <c r="A330" t="inlineStr">
        <is>
          <t>A 45213-2021</t>
        </is>
      </c>
      <c r="B330" s="1" t="n">
        <v>44431</v>
      </c>
      <c r="C330" s="1" t="n">
        <v>46199</v>
      </c>
      <c r="D330" t="inlineStr">
        <is>
          <t>VÄSTERNORRLANDS LÄN</t>
        </is>
      </c>
      <c r="E330" t="inlineStr">
        <is>
          <t>SOLLEFTEÅ</t>
        </is>
      </c>
      <c r="F330" t="inlineStr">
        <is>
          <t>SCA</t>
        </is>
      </c>
      <c r="G330" t="n">
        <v>2.3</v>
      </c>
      <c r="H330" t="n">
        <v>0</v>
      </c>
      <c r="I330" t="n">
        <v>0</v>
      </c>
      <c r="J330" t="n">
        <v>0</v>
      </c>
      <c r="K330" t="n">
        <v>1</v>
      </c>
      <c r="L330" t="n">
        <v>0</v>
      </c>
      <c r="M330" t="n">
        <v>0</v>
      </c>
      <c r="N330" t="n">
        <v>0</v>
      </c>
      <c r="O330" t="n">
        <v>1</v>
      </c>
      <c r="P330" t="n">
        <v>1</v>
      </c>
      <c r="Q330" t="n">
        <v>1</v>
      </c>
      <c r="R330" s="2" t="inlineStr">
        <is>
          <t>Garnlav</t>
        </is>
      </c>
      <c r="S330">
        <f>HYPERLINK("https://klasma.github.io/Logging_2283/artfynd/A 45213-2021 artfynd.xlsx", "A 45213-2021")</f>
        <v/>
      </c>
      <c r="T330">
        <f>HYPERLINK("https://klasma.github.io/Logging_2283/kartor/A 45213-2021 karta.png", "A 45213-2021")</f>
        <v/>
      </c>
      <c r="V330">
        <f>HYPERLINK("https://klasma.github.io/Logging_2283/klagomål/A 45213-2021 FSC-klagomål.docx", "A 45213-2021")</f>
        <v/>
      </c>
      <c r="W330">
        <f>HYPERLINK("https://klasma.github.io/Logging_2283/klagomålsmail/A 45213-2021 FSC-klagomål mail.docx", "A 45213-2021")</f>
        <v/>
      </c>
      <c r="X330">
        <f>HYPERLINK("https://klasma.github.io/Logging_2283/tillsyn/A 45213-2021 tillsynsbegäran.docx", "A 45213-2021")</f>
        <v/>
      </c>
      <c r="Y330">
        <f>HYPERLINK("https://klasma.github.io/Logging_2283/tillsynsmail/A 45213-2021 tillsynsbegäran mail.docx", "A 45213-2021")</f>
        <v/>
      </c>
    </row>
    <row r="331" ht="15" customHeight="1">
      <c r="A331" t="inlineStr">
        <is>
          <t>A 58572-2021</t>
        </is>
      </c>
      <c r="B331" s="1" t="n">
        <v>44488</v>
      </c>
      <c r="C331" s="1" t="n">
        <v>46199</v>
      </c>
      <c r="D331" t="inlineStr">
        <is>
          <t>VÄSTERNORRLANDS LÄN</t>
        </is>
      </c>
      <c r="E331" t="inlineStr">
        <is>
          <t>SOLLEFTEÅ</t>
        </is>
      </c>
      <c r="G331" t="n">
        <v>0.1</v>
      </c>
      <c r="H331" t="n">
        <v>0</v>
      </c>
      <c r="I331" t="n">
        <v>0</v>
      </c>
      <c r="J331" t="n">
        <v>1</v>
      </c>
      <c r="K331" t="n">
        <v>0</v>
      </c>
      <c r="L331" t="n">
        <v>0</v>
      </c>
      <c r="M331" t="n">
        <v>0</v>
      </c>
      <c r="N331" t="n">
        <v>0</v>
      </c>
      <c r="O331" t="n">
        <v>1</v>
      </c>
      <c r="P331" t="n">
        <v>0</v>
      </c>
      <c r="Q331" t="n">
        <v>1</v>
      </c>
      <c r="R331" s="2" t="inlineStr">
        <is>
          <t>Brunklöver</t>
        </is>
      </c>
      <c r="S331">
        <f>HYPERLINK("https://klasma.github.io/Logging_2283/artfynd/A 58572-2021 artfynd.xlsx", "A 58572-2021")</f>
        <v/>
      </c>
      <c r="T331">
        <f>HYPERLINK("https://klasma.github.io/Logging_2283/kartor/A 58572-2021 karta.png", "A 58572-2021")</f>
        <v/>
      </c>
      <c r="V331">
        <f>HYPERLINK("https://klasma.github.io/Logging_2283/klagomål/A 58572-2021 FSC-klagomål.docx", "A 58572-2021")</f>
        <v/>
      </c>
      <c r="W331">
        <f>HYPERLINK("https://klasma.github.io/Logging_2283/klagomålsmail/A 58572-2021 FSC-klagomål mail.docx", "A 58572-2021")</f>
        <v/>
      </c>
      <c r="X331">
        <f>HYPERLINK("https://klasma.github.io/Logging_2283/tillsyn/A 58572-2021 tillsynsbegäran.docx", "A 58572-2021")</f>
        <v/>
      </c>
      <c r="Y331">
        <f>HYPERLINK("https://klasma.github.io/Logging_2283/tillsynsmail/A 58572-2021 tillsynsbegäran mail.docx", "A 58572-2021")</f>
        <v/>
      </c>
    </row>
    <row r="332" ht="15" customHeight="1">
      <c r="A332" t="inlineStr">
        <is>
          <t>A 29037-2022</t>
        </is>
      </c>
      <c r="B332" s="1" t="n">
        <v>44749</v>
      </c>
      <c r="C332" s="1" t="n">
        <v>46199</v>
      </c>
      <c r="D332" t="inlineStr">
        <is>
          <t>VÄSTERNORRLANDS LÄN</t>
        </is>
      </c>
      <c r="E332" t="inlineStr">
        <is>
          <t>SOLLEFTEÅ</t>
        </is>
      </c>
      <c r="F332" t="inlineStr">
        <is>
          <t>SCA</t>
        </is>
      </c>
      <c r="G332" t="n">
        <v>1</v>
      </c>
      <c r="H332" t="n">
        <v>0</v>
      </c>
      <c r="I332" t="n">
        <v>1</v>
      </c>
      <c r="J332" t="n">
        <v>0</v>
      </c>
      <c r="K332" t="n">
        <v>0</v>
      </c>
      <c r="L332" t="n">
        <v>0</v>
      </c>
      <c r="M332" t="n">
        <v>0</v>
      </c>
      <c r="N332" t="n">
        <v>0</v>
      </c>
      <c r="O332" t="n">
        <v>0</v>
      </c>
      <c r="P332" t="n">
        <v>0</v>
      </c>
      <c r="Q332" t="n">
        <v>1</v>
      </c>
      <c r="R332" s="2" t="inlineStr">
        <is>
          <t>Vanlig flatbagge</t>
        </is>
      </c>
      <c r="S332">
        <f>HYPERLINK("https://klasma.github.io/Logging_2283/artfynd/A 29037-2022 artfynd.xlsx", "A 29037-2022")</f>
        <v/>
      </c>
      <c r="T332">
        <f>HYPERLINK("https://klasma.github.io/Logging_2283/kartor/A 29037-2022 karta.png", "A 29037-2022")</f>
        <v/>
      </c>
      <c r="V332">
        <f>HYPERLINK("https://klasma.github.io/Logging_2283/klagomål/A 29037-2022 FSC-klagomål.docx", "A 29037-2022")</f>
        <v/>
      </c>
      <c r="W332">
        <f>HYPERLINK("https://klasma.github.io/Logging_2283/klagomålsmail/A 29037-2022 FSC-klagomål mail.docx", "A 29037-2022")</f>
        <v/>
      </c>
      <c r="X332">
        <f>HYPERLINK("https://klasma.github.io/Logging_2283/tillsyn/A 29037-2022 tillsynsbegäran.docx", "A 29037-2022")</f>
        <v/>
      </c>
      <c r="Y332">
        <f>HYPERLINK("https://klasma.github.io/Logging_2283/tillsynsmail/A 29037-2022 tillsynsbegäran mail.docx", "A 29037-2022")</f>
        <v/>
      </c>
    </row>
    <row r="333" ht="15" customHeight="1">
      <c r="A333" t="inlineStr">
        <is>
          <t>A 65419-2021</t>
        </is>
      </c>
      <c r="B333" s="1" t="n">
        <v>44515</v>
      </c>
      <c r="C333" s="1" t="n">
        <v>46199</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65419-2021 artfynd.xlsx", "A 65419-2021")</f>
        <v/>
      </c>
      <c r="T333">
        <f>HYPERLINK("https://klasma.github.io/Logging_2283/kartor/A 65419-2021 karta.png", "A 65419-2021")</f>
        <v/>
      </c>
      <c r="V333">
        <f>HYPERLINK("https://klasma.github.io/Logging_2283/klagomål/A 65419-2021 FSC-klagomål.docx", "A 65419-2021")</f>
        <v/>
      </c>
      <c r="W333">
        <f>HYPERLINK("https://klasma.github.io/Logging_2283/klagomålsmail/A 65419-2021 FSC-klagomål mail.docx", "A 65419-2021")</f>
        <v/>
      </c>
      <c r="X333">
        <f>HYPERLINK("https://klasma.github.io/Logging_2283/tillsyn/A 65419-2021 tillsynsbegäran.docx", "A 65419-2021")</f>
        <v/>
      </c>
      <c r="Y333">
        <f>HYPERLINK("https://klasma.github.io/Logging_2283/tillsynsmail/A 65419-2021 tillsynsbegäran mail.docx", "A 65419-2021")</f>
        <v/>
      </c>
    </row>
    <row r="334" ht="15" customHeight="1">
      <c r="A334" t="inlineStr">
        <is>
          <t>A 51019-2021</t>
        </is>
      </c>
      <c r="B334" s="1" t="n">
        <v>44460</v>
      </c>
      <c r="C334" s="1" t="n">
        <v>46199</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Fläcknycklar</t>
        </is>
      </c>
      <c r="S334">
        <f>HYPERLINK("https://klasma.github.io/Logging_2283/artfynd/A 51019-2021 artfynd.xlsx", "A 51019-2021")</f>
        <v/>
      </c>
      <c r="T334">
        <f>HYPERLINK("https://klasma.github.io/Logging_2283/kartor/A 51019-2021 karta.png", "A 51019-2021")</f>
        <v/>
      </c>
      <c r="V334">
        <f>HYPERLINK("https://klasma.github.io/Logging_2283/klagomål/A 51019-2021 FSC-klagomål.docx", "A 51019-2021")</f>
        <v/>
      </c>
      <c r="W334">
        <f>HYPERLINK("https://klasma.github.io/Logging_2283/klagomålsmail/A 51019-2021 FSC-klagomål mail.docx", "A 51019-2021")</f>
        <v/>
      </c>
      <c r="X334">
        <f>HYPERLINK("https://klasma.github.io/Logging_2283/tillsyn/A 51019-2021 tillsynsbegäran.docx", "A 51019-2021")</f>
        <v/>
      </c>
      <c r="Y334">
        <f>HYPERLINK("https://klasma.github.io/Logging_2283/tillsynsmail/A 51019-2021 tillsynsbegäran mail.docx", "A 51019-2021")</f>
        <v/>
      </c>
    </row>
    <row r="335" ht="15" customHeight="1">
      <c r="A335" t="inlineStr">
        <is>
          <t>A 67402-2021</t>
        </is>
      </c>
      <c r="B335" s="1" t="n">
        <v>44523</v>
      </c>
      <c r="C335" s="1" t="n">
        <v>46199</v>
      </c>
      <c r="D335" t="inlineStr">
        <is>
          <t>VÄSTERNORRLANDS LÄN</t>
        </is>
      </c>
      <c r="E335" t="inlineStr">
        <is>
          <t>SOLLEFTEÅ</t>
        </is>
      </c>
      <c r="F335" t="inlineStr">
        <is>
          <t>SCA</t>
        </is>
      </c>
      <c r="G335" t="n">
        <v>11</v>
      </c>
      <c r="H335" t="n">
        <v>1</v>
      </c>
      <c r="I335" t="n">
        <v>0</v>
      </c>
      <c r="J335" t="n">
        <v>0</v>
      </c>
      <c r="K335" t="n">
        <v>1</v>
      </c>
      <c r="L335" t="n">
        <v>0</v>
      </c>
      <c r="M335" t="n">
        <v>0</v>
      </c>
      <c r="N335" t="n">
        <v>0</v>
      </c>
      <c r="O335" t="n">
        <v>1</v>
      </c>
      <c r="P335" t="n">
        <v>1</v>
      </c>
      <c r="Q335" t="n">
        <v>1</v>
      </c>
      <c r="R335" s="2" t="inlineStr">
        <is>
          <t>Knärot</t>
        </is>
      </c>
      <c r="S335">
        <f>HYPERLINK("https://klasma.github.io/Logging_2283/artfynd/A 67402-2021 artfynd.xlsx", "A 67402-2021")</f>
        <v/>
      </c>
      <c r="T335">
        <f>HYPERLINK("https://klasma.github.io/Logging_2283/kartor/A 67402-2021 karta.png", "A 67402-2021")</f>
        <v/>
      </c>
      <c r="U335">
        <f>HYPERLINK("https://klasma.github.io/Logging_2283/knärot/A 67402-2021 karta knärot.png", "A 67402-2021")</f>
        <v/>
      </c>
      <c r="V335">
        <f>HYPERLINK("https://klasma.github.io/Logging_2283/klagomål/A 67402-2021 FSC-klagomål.docx", "A 67402-2021")</f>
        <v/>
      </c>
      <c r="W335">
        <f>HYPERLINK("https://klasma.github.io/Logging_2283/klagomålsmail/A 67402-2021 FSC-klagomål mail.docx", "A 67402-2021")</f>
        <v/>
      </c>
      <c r="X335">
        <f>HYPERLINK("https://klasma.github.io/Logging_2283/tillsyn/A 67402-2021 tillsynsbegäran.docx", "A 67402-2021")</f>
        <v/>
      </c>
      <c r="Y335">
        <f>HYPERLINK("https://klasma.github.io/Logging_2283/tillsynsmail/A 67402-2021 tillsynsbegäran mail.docx", "A 67402-2021")</f>
        <v/>
      </c>
    </row>
    <row r="336" ht="15" customHeight="1">
      <c r="A336" t="inlineStr">
        <is>
          <t>A 51952-2021</t>
        </is>
      </c>
      <c r="B336" s="1" t="n">
        <v>44462</v>
      </c>
      <c r="C336" s="1" t="n">
        <v>46199</v>
      </c>
      <c r="D336" t="inlineStr">
        <is>
          <t>VÄSTERNORRLANDS LÄN</t>
        </is>
      </c>
      <c r="E336" t="inlineStr">
        <is>
          <t>SOLLEFTEÅ</t>
        </is>
      </c>
      <c r="F336" t="inlineStr">
        <is>
          <t>SCA</t>
        </is>
      </c>
      <c r="G336" t="n">
        <v>3.1</v>
      </c>
      <c r="H336" t="n">
        <v>1</v>
      </c>
      <c r="I336" t="n">
        <v>0</v>
      </c>
      <c r="J336" t="n">
        <v>0</v>
      </c>
      <c r="K336" t="n">
        <v>0</v>
      </c>
      <c r="L336" t="n">
        <v>0</v>
      </c>
      <c r="M336" t="n">
        <v>0</v>
      </c>
      <c r="N336" t="n">
        <v>0</v>
      </c>
      <c r="O336" t="n">
        <v>0</v>
      </c>
      <c r="P336" t="n">
        <v>0</v>
      </c>
      <c r="Q336" t="n">
        <v>1</v>
      </c>
      <c r="R336" s="2" t="inlineStr">
        <is>
          <t>Tjäder</t>
        </is>
      </c>
      <c r="S336">
        <f>HYPERLINK("https://klasma.github.io/Logging_2283/artfynd/A 51952-2021 artfynd.xlsx", "A 51952-2021")</f>
        <v/>
      </c>
      <c r="T336">
        <f>HYPERLINK("https://klasma.github.io/Logging_2283/kartor/A 51952-2021 karta.png", "A 51952-2021")</f>
        <v/>
      </c>
      <c r="V336">
        <f>HYPERLINK("https://klasma.github.io/Logging_2283/klagomål/A 51952-2021 FSC-klagomål.docx", "A 51952-2021")</f>
        <v/>
      </c>
      <c r="W336">
        <f>HYPERLINK("https://klasma.github.io/Logging_2283/klagomålsmail/A 51952-2021 FSC-klagomål mail.docx", "A 51952-2021")</f>
        <v/>
      </c>
      <c r="X336">
        <f>HYPERLINK("https://klasma.github.io/Logging_2283/tillsyn/A 51952-2021 tillsynsbegäran.docx", "A 51952-2021")</f>
        <v/>
      </c>
      <c r="Y336">
        <f>HYPERLINK("https://klasma.github.io/Logging_2283/tillsynsmail/A 51952-2021 tillsynsbegäran mail.docx", "A 51952-2021")</f>
        <v/>
      </c>
      <c r="Z336">
        <f>HYPERLINK("https://klasma.github.io/Logging_2283/fåglar/A 51952-2021 prioriterade fågelarter.docx", "A 51952-2021")</f>
        <v/>
      </c>
    </row>
    <row r="337" ht="15" customHeight="1">
      <c r="A337" t="inlineStr">
        <is>
          <t>A 61426-2021</t>
        </is>
      </c>
      <c r="B337" s="1" t="n">
        <v>44500</v>
      </c>
      <c r="C337" s="1" t="n">
        <v>46199</v>
      </c>
      <c r="D337" t="inlineStr">
        <is>
          <t>VÄSTERNORRLANDS LÄN</t>
        </is>
      </c>
      <c r="E337" t="inlineStr">
        <is>
          <t>SOLLEFTEÅ</t>
        </is>
      </c>
      <c r="F337" t="inlineStr">
        <is>
          <t>SCA</t>
        </is>
      </c>
      <c r="G337" t="n">
        <v>2.5</v>
      </c>
      <c r="H337" t="n">
        <v>0</v>
      </c>
      <c r="I337" t="n">
        <v>0</v>
      </c>
      <c r="J337" t="n">
        <v>0</v>
      </c>
      <c r="K337" t="n">
        <v>1</v>
      </c>
      <c r="L337" t="n">
        <v>0</v>
      </c>
      <c r="M337" t="n">
        <v>0</v>
      </c>
      <c r="N337" t="n">
        <v>0</v>
      </c>
      <c r="O337" t="n">
        <v>1</v>
      </c>
      <c r="P337" t="n">
        <v>1</v>
      </c>
      <c r="Q337" t="n">
        <v>1</v>
      </c>
      <c r="R337" s="2" t="inlineStr">
        <is>
          <t>Vitskaftad svartspik</t>
        </is>
      </c>
      <c r="S337">
        <f>HYPERLINK("https://klasma.github.io/Logging_2283/artfynd/A 61426-2021 artfynd.xlsx", "A 61426-2021")</f>
        <v/>
      </c>
      <c r="T337">
        <f>HYPERLINK("https://klasma.github.io/Logging_2283/kartor/A 61426-2021 karta.png", "A 61426-2021")</f>
        <v/>
      </c>
      <c r="V337">
        <f>HYPERLINK("https://klasma.github.io/Logging_2283/klagomål/A 61426-2021 FSC-klagomål.docx", "A 61426-2021")</f>
        <v/>
      </c>
      <c r="W337">
        <f>HYPERLINK("https://klasma.github.io/Logging_2283/klagomålsmail/A 61426-2021 FSC-klagomål mail.docx", "A 61426-2021")</f>
        <v/>
      </c>
      <c r="X337">
        <f>HYPERLINK("https://klasma.github.io/Logging_2283/tillsyn/A 61426-2021 tillsynsbegäran.docx", "A 61426-2021")</f>
        <v/>
      </c>
      <c r="Y337">
        <f>HYPERLINK("https://klasma.github.io/Logging_2283/tillsynsmail/A 61426-2021 tillsynsbegäran mail.docx", "A 61426-2021")</f>
        <v/>
      </c>
    </row>
    <row r="338" ht="15" customHeight="1">
      <c r="A338" t="inlineStr">
        <is>
          <t>A 71349-2021</t>
        </is>
      </c>
      <c r="B338" s="1" t="n">
        <v>44539</v>
      </c>
      <c r="C338" s="1" t="n">
        <v>46199</v>
      </c>
      <c r="D338" t="inlineStr">
        <is>
          <t>VÄSTERNORRLANDS LÄN</t>
        </is>
      </c>
      <c r="E338" t="inlineStr">
        <is>
          <t>SOLLEFTEÅ</t>
        </is>
      </c>
      <c r="G338" t="n">
        <v>0.5</v>
      </c>
      <c r="H338" t="n">
        <v>1</v>
      </c>
      <c r="I338" t="n">
        <v>0</v>
      </c>
      <c r="J338" t="n">
        <v>1</v>
      </c>
      <c r="K338" t="n">
        <v>0</v>
      </c>
      <c r="L338" t="n">
        <v>0</v>
      </c>
      <c r="M338" t="n">
        <v>0</v>
      </c>
      <c r="N338" t="n">
        <v>0</v>
      </c>
      <c r="O338" t="n">
        <v>1</v>
      </c>
      <c r="P338" t="n">
        <v>0</v>
      </c>
      <c r="Q338" t="n">
        <v>1</v>
      </c>
      <c r="R338" s="2" t="inlineStr">
        <is>
          <t>Björktrast</t>
        </is>
      </c>
      <c r="S338">
        <f>HYPERLINK("https://klasma.github.io/Logging_2283/artfynd/A 71349-2021 artfynd.xlsx", "A 71349-2021")</f>
        <v/>
      </c>
      <c r="T338">
        <f>HYPERLINK("https://klasma.github.io/Logging_2283/kartor/A 71349-2021 karta.png", "A 71349-2021")</f>
        <v/>
      </c>
      <c r="V338">
        <f>HYPERLINK("https://klasma.github.io/Logging_2283/klagomål/A 71349-2021 FSC-klagomål.docx", "A 71349-2021")</f>
        <v/>
      </c>
      <c r="W338">
        <f>HYPERLINK("https://klasma.github.io/Logging_2283/klagomålsmail/A 71349-2021 FSC-klagomål mail.docx", "A 71349-2021")</f>
        <v/>
      </c>
      <c r="X338">
        <f>HYPERLINK("https://klasma.github.io/Logging_2283/tillsyn/A 71349-2021 tillsynsbegäran.docx", "A 71349-2021")</f>
        <v/>
      </c>
      <c r="Y338">
        <f>HYPERLINK("https://klasma.github.io/Logging_2283/tillsynsmail/A 71349-2021 tillsynsbegäran mail.docx", "A 71349-2021")</f>
        <v/>
      </c>
      <c r="Z338">
        <f>HYPERLINK("https://klasma.github.io/Logging_2283/fåglar/A 71349-2021 prioriterade fågelarter.docx", "A 71349-2021")</f>
        <v/>
      </c>
    </row>
    <row r="339" ht="15" customHeight="1">
      <c r="A339" t="inlineStr">
        <is>
          <t>A 3551-2022</t>
        </is>
      </c>
      <c r="B339" s="1" t="n">
        <v>44585</v>
      </c>
      <c r="C339" s="1" t="n">
        <v>46199</v>
      </c>
      <c r="D339" t="inlineStr">
        <is>
          <t>VÄSTERNORRLANDS LÄN</t>
        </is>
      </c>
      <c r="E339" t="inlineStr">
        <is>
          <t>SOLLEFTEÅ</t>
        </is>
      </c>
      <c r="F339" t="inlineStr">
        <is>
          <t>SCA</t>
        </is>
      </c>
      <c r="G339" t="n">
        <v>0.8</v>
      </c>
      <c r="H339" t="n">
        <v>1</v>
      </c>
      <c r="I339" t="n">
        <v>0</v>
      </c>
      <c r="J339" t="n">
        <v>0</v>
      </c>
      <c r="K339" t="n">
        <v>0</v>
      </c>
      <c r="L339" t="n">
        <v>1</v>
      </c>
      <c r="M339" t="n">
        <v>0</v>
      </c>
      <c r="N339" t="n">
        <v>0</v>
      </c>
      <c r="O339" t="n">
        <v>1</v>
      </c>
      <c r="P339" t="n">
        <v>1</v>
      </c>
      <c r="Q339" t="n">
        <v>1</v>
      </c>
      <c r="R339" s="2" t="inlineStr">
        <is>
          <t>Bombmurkla</t>
        </is>
      </c>
      <c r="S339">
        <f>HYPERLINK("https://klasma.github.io/Logging_2283/artfynd/A 3551-2022 artfynd.xlsx", "A 3551-2022")</f>
        <v/>
      </c>
      <c r="T339">
        <f>HYPERLINK("https://klasma.github.io/Logging_2283/kartor/A 3551-2022 karta.png", "A 3551-2022")</f>
        <v/>
      </c>
      <c r="V339">
        <f>HYPERLINK("https://klasma.github.io/Logging_2283/klagomål/A 3551-2022 FSC-klagomål.docx", "A 3551-2022")</f>
        <v/>
      </c>
      <c r="W339">
        <f>HYPERLINK("https://klasma.github.io/Logging_2283/klagomålsmail/A 3551-2022 FSC-klagomål mail.docx", "A 3551-2022")</f>
        <v/>
      </c>
      <c r="X339">
        <f>HYPERLINK("https://klasma.github.io/Logging_2283/tillsyn/A 3551-2022 tillsynsbegäran.docx", "A 3551-2022")</f>
        <v/>
      </c>
      <c r="Y339">
        <f>HYPERLINK("https://klasma.github.io/Logging_2283/tillsynsmail/A 3551-2022 tillsynsbegäran mail.docx", "A 3551-2022")</f>
        <v/>
      </c>
    </row>
    <row r="340" ht="15" customHeight="1">
      <c r="A340" t="inlineStr">
        <is>
          <t>A 58573-2021</t>
        </is>
      </c>
      <c r="B340" s="1" t="n">
        <v>44488</v>
      </c>
      <c r="C340" s="1" t="n">
        <v>46199</v>
      </c>
      <c r="D340" t="inlineStr">
        <is>
          <t>VÄSTERNORRLANDS LÄN</t>
        </is>
      </c>
      <c r="E340" t="inlineStr">
        <is>
          <t>SOLLEFTEÅ</t>
        </is>
      </c>
      <c r="G340" t="n">
        <v>0.3</v>
      </c>
      <c r="H340" t="n">
        <v>0</v>
      </c>
      <c r="I340" t="n">
        <v>0</v>
      </c>
      <c r="J340" t="n">
        <v>1</v>
      </c>
      <c r="K340" t="n">
        <v>0</v>
      </c>
      <c r="L340" t="n">
        <v>0</v>
      </c>
      <c r="M340" t="n">
        <v>0</v>
      </c>
      <c r="N340" t="n">
        <v>0</v>
      </c>
      <c r="O340" t="n">
        <v>1</v>
      </c>
      <c r="P340" t="n">
        <v>0</v>
      </c>
      <c r="Q340" t="n">
        <v>1</v>
      </c>
      <c r="R340" s="2" t="inlineStr">
        <is>
          <t>Brunklöver</t>
        </is>
      </c>
      <c r="S340">
        <f>HYPERLINK("https://klasma.github.io/Logging_2283/artfynd/A 58573-2021 artfynd.xlsx", "A 58573-2021")</f>
        <v/>
      </c>
      <c r="T340">
        <f>HYPERLINK("https://klasma.github.io/Logging_2283/kartor/A 58573-2021 karta.png", "A 58573-2021")</f>
        <v/>
      </c>
      <c r="V340">
        <f>HYPERLINK("https://klasma.github.io/Logging_2283/klagomål/A 58573-2021 FSC-klagomål.docx", "A 58573-2021")</f>
        <v/>
      </c>
      <c r="W340">
        <f>HYPERLINK("https://klasma.github.io/Logging_2283/klagomålsmail/A 58573-2021 FSC-klagomål mail.docx", "A 58573-2021")</f>
        <v/>
      </c>
      <c r="X340">
        <f>HYPERLINK("https://klasma.github.io/Logging_2283/tillsyn/A 58573-2021 tillsynsbegäran.docx", "A 58573-2021")</f>
        <v/>
      </c>
      <c r="Y340">
        <f>HYPERLINK("https://klasma.github.io/Logging_2283/tillsynsmail/A 58573-2021 tillsynsbegäran mail.docx", "A 58573-2021")</f>
        <v/>
      </c>
    </row>
    <row r="341" ht="15" customHeight="1">
      <c r="A341" t="inlineStr">
        <is>
          <t>A 44763-2022</t>
        </is>
      </c>
      <c r="B341" s="1" t="n">
        <v>44840</v>
      </c>
      <c r="C341" s="1" t="n">
        <v>46199</v>
      </c>
      <c r="D341" t="inlineStr">
        <is>
          <t>VÄSTERNORRLANDS LÄN</t>
        </is>
      </c>
      <c r="E341" t="inlineStr">
        <is>
          <t>SOLLEFTEÅ</t>
        </is>
      </c>
      <c r="F341" t="inlineStr">
        <is>
          <t>SCA</t>
        </is>
      </c>
      <c r="G341" t="n">
        <v>1.2</v>
      </c>
      <c r="H341" t="n">
        <v>0</v>
      </c>
      <c r="I341" t="n">
        <v>0</v>
      </c>
      <c r="J341" t="n">
        <v>1</v>
      </c>
      <c r="K341" t="n">
        <v>0</v>
      </c>
      <c r="L341" t="n">
        <v>0</v>
      </c>
      <c r="M341" t="n">
        <v>0</v>
      </c>
      <c r="N341" t="n">
        <v>0</v>
      </c>
      <c r="O341" t="n">
        <v>1</v>
      </c>
      <c r="P341" t="n">
        <v>0</v>
      </c>
      <c r="Q341" t="n">
        <v>1</v>
      </c>
      <c r="R341" s="2" t="inlineStr">
        <is>
          <t>Rosenticka</t>
        </is>
      </c>
      <c r="S341">
        <f>HYPERLINK("https://klasma.github.io/Logging_2283/artfynd/A 44763-2022 artfynd.xlsx", "A 44763-2022")</f>
        <v/>
      </c>
      <c r="T341">
        <f>HYPERLINK("https://klasma.github.io/Logging_2283/kartor/A 44763-2022 karta.png", "A 44763-2022")</f>
        <v/>
      </c>
      <c r="V341">
        <f>HYPERLINK("https://klasma.github.io/Logging_2283/klagomål/A 44763-2022 FSC-klagomål.docx", "A 44763-2022")</f>
        <v/>
      </c>
      <c r="W341">
        <f>HYPERLINK("https://klasma.github.io/Logging_2283/klagomålsmail/A 44763-2022 FSC-klagomål mail.docx", "A 44763-2022")</f>
        <v/>
      </c>
      <c r="X341">
        <f>HYPERLINK("https://klasma.github.io/Logging_2283/tillsyn/A 44763-2022 tillsynsbegäran.docx", "A 44763-2022")</f>
        <v/>
      </c>
      <c r="Y341">
        <f>HYPERLINK("https://klasma.github.io/Logging_2283/tillsynsmail/A 44763-2022 tillsynsbegäran mail.docx", "A 44763-2022")</f>
        <v/>
      </c>
    </row>
    <row r="342" ht="15" customHeight="1">
      <c r="A342" t="inlineStr">
        <is>
          <t>A 40626-2022</t>
        </is>
      </c>
      <c r="B342" s="1" t="n">
        <v>44823</v>
      </c>
      <c r="C342" s="1" t="n">
        <v>46199</v>
      </c>
      <c r="D342" t="inlineStr">
        <is>
          <t>VÄSTERNORRLANDS LÄN</t>
        </is>
      </c>
      <c r="E342" t="inlineStr">
        <is>
          <t>SOLLEFTEÅ</t>
        </is>
      </c>
      <c r="F342" t="inlineStr">
        <is>
          <t>SCA</t>
        </is>
      </c>
      <c r="G342" t="n">
        <v>2.5</v>
      </c>
      <c r="H342" t="n">
        <v>1</v>
      </c>
      <c r="I342" t="n">
        <v>0</v>
      </c>
      <c r="J342" t="n">
        <v>0</v>
      </c>
      <c r="K342" t="n">
        <v>0</v>
      </c>
      <c r="L342" t="n">
        <v>0</v>
      </c>
      <c r="M342" t="n">
        <v>0</v>
      </c>
      <c r="N342" t="n">
        <v>0</v>
      </c>
      <c r="O342" t="n">
        <v>0</v>
      </c>
      <c r="P342" t="n">
        <v>0</v>
      </c>
      <c r="Q342" t="n">
        <v>1</v>
      </c>
      <c r="R342" s="2" t="inlineStr">
        <is>
          <t>Spillkråka</t>
        </is>
      </c>
      <c r="S342">
        <f>HYPERLINK("https://klasma.github.io/Logging_2283/artfynd/A 40626-2022 artfynd.xlsx", "A 40626-2022")</f>
        <v/>
      </c>
      <c r="T342">
        <f>HYPERLINK("https://klasma.github.io/Logging_2283/kartor/A 40626-2022 karta.png", "A 40626-2022")</f>
        <v/>
      </c>
      <c r="V342">
        <f>HYPERLINK("https://klasma.github.io/Logging_2283/klagomål/A 40626-2022 FSC-klagomål.docx", "A 40626-2022")</f>
        <v/>
      </c>
      <c r="W342">
        <f>HYPERLINK("https://klasma.github.io/Logging_2283/klagomålsmail/A 40626-2022 FSC-klagomål mail.docx", "A 40626-2022")</f>
        <v/>
      </c>
      <c r="X342">
        <f>HYPERLINK("https://klasma.github.io/Logging_2283/tillsyn/A 40626-2022 tillsynsbegäran.docx", "A 40626-2022")</f>
        <v/>
      </c>
      <c r="Y342">
        <f>HYPERLINK("https://klasma.github.io/Logging_2283/tillsynsmail/A 40626-2022 tillsynsbegäran mail.docx", "A 40626-2022")</f>
        <v/>
      </c>
      <c r="Z342">
        <f>HYPERLINK("https://klasma.github.io/Logging_2283/fåglar/A 40626-2022 prioriterade fågelarter.docx", "A 40626-2022")</f>
        <v/>
      </c>
    </row>
    <row r="343" ht="15" customHeight="1">
      <c r="A343" t="inlineStr">
        <is>
          <t>A 5033-2024</t>
        </is>
      </c>
      <c r="B343" s="1" t="n">
        <v>45329</v>
      </c>
      <c r="C343" s="1" t="n">
        <v>46199</v>
      </c>
      <c r="D343" t="inlineStr">
        <is>
          <t>VÄSTERNORRLANDS LÄN</t>
        </is>
      </c>
      <c r="E343" t="inlineStr">
        <is>
          <t>SOLLEFTEÅ</t>
        </is>
      </c>
      <c r="F343" t="inlineStr">
        <is>
          <t>Övriga Aktiebolag</t>
        </is>
      </c>
      <c r="G343" t="n">
        <v>3.2</v>
      </c>
      <c r="H343" t="n">
        <v>0</v>
      </c>
      <c r="I343" t="n">
        <v>1</v>
      </c>
      <c r="J343" t="n">
        <v>0</v>
      </c>
      <c r="K343" t="n">
        <v>0</v>
      </c>
      <c r="L343" t="n">
        <v>0</v>
      </c>
      <c r="M343" t="n">
        <v>0</v>
      </c>
      <c r="N343" t="n">
        <v>0</v>
      </c>
      <c r="O343" t="n">
        <v>0</v>
      </c>
      <c r="P343" t="n">
        <v>0</v>
      </c>
      <c r="Q343" t="n">
        <v>1</v>
      </c>
      <c r="R343" s="2" t="inlineStr">
        <is>
          <t>Kransrams</t>
        </is>
      </c>
      <c r="S343">
        <f>HYPERLINK("https://klasma.github.io/Logging_2283/artfynd/A 5033-2024 artfynd.xlsx", "A 5033-2024")</f>
        <v/>
      </c>
      <c r="T343">
        <f>HYPERLINK("https://klasma.github.io/Logging_2283/kartor/A 5033-2024 karta.png", "A 5033-2024")</f>
        <v/>
      </c>
      <c r="V343">
        <f>HYPERLINK("https://klasma.github.io/Logging_2283/klagomål/A 5033-2024 FSC-klagomål.docx", "A 5033-2024")</f>
        <v/>
      </c>
      <c r="W343">
        <f>HYPERLINK("https://klasma.github.io/Logging_2283/klagomålsmail/A 5033-2024 FSC-klagomål mail.docx", "A 5033-2024")</f>
        <v/>
      </c>
      <c r="X343">
        <f>HYPERLINK("https://klasma.github.io/Logging_2283/tillsyn/A 5033-2024 tillsynsbegäran.docx", "A 5033-2024")</f>
        <v/>
      </c>
      <c r="Y343">
        <f>HYPERLINK("https://klasma.github.io/Logging_2283/tillsynsmail/A 5033-2024 tillsynsbegäran mail.docx", "A 5033-2024")</f>
        <v/>
      </c>
    </row>
    <row r="344" ht="15" customHeight="1">
      <c r="A344" t="inlineStr">
        <is>
          <t>A 53059-2023</t>
        </is>
      </c>
      <c r="B344" s="1" t="n">
        <v>45226</v>
      </c>
      <c r="C344" s="1" t="n">
        <v>46199</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37589-2022</t>
        </is>
      </c>
      <c r="B345" s="1" t="n">
        <v>44809</v>
      </c>
      <c r="C345" s="1" t="n">
        <v>46199</v>
      </c>
      <c r="D345" t="inlineStr">
        <is>
          <t>VÄSTERNORRLANDS LÄN</t>
        </is>
      </c>
      <c r="E345" t="inlineStr">
        <is>
          <t>SOLLEFTEÅ</t>
        </is>
      </c>
      <c r="F345" t="inlineStr">
        <is>
          <t>SCA</t>
        </is>
      </c>
      <c r="G345" t="n">
        <v>2.6</v>
      </c>
      <c r="H345" t="n">
        <v>1</v>
      </c>
      <c r="I345" t="n">
        <v>0</v>
      </c>
      <c r="J345" t="n">
        <v>0</v>
      </c>
      <c r="K345" t="n">
        <v>0</v>
      </c>
      <c r="L345" t="n">
        <v>0</v>
      </c>
      <c r="M345" t="n">
        <v>0</v>
      </c>
      <c r="N345" t="n">
        <v>0</v>
      </c>
      <c r="O345" t="n">
        <v>0</v>
      </c>
      <c r="P345" t="n">
        <v>0</v>
      </c>
      <c r="Q345" t="n">
        <v>1</v>
      </c>
      <c r="R345" s="2" t="inlineStr">
        <is>
          <t>Tjäder</t>
        </is>
      </c>
      <c r="S345">
        <f>HYPERLINK("https://klasma.github.io/Logging_2283/artfynd/A 37589-2022 artfynd.xlsx", "A 37589-2022")</f>
        <v/>
      </c>
      <c r="T345">
        <f>HYPERLINK("https://klasma.github.io/Logging_2283/kartor/A 37589-2022 karta.png", "A 37589-2022")</f>
        <v/>
      </c>
      <c r="V345">
        <f>HYPERLINK("https://klasma.github.io/Logging_2283/klagomål/A 37589-2022 FSC-klagomål.docx", "A 37589-2022")</f>
        <v/>
      </c>
      <c r="W345">
        <f>HYPERLINK("https://klasma.github.io/Logging_2283/klagomålsmail/A 37589-2022 FSC-klagomål mail.docx", "A 37589-2022")</f>
        <v/>
      </c>
      <c r="X345">
        <f>HYPERLINK("https://klasma.github.io/Logging_2283/tillsyn/A 37589-2022 tillsynsbegäran.docx", "A 37589-2022")</f>
        <v/>
      </c>
      <c r="Y345">
        <f>HYPERLINK("https://klasma.github.io/Logging_2283/tillsynsmail/A 37589-2022 tillsynsbegäran mail.docx", "A 37589-2022")</f>
        <v/>
      </c>
      <c r="Z345">
        <f>HYPERLINK("https://klasma.github.io/Logging_2283/fåglar/A 37589-2022 prioriterade fågelarter.docx", "A 37589-2022")</f>
        <v/>
      </c>
    </row>
    <row r="346" ht="15" customHeight="1">
      <c r="A346" t="inlineStr">
        <is>
          <t>A 56421-2025</t>
        </is>
      </c>
      <c r="B346" s="1" t="n">
        <v>45975</v>
      </c>
      <c r="C346" s="1" t="n">
        <v>46199</v>
      </c>
      <c r="D346" t="inlineStr">
        <is>
          <t>VÄSTERNORRLANDS LÄN</t>
        </is>
      </c>
      <c r="E346" t="inlineStr">
        <is>
          <t>SOLLEFTEÅ</t>
        </is>
      </c>
      <c r="F346" t="inlineStr">
        <is>
          <t>SCA</t>
        </is>
      </c>
      <c r="G346" t="n">
        <v>2.2</v>
      </c>
      <c r="H346" t="n">
        <v>0</v>
      </c>
      <c r="I346" t="n">
        <v>0</v>
      </c>
      <c r="J346" t="n">
        <v>1</v>
      </c>
      <c r="K346" t="n">
        <v>0</v>
      </c>
      <c r="L346" t="n">
        <v>0</v>
      </c>
      <c r="M346" t="n">
        <v>0</v>
      </c>
      <c r="N346" t="n">
        <v>0</v>
      </c>
      <c r="O346" t="n">
        <v>1</v>
      </c>
      <c r="P346" t="n">
        <v>0</v>
      </c>
      <c r="Q346" t="n">
        <v>1</v>
      </c>
      <c r="R346" s="2" t="inlineStr">
        <is>
          <t>Harticka</t>
        </is>
      </c>
      <c r="S346">
        <f>HYPERLINK("https://klasma.github.io/Logging_2283/artfynd/A 56421-2025 artfynd.xlsx", "A 56421-2025")</f>
        <v/>
      </c>
      <c r="T346">
        <f>HYPERLINK("https://klasma.github.io/Logging_2283/kartor/A 56421-2025 karta.png", "A 56421-2025")</f>
        <v/>
      </c>
      <c r="V346">
        <f>HYPERLINK("https://klasma.github.io/Logging_2283/klagomål/A 56421-2025 FSC-klagomål.docx", "A 56421-2025")</f>
        <v/>
      </c>
      <c r="W346">
        <f>HYPERLINK("https://klasma.github.io/Logging_2283/klagomålsmail/A 56421-2025 FSC-klagomål mail.docx", "A 56421-2025")</f>
        <v/>
      </c>
      <c r="X346">
        <f>HYPERLINK("https://klasma.github.io/Logging_2283/tillsyn/A 56421-2025 tillsynsbegäran.docx", "A 56421-2025")</f>
        <v/>
      </c>
      <c r="Y346">
        <f>HYPERLINK("https://klasma.github.io/Logging_2283/tillsynsmail/A 56421-2025 tillsynsbegäran mail.docx", "A 56421-2025")</f>
        <v/>
      </c>
    </row>
    <row r="347" ht="15" customHeight="1">
      <c r="A347" t="inlineStr">
        <is>
          <t>A 27901-2024</t>
        </is>
      </c>
      <c r="B347" s="1" t="n">
        <v>45475</v>
      </c>
      <c r="C347" s="1" t="n">
        <v>46199</v>
      </c>
      <c r="D347" t="inlineStr">
        <is>
          <t>VÄSTERNORRLANDS LÄN</t>
        </is>
      </c>
      <c r="E347" t="inlineStr">
        <is>
          <t>SOLLEFTEÅ</t>
        </is>
      </c>
      <c r="G347" t="n">
        <v>12.7</v>
      </c>
      <c r="H347" t="n">
        <v>0</v>
      </c>
      <c r="I347" t="n">
        <v>0</v>
      </c>
      <c r="J347" t="n">
        <v>0</v>
      </c>
      <c r="K347" t="n">
        <v>1</v>
      </c>
      <c r="L347" t="n">
        <v>0</v>
      </c>
      <c r="M347" t="n">
        <v>0</v>
      </c>
      <c r="N347" t="n">
        <v>0</v>
      </c>
      <c r="O347" t="n">
        <v>1</v>
      </c>
      <c r="P347" t="n">
        <v>1</v>
      </c>
      <c r="Q347" t="n">
        <v>1</v>
      </c>
      <c r="R347" s="2" t="inlineStr">
        <is>
          <t>Garnlav</t>
        </is>
      </c>
      <c r="S347">
        <f>HYPERLINK("https://klasma.github.io/Logging_2283/artfynd/A 27901-2024 artfynd.xlsx", "A 27901-2024")</f>
        <v/>
      </c>
      <c r="T347">
        <f>HYPERLINK("https://klasma.github.io/Logging_2283/kartor/A 27901-2024 karta.png", "A 27901-2024")</f>
        <v/>
      </c>
      <c r="V347">
        <f>HYPERLINK("https://klasma.github.io/Logging_2283/klagomål/A 27901-2024 FSC-klagomål.docx", "A 27901-2024")</f>
        <v/>
      </c>
      <c r="W347">
        <f>HYPERLINK("https://klasma.github.io/Logging_2283/klagomålsmail/A 27901-2024 FSC-klagomål mail.docx", "A 27901-2024")</f>
        <v/>
      </c>
      <c r="X347">
        <f>HYPERLINK("https://klasma.github.io/Logging_2283/tillsyn/A 27901-2024 tillsynsbegäran.docx", "A 27901-2024")</f>
        <v/>
      </c>
      <c r="Y347">
        <f>HYPERLINK("https://klasma.github.io/Logging_2283/tillsynsmail/A 27901-2024 tillsynsbegäran mail.docx", "A 27901-2024")</f>
        <v/>
      </c>
    </row>
    <row r="348" ht="15" customHeight="1">
      <c r="A348" t="inlineStr">
        <is>
          <t>A 38102-2022</t>
        </is>
      </c>
      <c r="B348" s="1" t="n">
        <v>44811</v>
      </c>
      <c r="C348" s="1" t="n">
        <v>46199</v>
      </c>
      <c r="D348" t="inlineStr">
        <is>
          <t>VÄSTERNORRLANDS LÄN</t>
        </is>
      </c>
      <c r="E348" t="inlineStr">
        <is>
          <t>SOLLEFTEÅ</t>
        </is>
      </c>
      <c r="F348" t="inlineStr">
        <is>
          <t>SCA</t>
        </is>
      </c>
      <c r="G348" t="n">
        <v>4.9</v>
      </c>
      <c r="H348" t="n">
        <v>1</v>
      </c>
      <c r="I348" t="n">
        <v>0</v>
      </c>
      <c r="J348" t="n">
        <v>0</v>
      </c>
      <c r="K348" t="n">
        <v>1</v>
      </c>
      <c r="L348" t="n">
        <v>0</v>
      </c>
      <c r="M348" t="n">
        <v>0</v>
      </c>
      <c r="N348" t="n">
        <v>0</v>
      </c>
      <c r="O348" t="n">
        <v>1</v>
      </c>
      <c r="P348" t="n">
        <v>1</v>
      </c>
      <c r="Q348" t="n">
        <v>1</v>
      </c>
      <c r="R348" s="2" t="inlineStr">
        <is>
          <t>Knärot</t>
        </is>
      </c>
      <c r="S348">
        <f>HYPERLINK("https://klasma.github.io/Logging_2283/artfynd/A 38102-2022 artfynd.xlsx", "A 38102-2022")</f>
        <v/>
      </c>
      <c r="T348">
        <f>HYPERLINK("https://klasma.github.io/Logging_2283/kartor/A 38102-2022 karta.png", "A 38102-2022")</f>
        <v/>
      </c>
      <c r="U348">
        <f>HYPERLINK("https://klasma.github.io/Logging_2283/knärot/A 38102-2022 karta knärot.png", "A 38102-2022")</f>
        <v/>
      </c>
      <c r="V348">
        <f>HYPERLINK("https://klasma.github.io/Logging_2283/klagomål/A 38102-2022 FSC-klagomål.docx", "A 38102-2022")</f>
        <v/>
      </c>
      <c r="W348">
        <f>HYPERLINK("https://klasma.github.io/Logging_2283/klagomålsmail/A 38102-2022 FSC-klagomål mail.docx", "A 38102-2022")</f>
        <v/>
      </c>
      <c r="X348">
        <f>HYPERLINK("https://klasma.github.io/Logging_2283/tillsyn/A 38102-2022 tillsynsbegäran.docx", "A 38102-2022")</f>
        <v/>
      </c>
      <c r="Y348">
        <f>HYPERLINK("https://klasma.github.io/Logging_2283/tillsynsmail/A 38102-2022 tillsynsbegäran mail.docx", "A 38102-2022")</f>
        <v/>
      </c>
    </row>
    <row r="349" ht="15" customHeight="1">
      <c r="A349" t="inlineStr">
        <is>
          <t>A 31886-2024</t>
        </is>
      </c>
      <c r="B349" s="1" t="n">
        <v>45509</v>
      </c>
      <c r="C349" s="1" t="n">
        <v>46199</v>
      </c>
      <c r="D349" t="inlineStr">
        <is>
          <t>VÄSTERNORRLANDS LÄN</t>
        </is>
      </c>
      <c r="E349" t="inlineStr">
        <is>
          <t>SOLLEFTEÅ</t>
        </is>
      </c>
      <c r="F349" t="inlineStr">
        <is>
          <t>SCA</t>
        </is>
      </c>
      <c r="G349" t="n">
        <v>3.9</v>
      </c>
      <c r="H349" t="n">
        <v>0</v>
      </c>
      <c r="I349" t="n">
        <v>0</v>
      </c>
      <c r="J349" t="n">
        <v>1</v>
      </c>
      <c r="K349" t="n">
        <v>0</v>
      </c>
      <c r="L349" t="n">
        <v>0</v>
      </c>
      <c r="M349" t="n">
        <v>0</v>
      </c>
      <c r="N349" t="n">
        <v>0</v>
      </c>
      <c r="O349" t="n">
        <v>1</v>
      </c>
      <c r="P349" t="n">
        <v>0</v>
      </c>
      <c r="Q349" t="n">
        <v>1</v>
      </c>
      <c r="R349" s="2" t="inlineStr">
        <is>
          <t>Lunglav</t>
        </is>
      </c>
      <c r="S349">
        <f>HYPERLINK("https://klasma.github.io/Logging_2283/artfynd/A 31886-2024 artfynd.xlsx", "A 31886-2024")</f>
        <v/>
      </c>
      <c r="T349">
        <f>HYPERLINK("https://klasma.github.io/Logging_2283/kartor/A 31886-2024 karta.png", "A 31886-2024")</f>
        <v/>
      </c>
      <c r="V349">
        <f>HYPERLINK("https://klasma.github.io/Logging_2283/klagomål/A 31886-2024 FSC-klagomål.docx", "A 31886-2024")</f>
        <v/>
      </c>
      <c r="W349">
        <f>HYPERLINK("https://klasma.github.io/Logging_2283/klagomålsmail/A 31886-2024 FSC-klagomål mail.docx", "A 31886-2024")</f>
        <v/>
      </c>
      <c r="X349">
        <f>HYPERLINK("https://klasma.github.io/Logging_2283/tillsyn/A 31886-2024 tillsynsbegäran.docx", "A 31886-2024")</f>
        <v/>
      </c>
      <c r="Y349">
        <f>HYPERLINK("https://klasma.github.io/Logging_2283/tillsynsmail/A 31886-2024 tillsynsbegäran mail.docx", "A 31886-2024")</f>
        <v/>
      </c>
    </row>
    <row r="350" ht="15" customHeight="1">
      <c r="A350" t="inlineStr">
        <is>
          <t>A 41787-2024</t>
        </is>
      </c>
      <c r="B350" s="1" t="n">
        <v>45561</v>
      </c>
      <c r="C350" s="1" t="n">
        <v>46199</v>
      </c>
      <c r="D350" t="inlineStr">
        <is>
          <t>VÄSTERNORRLANDS LÄN</t>
        </is>
      </c>
      <c r="E350" t="inlineStr">
        <is>
          <t>SOLLEFTEÅ</t>
        </is>
      </c>
      <c r="F350" t="inlineStr">
        <is>
          <t>SCA</t>
        </is>
      </c>
      <c r="G350" t="n">
        <v>3.9</v>
      </c>
      <c r="H350" t="n">
        <v>0</v>
      </c>
      <c r="I350" t="n">
        <v>0</v>
      </c>
      <c r="J350" t="n">
        <v>1</v>
      </c>
      <c r="K350" t="n">
        <v>0</v>
      </c>
      <c r="L350" t="n">
        <v>0</v>
      </c>
      <c r="M350" t="n">
        <v>0</v>
      </c>
      <c r="N350" t="n">
        <v>0</v>
      </c>
      <c r="O350" t="n">
        <v>1</v>
      </c>
      <c r="P350" t="n">
        <v>0</v>
      </c>
      <c r="Q350" t="n">
        <v>1</v>
      </c>
      <c r="R350" s="2" t="inlineStr">
        <is>
          <t>Lunglav</t>
        </is>
      </c>
      <c r="S350">
        <f>HYPERLINK("https://klasma.github.io/Logging_2283/artfynd/A 41787-2024 artfynd.xlsx", "A 41787-2024")</f>
        <v/>
      </c>
      <c r="T350">
        <f>HYPERLINK("https://klasma.github.io/Logging_2283/kartor/A 41787-2024 karta.png", "A 41787-2024")</f>
        <v/>
      </c>
      <c r="V350">
        <f>HYPERLINK("https://klasma.github.io/Logging_2283/klagomål/A 41787-2024 FSC-klagomål.docx", "A 41787-2024")</f>
        <v/>
      </c>
      <c r="W350">
        <f>HYPERLINK("https://klasma.github.io/Logging_2283/klagomålsmail/A 41787-2024 FSC-klagomål mail.docx", "A 41787-2024")</f>
        <v/>
      </c>
      <c r="X350">
        <f>HYPERLINK("https://klasma.github.io/Logging_2283/tillsyn/A 41787-2024 tillsynsbegäran.docx", "A 41787-2024")</f>
        <v/>
      </c>
      <c r="Y350">
        <f>HYPERLINK("https://klasma.github.io/Logging_2283/tillsynsmail/A 41787-2024 tillsynsbegäran mail.docx", "A 41787-2024")</f>
        <v/>
      </c>
    </row>
    <row r="351" ht="15" customHeight="1">
      <c r="A351" t="inlineStr">
        <is>
          <t>A 58384-2025</t>
        </is>
      </c>
      <c r="B351" s="1" t="n">
        <v>45985</v>
      </c>
      <c r="C351" s="1" t="n">
        <v>46199</v>
      </c>
      <c r="D351" t="inlineStr">
        <is>
          <t>VÄSTERNORRLANDS LÄN</t>
        </is>
      </c>
      <c r="E351" t="inlineStr">
        <is>
          <t>SOLLEFTEÅ</t>
        </is>
      </c>
      <c r="G351" t="n">
        <v>3.7</v>
      </c>
      <c r="H351" t="n">
        <v>1</v>
      </c>
      <c r="I351" t="n">
        <v>0</v>
      </c>
      <c r="J351" t="n">
        <v>0</v>
      </c>
      <c r="K351" t="n">
        <v>0</v>
      </c>
      <c r="L351" t="n">
        <v>0</v>
      </c>
      <c r="M351" t="n">
        <v>0</v>
      </c>
      <c r="N351" t="n">
        <v>0</v>
      </c>
      <c r="O351" t="n">
        <v>0</v>
      </c>
      <c r="P351" t="n">
        <v>0</v>
      </c>
      <c r="Q351" t="n">
        <v>1</v>
      </c>
      <c r="R351" s="2" t="inlineStr">
        <is>
          <t>Tjäder</t>
        </is>
      </c>
      <c r="S351">
        <f>HYPERLINK("https://klasma.github.io/Logging_2283/artfynd/A 58384-2025 artfynd.xlsx", "A 58384-2025")</f>
        <v/>
      </c>
      <c r="T351">
        <f>HYPERLINK("https://klasma.github.io/Logging_2283/kartor/A 58384-2025 karta.png", "A 58384-2025")</f>
        <v/>
      </c>
      <c r="V351">
        <f>HYPERLINK("https://klasma.github.io/Logging_2283/klagomål/A 58384-2025 FSC-klagomål.docx", "A 58384-2025")</f>
        <v/>
      </c>
      <c r="W351">
        <f>HYPERLINK("https://klasma.github.io/Logging_2283/klagomålsmail/A 58384-2025 FSC-klagomål mail.docx", "A 58384-2025")</f>
        <v/>
      </c>
      <c r="X351">
        <f>HYPERLINK("https://klasma.github.io/Logging_2283/tillsyn/A 58384-2025 tillsynsbegäran.docx", "A 58384-2025")</f>
        <v/>
      </c>
      <c r="Y351">
        <f>HYPERLINK("https://klasma.github.io/Logging_2283/tillsynsmail/A 58384-2025 tillsynsbegäran mail.docx", "A 58384-2025")</f>
        <v/>
      </c>
      <c r="Z351">
        <f>HYPERLINK("https://klasma.github.io/Logging_2283/fåglar/A 58384-2025 prioriterade fågelarter.docx", "A 58384-2025")</f>
        <v/>
      </c>
    </row>
    <row r="352" ht="15" customHeight="1">
      <c r="A352" t="inlineStr">
        <is>
          <t>A 41540-2025</t>
        </is>
      </c>
      <c r="B352" s="1" t="n">
        <v>45901</v>
      </c>
      <c r="C352" s="1" t="n">
        <v>46199</v>
      </c>
      <c r="D352" t="inlineStr">
        <is>
          <t>VÄSTERNORRLANDS LÄN</t>
        </is>
      </c>
      <c r="E352" t="inlineStr">
        <is>
          <t>SOLLEFTEÅ</t>
        </is>
      </c>
      <c r="G352" t="n">
        <v>2.5</v>
      </c>
      <c r="H352" t="n">
        <v>0</v>
      </c>
      <c r="I352" t="n">
        <v>1</v>
      </c>
      <c r="J352" t="n">
        <v>0</v>
      </c>
      <c r="K352" t="n">
        <v>0</v>
      </c>
      <c r="L352" t="n">
        <v>0</v>
      </c>
      <c r="M352" t="n">
        <v>0</v>
      </c>
      <c r="N352" t="n">
        <v>0</v>
      </c>
      <c r="O352" t="n">
        <v>0</v>
      </c>
      <c r="P352" t="n">
        <v>0</v>
      </c>
      <c r="Q352" t="n">
        <v>1</v>
      </c>
      <c r="R352" s="2" t="inlineStr">
        <is>
          <t>Underviol</t>
        </is>
      </c>
      <c r="S352">
        <f>HYPERLINK("https://klasma.github.io/Logging_2283/artfynd/A 41540-2025 artfynd.xlsx", "A 41540-2025")</f>
        <v/>
      </c>
      <c r="T352">
        <f>HYPERLINK("https://klasma.github.io/Logging_2283/kartor/A 41540-2025 karta.png", "A 41540-2025")</f>
        <v/>
      </c>
      <c r="V352">
        <f>HYPERLINK("https://klasma.github.io/Logging_2283/klagomål/A 41540-2025 FSC-klagomål.docx", "A 41540-2025")</f>
        <v/>
      </c>
      <c r="W352">
        <f>HYPERLINK("https://klasma.github.io/Logging_2283/klagomålsmail/A 41540-2025 FSC-klagomål mail.docx", "A 41540-2025")</f>
        <v/>
      </c>
      <c r="X352">
        <f>HYPERLINK("https://klasma.github.io/Logging_2283/tillsyn/A 41540-2025 tillsynsbegäran.docx", "A 41540-2025")</f>
        <v/>
      </c>
      <c r="Y352">
        <f>HYPERLINK("https://klasma.github.io/Logging_2283/tillsynsmail/A 41540-2025 tillsynsbegäran mail.docx", "A 41540-2025")</f>
        <v/>
      </c>
    </row>
    <row r="353" ht="15" customHeight="1">
      <c r="A353" t="inlineStr">
        <is>
          <t>A 22214-2025</t>
        </is>
      </c>
      <c r="B353" s="1" t="n">
        <v>45785</v>
      </c>
      <c r="C353" s="1" t="n">
        <v>46199</v>
      </c>
      <c r="D353" t="inlineStr">
        <is>
          <t>VÄSTERNORRLANDS LÄN</t>
        </is>
      </c>
      <c r="E353" t="inlineStr">
        <is>
          <t>SOLLEFTEÅ</t>
        </is>
      </c>
      <c r="F353" t="inlineStr">
        <is>
          <t>SCA</t>
        </is>
      </c>
      <c r="G353" t="n">
        <v>4.6</v>
      </c>
      <c r="H353" t="n">
        <v>0</v>
      </c>
      <c r="I353" t="n">
        <v>0</v>
      </c>
      <c r="J353" t="n">
        <v>1</v>
      </c>
      <c r="K353" t="n">
        <v>0</v>
      </c>
      <c r="L353" t="n">
        <v>0</v>
      </c>
      <c r="M353" t="n">
        <v>0</v>
      </c>
      <c r="N353" t="n">
        <v>0</v>
      </c>
      <c r="O353" t="n">
        <v>1</v>
      </c>
      <c r="P353" t="n">
        <v>0</v>
      </c>
      <c r="Q353" t="n">
        <v>1</v>
      </c>
      <c r="R353" s="2" t="inlineStr">
        <is>
          <t>Reliktbock</t>
        </is>
      </c>
      <c r="S353">
        <f>HYPERLINK("https://klasma.github.io/Logging_2283/artfynd/A 22214-2025 artfynd.xlsx", "A 22214-2025")</f>
        <v/>
      </c>
      <c r="T353">
        <f>HYPERLINK("https://klasma.github.io/Logging_2283/kartor/A 22214-2025 karta.png", "A 22214-2025")</f>
        <v/>
      </c>
      <c r="V353">
        <f>HYPERLINK("https://klasma.github.io/Logging_2283/klagomål/A 22214-2025 FSC-klagomål.docx", "A 22214-2025")</f>
        <v/>
      </c>
      <c r="W353">
        <f>HYPERLINK("https://klasma.github.io/Logging_2283/klagomålsmail/A 22214-2025 FSC-klagomål mail.docx", "A 22214-2025")</f>
        <v/>
      </c>
      <c r="X353">
        <f>HYPERLINK("https://klasma.github.io/Logging_2283/tillsyn/A 22214-2025 tillsynsbegäran.docx", "A 22214-2025")</f>
        <v/>
      </c>
      <c r="Y353">
        <f>HYPERLINK("https://klasma.github.io/Logging_2283/tillsynsmail/A 22214-2025 tillsynsbegäran mail.docx", "A 22214-2025")</f>
        <v/>
      </c>
    </row>
    <row r="354" ht="15" customHeight="1">
      <c r="A354" t="inlineStr">
        <is>
          <t>A 23169-2025</t>
        </is>
      </c>
      <c r="B354" s="1" t="n">
        <v>45791</v>
      </c>
      <c r="C354" s="1" t="n">
        <v>46199</v>
      </c>
      <c r="D354" t="inlineStr">
        <is>
          <t>VÄSTERNORRLANDS LÄN</t>
        </is>
      </c>
      <c r="E354" t="inlineStr">
        <is>
          <t>SOLLEFTEÅ</t>
        </is>
      </c>
      <c r="F354" t="inlineStr">
        <is>
          <t>SCA</t>
        </is>
      </c>
      <c r="G354" t="n">
        <v>1.8</v>
      </c>
      <c r="H354" t="n">
        <v>1</v>
      </c>
      <c r="I354" t="n">
        <v>0</v>
      </c>
      <c r="J354" t="n">
        <v>0</v>
      </c>
      <c r="K354" t="n">
        <v>0</v>
      </c>
      <c r="L354" t="n">
        <v>0</v>
      </c>
      <c r="M354" t="n">
        <v>0</v>
      </c>
      <c r="N354" t="n">
        <v>0</v>
      </c>
      <c r="O354" t="n">
        <v>0</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42554-2025</t>
        </is>
      </c>
      <c r="B355" s="1" t="n">
        <v>45905</v>
      </c>
      <c r="C355" s="1" t="n">
        <v>46199</v>
      </c>
      <c r="D355" t="inlineStr">
        <is>
          <t>VÄSTERNORRLANDS LÄN</t>
        </is>
      </c>
      <c r="E355" t="inlineStr">
        <is>
          <t>SOLLEFTEÅ</t>
        </is>
      </c>
      <c r="F355" t="inlineStr">
        <is>
          <t>SCA</t>
        </is>
      </c>
      <c r="G355" t="n">
        <v>0.7</v>
      </c>
      <c r="H355" t="n">
        <v>0</v>
      </c>
      <c r="I355" t="n">
        <v>0</v>
      </c>
      <c r="J355" t="n">
        <v>1</v>
      </c>
      <c r="K355" t="n">
        <v>0</v>
      </c>
      <c r="L355" t="n">
        <v>0</v>
      </c>
      <c r="M355" t="n">
        <v>0</v>
      </c>
      <c r="N355" t="n">
        <v>0</v>
      </c>
      <c r="O355" t="n">
        <v>1</v>
      </c>
      <c r="P355" t="n">
        <v>0</v>
      </c>
      <c r="Q355" t="n">
        <v>1</v>
      </c>
      <c r="R355" s="2" t="inlineStr">
        <is>
          <t>Harticka</t>
        </is>
      </c>
      <c r="S355">
        <f>HYPERLINK("https://klasma.github.io/Logging_2283/artfynd/A 42554-2025 artfynd.xlsx", "A 42554-2025")</f>
        <v/>
      </c>
      <c r="T355">
        <f>HYPERLINK("https://klasma.github.io/Logging_2283/kartor/A 42554-2025 karta.png", "A 42554-2025")</f>
        <v/>
      </c>
      <c r="V355">
        <f>HYPERLINK("https://klasma.github.io/Logging_2283/klagomål/A 42554-2025 FSC-klagomål.docx", "A 42554-2025")</f>
        <v/>
      </c>
      <c r="W355">
        <f>HYPERLINK("https://klasma.github.io/Logging_2283/klagomålsmail/A 42554-2025 FSC-klagomål mail.docx", "A 42554-2025")</f>
        <v/>
      </c>
      <c r="X355">
        <f>HYPERLINK("https://klasma.github.io/Logging_2283/tillsyn/A 42554-2025 tillsynsbegäran.docx", "A 42554-2025")</f>
        <v/>
      </c>
      <c r="Y355">
        <f>HYPERLINK("https://klasma.github.io/Logging_2283/tillsynsmail/A 42554-2025 tillsynsbegäran mail.docx", "A 42554-2025")</f>
        <v/>
      </c>
    </row>
    <row r="356" ht="15" customHeight="1">
      <c r="A356" t="inlineStr">
        <is>
          <t>A 26501-2025</t>
        </is>
      </c>
      <c r="B356" s="1" t="n">
        <v>45807</v>
      </c>
      <c r="C356" s="1" t="n">
        <v>46199</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Vedflikmossa</t>
        </is>
      </c>
      <c r="S356">
        <f>HYPERLINK("https://klasma.github.io/Logging_2283/artfynd/A 26501-2025 artfynd.xlsx", "A 26501-2025")</f>
        <v/>
      </c>
      <c r="T356">
        <f>HYPERLINK("https://klasma.github.io/Logging_2283/kartor/A 26501-2025 karta.png", "A 26501-2025")</f>
        <v/>
      </c>
      <c r="V356">
        <f>HYPERLINK("https://klasma.github.io/Logging_2283/klagomål/A 26501-2025 FSC-klagomål.docx", "A 26501-2025")</f>
        <v/>
      </c>
      <c r="W356">
        <f>HYPERLINK("https://klasma.github.io/Logging_2283/klagomålsmail/A 26501-2025 FSC-klagomål mail.docx", "A 26501-2025")</f>
        <v/>
      </c>
      <c r="X356">
        <f>HYPERLINK("https://klasma.github.io/Logging_2283/tillsyn/A 26501-2025 tillsynsbegäran.docx", "A 26501-2025")</f>
        <v/>
      </c>
      <c r="Y356">
        <f>HYPERLINK("https://klasma.github.io/Logging_2283/tillsynsmail/A 26501-2025 tillsynsbegäran mail.docx", "A 26501-2025")</f>
        <v/>
      </c>
    </row>
    <row r="357" ht="15" customHeight="1">
      <c r="A357" t="inlineStr">
        <is>
          <t>A 54558-2022</t>
        </is>
      </c>
      <c r="B357" s="1" t="n">
        <v>44882</v>
      </c>
      <c r="C357" s="1" t="n">
        <v>46199</v>
      </c>
      <c r="D357" t="inlineStr">
        <is>
          <t>VÄSTERNORRLANDS LÄN</t>
        </is>
      </c>
      <c r="E357" t="inlineStr">
        <is>
          <t>SOLLEFTEÅ</t>
        </is>
      </c>
      <c r="G357" t="n">
        <v>5.8</v>
      </c>
      <c r="H357" t="n">
        <v>0</v>
      </c>
      <c r="I357" t="n">
        <v>1</v>
      </c>
      <c r="J357" t="n">
        <v>0</v>
      </c>
      <c r="K357" t="n">
        <v>0</v>
      </c>
      <c r="L357" t="n">
        <v>0</v>
      </c>
      <c r="M357" t="n">
        <v>0</v>
      </c>
      <c r="N357" t="n">
        <v>0</v>
      </c>
      <c r="O357" t="n">
        <v>0</v>
      </c>
      <c r="P357" t="n">
        <v>0</v>
      </c>
      <c r="Q357" t="n">
        <v>1</v>
      </c>
      <c r="R357" s="2" t="inlineStr">
        <is>
          <t>Strutbräken</t>
        </is>
      </c>
      <c r="S357">
        <f>HYPERLINK("https://klasma.github.io/Logging_2283/artfynd/A 54558-2022 artfynd.xlsx", "A 54558-2022")</f>
        <v/>
      </c>
      <c r="T357">
        <f>HYPERLINK("https://klasma.github.io/Logging_2283/kartor/A 54558-2022 karta.png", "A 54558-2022")</f>
        <v/>
      </c>
      <c r="V357">
        <f>HYPERLINK("https://klasma.github.io/Logging_2283/klagomål/A 54558-2022 FSC-klagomål.docx", "A 54558-2022")</f>
        <v/>
      </c>
      <c r="W357">
        <f>HYPERLINK("https://klasma.github.io/Logging_2283/klagomålsmail/A 54558-2022 FSC-klagomål mail.docx", "A 54558-2022")</f>
        <v/>
      </c>
      <c r="X357">
        <f>HYPERLINK("https://klasma.github.io/Logging_2283/tillsyn/A 54558-2022 tillsynsbegäran.docx", "A 54558-2022")</f>
        <v/>
      </c>
      <c r="Y357">
        <f>HYPERLINK("https://klasma.github.io/Logging_2283/tillsynsmail/A 54558-2022 tillsynsbegäran mail.docx", "A 54558-2022")</f>
        <v/>
      </c>
    </row>
    <row r="358" ht="15" customHeight="1">
      <c r="A358" t="inlineStr">
        <is>
          <t>A 37206-2024</t>
        </is>
      </c>
      <c r="B358" s="1" t="n">
        <v>45539</v>
      </c>
      <c r="C358" s="1" t="n">
        <v>46199</v>
      </c>
      <c r="D358" t="inlineStr">
        <is>
          <t>VÄSTERNORRLANDS LÄN</t>
        </is>
      </c>
      <c r="E358" t="inlineStr">
        <is>
          <t>SOLLEFTEÅ</t>
        </is>
      </c>
      <c r="F358" t="inlineStr">
        <is>
          <t>SCA</t>
        </is>
      </c>
      <c r="G358" t="n">
        <v>3.6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37206-2024 artfynd.xlsx", "A 37206-2024")</f>
        <v/>
      </c>
      <c r="T358">
        <f>HYPERLINK("https://klasma.github.io/Logging_2283/kartor/A 37206-2024 karta.png", "A 37206-2024")</f>
        <v/>
      </c>
      <c r="V358">
        <f>HYPERLINK("https://klasma.github.io/Logging_2283/klagomål/A 37206-2024 FSC-klagomål.docx", "A 37206-2024")</f>
        <v/>
      </c>
      <c r="W358">
        <f>HYPERLINK("https://klasma.github.io/Logging_2283/klagomålsmail/A 37206-2024 FSC-klagomål mail.docx", "A 37206-2024")</f>
        <v/>
      </c>
      <c r="X358">
        <f>HYPERLINK("https://klasma.github.io/Logging_2283/tillsyn/A 37206-2024 tillsynsbegäran.docx", "A 37206-2024")</f>
        <v/>
      </c>
      <c r="Y358">
        <f>HYPERLINK("https://klasma.github.io/Logging_2283/tillsynsmail/A 37206-2024 tillsynsbegäran mail.docx", "A 37206-2024")</f>
        <v/>
      </c>
      <c r="Z358">
        <f>HYPERLINK("https://klasma.github.io/Logging_2283/fåglar/A 37206-2024 prioriterade fågelarter.docx", "A 37206-2024")</f>
        <v/>
      </c>
    </row>
    <row r="359" ht="15" customHeight="1">
      <c r="A359" t="inlineStr">
        <is>
          <t>A 45028-2025</t>
        </is>
      </c>
      <c r="B359" s="1" t="n">
        <v>45918</v>
      </c>
      <c r="C359" s="1" t="n">
        <v>46199</v>
      </c>
      <c r="D359" t="inlineStr">
        <is>
          <t>VÄSTERNORRLANDS LÄN</t>
        </is>
      </c>
      <c r="E359" t="inlineStr">
        <is>
          <t>SOLLEFTEÅ</t>
        </is>
      </c>
      <c r="F359" t="inlineStr">
        <is>
          <t>SCA</t>
        </is>
      </c>
      <c r="G359" t="n">
        <v>1.1</v>
      </c>
      <c r="H359" t="n">
        <v>0</v>
      </c>
      <c r="I359" t="n">
        <v>0</v>
      </c>
      <c r="J359" t="n">
        <v>1</v>
      </c>
      <c r="K359" t="n">
        <v>0</v>
      </c>
      <c r="L359" t="n">
        <v>0</v>
      </c>
      <c r="M359" t="n">
        <v>0</v>
      </c>
      <c r="N359" t="n">
        <v>0</v>
      </c>
      <c r="O359" t="n">
        <v>1</v>
      </c>
      <c r="P359" t="n">
        <v>0</v>
      </c>
      <c r="Q359" t="n">
        <v>1</v>
      </c>
      <c r="R359" s="2" t="inlineStr">
        <is>
          <t>Vitfläckig guldvinge</t>
        </is>
      </c>
      <c r="S359">
        <f>HYPERLINK("https://klasma.github.io/Logging_2283/artfynd/A 45028-2025 artfynd.xlsx", "A 45028-2025")</f>
        <v/>
      </c>
      <c r="T359">
        <f>HYPERLINK("https://klasma.github.io/Logging_2283/kartor/A 45028-2025 karta.png", "A 45028-2025")</f>
        <v/>
      </c>
      <c r="V359">
        <f>HYPERLINK("https://klasma.github.io/Logging_2283/klagomål/A 45028-2025 FSC-klagomål.docx", "A 45028-2025")</f>
        <v/>
      </c>
      <c r="W359">
        <f>HYPERLINK("https://klasma.github.io/Logging_2283/klagomålsmail/A 45028-2025 FSC-klagomål mail.docx", "A 45028-2025")</f>
        <v/>
      </c>
      <c r="X359">
        <f>HYPERLINK("https://klasma.github.io/Logging_2283/tillsyn/A 45028-2025 tillsynsbegäran.docx", "A 45028-2025")</f>
        <v/>
      </c>
      <c r="Y359">
        <f>HYPERLINK("https://klasma.github.io/Logging_2283/tillsynsmail/A 45028-2025 tillsynsbegäran mail.docx", "A 45028-2025")</f>
        <v/>
      </c>
    </row>
    <row r="360" ht="15" customHeight="1">
      <c r="A360" t="inlineStr">
        <is>
          <t>A 8903-2024</t>
        </is>
      </c>
      <c r="B360" s="1" t="n">
        <v>45355</v>
      </c>
      <c r="C360" s="1" t="n">
        <v>46199</v>
      </c>
      <c r="D360" t="inlineStr">
        <is>
          <t>VÄSTERNORRLANDS LÄN</t>
        </is>
      </c>
      <c r="E360" t="inlineStr">
        <is>
          <t>SOLLEFTEÅ</t>
        </is>
      </c>
      <c r="G360" t="n">
        <v>1.7</v>
      </c>
      <c r="H360" t="n">
        <v>0</v>
      </c>
      <c r="I360" t="n">
        <v>1</v>
      </c>
      <c r="J360" t="n">
        <v>0</v>
      </c>
      <c r="K360" t="n">
        <v>0</v>
      </c>
      <c r="L360" t="n">
        <v>0</v>
      </c>
      <c r="M360" t="n">
        <v>0</v>
      </c>
      <c r="N360" t="n">
        <v>0</v>
      </c>
      <c r="O360" t="n">
        <v>0</v>
      </c>
      <c r="P360" t="n">
        <v>0</v>
      </c>
      <c r="Q360" t="n">
        <v>1</v>
      </c>
      <c r="R360" s="2" t="inlineStr">
        <is>
          <t>Strutbräken</t>
        </is>
      </c>
      <c r="S360">
        <f>HYPERLINK("https://klasma.github.io/Logging_2283/artfynd/A 8903-2024 artfynd.xlsx", "A 8903-2024")</f>
        <v/>
      </c>
      <c r="T360">
        <f>HYPERLINK("https://klasma.github.io/Logging_2283/kartor/A 8903-2024 karta.png", "A 8903-2024")</f>
        <v/>
      </c>
      <c r="V360">
        <f>HYPERLINK("https://klasma.github.io/Logging_2283/klagomål/A 8903-2024 FSC-klagomål.docx", "A 8903-2024")</f>
        <v/>
      </c>
      <c r="W360">
        <f>HYPERLINK("https://klasma.github.io/Logging_2283/klagomålsmail/A 8903-2024 FSC-klagomål mail.docx", "A 8903-2024")</f>
        <v/>
      </c>
      <c r="X360">
        <f>HYPERLINK("https://klasma.github.io/Logging_2283/tillsyn/A 8903-2024 tillsynsbegäran.docx", "A 8903-2024")</f>
        <v/>
      </c>
      <c r="Y360">
        <f>HYPERLINK("https://klasma.github.io/Logging_2283/tillsynsmail/A 8903-2024 tillsynsbegäran mail.docx", "A 8903-2024")</f>
        <v/>
      </c>
    </row>
    <row r="361" ht="15" customHeight="1">
      <c r="A361" t="inlineStr">
        <is>
          <t>A 41478-2022</t>
        </is>
      </c>
      <c r="B361" s="1" t="n">
        <v>44826</v>
      </c>
      <c r="C361" s="1" t="n">
        <v>46199</v>
      </c>
      <c r="D361" t="inlineStr">
        <is>
          <t>VÄSTERNORRLANDS LÄN</t>
        </is>
      </c>
      <c r="E361" t="inlineStr">
        <is>
          <t>SOLLEFTEÅ</t>
        </is>
      </c>
      <c r="F361" t="inlineStr">
        <is>
          <t>SCA</t>
        </is>
      </c>
      <c r="G361" t="n">
        <v>2.4</v>
      </c>
      <c r="H361" t="n">
        <v>1</v>
      </c>
      <c r="I361" t="n">
        <v>0</v>
      </c>
      <c r="J361" t="n">
        <v>0</v>
      </c>
      <c r="K361" t="n">
        <v>0</v>
      </c>
      <c r="L361" t="n">
        <v>0</v>
      </c>
      <c r="M361" t="n">
        <v>0</v>
      </c>
      <c r="N361" t="n">
        <v>0</v>
      </c>
      <c r="O361" t="n">
        <v>0</v>
      </c>
      <c r="P361" t="n">
        <v>0</v>
      </c>
      <c r="Q361" t="n">
        <v>1</v>
      </c>
      <c r="R361" s="2" t="inlineStr">
        <is>
          <t>Fläcknycklar</t>
        </is>
      </c>
      <c r="S361">
        <f>HYPERLINK("https://klasma.github.io/Logging_2283/artfynd/A 41478-2022 artfynd.xlsx", "A 41478-2022")</f>
        <v/>
      </c>
      <c r="T361">
        <f>HYPERLINK("https://klasma.github.io/Logging_2283/kartor/A 41478-2022 karta.png", "A 41478-2022")</f>
        <v/>
      </c>
      <c r="V361">
        <f>HYPERLINK("https://klasma.github.io/Logging_2283/klagomål/A 41478-2022 FSC-klagomål.docx", "A 41478-2022")</f>
        <v/>
      </c>
      <c r="W361">
        <f>HYPERLINK("https://klasma.github.io/Logging_2283/klagomålsmail/A 41478-2022 FSC-klagomål mail.docx", "A 41478-2022")</f>
        <v/>
      </c>
      <c r="X361">
        <f>HYPERLINK("https://klasma.github.io/Logging_2283/tillsyn/A 41478-2022 tillsynsbegäran.docx", "A 41478-2022")</f>
        <v/>
      </c>
      <c r="Y361">
        <f>HYPERLINK("https://klasma.github.io/Logging_2283/tillsynsmail/A 41478-2022 tillsynsbegäran mail.docx", "A 41478-2022")</f>
        <v/>
      </c>
    </row>
    <row r="362" ht="15" customHeight="1">
      <c r="A362" t="inlineStr">
        <is>
          <t>A 45794-2025</t>
        </is>
      </c>
      <c r="B362" s="1" t="n">
        <v>45923</v>
      </c>
      <c r="C362" s="1" t="n">
        <v>46199</v>
      </c>
      <c r="D362" t="inlineStr">
        <is>
          <t>VÄSTERNORRLANDS LÄN</t>
        </is>
      </c>
      <c r="E362" t="inlineStr">
        <is>
          <t>SOLLEFTEÅ</t>
        </is>
      </c>
      <c r="F362" t="inlineStr">
        <is>
          <t>SCA</t>
        </is>
      </c>
      <c r="G362" t="n">
        <v>34.9</v>
      </c>
      <c r="H362" t="n">
        <v>1</v>
      </c>
      <c r="I362" t="n">
        <v>0</v>
      </c>
      <c r="J362" t="n">
        <v>0</v>
      </c>
      <c r="K362" t="n">
        <v>0</v>
      </c>
      <c r="L362" t="n">
        <v>0</v>
      </c>
      <c r="M362" t="n">
        <v>0</v>
      </c>
      <c r="N362" t="n">
        <v>0</v>
      </c>
      <c r="O362" t="n">
        <v>0</v>
      </c>
      <c r="P362" t="n">
        <v>0</v>
      </c>
      <c r="Q362" t="n">
        <v>1</v>
      </c>
      <c r="R362" s="2" t="inlineStr">
        <is>
          <t>Fläcknycklar</t>
        </is>
      </c>
      <c r="S362">
        <f>HYPERLINK("https://klasma.github.io/Logging_2283/artfynd/A 45794-2025 artfynd.xlsx", "A 45794-2025")</f>
        <v/>
      </c>
      <c r="T362">
        <f>HYPERLINK("https://klasma.github.io/Logging_2283/kartor/A 45794-2025 karta.png", "A 45794-2025")</f>
        <v/>
      </c>
      <c r="V362">
        <f>HYPERLINK("https://klasma.github.io/Logging_2283/klagomål/A 45794-2025 FSC-klagomål.docx", "A 45794-2025")</f>
        <v/>
      </c>
      <c r="W362">
        <f>HYPERLINK("https://klasma.github.io/Logging_2283/klagomålsmail/A 45794-2025 FSC-klagomål mail.docx", "A 45794-2025")</f>
        <v/>
      </c>
      <c r="X362">
        <f>HYPERLINK("https://klasma.github.io/Logging_2283/tillsyn/A 45794-2025 tillsynsbegäran.docx", "A 45794-2025")</f>
        <v/>
      </c>
      <c r="Y362">
        <f>HYPERLINK("https://klasma.github.io/Logging_2283/tillsynsmail/A 45794-2025 tillsynsbegäran mail.docx", "A 45794-2025")</f>
        <v/>
      </c>
    </row>
    <row r="363" ht="15" customHeight="1">
      <c r="A363" t="inlineStr">
        <is>
          <t>A 60515-2025</t>
        </is>
      </c>
      <c r="B363" s="1" t="n">
        <v>45995</v>
      </c>
      <c r="C363" s="1" t="n">
        <v>46199</v>
      </c>
      <c r="D363" t="inlineStr">
        <is>
          <t>VÄSTERNORRLANDS LÄN</t>
        </is>
      </c>
      <c r="E363" t="inlineStr">
        <is>
          <t>SOLLEFTEÅ</t>
        </is>
      </c>
      <c r="F363" t="inlineStr">
        <is>
          <t>SCA</t>
        </is>
      </c>
      <c r="G363" t="n">
        <v>5.6</v>
      </c>
      <c r="H363" t="n">
        <v>0</v>
      </c>
      <c r="I363" t="n">
        <v>0</v>
      </c>
      <c r="J363" t="n">
        <v>1</v>
      </c>
      <c r="K363" t="n">
        <v>0</v>
      </c>
      <c r="L363" t="n">
        <v>0</v>
      </c>
      <c r="M363" t="n">
        <v>0</v>
      </c>
      <c r="N363" t="n">
        <v>0</v>
      </c>
      <c r="O363" t="n">
        <v>1</v>
      </c>
      <c r="P363" t="n">
        <v>0</v>
      </c>
      <c r="Q363" t="n">
        <v>1</v>
      </c>
      <c r="R363" s="2" t="inlineStr">
        <is>
          <t>Dropptaggsvamp</t>
        </is>
      </c>
      <c r="S363">
        <f>HYPERLINK("https://klasma.github.io/Logging_2283/artfynd/A 60515-2025 artfynd.xlsx", "A 60515-2025")</f>
        <v/>
      </c>
      <c r="T363">
        <f>HYPERLINK("https://klasma.github.io/Logging_2283/kartor/A 60515-2025 karta.png", "A 60515-2025")</f>
        <v/>
      </c>
      <c r="V363">
        <f>HYPERLINK("https://klasma.github.io/Logging_2283/klagomål/A 60515-2025 FSC-klagomål.docx", "A 60515-2025")</f>
        <v/>
      </c>
      <c r="W363">
        <f>HYPERLINK("https://klasma.github.io/Logging_2283/klagomålsmail/A 60515-2025 FSC-klagomål mail.docx", "A 60515-2025")</f>
        <v/>
      </c>
      <c r="X363">
        <f>HYPERLINK("https://klasma.github.io/Logging_2283/tillsyn/A 60515-2025 tillsynsbegäran.docx", "A 60515-2025")</f>
        <v/>
      </c>
      <c r="Y363">
        <f>HYPERLINK("https://klasma.github.io/Logging_2283/tillsynsmail/A 60515-2025 tillsynsbegäran mail.docx", "A 60515-2025")</f>
        <v/>
      </c>
    </row>
    <row r="364" ht="15" customHeight="1">
      <c r="A364" t="inlineStr">
        <is>
          <t>A 60514-2025</t>
        </is>
      </c>
      <c r="B364" s="1" t="n">
        <v>45995</v>
      </c>
      <c r="C364" s="1" t="n">
        <v>46199</v>
      </c>
      <c r="D364" t="inlineStr">
        <is>
          <t>VÄSTERNORRLANDS LÄN</t>
        </is>
      </c>
      <c r="E364" t="inlineStr">
        <is>
          <t>SOLLEFTEÅ</t>
        </is>
      </c>
      <c r="F364" t="inlineStr">
        <is>
          <t>SCA</t>
        </is>
      </c>
      <c r="G364" t="n">
        <v>1.8</v>
      </c>
      <c r="H364" t="n">
        <v>0</v>
      </c>
      <c r="I364" t="n">
        <v>1</v>
      </c>
      <c r="J364" t="n">
        <v>0</v>
      </c>
      <c r="K364" t="n">
        <v>0</v>
      </c>
      <c r="L364" t="n">
        <v>0</v>
      </c>
      <c r="M364" t="n">
        <v>0</v>
      </c>
      <c r="N364" t="n">
        <v>0</v>
      </c>
      <c r="O364" t="n">
        <v>0</v>
      </c>
      <c r="P364" t="n">
        <v>0</v>
      </c>
      <c r="Q364" t="n">
        <v>1</v>
      </c>
      <c r="R364" s="2" t="inlineStr">
        <is>
          <t>Trådticka</t>
        </is>
      </c>
      <c r="S364">
        <f>HYPERLINK("https://klasma.github.io/Logging_2283/artfynd/A 60514-2025 artfynd.xlsx", "A 60514-2025")</f>
        <v/>
      </c>
      <c r="T364">
        <f>HYPERLINK("https://klasma.github.io/Logging_2283/kartor/A 60514-2025 karta.png", "A 60514-2025")</f>
        <v/>
      </c>
      <c r="V364">
        <f>HYPERLINK("https://klasma.github.io/Logging_2283/klagomål/A 60514-2025 FSC-klagomål.docx", "A 60514-2025")</f>
        <v/>
      </c>
      <c r="W364">
        <f>HYPERLINK("https://klasma.github.io/Logging_2283/klagomålsmail/A 60514-2025 FSC-klagomål mail.docx", "A 60514-2025")</f>
        <v/>
      </c>
      <c r="X364">
        <f>HYPERLINK("https://klasma.github.io/Logging_2283/tillsyn/A 60514-2025 tillsynsbegäran.docx", "A 60514-2025")</f>
        <v/>
      </c>
      <c r="Y364">
        <f>HYPERLINK("https://klasma.github.io/Logging_2283/tillsynsmail/A 60514-2025 tillsynsbegäran mail.docx", "A 60514-2025")</f>
        <v/>
      </c>
    </row>
    <row r="365" ht="15" customHeight="1">
      <c r="A365" t="inlineStr">
        <is>
          <t>A 47219-2025</t>
        </is>
      </c>
      <c r="B365" s="1" t="n">
        <v>45930</v>
      </c>
      <c r="C365" s="1" t="n">
        <v>46199</v>
      </c>
      <c r="D365" t="inlineStr">
        <is>
          <t>VÄSTERNORRLANDS LÄN</t>
        </is>
      </c>
      <c r="E365" t="inlineStr">
        <is>
          <t>SOLLEFTEÅ</t>
        </is>
      </c>
      <c r="G365" t="n">
        <v>1.9</v>
      </c>
      <c r="H365" t="n">
        <v>0</v>
      </c>
      <c r="I365" t="n">
        <v>0</v>
      </c>
      <c r="J365" t="n">
        <v>1</v>
      </c>
      <c r="K365" t="n">
        <v>0</v>
      </c>
      <c r="L365" t="n">
        <v>0</v>
      </c>
      <c r="M365" t="n">
        <v>0</v>
      </c>
      <c r="N365" t="n">
        <v>0</v>
      </c>
      <c r="O365" t="n">
        <v>1</v>
      </c>
      <c r="P365" t="n">
        <v>0</v>
      </c>
      <c r="Q365" t="n">
        <v>1</v>
      </c>
      <c r="R365" s="2" t="inlineStr">
        <is>
          <t>Brunklöver</t>
        </is>
      </c>
      <c r="S365">
        <f>HYPERLINK("https://klasma.github.io/Logging_2283/artfynd/A 47219-2025 artfynd.xlsx", "A 47219-2025")</f>
        <v/>
      </c>
      <c r="T365">
        <f>HYPERLINK("https://klasma.github.io/Logging_2283/kartor/A 47219-2025 karta.png", "A 47219-2025")</f>
        <v/>
      </c>
      <c r="V365">
        <f>HYPERLINK("https://klasma.github.io/Logging_2283/klagomål/A 47219-2025 FSC-klagomål.docx", "A 47219-2025")</f>
        <v/>
      </c>
      <c r="W365">
        <f>HYPERLINK("https://klasma.github.io/Logging_2283/klagomålsmail/A 47219-2025 FSC-klagomål mail.docx", "A 47219-2025")</f>
        <v/>
      </c>
      <c r="X365">
        <f>HYPERLINK("https://klasma.github.io/Logging_2283/tillsyn/A 47219-2025 tillsynsbegäran.docx", "A 47219-2025")</f>
        <v/>
      </c>
      <c r="Y365">
        <f>HYPERLINK("https://klasma.github.io/Logging_2283/tillsynsmail/A 47219-2025 tillsynsbegäran mail.docx", "A 47219-2025")</f>
        <v/>
      </c>
    </row>
    <row r="366" ht="15" customHeight="1">
      <c r="A366" t="inlineStr">
        <is>
          <t>A 30948-2025</t>
        </is>
      </c>
      <c r="B366" s="1" t="n">
        <v>45832</v>
      </c>
      <c r="C366" s="1" t="n">
        <v>46199</v>
      </c>
      <c r="D366" t="inlineStr">
        <is>
          <t>VÄSTERNORRLANDS LÄN</t>
        </is>
      </c>
      <c r="E366" t="inlineStr">
        <is>
          <t>SOLLEFTEÅ</t>
        </is>
      </c>
      <c r="F366" t="inlineStr">
        <is>
          <t>SCA</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HYPERLINK("https://klasma.github.io/Logging_2283/artfynd/A 30948-2025 artfynd.xlsx", "A 30948-2025")</f>
        <v/>
      </c>
      <c r="T366">
        <f>HYPERLINK("https://klasma.github.io/Logging_2283/kartor/A 30948-2025 karta.png", "A 30948-2025")</f>
        <v/>
      </c>
      <c r="U366">
        <f>HYPERLINK("https://klasma.github.io/Logging_2283/knärot/A 30948-2025 karta knärot.png", "A 30948-2025")</f>
        <v/>
      </c>
      <c r="V366">
        <f>HYPERLINK("https://klasma.github.io/Logging_2283/klagomål/A 30948-2025 FSC-klagomål.docx", "A 30948-2025")</f>
        <v/>
      </c>
      <c r="W366">
        <f>HYPERLINK("https://klasma.github.io/Logging_2283/klagomålsmail/A 30948-2025 FSC-klagomål mail.docx", "A 30948-2025")</f>
        <v/>
      </c>
      <c r="X366">
        <f>HYPERLINK("https://klasma.github.io/Logging_2283/tillsyn/A 30948-2025 tillsynsbegäran.docx", "A 30948-2025")</f>
        <v/>
      </c>
      <c r="Y366">
        <f>HYPERLINK("https://klasma.github.io/Logging_2283/tillsynsmail/A 30948-2025 tillsynsbegäran mail.docx", "A 30948-2025")</f>
        <v/>
      </c>
    </row>
    <row r="367" ht="15" customHeight="1">
      <c r="A367" t="inlineStr">
        <is>
          <t>A 61588-2025</t>
        </is>
      </c>
      <c r="B367" s="1" t="n">
        <v>46002</v>
      </c>
      <c r="C367" s="1" t="n">
        <v>46199</v>
      </c>
      <c r="D367" t="inlineStr">
        <is>
          <t>VÄSTERNORRLANDS LÄN</t>
        </is>
      </c>
      <c r="E367" t="inlineStr">
        <is>
          <t>SOLLEFTEÅ</t>
        </is>
      </c>
      <c r="F367" t="inlineStr">
        <is>
          <t>SCA</t>
        </is>
      </c>
      <c r="G367" t="n">
        <v>1.6</v>
      </c>
      <c r="H367" t="n">
        <v>0</v>
      </c>
      <c r="I367" t="n">
        <v>1</v>
      </c>
      <c r="J367" t="n">
        <v>0</v>
      </c>
      <c r="K367" t="n">
        <v>0</v>
      </c>
      <c r="L367" t="n">
        <v>0</v>
      </c>
      <c r="M367" t="n">
        <v>0</v>
      </c>
      <c r="N367" t="n">
        <v>0</v>
      </c>
      <c r="O367" t="n">
        <v>0</v>
      </c>
      <c r="P367" t="n">
        <v>0</v>
      </c>
      <c r="Q367" t="n">
        <v>1</v>
      </c>
      <c r="R367" s="2" t="inlineStr">
        <is>
          <t>Strutbräken</t>
        </is>
      </c>
      <c r="S367">
        <f>HYPERLINK("https://klasma.github.io/Logging_2283/artfynd/A 61588-2025 artfynd.xlsx", "A 61588-2025")</f>
        <v/>
      </c>
      <c r="T367">
        <f>HYPERLINK("https://klasma.github.io/Logging_2283/kartor/A 61588-2025 karta.png", "A 61588-2025")</f>
        <v/>
      </c>
      <c r="V367">
        <f>HYPERLINK("https://klasma.github.io/Logging_2283/klagomål/A 61588-2025 FSC-klagomål.docx", "A 61588-2025")</f>
        <v/>
      </c>
      <c r="W367">
        <f>HYPERLINK("https://klasma.github.io/Logging_2283/klagomålsmail/A 61588-2025 FSC-klagomål mail.docx", "A 61588-2025")</f>
        <v/>
      </c>
      <c r="X367">
        <f>HYPERLINK("https://klasma.github.io/Logging_2283/tillsyn/A 61588-2025 tillsynsbegäran.docx", "A 61588-2025")</f>
        <v/>
      </c>
      <c r="Y367">
        <f>HYPERLINK("https://klasma.github.io/Logging_2283/tillsynsmail/A 61588-2025 tillsynsbegäran mail.docx", "A 61588-2025")</f>
        <v/>
      </c>
    </row>
    <row r="368" ht="15" customHeight="1">
      <c r="A368" t="inlineStr">
        <is>
          <t>A 62256-2025</t>
        </is>
      </c>
      <c r="B368" s="1" t="n">
        <v>46006</v>
      </c>
      <c r="C368" s="1" t="n">
        <v>46199</v>
      </c>
      <c r="D368" t="inlineStr">
        <is>
          <t>VÄSTERNORRLANDS LÄN</t>
        </is>
      </c>
      <c r="E368" t="inlineStr">
        <is>
          <t>SOLLEFTEÅ</t>
        </is>
      </c>
      <c r="F368" t="inlineStr">
        <is>
          <t>SCA</t>
        </is>
      </c>
      <c r="G368" t="n">
        <v>9</v>
      </c>
      <c r="H368" t="n">
        <v>0</v>
      </c>
      <c r="I368" t="n">
        <v>0</v>
      </c>
      <c r="J368" t="n">
        <v>1</v>
      </c>
      <c r="K368" t="n">
        <v>0</v>
      </c>
      <c r="L368" t="n">
        <v>0</v>
      </c>
      <c r="M368" t="n">
        <v>0</v>
      </c>
      <c r="N368" t="n">
        <v>0</v>
      </c>
      <c r="O368" t="n">
        <v>1</v>
      </c>
      <c r="P368" t="n">
        <v>0</v>
      </c>
      <c r="Q368" t="n">
        <v>1</v>
      </c>
      <c r="R368" s="2" t="inlineStr">
        <is>
          <t>Harticka</t>
        </is>
      </c>
      <c r="S368">
        <f>HYPERLINK("https://klasma.github.io/Logging_2283/artfynd/A 62256-2025 artfynd.xlsx", "A 62256-2025")</f>
        <v/>
      </c>
      <c r="T368">
        <f>HYPERLINK("https://klasma.github.io/Logging_2283/kartor/A 62256-2025 karta.png", "A 62256-2025")</f>
        <v/>
      </c>
      <c r="V368">
        <f>HYPERLINK("https://klasma.github.io/Logging_2283/klagomål/A 62256-2025 FSC-klagomål.docx", "A 62256-2025")</f>
        <v/>
      </c>
      <c r="W368">
        <f>HYPERLINK("https://klasma.github.io/Logging_2283/klagomålsmail/A 62256-2025 FSC-klagomål mail.docx", "A 62256-2025")</f>
        <v/>
      </c>
      <c r="X368">
        <f>HYPERLINK("https://klasma.github.io/Logging_2283/tillsyn/A 62256-2025 tillsynsbegäran.docx", "A 62256-2025")</f>
        <v/>
      </c>
      <c r="Y368">
        <f>HYPERLINK("https://klasma.github.io/Logging_2283/tillsynsmail/A 62256-2025 tillsynsbegäran mail.docx", "A 62256-2025")</f>
        <v/>
      </c>
    </row>
    <row r="369" ht="15" customHeight="1">
      <c r="A369" t="inlineStr">
        <is>
          <t>A 62494-2025</t>
        </is>
      </c>
      <c r="B369" s="1" t="n">
        <v>46007</v>
      </c>
      <c r="C369" s="1" t="n">
        <v>46199</v>
      </c>
      <c r="D369" t="inlineStr">
        <is>
          <t>VÄSTERNORRLANDS LÄN</t>
        </is>
      </c>
      <c r="E369" t="inlineStr">
        <is>
          <t>SOLLEFTEÅ</t>
        </is>
      </c>
      <c r="F369" t="inlineStr">
        <is>
          <t>SCA</t>
        </is>
      </c>
      <c r="G369" t="n">
        <v>2</v>
      </c>
      <c r="H369" t="n">
        <v>1</v>
      </c>
      <c r="I369" t="n">
        <v>0</v>
      </c>
      <c r="J369" t="n">
        <v>0</v>
      </c>
      <c r="K369" t="n">
        <v>0</v>
      </c>
      <c r="L369" t="n">
        <v>0</v>
      </c>
      <c r="M369" t="n">
        <v>0</v>
      </c>
      <c r="N369" t="n">
        <v>0</v>
      </c>
      <c r="O369" t="n">
        <v>0</v>
      </c>
      <c r="P369" t="n">
        <v>0</v>
      </c>
      <c r="Q369" t="n">
        <v>1</v>
      </c>
      <c r="R369" s="2" t="inlineStr">
        <is>
          <t>Tofsmes</t>
        </is>
      </c>
      <c r="S369">
        <f>HYPERLINK("https://klasma.github.io/Logging_2283/artfynd/A 62494-2025 artfynd.xlsx", "A 62494-2025")</f>
        <v/>
      </c>
      <c r="T369">
        <f>HYPERLINK("https://klasma.github.io/Logging_2283/kartor/A 62494-2025 karta.png", "A 62494-2025")</f>
        <v/>
      </c>
      <c r="V369">
        <f>HYPERLINK("https://klasma.github.io/Logging_2283/klagomål/A 62494-2025 FSC-klagomål.docx", "A 62494-2025")</f>
        <v/>
      </c>
      <c r="W369">
        <f>HYPERLINK("https://klasma.github.io/Logging_2283/klagomålsmail/A 62494-2025 FSC-klagomål mail.docx", "A 62494-2025")</f>
        <v/>
      </c>
      <c r="X369">
        <f>HYPERLINK("https://klasma.github.io/Logging_2283/tillsyn/A 62494-2025 tillsynsbegäran.docx", "A 62494-2025")</f>
        <v/>
      </c>
      <c r="Y369">
        <f>HYPERLINK("https://klasma.github.io/Logging_2283/tillsynsmail/A 62494-2025 tillsynsbegäran mail.docx", "A 62494-2025")</f>
        <v/>
      </c>
    </row>
    <row r="370" ht="15" customHeight="1">
      <c r="A370" t="inlineStr">
        <is>
          <t>A 48981-2025</t>
        </is>
      </c>
      <c r="B370" s="1" t="n">
        <v>45937</v>
      </c>
      <c r="C370" s="1" t="n">
        <v>46199</v>
      </c>
      <c r="D370" t="inlineStr">
        <is>
          <t>VÄSTERNORRLANDS LÄN</t>
        </is>
      </c>
      <c r="E370" t="inlineStr">
        <is>
          <t>SOLLEFTEÅ</t>
        </is>
      </c>
      <c r="F370" t="inlineStr">
        <is>
          <t>SCA</t>
        </is>
      </c>
      <c r="G370" t="n">
        <v>1.3</v>
      </c>
      <c r="H370" t="n">
        <v>0</v>
      </c>
      <c r="I370" t="n">
        <v>1</v>
      </c>
      <c r="J370" t="n">
        <v>0</v>
      </c>
      <c r="K370" t="n">
        <v>0</v>
      </c>
      <c r="L370" t="n">
        <v>0</v>
      </c>
      <c r="M370" t="n">
        <v>0</v>
      </c>
      <c r="N370" t="n">
        <v>0</v>
      </c>
      <c r="O370" t="n">
        <v>0</v>
      </c>
      <c r="P370" t="n">
        <v>0</v>
      </c>
      <c r="Q370" t="n">
        <v>1</v>
      </c>
      <c r="R370" s="2" t="inlineStr">
        <is>
          <t>Bollvitmossa</t>
        </is>
      </c>
      <c r="S370">
        <f>HYPERLINK("https://klasma.github.io/Logging_2283/artfynd/A 48981-2025 artfynd.xlsx", "A 48981-2025")</f>
        <v/>
      </c>
      <c r="T370">
        <f>HYPERLINK("https://klasma.github.io/Logging_2283/kartor/A 48981-2025 karta.png", "A 48981-2025")</f>
        <v/>
      </c>
      <c r="V370">
        <f>HYPERLINK("https://klasma.github.io/Logging_2283/klagomål/A 48981-2025 FSC-klagomål.docx", "A 48981-2025")</f>
        <v/>
      </c>
      <c r="W370">
        <f>HYPERLINK("https://klasma.github.io/Logging_2283/klagomålsmail/A 48981-2025 FSC-klagomål mail.docx", "A 48981-2025")</f>
        <v/>
      </c>
      <c r="X370">
        <f>HYPERLINK("https://klasma.github.io/Logging_2283/tillsyn/A 48981-2025 tillsynsbegäran.docx", "A 48981-2025")</f>
        <v/>
      </c>
      <c r="Y370">
        <f>HYPERLINK("https://klasma.github.io/Logging_2283/tillsynsmail/A 48981-2025 tillsynsbegäran mail.docx", "A 48981-2025")</f>
        <v/>
      </c>
    </row>
    <row r="371" ht="15" customHeight="1">
      <c r="A371" t="inlineStr">
        <is>
          <t>A 49750-2025</t>
        </is>
      </c>
      <c r="B371" s="1" t="n">
        <v>45940</v>
      </c>
      <c r="C371" s="1" t="n">
        <v>46199</v>
      </c>
      <c r="D371" t="inlineStr">
        <is>
          <t>VÄSTERNORRLANDS LÄN</t>
        </is>
      </c>
      <c r="E371" t="inlineStr">
        <is>
          <t>SOLLEFTEÅ</t>
        </is>
      </c>
      <c r="F371" t="inlineStr">
        <is>
          <t>SCA</t>
        </is>
      </c>
      <c r="G371" t="n">
        <v>1.4</v>
      </c>
      <c r="H371" t="n">
        <v>1</v>
      </c>
      <c r="I371" t="n">
        <v>0</v>
      </c>
      <c r="J371" t="n">
        <v>0</v>
      </c>
      <c r="K371" t="n">
        <v>0</v>
      </c>
      <c r="L371" t="n">
        <v>0</v>
      </c>
      <c r="M371" t="n">
        <v>0</v>
      </c>
      <c r="N371" t="n">
        <v>0</v>
      </c>
      <c r="O371" t="n">
        <v>0</v>
      </c>
      <c r="P371" t="n">
        <v>0</v>
      </c>
      <c r="Q371" t="n">
        <v>1</v>
      </c>
      <c r="R371" s="2" t="inlineStr">
        <is>
          <t>Revlummer</t>
        </is>
      </c>
      <c r="S371">
        <f>HYPERLINK("https://klasma.github.io/Logging_2283/artfynd/A 49750-2025 artfynd.xlsx", "A 49750-2025")</f>
        <v/>
      </c>
      <c r="T371">
        <f>HYPERLINK("https://klasma.github.io/Logging_2283/kartor/A 49750-2025 karta.png", "A 49750-2025")</f>
        <v/>
      </c>
      <c r="V371">
        <f>HYPERLINK("https://klasma.github.io/Logging_2283/klagomål/A 49750-2025 FSC-klagomål.docx", "A 49750-2025")</f>
        <v/>
      </c>
      <c r="W371">
        <f>HYPERLINK("https://klasma.github.io/Logging_2283/klagomålsmail/A 49750-2025 FSC-klagomål mail.docx", "A 49750-2025")</f>
        <v/>
      </c>
      <c r="X371">
        <f>HYPERLINK("https://klasma.github.io/Logging_2283/tillsyn/A 49750-2025 tillsynsbegäran.docx", "A 49750-2025")</f>
        <v/>
      </c>
      <c r="Y371">
        <f>HYPERLINK("https://klasma.github.io/Logging_2283/tillsynsmail/A 49750-2025 tillsynsbegäran mail.docx", "A 49750-2025")</f>
        <v/>
      </c>
    </row>
    <row r="372" ht="15" customHeight="1">
      <c r="A372" t="inlineStr">
        <is>
          <t>A 33853-2025</t>
        </is>
      </c>
      <c r="B372" s="1" t="n">
        <v>45842</v>
      </c>
      <c r="C372" s="1" t="n">
        <v>46199</v>
      </c>
      <c r="D372" t="inlineStr">
        <is>
          <t>VÄSTERNORRLANDS LÄN</t>
        </is>
      </c>
      <c r="E372" t="inlineStr">
        <is>
          <t>SOLLEFTEÅ</t>
        </is>
      </c>
      <c r="F372" t="inlineStr">
        <is>
          <t>SCA</t>
        </is>
      </c>
      <c r="G372" t="n">
        <v>6.5</v>
      </c>
      <c r="H372" t="n">
        <v>1</v>
      </c>
      <c r="I372" t="n">
        <v>0</v>
      </c>
      <c r="J372" t="n">
        <v>0</v>
      </c>
      <c r="K372" t="n">
        <v>0</v>
      </c>
      <c r="L372" t="n">
        <v>0</v>
      </c>
      <c r="M372" t="n">
        <v>0</v>
      </c>
      <c r="N372" t="n">
        <v>0</v>
      </c>
      <c r="O372" t="n">
        <v>0</v>
      </c>
      <c r="P372" t="n">
        <v>0</v>
      </c>
      <c r="Q372" t="n">
        <v>1</v>
      </c>
      <c r="R372" s="2" t="inlineStr">
        <is>
          <t>Tjäder</t>
        </is>
      </c>
      <c r="S372">
        <f>HYPERLINK("https://klasma.github.io/Logging_2283/artfynd/A 33853-2025 artfynd.xlsx", "A 33853-2025")</f>
        <v/>
      </c>
      <c r="T372">
        <f>HYPERLINK("https://klasma.github.io/Logging_2283/kartor/A 33853-2025 karta.png", "A 33853-2025")</f>
        <v/>
      </c>
      <c r="V372">
        <f>HYPERLINK("https://klasma.github.io/Logging_2283/klagomål/A 33853-2025 FSC-klagomål.docx", "A 33853-2025")</f>
        <v/>
      </c>
      <c r="W372">
        <f>HYPERLINK("https://klasma.github.io/Logging_2283/klagomålsmail/A 33853-2025 FSC-klagomål mail.docx", "A 33853-2025")</f>
        <v/>
      </c>
      <c r="X372">
        <f>HYPERLINK("https://klasma.github.io/Logging_2283/tillsyn/A 33853-2025 tillsynsbegäran.docx", "A 33853-2025")</f>
        <v/>
      </c>
      <c r="Y372">
        <f>HYPERLINK("https://klasma.github.io/Logging_2283/tillsynsmail/A 33853-2025 tillsynsbegäran mail.docx", "A 33853-2025")</f>
        <v/>
      </c>
      <c r="Z372">
        <f>HYPERLINK("https://klasma.github.io/Logging_2283/fåglar/A 33853-2025 prioriterade fågelarter.docx", "A 33853-2025")</f>
        <v/>
      </c>
    </row>
    <row r="373" ht="15" customHeight="1">
      <c r="A373" t="inlineStr">
        <is>
          <t>A 1964-2026</t>
        </is>
      </c>
      <c r="B373" s="1" t="n">
        <v>46035</v>
      </c>
      <c r="C373" s="1" t="n">
        <v>46199</v>
      </c>
      <c r="D373" t="inlineStr">
        <is>
          <t>VÄSTERNORRLANDS LÄN</t>
        </is>
      </c>
      <c r="E373" t="inlineStr">
        <is>
          <t>SOLLEFTEÅ</t>
        </is>
      </c>
      <c r="F373" t="inlineStr">
        <is>
          <t>SCA</t>
        </is>
      </c>
      <c r="G373" t="n">
        <v>10.8</v>
      </c>
      <c r="H373" t="n">
        <v>1</v>
      </c>
      <c r="I373" t="n">
        <v>0</v>
      </c>
      <c r="J373" t="n">
        <v>0</v>
      </c>
      <c r="K373" t="n">
        <v>0</v>
      </c>
      <c r="L373" t="n">
        <v>0</v>
      </c>
      <c r="M373" t="n">
        <v>0</v>
      </c>
      <c r="N373" t="n">
        <v>0</v>
      </c>
      <c r="O373" t="n">
        <v>0</v>
      </c>
      <c r="P373" t="n">
        <v>0</v>
      </c>
      <c r="Q373" t="n">
        <v>1</v>
      </c>
      <c r="R373" s="2" t="inlineStr">
        <is>
          <t>Orre</t>
        </is>
      </c>
      <c r="S373">
        <f>HYPERLINK("https://klasma.github.io/Logging_2283/artfynd/A 1964-2026 artfynd.xlsx", "A 1964-2026")</f>
        <v/>
      </c>
      <c r="T373">
        <f>HYPERLINK("https://klasma.github.io/Logging_2283/kartor/A 1964-2026 karta.png", "A 1964-2026")</f>
        <v/>
      </c>
      <c r="V373">
        <f>HYPERLINK("https://klasma.github.io/Logging_2283/klagomål/A 1964-2026 FSC-klagomål.docx", "A 1964-2026")</f>
        <v/>
      </c>
      <c r="W373">
        <f>HYPERLINK("https://klasma.github.io/Logging_2283/klagomålsmail/A 1964-2026 FSC-klagomål mail.docx", "A 1964-2026")</f>
        <v/>
      </c>
      <c r="X373">
        <f>HYPERLINK("https://klasma.github.io/Logging_2283/tillsyn/A 1964-2026 tillsynsbegäran.docx", "A 1964-2026")</f>
        <v/>
      </c>
      <c r="Y373">
        <f>HYPERLINK("https://klasma.github.io/Logging_2283/tillsynsmail/A 1964-2026 tillsynsbegäran mail.docx", "A 1964-2026")</f>
        <v/>
      </c>
      <c r="Z373">
        <f>HYPERLINK("https://klasma.github.io/Logging_2283/fåglar/A 1964-2026 prioriterade fågelarter.docx", "A 1964-2026")</f>
        <v/>
      </c>
    </row>
    <row r="374" ht="15" customHeight="1">
      <c r="A374" t="inlineStr">
        <is>
          <t>A 53550-2025</t>
        </is>
      </c>
      <c r="B374" s="1" t="n">
        <v>45960</v>
      </c>
      <c r="C374" s="1" t="n">
        <v>46199</v>
      </c>
      <c r="D374" t="inlineStr">
        <is>
          <t>VÄSTERNORRLANDS LÄN</t>
        </is>
      </c>
      <c r="E374" t="inlineStr">
        <is>
          <t>SOLLEFTEÅ</t>
        </is>
      </c>
      <c r="G374" t="n">
        <v>0.7</v>
      </c>
      <c r="H374" t="n">
        <v>0</v>
      </c>
      <c r="I374" t="n">
        <v>0</v>
      </c>
      <c r="J374" t="n">
        <v>1</v>
      </c>
      <c r="K374" t="n">
        <v>0</v>
      </c>
      <c r="L374" t="n">
        <v>0</v>
      </c>
      <c r="M374" t="n">
        <v>0</v>
      </c>
      <c r="N374" t="n">
        <v>0</v>
      </c>
      <c r="O374" t="n">
        <v>1</v>
      </c>
      <c r="P374" t="n">
        <v>0</v>
      </c>
      <c r="Q374" t="n">
        <v>1</v>
      </c>
      <c r="R374" s="2" t="inlineStr">
        <is>
          <t>Brunklöver</t>
        </is>
      </c>
      <c r="S374">
        <f>HYPERLINK("https://klasma.github.io/Logging_2283/artfynd/A 53550-2025 artfynd.xlsx", "A 53550-2025")</f>
        <v/>
      </c>
      <c r="T374">
        <f>HYPERLINK("https://klasma.github.io/Logging_2283/kartor/A 53550-2025 karta.png", "A 53550-2025")</f>
        <v/>
      </c>
      <c r="V374">
        <f>HYPERLINK("https://klasma.github.io/Logging_2283/klagomål/A 53550-2025 FSC-klagomål.docx", "A 53550-2025")</f>
        <v/>
      </c>
      <c r="W374">
        <f>HYPERLINK("https://klasma.github.io/Logging_2283/klagomålsmail/A 53550-2025 FSC-klagomål mail.docx", "A 53550-2025")</f>
        <v/>
      </c>
      <c r="X374">
        <f>HYPERLINK("https://klasma.github.io/Logging_2283/tillsyn/A 53550-2025 tillsynsbegäran.docx", "A 53550-2025")</f>
        <v/>
      </c>
      <c r="Y374">
        <f>HYPERLINK("https://klasma.github.io/Logging_2283/tillsynsmail/A 53550-2025 tillsynsbegäran mail.docx", "A 53550-2025")</f>
        <v/>
      </c>
    </row>
    <row r="375" ht="15" customHeight="1">
      <c r="A375" t="inlineStr">
        <is>
          <t>A 36432-2025</t>
        </is>
      </c>
      <c r="B375" s="1" t="n">
        <v>45869</v>
      </c>
      <c r="C375" s="1" t="n">
        <v>46199</v>
      </c>
      <c r="D375" t="inlineStr">
        <is>
          <t>VÄSTERNORRLANDS LÄN</t>
        </is>
      </c>
      <c r="E375" t="inlineStr">
        <is>
          <t>SOLLEFTEÅ</t>
        </is>
      </c>
      <c r="F375" t="inlineStr">
        <is>
          <t>SCA</t>
        </is>
      </c>
      <c r="G375" t="n">
        <v>4.1</v>
      </c>
      <c r="H375" t="n">
        <v>0</v>
      </c>
      <c r="I375" t="n">
        <v>0</v>
      </c>
      <c r="J375" t="n">
        <v>0</v>
      </c>
      <c r="K375" t="n">
        <v>1</v>
      </c>
      <c r="L375" t="n">
        <v>0</v>
      </c>
      <c r="M375" t="n">
        <v>0</v>
      </c>
      <c r="N375" t="n">
        <v>0</v>
      </c>
      <c r="O375" t="n">
        <v>1</v>
      </c>
      <c r="P375" t="n">
        <v>1</v>
      </c>
      <c r="Q375" t="n">
        <v>1</v>
      </c>
      <c r="R375" s="2" t="inlineStr">
        <is>
          <t>Garnlav</t>
        </is>
      </c>
      <c r="S375">
        <f>HYPERLINK("https://klasma.github.io/Logging_2283/artfynd/A 36432-2025 artfynd.xlsx", "A 36432-2025")</f>
        <v/>
      </c>
      <c r="T375">
        <f>HYPERLINK("https://klasma.github.io/Logging_2283/kartor/A 36432-2025 karta.png", "A 36432-2025")</f>
        <v/>
      </c>
      <c r="V375">
        <f>HYPERLINK("https://klasma.github.io/Logging_2283/klagomål/A 36432-2025 FSC-klagomål.docx", "A 36432-2025")</f>
        <v/>
      </c>
      <c r="W375">
        <f>HYPERLINK("https://klasma.github.io/Logging_2283/klagomålsmail/A 36432-2025 FSC-klagomål mail.docx", "A 36432-2025")</f>
        <v/>
      </c>
      <c r="X375">
        <f>HYPERLINK("https://klasma.github.io/Logging_2283/tillsyn/A 36432-2025 tillsynsbegäran.docx", "A 36432-2025")</f>
        <v/>
      </c>
      <c r="Y375">
        <f>HYPERLINK("https://klasma.github.io/Logging_2283/tillsynsmail/A 36432-2025 tillsynsbegäran mail.docx", "A 36432-2025")</f>
        <v/>
      </c>
    </row>
    <row r="376" ht="15" customHeight="1">
      <c r="A376" t="inlineStr">
        <is>
          <t>A 3496-2026</t>
        </is>
      </c>
      <c r="B376" s="1" t="n">
        <v>46042</v>
      </c>
      <c r="C376" s="1" t="n">
        <v>46199</v>
      </c>
      <c r="D376" t="inlineStr">
        <is>
          <t>VÄSTERNORRLANDS LÄN</t>
        </is>
      </c>
      <c r="E376" t="inlineStr">
        <is>
          <t>SOLLEFTEÅ</t>
        </is>
      </c>
      <c r="F376" t="inlineStr">
        <is>
          <t>Kyrkan</t>
        </is>
      </c>
      <c r="G376" t="n">
        <v>2.2</v>
      </c>
      <c r="H376" t="n">
        <v>0</v>
      </c>
      <c r="I376" t="n">
        <v>1</v>
      </c>
      <c r="J376" t="n">
        <v>0</v>
      </c>
      <c r="K376" t="n">
        <v>0</v>
      </c>
      <c r="L376" t="n">
        <v>0</v>
      </c>
      <c r="M376" t="n">
        <v>0</v>
      </c>
      <c r="N376" t="n">
        <v>0</v>
      </c>
      <c r="O376" t="n">
        <v>0</v>
      </c>
      <c r="P376" t="n">
        <v>0</v>
      </c>
      <c r="Q376" t="n">
        <v>1</v>
      </c>
      <c r="R376" s="2" t="inlineStr">
        <is>
          <t>Trådticka</t>
        </is>
      </c>
      <c r="S376">
        <f>HYPERLINK("https://klasma.github.io/Logging_2283/artfynd/A 3496-2026 artfynd.xlsx", "A 3496-2026")</f>
        <v/>
      </c>
      <c r="T376">
        <f>HYPERLINK("https://klasma.github.io/Logging_2283/kartor/A 3496-2026 karta.png", "A 3496-2026")</f>
        <v/>
      </c>
      <c r="V376">
        <f>HYPERLINK("https://klasma.github.io/Logging_2283/klagomål/A 3496-2026 FSC-klagomål.docx", "A 3496-2026")</f>
        <v/>
      </c>
      <c r="W376">
        <f>HYPERLINK("https://klasma.github.io/Logging_2283/klagomålsmail/A 3496-2026 FSC-klagomål mail.docx", "A 3496-2026")</f>
        <v/>
      </c>
      <c r="X376">
        <f>HYPERLINK("https://klasma.github.io/Logging_2283/tillsyn/A 3496-2026 tillsynsbegäran.docx", "A 3496-2026")</f>
        <v/>
      </c>
      <c r="Y376">
        <f>HYPERLINK("https://klasma.github.io/Logging_2283/tillsynsmail/A 3496-2026 tillsynsbegäran mail.docx", "A 3496-2026")</f>
        <v/>
      </c>
    </row>
    <row r="377" ht="15" customHeight="1">
      <c r="A377" t="inlineStr">
        <is>
          <t>A 15147-2024</t>
        </is>
      </c>
      <c r="B377" s="1" t="n">
        <v>45399</v>
      </c>
      <c r="C377" s="1" t="n">
        <v>46199</v>
      </c>
      <c r="D377" t="inlineStr">
        <is>
          <t>VÄSTERNORRLANDS LÄN</t>
        </is>
      </c>
      <c r="E377" t="inlineStr">
        <is>
          <t>SOLLEFTEÅ</t>
        </is>
      </c>
      <c r="F377" t="inlineStr">
        <is>
          <t>SCA</t>
        </is>
      </c>
      <c r="G377" t="n">
        <v>7.7</v>
      </c>
      <c r="H377" t="n">
        <v>1</v>
      </c>
      <c r="I377" t="n">
        <v>0</v>
      </c>
      <c r="J377" t="n">
        <v>1</v>
      </c>
      <c r="K377" t="n">
        <v>0</v>
      </c>
      <c r="L377" t="n">
        <v>0</v>
      </c>
      <c r="M377" t="n">
        <v>0</v>
      </c>
      <c r="N377" t="n">
        <v>0</v>
      </c>
      <c r="O377" t="n">
        <v>1</v>
      </c>
      <c r="P377" t="n">
        <v>0</v>
      </c>
      <c r="Q377" t="n">
        <v>1</v>
      </c>
      <c r="R377" s="2" t="inlineStr">
        <is>
          <t>Lavskrika</t>
        </is>
      </c>
      <c r="S377">
        <f>HYPERLINK("https://klasma.github.io/Logging_2283/artfynd/A 15147-2024 artfynd.xlsx", "A 15147-2024")</f>
        <v/>
      </c>
      <c r="T377">
        <f>HYPERLINK("https://klasma.github.io/Logging_2283/kartor/A 15147-2024 karta.png", "A 15147-2024")</f>
        <v/>
      </c>
      <c r="V377">
        <f>HYPERLINK("https://klasma.github.io/Logging_2283/klagomål/A 15147-2024 FSC-klagomål.docx", "A 15147-2024")</f>
        <v/>
      </c>
      <c r="W377">
        <f>HYPERLINK("https://klasma.github.io/Logging_2283/klagomålsmail/A 15147-2024 FSC-klagomål mail.docx", "A 15147-2024")</f>
        <v/>
      </c>
      <c r="X377">
        <f>HYPERLINK("https://klasma.github.io/Logging_2283/tillsyn/A 15147-2024 tillsynsbegäran.docx", "A 15147-2024")</f>
        <v/>
      </c>
      <c r="Y377">
        <f>HYPERLINK("https://klasma.github.io/Logging_2283/tillsynsmail/A 15147-2024 tillsynsbegäran mail.docx", "A 15147-2024")</f>
        <v/>
      </c>
      <c r="Z377">
        <f>HYPERLINK("https://klasma.github.io/Logging_2283/fåglar/A 15147-2024 prioriterade fågelarter.docx", "A 15147-2024")</f>
        <v/>
      </c>
    </row>
    <row r="378" ht="15" customHeight="1">
      <c r="A378" t="inlineStr">
        <is>
          <t>A 53831-2024</t>
        </is>
      </c>
      <c r="B378" s="1" t="n">
        <v>45615</v>
      </c>
      <c r="C378" s="1" t="n">
        <v>46199</v>
      </c>
      <c r="D378" t="inlineStr">
        <is>
          <t>VÄSTERNORRLANDS LÄN</t>
        </is>
      </c>
      <c r="E378" t="inlineStr">
        <is>
          <t>SOLLEFTEÅ</t>
        </is>
      </c>
      <c r="F378" t="inlineStr">
        <is>
          <t>SCA</t>
        </is>
      </c>
      <c r="G378" t="n">
        <v>2.2</v>
      </c>
      <c r="H378" t="n">
        <v>0</v>
      </c>
      <c r="I378" t="n">
        <v>0</v>
      </c>
      <c r="J378" t="n">
        <v>1</v>
      </c>
      <c r="K378" t="n">
        <v>0</v>
      </c>
      <c r="L378" t="n">
        <v>0</v>
      </c>
      <c r="M378" t="n">
        <v>0</v>
      </c>
      <c r="N378" t="n">
        <v>0</v>
      </c>
      <c r="O378" t="n">
        <v>1</v>
      </c>
      <c r="P378" t="n">
        <v>0</v>
      </c>
      <c r="Q378" t="n">
        <v>1</v>
      </c>
      <c r="R378" s="2" t="inlineStr">
        <is>
          <t>Dvärgbägarlav</t>
        </is>
      </c>
      <c r="S378">
        <f>HYPERLINK("https://klasma.github.io/Logging_2283/artfynd/A 53831-2024 artfynd.xlsx", "A 53831-2024")</f>
        <v/>
      </c>
      <c r="T378">
        <f>HYPERLINK("https://klasma.github.io/Logging_2283/kartor/A 53831-2024 karta.png", "A 53831-2024")</f>
        <v/>
      </c>
      <c r="V378">
        <f>HYPERLINK("https://klasma.github.io/Logging_2283/klagomål/A 53831-2024 FSC-klagomål.docx", "A 53831-2024")</f>
        <v/>
      </c>
      <c r="W378">
        <f>HYPERLINK("https://klasma.github.io/Logging_2283/klagomålsmail/A 53831-2024 FSC-klagomål mail.docx", "A 53831-2024")</f>
        <v/>
      </c>
      <c r="X378">
        <f>HYPERLINK("https://klasma.github.io/Logging_2283/tillsyn/A 53831-2024 tillsynsbegäran.docx", "A 53831-2024")</f>
        <v/>
      </c>
      <c r="Y378">
        <f>HYPERLINK("https://klasma.github.io/Logging_2283/tillsynsmail/A 53831-2024 tillsynsbegäran mail.docx", "A 53831-2024")</f>
        <v/>
      </c>
    </row>
    <row r="379" ht="15" customHeight="1">
      <c r="A379" t="inlineStr">
        <is>
          <t>A 3804-2026</t>
        </is>
      </c>
      <c r="B379" s="1" t="n">
        <v>46043</v>
      </c>
      <c r="C379" s="1" t="n">
        <v>46199</v>
      </c>
      <c r="D379" t="inlineStr">
        <is>
          <t>VÄSTERNORRLANDS LÄN</t>
        </is>
      </c>
      <c r="E379" t="inlineStr">
        <is>
          <t>SOLLEFTEÅ</t>
        </is>
      </c>
      <c r="F379" t="inlineStr">
        <is>
          <t>SCA</t>
        </is>
      </c>
      <c r="G379" t="n">
        <v>11.8</v>
      </c>
      <c r="H379" t="n">
        <v>0</v>
      </c>
      <c r="I379" t="n">
        <v>0</v>
      </c>
      <c r="J379" t="n">
        <v>1</v>
      </c>
      <c r="K379" t="n">
        <v>0</v>
      </c>
      <c r="L379" t="n">
        <v>0</v>
      </c>
      <c r="M379" t="n">
        <v>0</v>
      </c>
      <c r="N379" t="n">
        <v>0</v>
      </c>
      <c r="O379" t="n">
        <v>1</v>
      </c>
      <c r="P379" t="n">
        <v>0</v>
      </c>
      <c r="Q379" t="n">
        <v>1</v>
      </c>
      <c r="R379" s="2" t="inlineStr">
        <is>
          <t>Dofttaggsvamp</t>
        </is>
      </c>
      <c r="S379">
        <f>HYPERLINK("https://klasma.github.io/Logging_2283/artfynd/A 3804-2026 artfynd.xlsx", "A 3804-2026")</f>
        <v/>
      </c>
      <c r="T379">
        <f>HYPERLINK("https://klasma.github.io/Logging_2283/kartor/A 3804-2026 karta.png", "A 3804-2026")</f>
        <v/>
      </c>
      <c r="V379">
        <f>HYPERLINK("https://klasma.github.io/Logging_2283/klagomål/A 3804-2026 FSC-klagomål.docx", "A 3804-2026")</f>
        <v/>
      </c>
      <c r="W379">
        <f>HYPERLINK("https://klasma.github.io/Logging_2283/klagomålsmail/A 3804-2026 FSC-klagomål mail.docx", "A 3804-2026")</f>
        <v/>
      </c>
      <c r="X379">
        <f>HYPERLINK("https://klasma.github.io/Logging_2283/tillsyn/A 3804-2026 tillsynsbegäran.docx", "A 3804-2026")</f>
        <v/>
      </c>
      <c r="Y379">
        <f>HYPERLINK("https://klasma.github.io/Logging_2283/tillsynsmail/A 3804-2026 tillsynsbegäran mail.docx", "A 3804-2026")</f>
        <v/>
      </c>
    </row>
    <row r="380" ht="15" customHeight="1">
      <c r="A380" t="inlineStr">
        <is>
          <t>A 5048-2026</t>
        </is>
      </c>
      <c r="B380" s="1" t="n">
        <v>46049</v>
      </c>
      <c r="C380" s="1" t="n">
        <v>46199</v>
      </c>
      <c r="D380" t="inlineStr">
        <is>
          <t>VÄSTERNORRLANDS LÄN</t>
        </is>
      </c>
      <c r="E380" t="inlineStr">
        <is>
          <t>SOLLEFTEÅ</t>
        </is>
      </c>
      <c r="F380" t="inlineStr">
        <is>
          <t>SCA</t>
        </is>
      </c>
      <c r="G380" t="n">
        <v>5.2</v>
      </c>
      <c r="H380" t="n">
        <v>0</v>
      </c>
      <c r="I380" t="n">
        <v>0</v>
      </c>
      <c r="J380" t="n">
        <v>1</v>
      </c>
      <c r="K380" t="n">
        <v>0</v>
      </c>
      <c r="L380" t="n">
        <v>0</v>
      </c>
      <c r="M380" t="n">
        <v>0</v>
      </c>
      <c r="N380" t="n">
        <v>0</v>
      </c>
      <c r="O380" t="n">
        <v>1</v>
      </c>
      <c r="P380" t="n">
        <v>0</v>
      </c>
      <c r="Q380" t="n">
        <v>1</v>
      </c>
      <c r="R380" s="2" t="inlineStr">
        <is>
          <t>Motaggsvamp</t>
        </is>
      </c>
      <c r="S380">
        <f>HYPERLINK("https://klasma.github.io/Logging_2283/artfynd/A 5048-2026 artfynd.xlsx", "A 5048-2026")</f>
        <v/>
      </c>
      <c r="T380">
        <f>HYPERLINK("https://klasma.github.io/Logging_2283/kartor/A 5048-2026 karta.png", "A 5048-2026")</f>
        <v/>
      </c>
      <c r="V380">
        <f>HYPERLINK("https://klasma.github.io/Logging_2283/klagomål/A 5048-2026 FSC-klagomål.docx", "A 5048-2026")</f>
        <v/>
      </c>
      <c r="W380">
        <f>HYPERLINK("https://klasma.github.io/Logging_2283/klagomålsmail/A 5048-2026 FSC-klagomål mail.docx", "A 5048-2026")</f>
        <v/>
      </c>
      <c r="X380">
        <f>HYPERLINK("https://klasma.github.io/Logging_2283/tillsyn/A 5048-2026 tillsynsbegäran.docx", "A 5048-2026")</f>
        <v/>
      </c>
      <c r="Y380">
        <f>HYPERLINK("https://klasma.github.io/Logging_2283/tillsynsmail/A 5048-2026 tillsynsbegäran mail.docx", "A 5048-2026")</f>
        <v/>
      </c>
    </row>
    <row r="381" ht="15" customHeight="1">
      <c r="A381" t="inlineStr">
        <is>
          <t>A 6468-2026</t>
        </is>
      </c>
      <c r="B381" s="1" t="n">
        <v>46056</v>
      </c>
      <c r="C381" s="1" t="n">
        <v>46199</v>
      </c>
      <c r="D381" t="inlineStr">
        <is>
          <t>VÄSTERNORRLANDS LÄN</t>
        </is>
      </c>
      <c r="E381" t="inlineStr">
        <is>
          <t>SOLLEFTEÅ</t>
        </is>
      </c>
      <c r="G381" t="n">
        <v>1.8</v>
      </c>
      <c r="H381" t="n">
        <v>0</v>
      </c>
      <c r="I381" t="n">
        <v>0</v>
      </c>
      <c r="J381" t="n">
        <v>1</v>
      </c>
      <c r="K381" t="n">
        <v>0</v>
      </c>
      <c r="L381" t="n">
        <v>0</v>
      </c>
      <c r="M381" t="n">
        <v>0</v>
      </c>
      <c r="N381" t="n">
        <v>0</v>
      </c>
      <c r="O381" t="n">
        <v>1</v>
      </c>
      <c r="P381" t="n">
        <v>0</v>
      </c>
      <c r="Q381" t="n">
        <v>1</v>
      </c>
      <c r="R381" s="2" t="inlineStr">
        <is>
          <t>Vitgrynig nållav</t>
        </is>
      </c>
      <c r="S381">
        <f>HYPERLINK("https://klasma.github.io/Logging_2283/artfynd/A 6468-2026 artfynd.xlsx", "A 6468-2026")</f>
        <v/>
      </c>
      <c r="T381">
        <f>HYPERLINK("https://klasma.github.io/Logging_2283/kartor/A 6468-2026 karta.png", "A 6468-2026")</f>
        <v/>
      </c>
      <c r="V381">
        <f>HYPERLINK("https://klasma.github.io/Logging_2283/klagomål/A 6468-2026 FSC-klagomål.docx", "A 6468-2026")</f>
        <v/>
      </c>
      <c r="W381">
        <f>HYPERLINK("https://klasma.github.io/Logging_2283/klagomålsmail/A 6468-2026 FSC-klagomål mail.docx", "A 6468-2026")</f>
        <v/>
      </c>
      <c r="X381">
        <f>HYPERLINK("https://klasma.github.io/Logging_2283/tillsyn/A 6468-2026 tillsynsbegäran.docx", "A 6468-2026")</f>
        <v/>
      </c>
      <c r="Y381">
        <f>HYPERLINK("https://klasma.github.io/Logging_2283/tillsynsmail/A 6468-2026 tillsynsbegäran mail.docx", "A 6468-2026")</f>
        <v/>
      </c>
    </row>
    <row r="382" ht="15" customHeight="1">
      <c r="A382" t="inlineStr">
        <is>
          <t>A 56444-2025</t>
        </is>
      </c>
      <c r="B382" s="1" t="n">
        <v>45975</v>
      </c>
      <c r="C382" s="1" t="n">
        <v>46199</v>
      </c>
      <c r="D382" t="inlineStr">
        <is>
          <t>VÄSTERNORRLANDS LÄN</t>
        </is>
      </c>
      <c r="E382" t="inlineStr">
        <is>
          <t>SOLLEFTEÅ</t>
        </is>
      </c>
      <c r="F382" t="inlineStr">
        <is>
          <t>SCA</t>
        </is>
      </c>
      <c r="G382" t="n">
        <v>4.1</v>
      </c>
      <c r="H382" t="n">
        <v>1</v>
      </c>
      <c r="I382" t="n">
        <v>1</v>
      </c>
      <c r="J382" t="n">
        <v>0</v>
      </c>
      <c r="K382" t="n">
        <v>0</v>
      </c>
      <c r="L382" t="n">
        <v>0</v>
      </c>
      <c r="M382" t="n">
        <v>0</v>
      </c>
      <c r="N382" t="n">
        <v>0</v>
      </c>
      <c r="O382" t="n">
        <v>0</v>
      </c>
      <c r="P382" t="n">
        <v>0</v>
      </c>
      <c r="Q382" t="n">
        <v>1</v>
      </c>
      <c r="R382" s="2" t="inlineStr">
        <is>
          <t>Plattlummer</t>
        </is>
      </c>
      <c r="S382">
        <f>HYPERLINK("https://klasma.github.io/Logging_2283/artfynd/A 56444-2025 artfynd.xlsx", "A 56444-2025")</f>
        <v/>
      </c>
      <c r="T382">
        <f>HYPERLINK("https://klasma.github.io/Logging_2283/kartor/A 56444-2025 karta.png", "A 56444-2025")</f>
        <v/>
      </c>
      <c r="V382">
        <f>HYPERLINK("https://klasma.github.io/Logging_2283/klagomål/A 56444-2025 FSC-klagomål.docx", "A 56444-2025")</f>
        <v/>
      </c>
      <c r="W382">
        <f>HYPERLINK("https://klasma.github.io/Logging_2283/klagomålsmail/A 56444-2025 FSC-klagomål mail.docx", "A 56444-2025")</f>
        <v/>
      </c>
      <c r="X382">
        <f>HYPERLINK("https://klasma.github.io/Logging_2283/tillsyn/A 56444-2025 tillsynsbegäran.docx", "A 56444-2025")</f>
        <v/>
      </c>
      <c r="Y382">
        <f>HYPERLINK("https://klasma.github.io/Logging_2283/tillsynsmail/A 56444-2025 tillsynsbegäran mail.docx", "A 56444-2025")</f>
        <v/>
      </c>
    </row>
    <row r="383" ht="15" customHeight="1">
      <c r="A383" t="inlineStr">
        <is>
          <t>A 27391-2023</t>
        </is>
      </c>
      <c r="B383" s="1" t="n">
        <v>45096</v>
      </c>
      <c r="C383" s="1" t="n">
        <v>46199</v>
      </c>
      <c r="D383" t="inlineStr">
        <is>
          <t>VÄSTERNORRLANDS LÄN</t>
        </is>
      </c>
      <c r="E383" t="inlineStr">
        <is>
          <t>SOLLEFTEÅ</t>
        </is>
      </c>
      <c r="F383" t="inlineStr">
        <is>
          <t>SCA</t>
        </is>
      </c>
      <c r="G383" t="n">
        <v>3.7</v>
      </c>
      <c r="H383" t="n">
        <v>0</v>
      </c>
      <c r="I383" t="n">
        <v>0</v>
      </c>
      <c r="J383" t="n">
        <v>1</v>
      </c>
      <c r="K383" t="n">
        <v>0</v>
      </c>
      <c r="L383" t="n">
        <v>0</v>
      </c>
      <c r="M383" t="n">
        <v>0</v>
      </c>
      <c r="N383" t="n">
        <v>0</v>
      </c>
      <c r="O383" t="n">
        <v>1</v>
      </c>
      <c r="P383" t="n">
        <v>0</v>
      </c>
      <c r="Q383" t="n">
        <v>1</v>
      </c>
      <c r="R383" s="2" t="inlineStr">
        <is>
          <t>Lunglav</t>
        </is>
      </c>
      <c r="S383">
        <f>HYPERLINK("https://klasma.github.io/Logging_2283/artfynd/A 27391-2023 artfynd.xlsx", "A 27391-2023")</f>
        <v/>
      </c>
      <c r="T383">
        <f>HYPERLINK("https://klasma.github.io/Logging_2283/kartor/A 27391-2023 karta.png", "A 27391-2023")</f>
        <v/>
      </c>
      <c r="V383">
        <f>HYPERLINK("https://klasma.github.io/Logging_2283/klagomål/A 27391-2023 FSC-klagomål.docx", "A 27391-2023")</f>
        <v/>
      </c>
      <c r="W383">
        <f>HYPERLINK("https://klasma.github.io/Logging_2283/klagomålsmail/A 27391-2023 FSC-klagomål mail.docx", "A 27391-2023")</f>
        <v/>
      </c>
      <c r="X383">
        <f>HYPERLINK("https://klasma.github.io/Logging_2283/tillsyn/A 27391-2023 tillsynsbegäran.docx", "A 27391-2023")</f>
        <v/>
      </c>
      <c r="Y383">
        <f>HYPERLINK("https://klasma.github.io/Logging_2283/tillsynsmail/A 27391-2023 tillsynsbegäran mail.docx", "A 27391-2023")</f>
        <v/>
      </c>
    </row>
    <row r="384" ht="15" customHeight="1">
      <c r="A384" t="inlineStr">
        <is>
          <t>A 11741-2026</t>
        </is>
      </c>
      <c r="B384" s="1" t="n">
        <v>46084</v>
      </c>
      <c r="C384" s="1" t="n">
        <v>46199</v>
      </c>
      <c r="D384" t="inlineStr">
        <is>
          <t>VÄSTERNORRLANDS LÄN</t>
        </is>
      </c>
      <c r="E384" t="inlineStr">
        <is>
          <t>SOLLEFTEÅ</t>
        </is>
      </c>
      <c r="G384" t="n">
        <v>8</v>
      </c>
      <c r="H384" t="n">
        <v>0</v>
      </c>
      <c r="I384" t="n">
        <v>0</v>
      </c>
      <c r="J384" t="n">
        <v>1</v>
      </c>
      <c r="K384" t="n">
        <v>0</v>
      </c>
      <c r="L384" t="n">
        <v>0</v>
      </c>
      <c r="M384" t="n">
        <v>0</v>
      </c>
      <c r="N384" t="n">
        <v>0</v>
      </c>
      <c r="O384" t="n">
        <v>1</v>
      </c>
      <c r="P384" t="n">
        <v>0</v>
      </c>
      <c r="Q384" t="n">
        <v>1</v>
      </c>
      <c r="R384" s="2" t="inlineStr">
        <is>
          <t>Dropptaggsvamp</t>
        </is>
      </c>
      <c r="S384">
        <f>HYPERLINK("https://klasma.github.io/Logging_2283/artfynd/A 11741-2026 artfynd.xlsx", "A 11741-2026")</f>
        <v/>
      </c>
      <c r="T384">
        <f>HYPERLINK("https://klasma.github.io/Logging_2283/kartor/A 11741-2026 karta.png", "A 11741-2026")</f>
        <v/>
      </c>
      <c r="V384">
        <f>HYPERLINK("https://klasma.github.io/Logging_2283/klagomål/A 11741-2026 FSC-klagomål.docx", "A 11741-2026")</f>
        <v/>
      </c>
      <c r="W384">
        <f>HYPERLINK("https://klasma.github.io/Logging_2283/klagomålsmail/A 11741-2026 FSC-klagomål mail.docx", "A 11741-2026")</f>
        <v/>
      </c>
      <c r="X384">
        <f>HYPERLINK("https://klasma.github.io/Logging_2283/tillsyn/A 11741-2026 tillsynsbegäran.docx", "A 11741-2026")</f>
        <v/>
      </c>
      <c r="Y384">
        <f>HYPERLINK("https://klasma.github.io/Logging_2283/tillsynsmail/A 11741-2026 tillsynsbegäran mail.docx", "A 11741-2026")</f>
        <v/>
      </c>
    </row>
    <row r="385" ht="15" customHeight="1">
      <c r="A385" t="inlineStr">
        <is>
          <t>A 40098-2023</t>
        </is>
      </c>
      <c r="B385" s="1" t="n">
        <v>45168</v>
      </c>
      <c r="C385" s="1" t="n">
        <v>46199</v>
      </c>
      <c r="D385" t="inlineStr">
        <is>
          <t>VÄSTERNORRLANDS LÄN</t>
        </is>
      </c>
      <c r="E385" t="inlineStr">
        <is>
          <t>SOLLEFTEÅ</t>
        </is>
      </c>
      <c r="F385" t="inlineStr">
        <is>
          <t>SCA</t>
        </is>
      </c>
      <c r="G385" t="n">
        <v>2</v>
      </c>
      <c r="H385" t="n">
        <v>1</v>
      </c>
      <c r="I385" t="n">
        <v>0</v>
      </c>
      <c r="J385" t="n">
        <v>0</v>
      </c>
      <c r="K385" t="n">
        <v>0</v>
      </c>
      <c r="L385" t="n">
        <v>0</v>
      </c>
      <c r="M385" t="n">
        <v>0</v>
      </c>
      <c r="N385" t="n">
        <v>0</v>
      </c>
      <c r="O385" t="n">
        <v>0</v>
      </c>
      <c r="P385" t="n">
        <v>0</v>
      </c>
      <c r="Q385" t="n">
        <v>1</v>
      </c>
      <c r="R385" s="2" t="inlineStr">
        <is>
          <t>Revlummer</t>
        </is>
      </c>
      <c r="S385">
        <f>HYPERLINK("https://klasma.github.io/Logging_2283/artfynd/A 40098-2023 artfynd.xlsx", "A 40098-2023")</f>
        <v/>
      </c>
      <c r="T385">
        <f>HYPERLINK("https://klasma.github.io/Logging_2283/kartor/A 40098-2023 karta.png", "A 40098-2023")</f>
        <v/>
      </c>
      <c r="V385">
        <f>HYPERLINK("https://klasma.github.io/Logging_2283/klagomål/A 40098-2023 FSC-klagomål.docx", "A 40098-2023")</f>
        <v/>
      </c>
      <c r="W385">
        <f>HYPERLINK("https://klasma.github.io/Logging_2283/klagomålsmail/A 40098-2023 FSC-klagomål mail.docx", "A 40098-2023")</f>
        <v/>
      </c>
      <c r="X385">
        <f>HYPERLINK("https://klasma.github.io/Logging_2283/tillsyn/A 40098-2023 tillsynsbegäran.docx", "A 40098-2023")</f>
        <v/>
      </c>
      <c r="Y385">
        <f>HYPERLINK("https://klasma.github.io/Logging_2283/tillsynsmail/A 40098-2023 tillsynsbegäran mail.docx", "A 40098-2023")</f>
        <v/>
      </c>
    </row>
    <row r="386" ht="15" customHeight="1">
      <c r="A386" t="inlineStr">
        <is>
          <t>A 8670-2023</t>
        </is>
      </c>
      <c r="B386" s="1" t="n">
        <v>44977</v>
      </c>
      <c r="C386" s="1" t="n">
        <v>46199</v>
      </c>
      <c r="D386" t="inlineStr">
        <is>
          <t>VÄSTERNORRLANDS LÄN</t>
        </is>
      </c>
      <c r="E386" t="inlineStr">
        <is>
          <t>SOLLEFTEÅ</t>
        </is>
      </c>
      <c r="F386" t="inlineStr">
        <is>
          <t>SCA</t>
        </is>
      </c>
      <c r="G386" t="n">
        <v>0.6</v>
      </c>
      <c r="H386" t="n">
        <v>0</v>
      </c>
      <c r="I386" t="n">
        <v>0</v>
      </c>
      <c r="J386" t="n">
        <v>1</v>
      </c>
      <c r="K386" t="n">
        <v>0</v>
      </c>
      <c r="L386" t="n">
        <v>0</v>
      </c>
      <c r="M386" t="n">
        <v>0</v>
      </c>
      <c r="N386" t="n">
        <v>0</v>
      </c>
      <c r="O386" t="n">
        <v>1</v>
      </c>
      <c r="P386" t="n">
        <v>0</v>
      </c>
      <c r="Q386" t="n">
        <v>1</v>
      </c>
      <c r="R386" s="2" t="inlineStr">
        <is>
          <t>Lunglav</t>
        </is>
      </c>
      <c r="S386">
        <f>HYPERLINK("https://klasma.github.io/Logging_2283/artfynd/A 8670-2023 artfynd.xlsx", "A 8670-2023")</f>
        <v/>
      </c>
      <c r="T386">
        <f>HYPERLINK("https://klasma.github.io/Logging_2283/kartor/A 8670-2023 karta.png", "A 8670-2023")</f>
        <v/>
      </c>
      <c r="V386">
        <f>HYPERLINK("https://klasma.github.io/Logging_2283/klagomål/A 8670-2023 FSC-klagomål.docx", "A 8670-2023")</f>
        <v/>
      </c>
      <c r="W386">
        <f>HYPERLINK("https://klasma.github.io/Logging_2283/klagomålsmail/A 8670-2023 FSC-klagomål mail.docx", "A 8670-2023")</f>
        <v/>
      </c>
      <c r="X386">
        <f>HYPERLINK("https://klasma.github.io/Logging_2283/tillsyn/A 8670-2023 tillsynsbegäran.docx", "A 8670-2023")</f>
        <v/>
      </c>
      <c r="Y386">
        <f>HYPERLINK("https://klasma.github.io/Logging_2283/tillsynsmail/A 8670-2023 tillsynsbegäran mail.docx", "A 8670-2023")</f>
        <v/>
      </c>
    </row>
    <row r="387" ht="15" customHeight="1">
      <c r="A387" t="inlineStr">
        <is>
          <t>A 15627-2026</t>
        </is>
      </c>
      <c r="B387" s="1" t="n">
        <v>46106</v>
      </c>
      <c r="C387" s="1" t="n">
        <v>46199</v>
      </c>
      <c r="D387" t="inlineStr">
        <is>
          <t>VÄSTERNORRLANDS LÄN</t>
        </is>
      </c>
      <c r="E387" t="inlineStr">
        <is>
          <t>SOLLEFTEÅ</t>
        </is>
      </c>
      <c r="F387" t="inlineStr">
        <is>
          <t>SCA</t>
        </is>
      </c>
      <c r="G387" t="n">
        <v>8.6</v>
      </c>
      <c r="H387" t="n">
        <v>1</v>
      </c>
      <c r="I387" t="n">
        <v>0</v>
      </c>
      <c r="J387" t="n">
        <v>0</v>
      </c>
      <c r="K387" t="n">
        <v>0</v>
      </c>
      <c r="L387" t="n">
        <v>0</v>
      </c>
      <c r="M387" t="n">
        <v>0</v>
      </c>
      <c r="N387" t="n">
        <v>0</v>
      </c>
      <c r="O387" t="n">
        <v>0</v>
      </c>
      <c r="P387" t="n">
        <v>0</v>
      </c>
      <c r="Q387" t="n">
        <v>1</v>
      </c>
      <c r="R387" s="2" t="inlineStr">
        <is>
          <t>Fläcknycklar</t>
        </is>
      </c>
      <c r="S387">
        <f>HYPERLINK("https://klasma.github.io/Logging_2283/artfynd/A 15627-2026 artfynd.xlsx", "A 15627-2026")</f>
        <v/>
      </c>
      <c r="T387">
        <f>HYPERLINK("https://klasma.github.io/Logging_2283/kartor/A 15627-2026 karta.png", "A 15627-2026")</f>
        <v/>
      </c>
      <c r="V387">
        <f>HYPERLINK("https://klasma.github.io/Logging_2283/klagomål/A 15627-2026 FSC-klagomål.docx", "A 15627-2026")</f>
        <v/>
      </c>
      <c r="W387">
        <f>HYPERLINK("https://klasma.github.io/Logging_2283/klagomålsmail/A 15627-2026 FSC-klagomål mail.docx", "A 15627-2026")</f>
        <v/>
      </c>
      <c r="X387">
        <f>HYPERLINK("https://klasma.github.io/Logging_2283/tillsyn/A 15627-2026 tillsynsbegäran.docx", "A 15627-2026")</f>
        <v/>
      </c>
      <c r="Y387">
        <f>HYPERLINK("https://klasma.github.io/Logging_2283/tillsynsmail/A 15627-2026 tillsynsbegäran mail.docx", "A 15627-2026")</f>
        <v/>
      </c>
    </row>
    <row r="388" ht="15" customHeight="1">
      <c r="A388" t="inlineStr">
        <is>
          <t>A 22928-2026</t>
        </is>
      </c>
      <c r="B388" s="1" t="n">
        <v>46160</v>
      </c>
      <c r="C388" s="1" t="n">
        <v>46199</v>
      </c>
      <c r="D388" t="inlineStr">
        <is>
          <t>VÄSTERNORRLANDS LÄN</t>
        </is>
      </c>
      <c r="E388" t="inlineStr">
        <is>
          <t>SOLLEFTEÅ</t>
        </is>
      </c>
      <c r="F388" t="inlineStr">
        <is>
          <t>SCA</t>
        </is>
      </c>
      <c r="G388" t="n">
        <v>1.3</v>
      </c>
      <c r="H388" t="n">
        <v>0</v>
      </c>
      <c r="I388" t="n">
        <v>0</v>
      </c>
      <c r="J388" t="n">
        <v>1</v>
      </c>
      <c r="K388" t="n">
        <v>0</v>
      </c>
      <c r="L388" t="n">
        <v>0</v>
      </c>
      <c r="M388" t="n">
        <v>0</v>
      </c>
      <c r="N388" t="n">
        <v>0</v>
      </c>
      <c r="O388" t="n">
        <v>1</v>
      </c>
      <c r="P388" t="n">
        <v>0</v>
      </c>
      <c r="Q388" t="n">
        <v>1</v>
      </c>
      <c r="R388" s="2" t="inlineStr">
        <is>
          <t>Koralltaggsvamp</t>
        </is>
      </c>
      <c r="S388">
        <f>HYPERLINK("https://klasma.github.io/Logging_2283/artfynd/A 22928-2026 artfynd.xlsx", "A 22928-2026")</f>
        <v/>
      </c>
      <c r="T388">
        <f>HYPERLINK("https://klasma.github.io/Logging_2283/kartor/A 22928-2026 karta.png", "A 22928-2026")</f>
        <v/>
      </c>
      <c r="V388">
        <f>HYPERLINK("https://klasma.github.io/Logging_2283/klagomål/A 22928-2026 FSC-klagomål.docx", "A 22928-2026")</f>
        <v/>
      </c>
      <c r="W388">
        <f>HYPERLINK("https://klasma.github.io/Logging_2283/klagomålsmail/A 22928-2026 FSC-klagomål mail.docx", "A 22928-2026")</f>
        <v/>
      </c>
      <c r="X388">
        <f>HYPERLINK("https://klasma.github.io/Logging_2283/tillsyn/A 22928-2026 tillsynsbegäran.docx", "A 22928-2026")</f>
        <v/>
      </c>
      <c r="Y388">
        <f>HYPERLINK("https://klasma.github.io/Logging_2283/tillsynsmail/A 22928-2026 tillsynsbegäran mail.docx", "A 22928-2026")</f>
        <v/>
      </c>
    </row>
    <row r="389" ht="15" customHeight="1">
      <c r="A389" t="inlineStr">
        <is>
          <t>A 32924-2024</t>
        </is>
      </c>
      <c r="B389" s="1" t="n">
        <v>45516</v>
      </c>
      <c r="C389" s="1" t="n">
        <v>46199</v>
      </c>
      <c r="D389" t="inlineStr">
        <is>
          <t>VÄSTERNORRLANDS LÄN</t>
        </is>
      </c>
      <c r="E389" t="inlineStr">
        <is>
          <t>SOLLEFTEÅ</t>
        </is>
      </c>
      <c r="F389" t="inlineStr">
        <is>
          <t>SCA</t>
        </is>
      </c>
      <c r="G389" t="n">
        <v>4.4</v>
      </c>
      <c r="H389" t="n">
        <v>0</v>
      </c>
      <c r="I389" t="n">
        <v>0</v>
      </c>
      <c r="J389" t="n">
        <v>1</v>
      </c>
      <c r="K389" t="n">
        <v>0</v>
      </c>
      <c r="L389" t="n">
        <v>0</v>
      </c>
      <c r="M389" t="n">
        <v>0</v>
      </c>
      <c r="N389" t="n">
        <v>0</v>
      </c>
      <c r="O389" t="n">
        <v>1</v>
      </c>
      <c r="P389" t="n">
        <v>0</v>
      </c>
      <c r="Q389" t="n">
        <v>1</v>
      </c>
      <c r="R389" s="2" t="inlineStr">
        <is>
          <t>Lunglav</t>
        </is>
      </c>
      <c r="S389">
        <f>HYPERLINK("https://klasma.github.io/Logging_2283/artfynd/A 32924-2024 artfynd.xlsx", "A 32924-2024")</f>
        <v/>
      </c>
      <c r="T389">
        <f>HYPERLINK("https://klasma.github.io/Logging_2283/kartor/A 32924-2024 karta.png", "A 32924-2024")</f>
        <v/>
      </c>
      <c r="V389">
        <f>HYPERLINK("https://klasma.github.io/Logging_2283/klagomål/A 32924-2024 FSC-klagomål.docx", "A 32924-2024")</f>
        <v/>
      </c>
      <c r="W389">
        <f>HYPERLINK("https://klasma.github.io/Logging_2283/klagomålsmail/A 32924-2024 FSC-klagomål mail.docx", "A 32924-2024")</f>
        <v/>
      </c>
      <c r="X389">
        <f>HYPERLINK("https://klasma.github.io/Logging_2283/tillsyn/A 32924-2024 tillsynsbegäran.docx", "A 32924-2024")</f>
        <v/>
      </c>
      <c r="Y389">
        <f>HYPERLINK("https://klasma.github.io/Logging_2283/tillsynsmail/A 32924-2024 tillsynsbegäran mail.docx", "A 32924-2024")</f>
        <v/>
      </c>
    </row>
    <row r="390" ht="15" customHeight="1">
      <c r="A390" t="inlineStr">
        <is>
          <t>A 24696-2026</t>
        </is>
      </c>
      <c r="B390" s="1" t="n">
        <v>46171</v>
      </c>
      <c r="C390" s="1" t="n">
        <v>46199</v>
      </c>
      <c r="D390" t="inlineStr">
        <is>
          <t>VÄSTERNORRLANDS LÄN</t>
        </is>
      </c>
      <c r="E390" t="inlineStr">
        <is>
          <t>SOLLEFTEÅ</t>
        </is>
      </c>
      <c r="F390" t="inlineStr">
        <is>
          <t>SCA</t>
        </is>
      </c>
      <c r="G390" t="n">
        <v>2.3</v>
      </c>
      <c r="H390" t="n">
        <v>0</v>
      </c>
      <c r="I390" t="n">
        <v>0</v>
      </c>
      <c r="J390" t="n">
        <v>1</v>
      </c>
      <c r="K390" t="n">
        <v>0</v>
      </c>
      <c r="L390" t="n">
        <v>0</v>
      </c>
      <c r="M390" t="n">
        <v>0</v>
      </c>
      <c r="N390" t="n">
        <v>0</v>
      </c>
      <c r="O390" t="n">
        <v>1</v>
      </c>
      <c r="P390" t="n">
        <v>0</v>
      </c>
      <c r="Q390" t="n">
        <v>1</v>
      </c>
      <c r="R390" s="2" t="inlineStr">
        <is>
          <t>Dropptaggsvamp</t>
        </is>
      </c>
      <c r="S390">
        <f>HYPERLINK("https://klasma.github.io/Logging_2283/artfynd/A 24696-2026 artfynd.xlsx", "A 24696-2026")</f>
        <v/>
      </c>
      <c r="T390">
        <f>HYPERLINK("https://klasma.github.io/Logging_2283/kartor/A 24696-2026 karta.png", "A 24696-2026")</f>
        <v/>
      </c>
      <c r="V390">
        <f>HYPERLINK("https://klasma.github.io/Logging_2283/klagomål/A 24696-2026 FSC-klagomål.docx", "A 24696-2026")</f>
        <v/>
      </c>
      <c r="W390">
        <f>HYPERLINK("https://klasma.github.io/Logging_2283/klagomålsmail/A 24696-2026 FSC-klagomål mail.docx", "A 24696-2026")</f>
        <v/>
      </c>
      <c r="X390">
        <f>HYPERLINK("https://klasma.github.io/Logging_2283/tillsyn/A 24696-2026 tillsynsbegäran.docx", "A 24696-2026")</f>
        <v/>
      </c>
      <c r="Y390">
        <f>HYPERLINK("https://klasma.github.io/Logging_2283/tillsynsmail/A 24696-2026 tillsynsbegäran mail.docx", "A 24696-2026")</f>
        <v/>
      </c>
    </row>
    <row r="391" ht="15" customHeight="1">
      <c r="A391" t="inlineStr">
        <is>
          <t>A 18825-2026</t>
        </is>
      </c>
      <c r="B391" s="1" t="n">
        <v>46128</v>
      </c>
      <c r="C391" s="1" t="n">
        <v>46199</v>
      </c>
      <c r="D391" t="inlineStr">
        <is>
          <t>VÄSTERNORRLANDS LÄN</t>
        </is>
      </c>
      <c r="E391" t="inlineStr">
        <is>
          <t>SOLLEFTEÅ</t>
        </is>
      </c>
      <c r="G391" t="n">
        <v>3.2</v>
      </c>
      <c r="H391" t="n">
        <v>1</v>
      </c>
      <c r="I391" t="n">
        <v>0</v>
      </c>
      <c r="J391" t="n">
        <v>0</v>
      </c>
      <c r="K391" t="n">
        <v>0</v>
      </c>
      <c r="L391" t="n">
        <v>0</v>
      </c>
      <c r="M391" t="n">
        <v>0</v>
      </c>
      <c r="N391" t="n">
        <v>0</v>
      </c>
      <c r="O391" t="n">
        <v>0</v>
      </c>
      <c r="P391" t="n">
        <v>0</v>
      </c>
      <c r="Q391" t="n">
        <v>1</v>
      </c>
      <c r="R391" s="2" t="inlineStr">
        <is>
          <t>Blåsippa</t>
        </is>
      </c>
      <c r="S391">
        <f>HYPERLINK("https://klasma.github.io/Logging_2283/artfynd/A 18825-2026 artfynd.xlsx", "A 18825-2026")</f>
        <v/>
      </c>
      <c r="T391">
        <f>HYPERLINK("https://klasma.github.io/Logging_2283/kartor/A 18825-2026 karta.png", "A 18825-2026")</f>
        <v/>
      </c>
      <c r="V391">
        <f>HYPERLINK("https://klasma.github.io/Logging_2283/klagomål/A 18825-2026 FSC-klagomål.docx", "A 18825-2026")</f>
        <v/>
      </c>
      <c r="W391">
        <f>HYPERLINK("https://klasma.github.io/Logging_2283/klagomålsmail/A 18825-2026 FSC-klagomål mail.docx", "A 18825-2026")</f>
        <v/>
      </c>
      <c r="X391">
        <f>HYPERLINK("https://klasma.github.io/Logging_2283/tillsyn/A 18825-2026 tillsynsbegäran.docx", "A 18825-2026")</f>
        <v/>
      </c>
      <c r="Y391">
        <f>HYPERLINK("https://klasma.github.io/Logging_2283/tillsynsmail/A 18825-2026 tillsynsbegäran mail.docx", "A 18825-2026")</f>
        <v/>
      </c>
    </row>
    <row r="392" ht="15" customHeight="1">
      <c r="A392" t="inlineStr">
        <is>
          <t>A 25314-2023</t>
        </is>
      </c>
      <c r="B392" s="1" t="n">
        <v>45086</v>
      </c>
      <c r="C392" s="1" t="n">
        <v>46199</v>
      </c>
      <c r="D392" t="inlineStr">
        <is>
          <t>VÄSTERNORRLANDS LÄN</t>
        </is>
      </c>
      <c r="E392" t="inlineStr">
        <is>
          <t>SOLLEFTEÅ</t>
        </is>
      </c>
      <c r="G392" t="n">
        <v>3.2</v>
      </c>
      <c r="H392" t="n">
        <v>1</v>
      </c>
      <c r="I392" t="n">
        <v>0</v>
      </c>
      <c r="J392" t="n">
        <v>0</v>
      </c>
      <c r="K392" t="n">
        <v>1</v>
      </c>
      <c r="L392" t="n">
        <v>0</v>
      </c>
      <c r="M392" t="n">
        <v>0</v>
      </c>
      <c r="N392" t="n">
        <v>0</v>
      </c>
      <c r="O392" t="n">
        <v>1</v>
      </c>
      <c r="P392" t="n">
        <v>1</v>
      </c>
      <c r="Q392" t="n">
        <v>1</v>
      </c>
      <c r="R392" s="2" t="inlineStr">
        <is>
          <t>Knärot</t>
        </is>
      </c>
      <c r="S392">
        <f>HYPERLINK("https://klasma.github.io/Logging_2283/artfynd/A 25314-2023 artfynd.xlsx", "A 25314-2023")</f>
        <v/>
      </c>
      <c r="T392">
        <f>HYPERLINK("https://klasma.github.io/Logging_2283/kartor/A 25314-2023 karta.png", "A 25314-2023")</f>
        <v/>
      </c>
      <c r="U392">
        <f>HYPERLINK("https://klasma.github.io/Logging_2283/knärot/A 25314-2023 karta knärot.png", "A 25314-2023")</f>
        <v/>
      </c>
      <c r="V392">
        <f>HYPERLINK("https://klasma.github.io/Logging_2283/klagomål/A 25314-2023 FSC-klagomål.docx", "A 25314-2023")</f>
        <v/>
      </c>
      <c r="W392">
        <f>HYPERLINK("https://klasma.github.io/Logging_2283/klagomålsmail/A 25314-2023 FSC-klagomål mail.docx", "A 25314-2023")</f>
        <v/>
      </c>
      <c r="X392">
        <f>HYPERLINK("https://klasma.github.io/Logging_2283/tillsyn/A 25314-2023 tillsynsbegäran.docx", "A 25314-2023")</f>
        <v/>
      </c>
      <c r="Y392">
        <f>HYPERLINK("https://klasma.github.io/Logging_2283/tillsynsmail/A 25314-2023 tillsynsbegäran mail.docx", "A 25314-2023")</f>
        <v/>
      </c>
    </row>
    <row r="393" ht="15" customHeight="1">
      <c r="A393" t="inlineStr">
        <is>
          <t>A 25386-2026</t>
        </is>
      </c>
      <c r="B393" s="1" t="n">
        <v>46176</v>
      </c>
      <c r="C393" s="1" t="n">
        <v>46199</v>
      </c>
      <c r="D393" t="inlineStr">
        <is>
          <t>VÄSTERNORRLANDS LÄN</t>
        </is>
      </c>
      <c r="E393" t="inlineStr">
        <is>
          <t>SOLLEFTEÅ</t>
        </is>
      </c>
      <c r="F393" t="inlineStr">
        <is>
          <t>Kyrkan</t>
        </is>
      </c>
      <c r="G393" t="n">
        <v>1.1</v>
      </c>
      <c r="H393" t="n">
        <v>0</v>
      </c>
      <c r="I393" t="n">
        <v>0</v>
      </c>
      <c r="J393" t="n">
        <v>1</v>
      </c>
      <c r="K393" t="n">
        <v>0</v>
      </c>
      <c r="L393" t="n">
        <v>0</v>
      </c>
      <c r="M393" t="n">
        <v>0</v>
      </c>
      <c r="N393" t="n">
        <v>0</v>
      </c>
      <c r="O393" t="n">
        <v>1</v>
      </c>
      <c r="P393" t="n">
        <v>0</v>
      </c>
      <c r="Q393" t="n">
        <v>1</v>
      </c>
      <c r="R393" s="2" t="inlineStr">
        <is>
          <t>Lunglav</t>
        </is>
      </c>
      <c r="S393">
        <f>HYPERLINK("https://klasma.github.io/Logging_2283/artfynd/A 25386-2026 artfynd.xlsx", "A 25386-2026")</f>
        <v/>
      </c>
      <c r="T393">
        <f>HYPERLINK("https://klasma.github.io/Logging_2283/kartor/A 25386-2026 karta.png", "A 25386-2026")</f>
        <v/>
      </c>
      <c r="V393">
        <f>HYPERLINK("https://klasma.github.io/Logging_2283/klagomål/A 25386-2026 FSC-klagomål.docx", "A 25386-2026")</f>
        <v/>
      </c>
      <c r="W393">
        <f>HYPERLINK("https://klasma.github.io/Logging_2283/klagomålsmail/A 25386-2026 FSC-klagomål mail.docx", "A 25386-2026")</f>
        <v/>
      </c>
      <c r="X393">
        <f>HYPERLINK("https://klasma.github.io/Logging_2283/tillsyn/A 25386-2026 tillsynsbegäran.docx", "A 25386-2026")</f>
        <v/>
      </c>
      <c r="Y393">
        <f>HYPERLINK("https://klasma.github.io/Logging_2283/tillsynsmail/A 25386-2026 tillsynsbegäran mail.docx", "A 25386-2026")</f>
        <v/>
      </c>
    </row>
    <row r="394" ht="15" customHeight="1">
      <c r="A394" t="inlineStr">
        <is>
          <t>A 44632-2024</t>
        </is>
      </c>
      <c r="B394" s="1" t="n">
        <v>45574</v>
      </c>
      <c r="C394" s="1" t="n">
        <v>46199</v>
      </c>
      <c r="D394" t="inlineStr">
        <is>
          <t>VÄSTERNORRLANDS LÄN</t>
        </is>
      </c>
      <c r="E394" t="inlineStr">
        <is>
          <t>SOLLEFTEÅ</t>
        </is>
      </c>
      <c r="F394" t="inlineStr">
        <is>
          <t>SCA</t>
        </is>
      </c>
      <c r="G394" t="n">
        <v>3.1</v>
      </c>
      <c r="H394" t="n">
        <v>0</v>
      </c>
      <c r="I394" t="n">
        <v>1</v>
      </c>
      <c r="J394" t="n">
        <v>0</v>
      </c>
      <c r="K394" t="n">
        <v>0</v>
      </c>
      <c r="L394" t="n">
        <v>0</v>
      </c>
      <c r="M394" t="n">
        <v>0</v>
      </c>
      <c r="N394" t="n">
        <v>0</v>
      </c>
      <c r="O394" t="n">
        <v>0</v>
      </c>
      <c r="P394" t="n">
        <v>0</v>
      </c>
      <c r="Q394" t="n">
        <v>1</v>
      </c>
      <c r="R394" s="2" t="inlineStr">
        <is>
          <t>Vedticka</t>
        </is>
      </c>
      <c r="S394">
        <f>HYPERLINK("https://klasma.github.io/Logging_2283/artfynd/A 44632-2024 artfynd.xlsx", "A 44632-2024")</f>
        <v/>
      </c>
      <c r="T394">
        <f>HYPERLINK("https://klasma.github.io/Logging_2283/kartor/A 44632-2024 karta.png", "A 44632-2024")</f>
        <v/>
      </c>
      <c r="V394">
        <f>HYPERLINK("https://klasma.github.io/Logging_2283/klagomål/A 44632-2024 FSC-klagomål.docx", "A 44632-2024")</f>
        <v/>
      </c>
      <c r="W394">
        <f>HYPERLINK("https://klasma.github.io/Logging_2283/klagomålsmail/A 44632-2024 FSC-klagomål mail.docx", "A 44632-2024")</f>
        <v/>
      </c>
      <c r="X394">
        <f>HYPERLINK("https://klasma.github.io/Logging_2283/tillsyn/A 44632-2024 tillsynsbegäran.docx", "A 44632-2024")</f>
        <v/>
      </c>
      <c r="Y394">
        <f>HYPERLINK("https://klasma.github.io/Logging_2283/tillsynsmail/A 44632-2024 tillsynsbegäran mail.docx", "A 44632-2024")</f>
        <v/>
      </c>
    </row>
    <row r="395" ht="15" customHeight="1">
      <c r="A395" t="inlineStr">
        <is>
          <t>A 22810-2025</t>
        </is>
      </c>
      <c r="B395" s="1" t="n">
        <v>45789</v>
      </c>
      <c r="C395" s="1" t="n">
        <v>46199</v>
      </c>
      <c r="D395" t="inlineStr">
        <is>
          <t>VÄSTERNORRLANDS LÄN</t>
        </is>
      </c>
      <c r="E395" t="inlineStr">
        <is>
          <t>SOLLEFTEÅ</t>
        </is>
      </c>
      <c r="G395" t="n">
        <v>1.8</v>
      </c>
      <c r="H395" t="n">
        <v>0</v>
      </c>
      <c r="I395" t="n">
        <v>0</v>
      </c>
      <c r="J395" t="n">
        <v>1</v>
      </c>
      <c r="K395" t="n">
        <v>0</v>
      </c>
      <c r="L395" t="n">
        <v>0</v>
      </c>
      <c r="M395" t="n">
        <v>0</v>
      </c>
      <c r="N395" t="n">
        <v>0</v>
      </c>
      <c r="O395" t="n">
        <v>1</v>
      </c>
      <c r="P395" t="n">
        <v>0</v>
      </c>
      <c r="Q395" t="n">
        <v>1</v>
      </c>
      <c r="R395" s="2" t="inlineStr">
        <is>
          <t>Ullticka</t>
        </is>
      </c>
      <c r="S395">
        <f>HYPERLINK("https://klasma.github.io/Logging_2283/artfynd/A 22810-2025 artfynd.xlsx", "A 22810-2025")</f>
        <v/>
      </c>
      <c r="T395">
        <f>HYPERLINK("https://klasma.github.io/Logging_2283/kartor/A 22810-2025 karta.png", "A 22810-2025")</f>
        <v/>
      </c>
      <c r="V395">
        <f>HYPERLINK("https://klasma.github.io/Logging_2283/klagomål/A 22810-2025 FSC-klagomål.docx", "A 22810-2025")</f>
        <v/>
      </c>
      <c r="W395">
        <f>HYPERLINK("https://klasma.github.io/Logging_2283/klagomålsmail/A 22810-2025 FSC-klagomål mail.docx", "A 22810-2025")</f>
        <v/>
      </c>
      <c r="X395">
        <f>HYPERLINK("https://klasma.github.io/Logging_2283/tillsyn/A 22810-2025 tillsynsbegäran.docx", "A 22810-2025")</f>
        <v/>
      </c>
      <c r="Y395">
        <f>HYPERLINK("https://klasma.github.io/Logging_2283/tillsynsmail/A 22810-2025 tillsynsbegäran mail.docx", "A 22810-2025")</f>
        <v/>
      </c>
    </row>
    <row r="396" ht="15" customHeight="1">
      <c r="A396" t="inlineStr">
        <is>
          <t>A 2536-2022</t>
        </is>
      </c>
      <c r="B396" s="1" t="n">
        <v>44579</v>
      </c>
      <c r="C396" s="1" t="n">
        <v>46199</v>
      </c>
      <c r="D396" t="inlineStr">
        <is>
          <t>VÄSTERNORRLANDS LÄN</t>
        </is>
      </c>
      <c r="E396" t="inlineStr">
        <is>
          <t>SOLLEFTEÅ</t>
        </is>
      </c>
      <c r="F396" t="inlineStr">
        <is>
          <t>Övriga Aktiebolag</t>
        </is>
      </c>
      <c r="G396" t="n">
        <v>0.8</v>
      </c>
      <c r="H396" t="n">
        <v>0</v>
      </c>
      <c r="I396" t="n">
        <v>0</v>
      </c>
      <c r="J396" t="n">
        <v>0</v>
      </c>
      <c r="K396" t="n">
        <v>0</v>
      </c>
      <c r="L396" t="n">
        <v>0</v>
      </c>
      <c r="M396" t="n">
        <v>0</v>
      </c>
      <c r="N396" t="n">
        <v>0</v>
      </c>
      <c r="O396" t="n">
        <v>0</v>
      </c>
      <c r="P396" t="n">
        <v>0</v>
      </c>
      <c r="Q396" t="n">
        <v>1</v>
      </c>
      <c r="R396" s="2" t="inlineStr">
        <is>
          <t>Linnea</t>
        </is>
      </c>
      <c r="S396">
        <f>HYPERLINK("https://klasma.github.io/Logging_2283/artfynd/A 2536-2022 artfynd.xlsx", "A 2536-2022")</f>
        <v/>
      </c>
      <c r="T396">
        <f>HYPERLINK("https://klasma.github.io/Logging_2283/kartor/A 2536-2022 karta.png", "A 2536-2022")</f>
        <v/>
      </c>
      <c r="V396">
        <f>HYPERLINK("https://klasma.github.io/Logging_2283/klagomål/A 2536-2022 FSC-klagomål.docx", "A 2536-2022")</f>
        <v/>
      </c>
      <c r="W396">
        <f>HYPERLINK("https://klasma.github.io/Logging_2283/klagomålsmail/A 2536-2022 FSC-klagomål mail.docx", "A 2536-2022")</f>
        <v/>
      </c>
      <c r="X396">
        <f>HYPERLINK("https://klasma.github.io/Logging_2283/tillsyn/A 2536-2022 tillsynsbegäran.docx", "A 2536-2022")</f>
        <v/>
      </c>
      <c r="Y396">
        <f>HYPERLINK("https://klasma.github.io/Logging_2283/tillsynsmail/A 2536-2022 tillsynsbegäran mail.docx", "A 2536-2022")</f>
        <v/>
      </c>
    </row>
    <row r="397" ht="15" customHeight="1">
      <c r="A397" t="inlineStr">
        <is>
          <t>A 9124-2022</t>
        </is>
      </c>
      <c r="B397" s="1" t="n">
        <v>44615</v>
      </c>
      <c r="C397" s="1" t="n">
        <v>46199</v>
      </c>
      <c r="D397" t="inlineStr">
        <is>
          <t>VÄSTERNORRLANDS LÄN</t>
        </is>
      </c>
      <c r="E397" t="inlineStr">
        <is>
          <t>SOLLEFTEÅ</t>
        </is>
      </c>
      <c r="G397" t="n">
        <v>20.2</v>
      </c>
      <c r="H397" t="n">
        <v>1</v>
      </c>
      <c r="I397" t="n">
        <v>0</v>
      </c>
      <c r="J397" t="n">
        <v>0</v>
      </c>
      <c r="K397" t="n">
        <v>0</v>
      </c>
      <c r="L397" t="n">
        <v>0</v>
      </c>
      <c r="M397" t="n">
        <v>0</v>
      </c>
      <c r="N397" t="n">
        <v>0</v>
      </c>
      <c r="O397" t="n">
        <v>0</v>
      </c>
      <c r="P397" t="n">
        <v>0</v>
      </c>
      <c r="Q397" t="n">
        <v>1</v>
      </c>
      <c r="R397" s="2" t="inlineStr">
        <is>
          <t>Vanlig padda</t>
        </is>
      </c>
      <c r="S397">
        <f>HYPERLINK("https://klasma.github.io/Logging_2283/artfynd/A 9124-2022 artfynd.xlsx", "A 9124-2022")</f>
        <v/>
      </c>
      <c r="T397">
        <f>HYPERLINK("https://klasma.github.io/Logging_2283/kartor/A 9124-2022 karta.png", "A 9124-2022")</f>
        <v/>
      </c>
      <c r="V397">
        <f>HYPERLINK("https://klasma.github.io/Logging_2283/klagomål/A 9124-2022 FSC-klagomål.docx", "A 9124-2022")</f>
        <v/>
      </c>
      <c r="W397">
        <f>HYPERLINK("https://klasma.github.io/Logging_2283/klagomålsmail/A 9124-2022 FSC-klagomål mail.docx", "A 9124-2022")</f>
        <v/>
      </c>
      <c r="X397">
        <f>HYPERLINK("https://klasma.github.io/Logging_2283/tillsyn/A 9124-2022 tillsynsbegäran.docx", "A 9124-2022")</f>
        <v/>
      </c>
      <c r="Y397">
        <f>HYPERLINK("https://klasma.github.io/Logging_2283/tillsynsmail/A 9124-2022 tillsynsbegäran mail.docx", "A 9124-2022")</f>
        <v/>
      </c>
    </row>
    <row r="398" ht="15" customHeight="1">
      <c r="A398" t="inlineStr">
        <is>
          <t>A 25310-2023</t>
        </is>
      </c>
      <c r="B398" s="1" t="n">
        <v>45086</v>
      </c>
      <c r="C398" s="1" t="n">
        <v>46199</v>
      </c>
      <c r="D398" t="inlineStr">
        <is>
          <t>VÄSTERNORRLANDS LÄN</t>
        </is>
      </c>
      <c r="E398" t="inlineStr">
        <is>
          <t>SOLLEFTEÅ</t>
        </is>
      </c>
      <c r="F398" t="inlineStr">
        <is>
          <t>SCA</t>
        </is>
      </c>
      <c r="G398" t="n">
        <v>1.1</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25310-2023 artfynd.xlsx", "A 25310-2023")</f>
        <v/>
      </c>
      <c r="T398">
        <f>HYPERLINK("https://klasma.github.io/Logging_2283/kartor/A 25310-2023 karta.png", "A 25310-2023")</f>
        <v/>
      </c>
      <c r="V398">
        <f>HYPERLINK("https://klasma.github.io/Logging_2283/klagomål/A 25310-2023 FSC-klagomål.docx", "A 25310-2023")</f>
        <v/>
      </c>
      <c r="W398">
        <f>HYPERLINK("https://klasma.github.io/Logging_2283/klagomålsmail/A 25310-2023 FSC-klagomål mail.docx", "A 25310-2023")</f>
        <v/>
      </c>
      <c r="X398">
        <f>HYPERLINK("https://klasma.github.io/Logging_2283/tillsyn/A 25310-2023 tillsynsbegäran.docx", "A 25310-2023")</f>
        <v/>
      </c>
      <c r="Y398">
        <f>HYPERLINK("https://klasma.github.io/Logging_2283/tillsynsmail/A 25310-2023 tillsynsbegäran mail.docx", "A 25310-2023")</f>
        <v/>
      </c>
      <c r="Z398">
        <f>HYPERLINK("https://klasma.github.io/Logging_2283/fåglar/A 25310-2023 prioriterade fågelarter.docx", "A 25310-2023")</f>
        <v/>
      </c>
    </row>
    <row r="399" ht="15" customHeight="1">
      <c r="A399" t="inlineStr">
        <is>
          <t>A 55722-2025</t>
        </is>
      </c>
      <c r="B399" s="1" t="n">
        <v>45972</v>
      </c>
      <c r="C399" s="1" t="n">
        <v>46199</v>
      </c>
      <c r="D399" t="inlineStr">
        <is>
          <t>VÄSTERNORRLANDS LÄN</t>
        </is>
      </c>
      <c r="E399" t="inlineStr">
        <is>
          <t>SOLLEFTEÅ</t>
        </is>
      </c>
      <c r="F399" t="inlineStr">
        <is>
          <t>SCA</t>
        </is>
      </c>
      <c r="G399" t="n">
        <v>3.3</v>
      </c>
      <c r="H399" t="n">
        <v>0</v>
      </c>
      <c r="I399" t="n">
        <v>0</v>
      </c>
      <c r="J399" t="n">
        <v>1</v>
      </c>
      <c r="K399" t="n">
        <v>0</v>
      </c>
      <c r="L399" t="n">
        <v>0</v>
      </c>
      <c r="M399" t="n">
        <v>0</v>
      </c>
      <c r="N399" t="n">
        <v>0</v>
      </c>
      <c r="O399" t="n">
        <v>1</v>
      </c>
      <c r="P399" t="n">
        <v>0</v>
      </c>
      <c r="Q399" t="n">
        <v>1</v>
      </c>
      <c r="R399" s="2" t="inlineStr">
        <is>
          <t>Violettgrå tagellav</t>
        </is>
      </c>
      <c r="S399">
        <f>HYPERLINK("https://klasma.github.io/Logging_2283/artfynd/A 55722-2025 artfynd.xlsx", "A 55722-2025")</f>
        <v/>
      </c>
      <c r="T399">
        <f>HYPERLINK("https://klasma.github.io/Logging_2283/kartor/A 55722-2025 karta.png", "A 55722-2025")</f>
        <v/>
      </c>
      <c r="V399">
        <f>HYPERLINK("https://klasma.github.io/Logging_2283/klagomål/A 55722-2025 FSC-klagomål.docx", "A 55722-2025")</f>
        <v/>
      </c>
      <c r="W399">
        <f>HYPERLINK("https://klasma.github.io/Logging_2283/klagomålsmail/A 55722-2025 FSC-klagomål mail.docx", "A 55722-2025")</f>
        <v/>
      </c>
      <c r="X399">
        <f>HYPERLINK("https://klasma.github.io/Logging_2283/tillsyn/A 55722-2025 tillsynsbegäran.docx", "A 55722-2025")</f>
        <v/>
      </c>
      <c r="Y399">
        <f>HYPERLINK("https://klasma.github.io/Logging_2283/tillsynsmail/A 55722-2025 tillsynsbegäran mail.docx", "A 55722-2025")</f>
        <v/>
      </c>
    </row>
    <row r="400" ht="15" customHeight="1">
      <c r="A400" t="inlineStr">
        <is>
          <t>A 49366-2024</t>
        </is>
      </c>
      <c r="B400" s="1" t="n">
        <v>45595</v>
      </c>
      <c r="C400" s="1" t="n">
        <v>46199</v>
      </c>
      <c r="D400" t="inlineStr">
        <is>
          <t>VÄSTERNORRLANDS LÄN</t>
        </is>
      </c>
      <c r="E400" t="inlineStr">
        <is>
          <t>SOLLEFTEÅ</t>
        </is>
      </c>
      <c r="F400" t="inlineStr">
        <is>
          <t>SCA</t>
        </is>
      </c>
      <c r="G400" t="n">
        <v>1.6</v>
      </c>
      <c r="H400" t="n">
        <v>1</v>
      </c>
      <c r="I400" t="n">
        <v>0</v>
      </c>
      <c r="J400" t="n">
        <v>0</v>
      </c>
      <c r="K400" t="n">
        <v>1</v>
      </c>
      <c r="L400" t="n">
        <v>0</v>
      </c>
      <c r="M400" t="n">
        <v>0</v>
      </c>
      <c r="N400" t="n">
        <v>0</v>
      </c>
      <c r="O400" t="n">
        <v>1</v>
      </c>
      <c r="P400" t="n">
        <v>1</v>
      </c>
      <c r="Q400" t="n">
        <v>1</v>
      </c>
      <c r="R400" s="2" t="inlineStr">
        <is>
          <t>Knärot</t>
        </is>
      </c>
      <c r="S400">
        <f>HYPERLINK("https://klasma.github.io/Logging_2283/artfynd/A 49366-2024 artfynd.xlsx", "A 49366-2024")</f>
        <v/>
      </c>
      <c r="T400">
        <f>HYPERLINK("https://klasma.github.io/Logging_2283/kartor/A 49366-2024 karta.png", "A 49366-2024")</f>
        <v/>
      </c>
      <c r="U400">
        <f>HYPERLINK("https://klasma.github.io/Logging_2283/knärot/A 49366-2024 karta knärot.png", "A 49366-2024")</f>
        <v/>
      </c>
      <c r="V400">
        <f>HYPERLINK("https://klasma.github.io/Logging_2283/klagomål/A 49366-2024 FSC-klagomål.docx", "A 49366-2024")</f>
        <v/>
      </c>
      <c r="W400">
        <f>HYPERLINK("https://klasma.github.io/Logging_2283/klagomålsmail/A 49366-2024 FSC-klagomål mail.docx", "A 49366-2024")</f>
        <v/>
      </c>
      <c r="X400">
        <f>HYPERLINK("https://klasma.github.io/Logging_2283/tillsyn/A 49366-2024 tillsynsbegäran.docx", "A 49366-2024")</f>
        <v/>
      </c>
      <c r="Y400">
        <f>HYPERLINK("https://klasma.github.io/Logging_2283/tillsynsmail/A 49366-2024 tillsynsbegäran mail.docx", "A 49366-2024")</f>
        <v/>
      </c>
    </row>
    <row r="401" ht="15" customHeight="1">
      <c r="A401" t="inlineStr">
        <is>
          <t>A 25964-2026</t>
        </is>
      </c>
      <c r="B401" s="1" t="n">
        <v>46181</v>
      </c>
      <c r="C401" s="1" t="n">
        <v>46199</v>
      </c>
      <c r="D401" t="inlineStr">
        <is>
          <t>VÄSTERNORRLANDS LÄN</t>
        </is>
      </c>
      <c r="E401" t="inlineStr">
        <is>
          <t>SOLLEFTEÅ</t>
        </is>
      </c>
      <c r="G401" t="n">
        <v>3.2</v>
      </c>
      <c r="H401" t="n">
        <v>1</v>
      </c>
      <c r="I401" t="n">
        <v>0</v>
      </c>
      <c r="J401" t="n">
        <v>0</v>
      </c>
      <c r="K401" t="n">
        <v>0</v>
      </c>
      <c r="L401" t="n">
        <v>0</v>
      </c>
      <c r="M401" t="n">
        <v>0</v>
      </c>
      <c r="N401" t="n">
        <v>0</v>
      </c>
      <c r="O401" t="n">
        <v>0</v>
      </c>
      <c r="P401" t="n">
        <v>0</v>
      </c>
      <c r="Q401" t="n">
        <v>1</v>
      </c>
      <c r="R401" s="2" t="inlineStr">
        <is>
          <t>Grönsiska</t>
        </is>
      </c>
      <c r="S401">
        <f>HYPERLINK("https://klasma.github.io/Logging_2283/artfynd/A 25964-2026 artfynd.xlsx", "A 25964-2026")</f>
        <v/>
      </c>
      <c r="T401">
        <f>HYPERLINK("https://klasma.github.io/Logging_2283/kartor/A 25964-2026 karta.png", "A 25964-2026")</f>
        <v/>
      </c>
      <c r="V401">
        <f>HYPERLINK("https://klasma.github.io/Logging_2283/klagomål/A 25964-2026 FSC-klagomål.docx", "A 25964-2026")</f>
        <v/>
      </c>
      <c r="W401">
        <f>HYPERLINK("https://klasma.github.io/Logging_2283/klagomålsmail/A 25964-2026 FSC-klagomål mail.docx", "A 25964-2026")</f>
        <v/>
      </c>
      <c r="X401">
        <f>HYPERLINK("https://klasma.github.io/Logging_2283/tillsyn/A 25964-2026 tillsynsbegäran.docx", "A 25964-2026")</f>
        <v/>
      </c>
      <c r="Y401">
        <f>HYPERLINK("https://klasma.github.io/Logging_2283/tillsynsmail/A 25964-2026 tillsynsbegäran mail.docx", "A 25964-2026")</f>
        <v/>
      </c>
    </row>
    <row r="402" ht="15" customHeight="1">
      <c r="A402" t="inlineStr">
        <is>
          <t>A 53039-2023</t>
        </is>
      </c>
      <c r="B402" s="1" t="n">
        <v>45226</v>
      </c>
      <c r="C402" s="1" t="n">
        <v>46199</v>
      </c>
      <c r="D402" t="inlineStr">
        <is>
          <t>VÄSTERNORRLANDS LÄN</t>
        </is>
      </c>
      <c r="E402" t="inlineStr">
        <is>
          <t>SOLLEFTEÅ</t>
        </is>
      </c>
      <c r="F402" t="inlineStr">
        <is>
          <t>SCA</t>
        </is>
      </c>
      <c r="G402" t="n">
        <v>1.8</v>
      </c>
      <c r="H402" t="n">
        <v>1</v>
      </c>
      <c r="I402" t="n">
        <v>0</v>
      </c>
      <c r="J402" t="n">
        <v>1</v>
      </c>
      <c r="K402" t="n">
        <v>0</v>
      </c>
      <c r="L402" t="n">
        <v>0</v>
      </c>
      <c r="M402" t="n">
        <v>0</v>
      </c>
      <c r="N402" t="n">
        <v>0</v>
      </c>
      <c r="O402" t="n">
        <v>1</v>
      </c>
      <c r="P402" t="n">
        <v>0</v>
      </c>
      <c r="Q402" t="n">
        <v>1</v>
      </c>
      <c r="R402" s="2" t="inlineStr">
        <is>
          <t>Nordfladdermus</t>
        </is>
      </c>
      <c r="S402">
        <f>HYPERLINK("https://klasma.github.io/Logging_2283/artfynd/A 53039-2023 artfynd.xlsx", "A 53039-2023")</f>
        <v/>
      </c>
      <c r="T402">
        <f>HYPERLINK("https://klasma.github.io/Logging_2283/kartor/A 53039-2023 karta.png", "A 53039-2023")</f>
        <v/>
      </c>
      <c r="V402">
        <f>HYPERLINK("https://klasma.github.io/Logging_2283/klagomål/A 53039-2023 FSC-klagomål.docx", "A 53039-2023")</f>
        <v/>
      </c>
      <c r="W402">
        <f>HYPERLINK("https://klasma.github.io/Logging_2283/klagomålsmail/A 53039-2023 FSC-klagomål mail.docx", "A 53039-2023")</f>
        <v/>
      </c>
      <c r="X402">
        <f>HYPERLINK("https://klasma.github.io/Logging_2283/tillsyn/A 53039-2023 tillsynsbegäran.docx", "A 53039-2023")</f>
        <v/>
      </c>
      <c r="Y402">
        <f>HYPERLINK("https://klasma.github.io/Logging_2283/tillsynsmail/A 53039-2023 tillsynsbegäran mail.docx", "A 53039-2023")</f>
        <v/>
      </c>
    </row>
    <row r="403" ht="15" customHeight="1">
      <c r="A403" t="inlineStr">
        <is>
          <t>A 8039-2024</t>
        </is>
      </c>
      <c r="B403" s="1" t="n">
        <v>45350</v>
      </c>
      <c r="C403" s="1" t="n">
        <v>46199</v>
      </c>
      <c r="D403" t="inlineStr">
        <is>
          <t>VÄSTERNORRLANDS LÄN</t>
        </is>
      </c>
      <c r="E403" t="inlineStr">
        <is>
          <t>SOLLEFTEÅ</t>
        </is>
      </c>
      <c r="F403" t="inlineStr">
        <is>
          <t>SCA</t>
        </is>
      </c>
      <c r="G403" t="n">
        <v>1.6</v>
      </c>
      <c r="H403" t="n">
        <v>0</v>
      </c>
      <c r="I403" t="n">
        <v>0</v>
      </c>
      <c r="J403" t="n">
        <v>1</v>
      </c>
      <c r="K403" t="n">
        <v>0</v>
      </c>
      <c r="L403" t="n">
        <v>0</v>
      </c>
      <c r="M403" t="n">
        <v>0</v>
      </c>
      <c r="N403" t="n">
        <v>0</v>
      </c>
      <c r="O403" t="n">
        <v>1</v>
      </c>
      <c r="P403" t="n">
        <v>0</v>
      </c>
      <c r="Q403" t="n">
        <v>1</v>
      </c>
      <c r="R403" s="2" t="inlineStr">
        <is>
          <t>Vitgrynig nållav</t>
        </is>
      </c>
      <c r="S403">
        <f>HYPERLINK("https://klasma.github.io/Logging_2283/artfynd/A 8039-2024 artfynd.xlsx", "A 8039-2024")</f>
        <v/>
      </c>
      <c r="T403">
        <f>HYPERLINK("https://klasma.github.io/Logging_2283/kartor/A 8039-2024 karta.png", "A 8039-2024")</f>
        <v/>
      </c>
      <c r="V403">
        <f>HYPERLINK("https://klasma.github.io/Logging_2283/klagomål/A 8039-2024 FSC-klagomål.docx", "A 8039-2024")</f>
        <v/>
      </c>
      <c r="W403">
        <f>HYPERLINK("https://klasma.github.io/Logging_2283/klagomålsmail/A 8039-2024 FSC-klagomål mail.docx", "A 8039-2024")</f>
        <v/>
      </c>
      <c r="X403">
        <f>HYPERLINK("https://klasma.github.io/Logging_2283/tillsyn/A 8039-2024 tillsynsbegäran.docx", "A 8039-2024")</f>
        <v/>
      </c>
      <c r="Y403">
        <f>HYPERLINK("https://klasma.github.io/Logging_2283/tillsynsmail/A 8039-2024 tillsynsbegäran mail.docx", "A 8039-2024")</f>
        <v/>
      </c>
    </row>
    <row r="404" ht="15" customHeight="1">
      <c r="A404" t="inlineStr">
        <is>
          <t>A 8653-2024</t>
        </is>
      </c>
      <c r="B404" s="1" t="n">
        <v>45356</v>
      </c>
      <c r="C404" s="1" t="n">
        <v>46199</v>
      </c>
      <c r="D404" t="inlineStr">
        <is>
          <t>VÄSTERNORRLANDS LÄN</t>
        </is>
      </c>
      <c r="E404" t="inlineStr">
        <is>
          <t>SOLLEFTEÅ</t>
        </is>
      </c>
      <c r="F404" t="inlineStr">
        <is>
          <t>SCA</t>
        </is>
      </c>
      <c r="G404" t="n">
        <v>67.8</v>
      </c>
      <c r="H404" t="n">
        <v>0</v>
      </c>
      <c r="I404" t="n">
        <v>1</v>
      </c>
      <c r="J404" t="n">
        <v>0</v>
      </c>
      <c r="K404" t="n">
        <v>0</v>
      </c>
      <c r="L404" t="n">
        <v>0</v>
      </c>
      <c r="M404" t="n">
        <v>0</v>
      </c>
      <c r="N404" t="n">
        <v>0</v>
      </c>
      <c r="O404" t="n">
        <v>0</v>
      </c>
      <c r="P404" t="n">
        <v>0</v>
      </c>
      <c r="Q404" t="n">
        <v>1</v>
      </c>
      <c r="R404" s="2" t="inlineStr">
        <is>
          <t>Mörk husmossa</t>
        </is>
      </c>
      <c r="S404">
        <f>HYPERLINK("https://klasma.github.io/Logging_2283/artfynd/A 8653-2024 artfynd.xlsx", "A 8653-2024")</f>
        <v/>
      </c>
      <c r="T404">
        <f>HYPERLINK("https://klasma.github.io/Logging_2283/kartor/A 8653-2024 karta.png", "A 8653-2024")</f>
        <v/>
      </c>
      <c r="V404">
        <f>HYPERLINK("https://klasma.github.io/Logging_2283/klagomål/A 8653-2024 FSC-klagomål.docx", "A 8653-2024")</f>
        <v/>
      </c>
      <c r="W404">
        <f>HYPERLINK("https://klasma.github.io/Logging_2283/klagomålsmail/A 8653-2024 FSC-klagomål mail.docx", "A 8653-2024")</f>
        <v/>
      </c>
      <c r="X404">
        <f>HYPERLINK("https://klasma.github.io/Logging_2283/tillsyn/A 8653-2024 tillsynsbegäran.docx", "A 8653-2024")</f>
        <v/>
      </c>
      <c r="Y404">
        <f>HYPERLINK("https://klasma.github.io/Logging_2283/tillsynsmail/A 8653-2024 tillsynsbegäran mail.docx", "A 8653-2024")</f>
        <v/>
      </c>
    </row>
    <row r="405" ht="15" customHeight="1">
      <c r="A405" t="inlineStr">
        <is>
          <t>A 26731-2026</t>
        </is>
      </c>
      <c r="B405" s="1" t="n">
        <v>46184</v>
      </c>
      <c r="C405" s="1" t="n">
        <v>46199</v>
      </c>
      <c r="D405" t="inlineStr">
        <is>
          <t>VÄSTERNORRLANDS LÄN</t>
        </is>
      </c>
      <c r="E405" t="inlineStr">
        <is>
          <t>SOLLEFTEÅ</t>
        </is>
      </c>
      <c r="F405" t="inlineStr">
        <is>
          <t>SCA</t>
        </is>
      </c>
      <c r="G405" t="n">
        <v>1.8</v>
      </c>
      <c r="H405" t="n">
        <v>1</v>
      </c>
      <c r="I405" t="n">
        <v>0</v>
      </c>
      <c r="J405" t="n">
        <v>0</v>
      </c>
      <c r="K405" t="n">
        <v>1</v>
      </c>
      <c r="L405" t="n">
        <v>0</v>
      </c>
      <c r="M405" t="n">
        <v>0</v>
      </c>
      <c r="N405" t="n">
        <v>0</v>
      </c>
      <c r="O405" t="n">
        <v>1</v>
      </c>
      <c r="P405" t="n">
        <v>1</v>
      </c>
      <c r="Q405" t="n">
        <v>1</v>
      </c>
      <c r="R405" s="2" t="inlineStr">
        <is>
          <t>Knärot</t>
        </is>
      </c>
      <c r="S405">
        <f>HYPERLINK("https://klasma.github.io/Logging_2283/artfynd/A 26731-2026 artfynd.xlsx", "A 26731-2026")</f>
        <v/>
      </c>
      <c r="T405">
        <f>HYPERLINK("https://klasma.github.io/Logging_2283/kartor/A 26731-2026 karta.png", "A 26731-2026")</f>
        <v/>
      </c>
      <c r="U405">
        <f>HYPERLINK("https://klasma.github.io/Logging_2283/knärot/A 26731-2026 karta knärot.png", "A 26731-2026")</f>
        <v/>
      </c>
      <c r="V405">
        <f>HYPERLINK("https://klasma.github.io/Logging_2283/klagomål/A 26731-2026 FSC-klagomål.docx", "A 26731-2026")</f>
        <v/>
      </c>
      <c r="W405">
        <f>HYPERLINK("https://klasma.github.io/Logging_2283/klagomålsmail/A 26731-2026 FSC-klagomål mail.docx", "A 26731-2026")</f>
        <v/>
      </c>
      <c r="X405">
        <f>HYPERLINK("https://klasma.github.io/Logging_2283/tillsyn/A 26731-2026 tillsynsbegäran.docx", "A 26731-2026")</f>
        <v/>
      </c>
      <c r="Y405">
        <f>HYPERLINK("https://klasma.github.io/Logging_2283/tillsynsmail/A 26731-2026 tillsynsbegäran mail.docx", "A 26731-2026")</f>
        <v/>
      </c>
    </row>
    <row r="406" ht="15" customHeight="1">
      <c r="A406" t="inlineStr">
        <is>
          <t>A 21962-2025</t>
        </is>
      </c>
      <c r="B406" s="1" t="n">
        <v>45784</v>
      </c>
      <c r="C406" s="1" t="n">
        <v>46199</v>
      </c>
      <c r="D406" t="inlineStr">
        <is>
          <t>VÄSTERNORRLANDS LÄN</t>
        </is>
      </c>
      <c r="E406" t="inlineStr">
        <is>
          <t>SOLLEFTEÅ</t>
        </is>
      </c>
      <c r="F406" t="inlineStr">
        <is>
          <t>SCA</t>
        </is>
      </c>
      <c r="G406" t="n">
        <v>22.5</v>
      </c>
      <c r="H406" t="n">
        <v>1</v>
      </c>
      <c r="I406" t="n">
        <v>0</v>
      </c>
      <c r="J406" t="n">
        <v>0</v>
      </c>
      <c r="K406" t="n">
        <v>0</v>
      </c>
      <c r="L406" t="n">
        <v>0</v>
      </c>
      <c r="M406" t="n">
        <v>0</v>
      </c>
      <c r="N406" t="n">
        <v>0</v>
      </c>
      <c r="O406" t="n">
        <v>0</v>
      </c>
      <c r="P406" t="n">
        <v>0</v>
      </c>
      <c r="Q406" t="n">
        <v>1</v>
      </c>
      <c r="R406" s="2" t="inlineStr">
        <is>
          <t>Järpe</t>
        </is>
      </c>
      <c r="S406">
        <f>HYPERLINK("https://klasma.github.io/Logging_2283/artfynd/A 21962-2025 artfynd.xlsx", "A 21962-2025")</f>
        <v/>
      </c>
      <c r="T406">
        <f>HYPERLINK("https://klasma.github.io/Logging_2283/kartor/A 21962-2025 karta.png", "A 21962-2025")</f>
        <v/>
      </c>
      <c r="V406">
        <f>HYPERLINK("https://klasma.github.io/Logging_2283/klagomål/A 21962-2025 FSC-klagomål.docx", "A 21962-2025")</f>
        <v/>
      </c>
      <c r="W406">
        <f>HYPERLINK("https://klasma.github.io/Logging_2283/klagomålsmail/A 21962-2025 FSC-klagomål mail.docx", "A 21962-2025")</f>
        <v/>
      </c>
      <c r="X406">
        <f>HYPERLINK("https://klasma.github.io/Logging_2283/tillsyn/A 21962-2025 tillsynsbegäran.docx", "A 21962-2025")</f>
        <v/>
      </c>
      <c r="Y406">
        <f>HYPERLINK("https://klasma.github.io/Logging_2283/tillsynsmail/A 21962-2025 tillsynsbegäran mail.docx", "A 21962-2025")</f>
        <v/>
      </c>
      <c r="Z406">
        <f>HYPERLINK("https://klasma.github.io/Logging_2283/fåglar/A 21962-2025 prioriterade fågelarter.docx", "A 21962-2025")</f>
        <v/>
      </c>
    </row>
    <row r="407" ht="15" customHeight="1">
      <c r="A407" t="inlineStr">
        <is>
          <t>A 22471-2024</t>
        </is>
      </c>
      <c r="B407" s="1" t="n">
        <v>45446</v>
      </c>
      <c r="C407" s="1" t="n">
        <v>46199</v>
      </c>
      <c r="D407" t="inlineStr">
        <is>
          <t>VÄSTERNORRLANDS LÄN</t>
        </is>
      </c>
      <c r="E407" t="inlineStr">
        <is>
          <t>SOLLEFTEÅ</t>
        </is>
      </c>
      <c r="G407" t="n">
        <v>2.7</v>
      </c>
      <c r="H407" t="n">
        <v>0</v>
      </c>
      <c r="I407" t="n">
        <v>0</v>
      </c>
      <c r="J407" t="n">
        <v>1</v>
      </c>
      <c r="K407" t="n">
        <v>0</v>
      </c>
      <c r="L407" t="n">
        <v>0</v>
      </c>
      <c r="M407" t="n">
        <v>0</v>
      </c>
      <c r="N407" t="n">
        <v>0</v>
      </c>
      <c r="O407" t="n">
        <v>1</v>
      </c>
      <c r="P407" t="n">
        <v>0</v>
      </c>
      <c r="Q407" t="n">
        <v>1</v>
      </c>
      <c r="R407" s="2" t="inlineStr">
        <is>
          <t>Ullticka</t>
        </is>
      </c>
      <c r="S407">
        <f>HYPERLINK("https://klasma.github.io/Logging_2283/artfynd/A 22471-2024 artfynd.xlsx", "A 22471-2024")</f>
        <v/>
      </c>
      <c r="T407">
        <f>HYPERLINK("https://klasma.github.io/Logging_2283/kartor/A 22471-2024 karta.png", "A 22471-2024")</f>
        <v/>
      </c>
      <c r="V407">
        <f>HYPERLINK("https://klasma.github.io/Logging_2283/klagomål/A 22471-2024 FSC-klagomål.docx", "A 22471-2024")</f>
        <v/>
      </c>
      <c r="W407">
        <f>HYPERLINK("https://klasma.github.io/Logging_2283/klagomålsmail/A 22471-2024 FSC-klagomål mail.docx", "A 22471-2024")</f>
        <v/>
      </c>
      <c r="X407">
        <f>HYPERLINK("https://klasma.github.io/Logging_2283/tillsyn/A 22471-2024 tillsynsbegäran.docx", "A 22471-2024")</f>
        <v/>
      </c>
      <c r="Y407">
        <f>HYPERLINK("https://klasma.github.io/Logging_2283/tillsynsmail/A 22471-2024 tillsynsbegäran mail.docx", "A 22471-2024")</f>
        <v/>
      </c>
    </row>
    <row r="408" ht="15" customHeight="1">
      <c r="A408" t="inlineStr">
        <is>
          <t>A 27589-2026</t>
        </is>
      </c>
      <c r="B408" s="1" t="n">
        <v>46190</v>
      </c>
      <c r="C408" s="1" t="n">
        <v>46199</v>
      </c>
      <c r="D408" t="inlineStr">
        <is>
          <t>VÄSTERNORRLANDS LÄN</t>
        </is>
      </c>
      <c r="E408" t="inlineStr">
        <is>
          <t>SOLLEFTEÅ</t>
        </is>
      </c>
      <c r="F408" t="inlineStr">
        <is>
          <t>SCA</t>
        </is>
      </c>
      <c r="G408" t="n">
        <v>6.6</v>
      </c>
      <c r="H408" t="n">
        <v>0</v>
      </c>
      <c r="I408" t="n">
        <v>0</v>
      </c>
      <c r="J408" t="n">
        <v>1</v>
      </c>
      <c r="K408" t="n">
        <v>0</v>
      </c>
      <c r="L408" t="n">
        <v>0</v>
      </c>
      <c r="M408" t="n">
        <v>0</v>
      </c>
      <c r="N408" t="n">
        <v>0</v>
      </c>
      <c r="O408" t="n">
        <v>1</v>
      </c>
      <c r="P408" t="n">
        <v>0</v>
      </c>
      <c r="Q408" t="n">
        <v>1</v>
      </c>
      <c r="R408" s="2" t="inlineStr">
        <is>
          <t>Harticka</t>
        </is>
      </c>
      <c r="S408">
        <f>HYPERLINK("https://klasma.github.io/Logging_2283/artfynd/A 27589-2026 artfynd.xlsx", "A 27589-2026")</f>
        <v/>
      </c>
      <c r="T408">
        <f>HYPERLINK("https://klasma.github.io/Logging_2283/kartor/A 27589-2026 karta.png", "A 27589-2026")</f>
        <v/>
      </c>
      <c r="V408">
        <f>HYPERLINK("https://klasma.github.io/Logging_2283/klagomål/A 27589-2026 FSC-klagomål.docx", "A 27589-2026")</f>
        <v/>
      </c>
      <c r="W408">
        <f>HYPERLINK("https://klasma.github.io/Logging_2283/klagomålsmail/A 27589-2026 FSC-klagomål mail.docx", "A 27589-2026")</f>
        <v/>
      </c>
      <c r="X408">
        <f>HYPERLINK("https://klasma.github.io/Logging_2283/tillsyn/A 27589-2026 tillsynsbegäran.docx", "A 27589-2026")</f>
        <v/>
      </c>
      <c r="Y408">
        <f>HYPERLINK("https://klasma.github.io/Logging_2283/tillsynsmail/A 27589-2026 tillsynsbegäran mail.docx", "A 27589-2026")</f>
        <v/>
      </c>
    </row>
    <row r="409" ht="15" customHeight="1">
      <c r="A409" t="inlineStr">
        <is>
          <t>A 57922-2024</t>
        </is>
      </c>
      <c r="B409" s="1" t="n">
        <v>45631</v>
      </c>
      <c r="C409" s="1" t="n">
        <v>46199</v>
      </c>
      <c r="D409" t="inlineStr">
        <is>
          <t>VÄSTERNORRLANDS LÄN</t>
        </is>
      </c>
      <c r="E409" t="inlineStr">
        <is>
          <t>SOLLEFTEÅ</t>
        </is>
      </c>
      <c r="F409" t="inlineStr">
        <is>
          <t>SCA</t>
        </is>
      </c>
      <c r="G409" t="n">
        <v>4.1</v>
      </c>
      <c r="H409" t="n">
        <v>0</v>
      </c>
      <c r="I409" t="n">
        <v>0</v>
      </c>
      <c r="J409" t="n">
        <v>1</v>
      </c>
      <c r="K409" t="n">
        <v>0</v>
      </c>
      <c r="L409" t="n">
        <v>0</v>
      </c>
      <c r="M409" t="n">
        <v>0</v>
      </c>
      <c r="N409" t="n">
        <v>0</v>
      </c>
      <c r="O409" t="n">
        <v>1</v>
      </c>
      <c r="P409" t="n">
        <v>0</v>
      </c>
      <c r="Q409" t="n">
        <v>1</v>
      </c>
      <c r="R409" s="2" t="inlineStr">
        <is>
          <t>Vedtrappmossa</t>
        </is>
      </c>
      <c r="S409">
        <f>HYPERLINK("https://klasma.github.io/Logging_2283/artfynd/A 57922-2024 artfynd.xlsx", "A 57922-2024")</f>
        <v/>
      </c>
      <c r="T409">
        <f>HYPERLINK("https://klasma.github.io/Logging_2283/kartor/A 57922-2024 karta.png", "A 57922-2024")</f>
        <v/>
      </c>
      <c r="V409">
        <f>HYPERLINK("https://klasma.github.io/Logging_2283/klagomål/A 57922-2024 FSC-klagomål.docx", "A 57922-2024")</f>
        <v/>
      </c>
      <c r="W409">
        <f>HYPERLINK("https://klasma.github.io/Logging_2283/klagomålsmail/A 57922-2024 FSC-klagomål mail.docx", "A 57922-2024")</f>
        <v/>
      </c>
      <c r="X409">
        <f>HYPERLINK("https://klasma.github.io/Logging_2283/tillsyn/A 57922-2024 tillsynsbegäran.docx", "A 57922-2024")</f>
        <v/>
      </c>
      <c r="Y409">
        <f>HYPERLINK("https://klasma.github.io/Logging_2283/tillsynsmail/A 57922-2024 tillsynsbegäran mail.docx", "A 57922-2024")</f>
        <v/>
      </c>
    </row>
    <row r="410" ht="15" customHeight="1">
      <c r="A410" t="inlineStr">
        <is>
          <t>A 35261-2025</t>
        </is>
      </c>
      <c r="B410" s="1" t="n">
        <v>45853</v>
      </c>
      <c r="C410" s="1" t="n">
        <v>46199</v>
      </c>
      <c r="D410" t="inlineStr">
        <is>
          <t>VÄSTERNORRLANDS LÄN</t>
        </is>
      </c>
      <c r="E410" t="inlineStr">
        <is>
          <t>SOLLEFTEÅ</t>
        </is>
      </c>
      <c r="G410" t="n">
        <v>4.6</v>
      </c>
      <c r="H410" t="n">
        <v>1</v>
      </c>
      <c r="I410" t="n">
        <v>0</v>
      </c>
      <c r="J410" t="n">
        <v>0</v>
      </c>
      <c r="K410" t="n">
        <v>1</v>
      </c>
      <c r="L410" t="n">
        <v>0</v>
      </c>
      <c r="M410" t="n">
        <v>0</v>
      </c>
      <c r="N410" t="n">
        <v>0</v>
      </c>
      <c r="O410" t="n">
        <v>1</v>
      </c>
      <c r="P410" t="n">
        <v>1</v>
      </c>
      <c r="Q410" t="n">
        <v>1</v>
      </c>
      <c r="R410" s="2" t="inlineStr">
        <is>
          <t>Violett guldvinge</t>
        </is>
      </c>
      <c r="S410">
        <f>HYPERLINK("https://klasma.github.io/Logging_2283/artfynd/A 35261-2025 artfynd.xlsx", "A 35261-2025")</f>
        <v/>
      </c>
      <c r="T410">
        <f>HYPERLINK("https://klasma.github.io/Logging_2283/kartor/A 35261-2025 karta.png", "A 35261-2025")</f>
        <v/>
      </c>
      <c r="V410">
        <f>HYPERLINK("https://klasma.github.io/Logging_2283/klagomål/A 35261-2025 FSC-klagomål.docx", "A 35261-2025")</f>
        <v/>
      </c>
      <c r="W410">
        <f>HYPERLINK("https://klasma.github.io/Logging_2283/klagomålsmail/A 35261-2025 FSC-klagomål mail.docx", "A 35261-2025")</f>
        <v/>
      </c>
      <c r="X410">
        <f>HYPERLINK("https://klasma.github.io/Logging_2283/tillsyn/A 35261-2025 tillsynsbegäran.docx", "A 35261-2025")</f>
        <v/>
      </c>
      <c r="Y410">
        <f>HYPERLINK("https://klasma.github.io/Logging_2283/tillsynsmail/A 35261-2025 tillsynsbegäran mail.docx", "A 35261-2025")</f>
        <v/>
      </c>
    </row>
    <row r="411" ht="15" customHeight="1">
      <c r="A411" t="inlineStr">
        <is>
          <t>A 21708-2022</t>
        </is>
      </c>
      <c r="B411" s="1" t="n">
        <v>44707</v>
      </c>
      <c r="C411" s="1" t="n">
        <v>46199</v>
      </c>
      <c r="D411" t="inlineStr">
        <is>
          <t>VÄSTERNORRLANDS LÄN</t>
        </is>
      </c>
      <c r="E411" t="inlineStr">
        <is>
          <t>SOLLEFTEÅ</t>
        </is>
      </c>
      <c r="F411" t="inlineStr">
        <is>
          <t>SCA</t>
        </is>
      </c>
      <c r="G411" t="n">
        <v>2.6</v>
      </c>
      <c r="H411" t="n">
        <v>0</v>
      </c>
      <c r="I411" t="n">
        <v>0</v>
      </c>
      <c r="J411" t="n">
        <v>1</v>
      </c>
      <c r="K411" t="n">
        <v>0</v>
      </c>
      <c r="L411" t="n">
        <v>0</v>
      </c>
      <c r="M411" t="n">
        <v>0</v>
      </c>
      <c r="N411" t="n">
        <v>0</v>
      </c>
      <c r="O411" t="n">
        <v>1</v>
      </c>
      <c r="P411" t="n">
        <v>0</v>
      </c>
      <c r="Q411" t="n">
        <v>1</v>
      </c>
      <c r="R411" s="2" t="inlineStr">
        <is>
          <t>Lunglav</t>
        </is>
      </c>
      <c r="S411">
        <f>HYPERLINK("https://klasma.github.io/Logging_2283/artfynd/A 21708-2022 artfynd.xlsx", "A 21708-2022")</f>
        <v/>
      </c>
      <c r="T411">
        <f>HYPERLINK("https://klasma.github.io/Logging_2283/kartor/A 21708-2022 karta.png", "A 21708-2022")</f>
        <v/>
      </c>
      <c r="V411">
        <f>HYPERLINK("https://klasma.github.io/Logging_2283/klagomål/A 21708-2022 FSC-klagomål.docx", "A 21708-2022")</f>
        <v/>
      </c>
      <c r="W411">
        <f>HYPERLINK("https://klasma.github.io/Logging_2283/klagomålsmail/A 21708-2022 FSC-klagomål mail.docx", "A 21708-2022")</f>
        <v/>
      </c>
      <c r="X411">
        <f>HYPERLINK("https://klasma.github.io/Logging_2283/tillsyn/A 21708-2022 tillsynsbegäran.docx", "A 21708-2022")</f>
        <v/>
      </c>
      <c r="Y411">
        <f>HYPERLINK("https://klasma.github.io/Logging_2283/tillsynsmail/A 21708-2022 tillsynsbegäran mail.docx", "A 21708-2022")</f>
        <v/>
      </c>
    </row>
    <row r="412" ht="15" customHeight="1">
      <c r="A412" t="inlineStr">
        <is>
          <t>A 18697-2025</t>
        </is>
      </c>
      <c r="B412" s="1" t="n">
        <v>45763</v>
      </c>
      <c r="C412" s="1" t="n">
        <v>46199</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Kolflarnlav</t>
        </is>
      </c>
      <c r="S412">
        <f>HYPERLINK("https://klasma.github.io/Logging_2283/artfynd/A 18697-2025 artfynd.xlsx", "A 18697-2025")</f>
        <v/>
      </c>
      <c r="T412">
        <f>HYPERLINK("https://klasma.github.io/Logging_2283/kartor/A 18697-2025 karta.png", "A 18697-2025")</f>
        <v/>
      </c>
      <c r="V412">
        <f>HYPERLINK("https://klasma.github.io/Logging_2283/klagomål/A 18697-2025 FSC-klagomål.docx", "A 18697-2025")</f>
        <v/>
      </c>
      <c r="W412">
        <f>HYPERLINK("https://klasma.github.io/Logging_2283/klagomålsmail/A 18697-2025 FSC-klagomål mail.docx", "A 18697-2025")</f>
        <v/>
      </c>
      <c r="X412">
        <f>HYPERLINK("https://klasma.github.io/Logging_2283/tillsyn/A 18697-2025 tillsynsbegäran.docx", "A 18697-2025")</f>
        <v/>
      </c>
      <c r="Y412">
        <f>HYPERLINK("https://klasma.github.io/Logging_2283/tillsynsmail/A 18697-2025 tillsynsbegäran mail.docx", "A 18697-2025")</f>
        <v/>
      </c>
    </row>
    <row r="413" ht="15" customHeight="1">
      <c r="A413" t="inlineStr">
        <is>
          <t>A 10853-2026</t>
        </is>
      </c>
      <c r="B413" s="1" t="n">
        <v>46078</v>
      </c>
      <c r="C413" s="1" t="n">
        <v>46199</v>
      </c>
      <c r="D413" t="inlineStr">
        <is>
          <t>VÄSTERNORRLANDS LÄN</t>
        </is>
      </c>
      <c r="E413" t="inlineStr">
        <is>
          <t>SOLLEFTEÅ</t>
        </is>
      </c>
      <c r="F413" t="inlineStr">
        <is>
          <t>SCA</t>
        </is>
      </c>
      <c r="G413" t="n">
        <v>1.8</v>
      </c>
      <c r="H413" t="n">
        <v>1</v>
      </c>
      <c r="I413" t="n">
        <v>0</v>
      </c>
      <c r="J413" t="n">
        <v>0</v>
      </c>
      <c r="K413" t="n">
        <v>1</v>
      </c>
      <c r="L413" t="n">
        <v>0</v>
      </c>
      <c r="M413" t="n">
        <v>0</v>
      </c>
      <c r="N413" t="n">
        <v>0</v>
      </c>
      <c r="O413" t="n">
        <v>1</v>
      </c>
      <c r="P413" t="n">
        <v>1</v>
      </c>
      <c r="Q413" t="n">
        <v>1</v>
      </c>
      <c r="R413" s="2" t="inlineStr">
        <is>
          <t>Knärot</t>
        </is>
      </c>
      <c r="S413">
        <f>HYPERLINK("https://klasma.github.io/Logging_2283/artfynd/A 10853-2026 artfynd.xlsx", "A 10853-2026")</f>
        <v/>
      </c>
      <c r="T413">
        <f>HYPERLINK("https://klasma.github.io/Logging_2283/kartor/A 10853-2026 karta.png", "A 10853-2026")</f>
        <v/>
      </c>
      <c r="U413">
        <f>HYPERLINK("https://klasma.github.io/Logging_2283/knärot/A 10853-2026 karta knärot.png", "A 10853-2026")</f>
        <v/>
      </c>
      <c r="V413">
        <f>HYPERLINK("https://klasma.github.io/Logging_2283/klagomål/A 10853-2026 FSC-klagomål.docx", "A 10853-2026")</f>
        <v/>
      </c>
      <c r="W413">
        <f>HYPERLINK("https://klasma.github.io/Logging_2283/klagomålsmail/A 10853-2026 FSC-klagomål mail.docx", "A 10853-2026")</f>
        <v/>
      </c>
      <c r="X413">
        <f>HYPERLINK("https://klasma.github.io/Logging_2283/tillsyn/A 10853-2026 tillsynsbegäran.docx", "A 10853-2026")</f>
        <v/>
      </c>
      <c r="Y413">
        <f>HYPERLINK("https://klasma.github.io/Logging_2283/tillsynsmail/A 10853-2026 tillsynsbegäran mail.docx", "A 10853-2026")</f>
        <v/>
      </c>
    </row>
    <row r="414" ht="15" customHeight="1">
      <c r="A414" t="inlineStr">
        <is>
          <t>A 22372-2026</t>
        </is>
      </c>
      <c r="B414" s="1" t="n">
        <v>46154</v>
      </c>
      <c r="C414" s="1" t="n">
        <v>46199</v>
      </c>
      <c r="D414" t="inlineStr">
        <is>
          <t>VÄSTERNORRLANDS LÄN</t>
        </is>
      </c>
      <c r="E414" t="inlineStr">
        <is>
          <t>SOLLEFTEÅ</t>
        </is>
      </c>
      <c r="F414" t="inlineStr">
        <is>
          <t>SCA</t>
        </is>
      </c>
      <c r="G414" t="n">
        <v>2.6</v>
      </c>
      <c r="H414" t="n">
        <v>1</v>
      </c>
      <c r="I414" t="n">
        <v>0</v>
      </c>
      <c r="J414" t="n">
        <v>0</v>
      </c>
      <c r="K414" t="n">
        <v>0</v>
      </c>
      <c r="L414" t="n">
        <v>0</v>
      </c>
      <c r="M414" t="n">
        <v>0</v>
      </c>
      <c r="N414" t="n">
        <v>0</v>
      </c>
      <c r="O414" t="n">
        <v>0</v>
      </c>
      <c r="P414" t="n">
        <v>0</v>
      </c>
      <c r="Q414" t="n">
        <v>1</v>
      </c>
      <c r="R414" s="2" t="inlineStr">
        <is>
          <t>Fläcknycklar</t>
        </is>
      </c>
      <c r="S414">
        <f>HYPERLINK("https://klasma.github.io/Logging_2283/artfynd/A 22372-2026 artfynd.xlsx", "A 22372-2026")</f>
        <v/>
      </c>
      <c r="T414">
        <f>HYPERLINK("https://klasma.github.io/Logging_2283/kartor/A 22372-2026 karta.png", "A 22372-2026")</f>
        <v/>
      </c>
      <c r="V414">
        <f>HYPERLINK("https://klasma.github.io/Logging_2283/klagomål/A 22372-2026 FSC-klagomål.docx", "A 22372-2026")</f>
        <v/>
      </c>
      <c r="W414">
        <f>HYPERLINK("https://klasma.github.io/Logging_2283/klagomålsmail/A 22372-2026 FSC-klagomål mail.docx", "A 22372-2026")</f>
        <v/>
      </c>
      <c r="X414">
        <f>HYPERLINK("https://klasma.github.io/Logging_2283/tillsyn/A 22372-2026 tillsynsbegäran.docx", "A 22372-2026")</f>
        <v/>
      </c>
      <c r="Y414">
        <f>HYPERLINK("https://klasma.github.io/Logging_2283/tillsynsmail/A 22372-2026 tillsynsbegäran mail.docx", "A 22372-2026")</f>
        <v/>
      </c>
    </row>
    <row r="415" ht="15" customHeight="1">
      <c r="A415" t="inlineStr">
        <is>
          <t>A 22463-2026</t>
        </is>
      </c>
      <c r="B415" s="1" t="n">
        <v>46155</v>
      </c>
      <c r="C415" s="1" t="n">
        <v>46199</v>
      </c>
      <c r="D415" t="inlineStr">
        <is>
          <t>VÄSTERNORRLANDS LÄN</t>
        </is>
      </c>
      <c r="E415" t="inlineStr">
        <is>
          <t>SOLLEFTEÅ</t>
        </is>
      </c>
      <c r="F415" t="inlineStr">
        <is>
          <t>SCA</t>
        </is>
      </c>
      <c r="G415" t="n">
        <v>3</v>
      </c>
      <c r="H415" t="n">
        <v>0</v>
      </c>
      <c r="I415" t="n">
        <v>0</v>
      </c>
      <c r="J415" t="n">
        <v>1</v>
      </c>
      <c r="K415" t="n">
        <v>0</v>
      </c>
      <c r="L415" t="n">
        <v>0</v>
      </c>
      <c r="M415" t="n">
        <v>0</v>
      </c>
      <c r="N415" t="n">
        <v>0</v>
      </c>
      <c r="O415" t="n">
        <v>1</v>
      </c>
      <c r="P415" t="n">
        <v>0</v>
      </c>
      <c r="Q415" t="n">
        <v>1</v>
      </c>
      <c r="R415" s="2" t="inlineStr">
        <is>
          <t>Gammelgransskål</t>
        </is>
      </c>
      <c r="S415">
        <f>HYPERLINK("https://klasma.github.io/Logging_2283/artfynd/A 22463-2026 artfynd.xlsx", "A 22463-2026")</f>
        <v/>
      </c>
      <c r="T415">
        <f>HYPERLINK("https://klasma.github.io/Logging_2283/kartor/A 22463-2026 karta.png", "A 22463-2026")</f>
        <v/>
      </c>
      <c r="V415">
        <f>HYPERLINK("https://klasma.github.io/Logging_2283/klagomål/A 22463-2026 FSC-klagomål.docx", "A 22463-2026")</f>
        <v/>
      </c>
      <c r="W415">
        <f>HYPERLINK("https://klasma.github.io/Logging_2283/klagomålsmail/A 22463-2026 FSC-klagomål mail.docx", "A 22463-2026")</f>
        <v/>
      </c>
      <c r="X415">
        <f>HYPERLINK("https://klasma.github.io/Logging_2283/tillsyn/A 22463-2026 tillsynsbegäran.docx", "A 22463-2026")</f>
        <v/>
      </c>
      <c r="Y415">
        <f>HYPERLINK("https://klasma.github.io/Logging_2283/tillsynsmail/A 22463-2026 tillsynsbegäran mail.docx", "A 22463-2026")</f>
        <v/>
      </c>
    </row>
    <row r="416" ht="15" customHeight="1">
      <c r="A416" t="inlineStr">
        <is>
          <t>A 45334-2024</t>
        </is>
      </c>
      <c r="B416" s="1" t="n">
        <v>45576</v>
      </c>
      <c r="C416" s="1" t="n">
        <v>46199</v>
      </c>
      <c r="D416" t="inlineStr">
        <is>
          <t>VÄSTERNORRLANDS LÄN</t>
        </is>
      </c>
      <c r="E416" t="inlineStr">
        <is>
          <t>SOLLEFTEÅ</t>
        </is>
      </c>
      <c r="F416" t="inlineStr">
        <is>
          <t>SCA</t>
        </is>
      </c>
      <c r="G416" t="n">
        <v>1</v>
      </c>
      <c r="H416" t="n">
        <v>1</v>
      </c>
      <c r="I416" t="n">
        <v>1</v>
      </c>
      <c r="J416" t="n">
        <v>0</v>
      </c>
      <c r="K416" t="n">
        <v>0</v>
      </c>
      <c r="L416" t="n">
        <v>0</v>
      </c>
      <c r="M416" t="n">
        <v>0</v>
      </c>
      <c r="N416" t="n">
        <v>0</v>
      </c>
      <c r="O416" t="n">
        <v>0</v>
      </c>
      <c r="P416" t="n">
        <v>0</v>
      </c>
      <c r="Q416" t="n">
        <v>1</v>
      </c>
      <c r="R416" s="2" t="inlineStr">
        <is>
          <t>Korallrot</t>
        </is>
      </c>
      <c r="S416">
        <f>HYPERLINK("https://klasma.github.io/Logging_2283/artfynd/A 45334-2024 artfynd.xlsx", "A 45334-2024")</f>
        <v/>
      </c>
      <c r="T416">
        <f>HYPERLINK("https://klasma.github.io/Logging_2283/kartor/A 45334-2024 karta.png", "A 45334-2024")</f>
        <v/>
      </c>
      <c r="V416">
        <f>HYPERLINK("https://klasma.github.io/Logging_2283/klagomål/A 45334-2024 FSC-klagomål.docx", "A 45334-2024")</f>
        <v/>
      </c>
      <c r="W416">
        <f>HYPERLINK("https://klasma.github.io/Logging_2283/klagomålsmail/A 45334-2024 FSC-klagomål mail.docx", "A 45334-2024")</f>
        <v/>
      </c>
      <c r="X416">
        <f>HYPERLINK("https://klasma.github.io/Logging_2283/tillsyn/A 45334-2024 tillsynsbegäran.docx", "A 45334-2024")</f>
        <v/>
      </c>
      <c r="Y416">
        <f>HYPERLINK("https://klasma.github.io/Logging_2283/tillsynsmail/A 45334-2024 tillsynsbegäran mail.docx", "A 45334-2024")</f>
        <v/>
      </c>
    </row>
    <row r="417" ht="15" customHeight="1">
      <c r="A417" t="inlineStr">
        <is>
          <t>A 48087-2023</t>
        </is>
      </c>
      <c r="B417" s="1" t="n">
        <v>45204</v>
      </c>
      <c r="C417" s="1" t="n">
        <v>46199</v>
      </c>
      <c r="D417" t="inlineStr">
        <is>
          <t>VÄSTERNORRLANDS LÄN</t>
        </is>
      </c>
      <c r="E417" t="inlineStr">
        <is>
          <t>SOLLEFTEÅ</t>
        </is>
      </c>
      <c r="F417" t="inlineStr">
        <is>
          <t>SCA</t>
        </is>
      </c>
      <c r="G417" t="n">
        <v>0.6</v>
      </c>
      <c r="H417" t="n">
        <v>0</v>
      </c>
      <c r="I417" t="n">
        <v>0</v>
      </c>
      <c r="J417" t="n">
        <v>1</v>
      </c>
      <c r="K417" t="n">
        <v>0</v>
      </c>
      <c r="L417" t="n">
        <v>0</v>
      </c>
      <c r="M417" t="n">
        <v>0</v>
      </c>
      <c r="N417" t="n">
        <v>0</v>
      </c>
      <c r="O417" t="n">
        <v>1</v>
      </c>
      <c r="P417" t="n">
        <v>0</v>
      </c>
      <c r="Q417" t="n">
        <v>1</v>
      </c>
      <c r="R417" s="2" t="inlineStr">
        <is>
          <t>Doftskinn</t>
        </is>
      </c>
      <c r="S417">
        <f>HYPERLINK("https://klasma.github.io/Logging_2283/artfynd/A 48087-2023 artfynd.xlsx", "A 48087-2023")</f>
        <v/>
      </c>
      <c r="T417">
        <f>HYPERLINK("https://klasma.github.io/Logging_2283/kartor/A 48087-2023 karta.png", "A 48087-2023")</f>
        <v/>
      </c>
      <c r="V417">
        <f>HYPERLINK("https://klasma.github.io/Logging_2283/klagomål/A 48087-2023 FSC-klagomål.docx", "A 48087-2023")</f>
        <v/>
      </c>
      <c r="W417">
        <f>HYPERLINK("https://klasma.github.io/Logging_2283/klagomålsmail/A 48087-2023 FSC-klagomål mail.docx", "A 48087-2023")</f>
        <v/>
      </c>
      <c r="X417">
        <f>HYPERLINK("https://klasma.github.io/Logging_2283/tillsyn/A 48087-2023 tillsynsbegäran.docx", "A 48087-2023")</f>
        <v/>
      </c>
      <c r="Y417">
        <f>HYPERLINK("https://klasma.github.io/Logging_2283/tillsynsmail/A 48087-2023 tillsynsbegäran mail.docx", "A 48087-2023")</f>
        <v/>
      </c>
    </row>
    <row r="418" ht="15" customHeight="1">
      <c r="A418" t="inlineStr">
        <is>
          <t>A 53949-2023</t>
        </is>
      </c>
      <c r="B418" s="1" t="n">
        <v>45224</v>
      </c>
      <c r="C418" s="1" t="n">
        <v>46199</v>
      </c>
      <c r="D418" t="inlineStr">
        <is>
          <t>VÄSTERNORRLANDS LÄN</t>
        </is>
      </c>
      <c r="E418" t="inlineStr">
        <is>
          <t>SOLLEFTEÅ</t>
        </is>
      </c>
      <c r="G418" t="n">
        <v>4</v>
      </c>
      <c r="H418" t="n">
        <v>1</v>
      </c>
      <c r="I418" t="n">
        <v>0</v>
      </c>
      <c r="J418" t="n">
        <v>0</v>
      </c>
      <c r="K418" t="n">
        <v>0</v>
      </c>
      <c r="L418" t="n">
        <v>0</v>
      </c>
      <c r="M418" t="n">
        <v>0</v>
      </c>
      <c r="N418" t="n">
        <v>0</v>
      </c>
      <c r="O418" t="n">
        <v>0</v>
      </c>
      <c r="P418" t="n">
        <v>0</v>
      </c>
      <c r="Q418" t="n">
        <v>1</v>
      </c>
      <c r="R418" s="2" t="inlineStr">
        <is>
          <t>Fläcknycklar</t>
        </is>
      </c>
      <c r="S418">
        <f>HYPERLINK("https://klasma.github.io/Logging_2283/artfynd/A 53949-2023 artfynd.xlsx", "A 53949-2023")</f>
        <v/>
      </c>
      <c r="T418">
        <f>HYPERLINK("https://klasma.github.io/Logging_2283/kartor/A 53949-2023 karta.png", "A 53949-2023")</f>
        <v/>
      </c>
      <c r="V418">
        <f>HYPERLINK("https://klasma.github.io/Logging_2283/klagomål/A 53949-2023 FSC-klagomål.docx", "A 53949-2023")</f>
        <v/>
      </c>
      <c r="W418">
        <f>HYPERLINK("https://klasma.github.io/Logging_2283/klagomålsmail/A 53949-2023 FSC-klagomål mail.docx", "A 53949-2023")</f>
        <v/>
      </c>
      <c r="X418">
        <f>HYPERLINK("https://klasma.github.io/Logging_2283/tillsyn/A 53949-2023 tillsynsbegäran.docx", "A 53949-2023")</f>
        <v/>
      </c>
      <c r="Y418">
        <f>HYPERLINK("https://klasma.github.io/Logging_2283/tillsynsmail/A 53949-2023 tillsynsbegäran mail.docx", "A 53949-2023")</f>
        <v/>
      </c>
    </row>
    <row r="419" ht="15" customHeight="1">
      <c r="A419" t="inlineStr">
        <is>
          <t>A 21230-2023</t>
        </is>
      </c>
      <c r="B419" s="1" t="n">
        <v>45057</v>
      </c>
      <c r="C419" s="1" t="n">
        <v>46199</v>
      </c>
      <c r="D419" t="inlineStr">
        <is>
          <t>VÄSTERNORRLANDS LÄN</t>
        </is>
      </c>
      <c r="E419" t="inlineStr">
        <is>
          <t>SOLLEFTEÅ</t>
        </is>
      </c>
      <c r="G419" t="n">
        <v>1.7</v>
      </c>
      <c r="H419" t="n">
        <v>1</v>
      </c>
      <c r="I419" t="n">
        <v>0</v>
      </c>
      <c r="J419" t="n">
        <v>0</v>
      </c>
      <c r="K419" t="n">
        <v>0</v>
      </c>
      <c r="L419" t="n">
        <v>0</v>
      </c>
      <c r="M419" t="n">
        <v>0</v>
      </c>
      <c r="N419" t="n">
        <v>0</v>
      </c>
      <c r="O419" t="n">
        <v>0</v>
      </c>
      <c r="P419" t="n">
        <v>0</v>
      </c>
      <c r="Q419" t="n">
        <v>1</v>
      </c>
      <c r="R419" s="2" t="inlineStr">
        <is>
          <t>Spillkråka</t>
        </is>
      </c>
      <c r="S419">
        <f>HYPERLINK("https://klasma.github.io/Logging_2283/artfynd/A 21230-2023 artfynd.xlsx", "A 21230-2023")</f>
        <v/>
      </c>
      <c r="T419">
        <f>HYPERLINK("https://klasma.github.io/Logging_2283/kartor/A 21230-2023 karta.png", "A 21230-2023")</f>
        <v/>
      </c>
      <c r="V419">
        <f>HYPERLINK("https://klasma.github.io/Logging_2283/klagomål/A 21230-2023 FSC-klagomål.docx", "A 21230-2023")</f>
        <v/>
      </c>
      <c r="W419">
        <f>HYPERLINK("https://klasma.github.io/Logging_2283/klagomålsmail/A 21230-2023 FSC-klagomål mail.docx", "A 21230-2023")</f>
        <v/>
      </c>
      <c r="X419">
        <f>HYPERLINK("https://klasma.github.io/Logging_2283/tillsyn/A 21230-2023 tillsynsbegäran.docx", "A 21230-2023")</f>
        <v/>
      </c>
      <c r="Y419">
        <f>HYPERLINK("https://klasma.github.io/Logging_2283/tillsynsmail/A 21230-2023 tillsynsbegäran mail.docx", "A 21230-2023")</f>
        <v/>
      </c>
      <c r="Z419">
        <f>HYPERLINK("https://klasma.github.io/Logging_2283/fåglar/A 21230-2023 prioriterade fågelarter.docx", "A 21230-2023")</f>
        <v/>
      </c>
    </row>
    <row r="420" ht="15" customHeight="1">
      <c r="A420" t="inlineStr">
        <is>
          <t>A 16269-2022</t>
        </is>
      </c>
      <c r="B420" s="1" t="n">
        <v>44670</v>
      </c>
      <c r="C420" s="1" t="n">
        <v>46199</v>
      </c>
      <c r="D420" t="inlineStr">
        <is>
          <t>VÄSTERNORRLANDS LÄN</t>
        </is>
      </c>
      <c r="E420" t="inlineStr">
        <is>
          <t>SOLLEFTEÅ</t>
        </is>
      </c>
      <c r="F420" t="inlineStr">
        <is>
          <t>Holmen skog AB</t>
        </is>
      </c>
      <c r="G420" t="n">
        <v>4.6</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16269-2022 artfynd.xlsx", "A 16269-2022")</f>
        <v/>
      </c>
      <c r="T420">
        <f>HYPERLINK("https://klasma.github.io/Logging_2283/kartor/A 16269-2022 karta.png", "A 16269-2022")</f>
        <v/>
      </c>
      <c r="V420">
        <f>HYPERLINK("https://klasma.github.io/Logging_2283/klagomål/A 16269-2022 FSC-klagomål.docx", "A 16269-2022")</f>
        <v/>
      </c>
      <c r="W420">
        <f>HYPERLINK("https://klasma.github.io/Logging_2283/klagomålsmail/A 16269-2022 FSC-klagomål mail.docx", "A 16269-2022")</f>
        <v/>
      </c>
      <c r="X420">
        <f>HYPERLINK("https://klasma.github.io/Logging_2283/tillsyn/A 16269-2022 tillsynsbegäran.docx", "A 16269-2022")</f>
        <v/>
      </c>
      <c r="Y420">
        <f>HYPERLINK("https://klasma.github.io/Logging_2283/tillsynsmail/A 16269-2022 tillsynsbegäran mail.docx", "A 16269-2022")</f>
        <v/>
      </c>
      <c r="Z420">
        <f>HYPERLINK("https://klasma.github.io/Logging_2283/fåglar/A 16269-2022 prioriterade fågelarter.docx", "A 16269-2022")</f>
        <v/>
      </c>
    </row>
    <row r="421" ht="15" customHeight="1">
      <c r="A421" t="inlineStr">
        <is>
          <t>A 13499-2023</t>
        </is>
      </c>
      <c r="B421" s="1" t="n">
        <v>45005</v>
      </c>
      <c r="C421" s="1" t="n">
        <v>46199</v>
      </c>
      <c r="D421" t="inlineStr">
        <is>
          <t>VÄSTERNORRLANDS LÄN</t>
        </is>
      </c>
      <c r="E421" t="inlineStr">
        <is>
          <t>SOLLEFTEÅ</t>
        </is>
      </c>
      <c r="F421" t="inlineStr">
        <is>
          <t>SCA</t>
        </is>
      </c>
      <c r="G421" t="n">
        <v>4.4</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13499-2023 artfynd.xlsx", "A 13499-2023")</f>
        <v/>
      </c>
      <c r="T421">
        <f>HYPERLINK("https://klasma.github.io/Logging_2283/kartor/A 13499-2023 karta.png", "A 13499-2023")</f>
        <v/>
      </c>
      <c r="V421">
        <f>HYPERLINK("https://klasma.github.io/Logging_2283/klagomål/A 13499-2023 FSC-klagomål.docx", "A 13499-2023")</f>
        <v/>
      </c>
      <c r="W421">
        <f>HYPERLINK("https://klasma.github.io/Logging_2283/klagomålsmail/A 13499-2023 FSC-klagomål mail.docx", "A 13499-2023")</f>
        <v/>
      </c>
      <c r="X421">
        <f>HYPERLINK("https://klasma.github.io/Logging_2283/tillsyn/A 13499-2023 tillsynsbegäran.docx", "A 13499-2023")</f>
        <v/>
      </c>
      <c r="Y421">
        <f>HYPERLINK("https://klasma.github.io/Logging_2283/tillsynsmail/A 13499-2023 tillsynsbegäran mail.docx", "A 13499-2023")</f>
        <v/>
      </c>
      <c r="Z421">
        <f>HYPERLINK("https://klasma.github.io/Logging_2283/fåglar/A 13499-2023 prioriterade fågelarter.docx", "A 13499-2023")</f>
        <v/>
      </c>
    </row>
    <row r="422" ht="15" customHeight="1">
      <c r="A422" t="inlineStr">
        <is>
          <t>A 49367-2024</t>
        </is>
      </c>
      <c r="B422" s="1" t="n">
        <v>45595</v>
      </c>
      <c r="C422" s="1" t="n">
        <v>46199</v>
      </c>
      <c r="D422" t="inlineStr">
        <is>
          <t>VÄSTERNORRLANDS LÄN</t>
        </is>
      </c>
      <c r="E422" t="inlineStr">
        <is>
          <t>SOLLEFTEÅ</t>
        </is>
      </c>
      <c r="F422" t="inlineStr">
        <is>
          <t>SCA</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HYPERLINK("https://klasma.github.io/Logging_2283/artfynd/A 49367-2024 artfynd.xlsx", "A 49367-2024")</f>
        <v/>
      </c>
      <c r="T422">
        <f>HYPERLINK("https://klasma.github.io/Logging_2283/kartor/A 49367-2024 karta.png", "A 49367-2024")</f>
        <v/>
      </c>
      <c r="U422">
        <f>HYPERLINK("https://klasma.github.io/Logging_2283/knärot/A 49367-2024 karta knärot.png", "A 49367-2024")</f>
        <v/>
      </c>
      <c r="V422">
        <f>HYPERLINK("https://klasma.github.io/Logging_2283/klagomål/A 49367-2024 FSC-klagomål.docx", "A 49367-2024")</f>
        <v/>
      </c>
      <c r="W422">
        <f>HYPERLINK("https://klasma.github.io/Logging_2283/klagomålsmail/A 49367-2024 FSC-klagomål mail.docx", "A 49367-2024")</f>
        <v/>
      </c>
      <c r="X422">
        <f>HYPERLINK("https://klasma.github.io/Logging_2283/tillsyn/A 49367-2024 tillsynsbegäran.docx", "A 49367-2024")</f>
        <v/>
      </c>
      <c r="Y422">
        <f>HYPERLINK("https://klasma.github.io/Logging_2283/tillsynsmail/A 49367-2024 tillsynsbegäran mail.docx", "A 49367-2024")</f>
        <v/>
      </c>
    </row>
    <row r="423" ht="15" customHeight="1">
      <c r="A423" t="inlineStr">
        <is>
          <t>A 35295-2023</t>
        </is>
      </c>
      <c r="B423" s="1" t="n">
        <v>45145</v>
      </c>
      <c r="C423" s="1" t="n">
        <v>46199</v>
      </c>
      <c r="D423" t="inlineStr">
        <is>
          <t>VÄSTERNORRLANDS LÄN</t>
        </is>
      </c>
      <c r="E423" t="inlineStr">
        <is>
          <t>SOLLEFTEÅ</t>
        </is>
      </c>
      <c r="F423" t="inlineStr">
        <is>
          <t>SCA</t>
        </is>
      </c>
      <c r="G423" t="n">
        <v>8.9</v>
      </c>
      <c r="H423" t="n">
        <v>1</v>
      </c>
      <c r="I423" t="n">
        <v>0</v>
      </c>
      <c r="J423" t="n">
        <v>1</v>
      </c>
      <c r="K423" t="n">
        <v>0</v>
      </c>
      <c r="L423" t="n">
        <v>0</v>
      </c>
      <c r="M423" t="n">
        <v>0</v>
      </c>
      <c r="N423" t="n">
        <v>0</v>
      </c>
      <c r="O423" t="n">
        <v>1</v>
      </c>
      <c r="P423" t="n">
        <v>0</v>
      </c>
      <c r="Q423" t="n">
        <v>1</v>
      </c>
      <c r="R423" s="2" t="inlineStr">
        <is>
          <t>Talltita</t>
        </is>
      </c>
      <c r="S423">
        <f>HYPERLINK("https://klasma.github.io/Logging_2283/artfynd/A 35295-2023 artfynd.xlsx", "A 35295-2023")</f>
        <v/>
      </c>
      <c r="T423">
        <f>HYPERLINK("https://klasma.github.io/Logging_2283/kartor/A 35295-2023 karta.png", "A 35295-2023")</f>
        <v/>
      </c>
      <c r="V423">
        <f>HYPERLINK("https://klasma.github.io/Logging_2283/klagomål/A 35295-2023 FSC-klagomål.docx", "A 35295-2023")</f>
        <v/>
      </c>
      <c r="W423">
        <f>HYPERLINK("https://klasma.github.io/Logging_2283/klagomålsmail/A 35295-2023 FSC-klagomål mail.docx", "A 35295-2023")</f>
        <v/>
      </c>
      <c r="X423">
        <f>HYPERLINK("https://klasma.github.io/Logging_2283/tillsyn/A 35295-2023 tillsynsbegäran.docx", "A 35295-2023")</f>
        <v/>
      </c>
      <c r="Y423">
        <f>HYPERLINK("https://klasma.github.io/Logging_2283/tillsynsmail/A 35295-2023 tillsynsbegäran mail.docx", "A 35295-2023")</f>
        <v/>
      </c>
      <c r="Z423">
        <f>HYPERLINK("https://klasma.github.io/Logging_2283/fåglar/A 35295-2023 prioriterade fågelarter.docx", "A 35295-2023")</f>
        <v/>
      </c>
    </row>
    <row r="424" ht="15" customHeight="1">
      <c r="A424" t="inlineStr">
        <is>
          <t>A 19416-2022</t>
        </is>
      </c>
      <c r="B424" s="1" t="n">
        <v>44693</v>
      </c>
      <c r="C424" s="1" t="n">
        <v>46199</v>
      </c>
      <c r="D424" t="inlineStr">
        <is>
          <t>VÄSTERNORRLANDS LÄN</t>
        </is>
      </c>
      <c r="E424" t="inlineStr">
        <is>
          <t>SOLLEFTEÅ</t>
        </is>
      </c>
      <c r="G424" t="n">
        <v>0.9</v>
      </c>
      <c r="H424" t="n">
        <v>1</v>
      </c>
      <c r="I424" t="n">
        <v>0</v>
      </c>
      <c r="J424" t="n">
        <v>0</v>
      </c>
      <c r="K424" t="n">
        <v>0</v>
      </c>
      <c r="L424" t="n">
        <v>0</v>
      </c>
      <c r="M424" t="n">
        <v>0</v>
      </c>
      <c r="N424" t="n">
        <v>0</v>
      </c>
      <c r="O424" t="n">
        <v>0</v>
      </c>
      <c r="P424" t="n">
        <v>0</v>
      </c>
      <c r="Q424" t="n">
        <v>1</v>
      </c>
      <c r="R424" s="2" t="inlineStr">
        <is>
          <t>Revlummer</t>
        </is>
      </c>
      <c r="S424">
        <f>HYPERLINK("https://klasma.github.io/Logging_2283/artfynd/A 19416-2022 artfynd.xlsx", "A 19416-2022")</f>
        <v/>
      </c>
      <c r="T424">
        <f>HYPERLINK("https://klasma.github.io/Logging_2283/kartor/A 19416-2022 karta.png", "A 19416-2022")</f>
        <v/>
      </c>
      <c r="V424">
        <f>HYPERLINK("https://klasma.github.io/Logging_2283/klagomål/A 19416-2022 FSC-klagomål.docx", "A 19416-2022")</f>
        <v/>
      </c>
      <c r="W424">
        <f>HYPERLINK("https://klasma.github.io/Logging_2283/klagomålsmail/A 19416-2022 FSC-klagomål mail.docx", "A 19416-2022")</f>
        <v/>
      </c>
      <c r="X424">
        <f>HYPERLINK("https://klasma.github.io/Logging_2283/tillsyn/A 19416-2022 tillsynsbegäran.docx", "A 19416-2022")</f>
        <v/>
      </c>
      <c r="Y424">
        <f>HYPERLINK("https://klasma.github.io/Logging_2283/tillsynsmail/A 19416-2022 tillsynsbegäran mail.docx", "A 19416-2022")</f>
        <v/>
      </c>
    </row>
    <row r="425" ht="15" customHeight="1">
      <c r="A425" t="inlineStr">
        <is>
          <t>A 2515-2024</t>
        </is>
      </c>
      <c r="B425" s="1" t="n">
        <v>45313</v>
      </c>
      <c r="C425" s="1" t="n">
        <v>46199</v>
      </c>
      <c r="D425" t="inlineStr">
        <is>
          <t>VÄSTERNORRLANDS LÄN</t>
        </is>
      </c>
      <c r="E425" t="inlineStr">
        <is>
          <t>SOLLEFTEÅ</t>
        </is>
      </c>
      <c r="F425" t="inlineStr">
        <is>
          <t>Kommuner</t>
        </is>
      </c>
      <c r="G425" t="n">
        <v>8.699999999999999</v>
      </c>
      <c r="H425" t="n">
        <v>1</v>
      </c>
      <c r="I425" t="n">
        <v>0</v>
      </c>
      <c r="J425" t="n">
        <v>1</v>
      </c>
      <c r="K425" t="n">
        <v>0</v>
      </c>
      <c r="L425" t="n">
        <v>0</v>
      </c>
      <c r="M425" t="n">
        <v>0</v>
      </c>
      <c r="N425" t="n">
        <v>0</v>
      </c>
      <c r="O425" t="n">
        <v>1</v>
      </c>
      <c r="P425" t="n">
        <v>0</v>
      </c>
      <c r="Q425" t="n">
        <v>1</v>
      </c>
      <c r="R425" s="2" t="inlineStr">
        <is>
          <t>Talltita</t>
        </is>
      </c>
      <c r="S425">
        <f>HYPERLINK("https://klasma.github.io/Logging_2283/artfynd/A 2515-2024 artfynd.xlsx", "A 2515-2024")</f>
        <v/>
      </c>
      <c r="T425">
        <f>HYPERLINK("https://klasma.github.io/Logging_2283/kartor/A 2515-2024 karta.png", "A 2515-2024")</f>
        <v/>
      </c>
      <c r="V425">
        <f>HYPERLINK("https://klasma.github.io/Logging_2283/klagomål/A 2515-2024 FSC-klagomål.docx", "A 2515-2024")</f>
        <v/>
      </c>
      <c r="W425">
        <f>HYPERLINK("https://klasma.github.io/Logging_2283/klagomålsmail/A 2515-2024 FSC-klagomål mail.docx", "A 2515-2024")</f>
        <v/>
      </c>
      <c r="X425">
        <f>HYPERLINK("https://klasma.github.io/Logging_2283/tillsyn/A 2515-2024 tillsynsbegäran.docx", "A 2515-2024")</f>
        <v/>
      </c>
      <c r="Y425">
        <f>HYPERLINK("https://klasma.github.io/Logging_2283/tillsynsmail/A 2515-2024 tillsynsbegäran mail.docx", "A 2515-2024")</f>
        <v/>
      </c>
      <c r="Z425">
        <f>HYPERLINK("https://klasma.github.io/Logging_2283/fåglar/A 2515-2024 prioriterade fågelarter.docx", "A 2515-2024")</f>
        <v/>
      </c>
    </row>
    <row r="426" ht="15" customHeight="1">
      <c r="A426" t="inlineStr">
        <is>
          <t>A 38363-2022</t>
        </is>
      </c>
      <c r="B426" s="1" t="n">
        <v>44812</v>
      </c>
      <c r="C426" s="1" t="n">
        <v>46199</v>
      </c>
      <c r="D426" t="inlineStr">
        <is>
          <t>VÄSTERNORRLANDS LÄN</t>
        </is>
      </c>
      <c r="E426" t="inlineStr">
        <is>
          <t>SOLLEFTEÅ</t>
        </is>
      </c>
      <c r="F426" t="inlineStr">
        <is>
          <t>Kommuner</t>
        </is>
      </c>
      <c r="G426" t="n">
        <v>16</v>
      </c>
      <c r="H426" t="n">
        <v>0</v>
      </c>
      <c r="I426" t="n">
        <v>0</v>
      </c>
      <c r="J426" t="n">
        <v>0</v>
      </c>
      <c r="K426" t="n">
        <v>1</v>
      </c>
      <c r="L426" t="n">
        <v>0</v>
      </c>
      <c r="M426" t="n">
        <v>0</v>
      </c>
      <c r="N426" t="n">
        <v>0</v>
      </c>
      <c r="O426" t="n">
        <v>1</v>
      </c>
      <c r="P426" t="n">
        <v>1</v>
      </c>
      <c r="Q426" t="n">
        <v>1</v>
      </c>
      <c r="R426" s="2" t="inlineStr">
        <is>
          <t>Garnlav</t>
        </is>
      </c>
      <c r="S426">
        <f>HYPERLINK("https://klasma.github.io/Logging_2283/artfynd/A 38363-2022 artfynd.xlsx", "A 38363-2022")</f>
        <v/>
      </c>
      <c r="T426">
        <f>HYPERLINK("https://klasma.github.io/Logging_2283/kartor/A 38363-2022 karta.png", "A 38363-2022")</f>
        <v/>
      </c>
      <c r="V426">
        <f>HYPERLINK("https://klasma.github.io/Logging_2283/klagomål/A 38363-2022 FSC-klagomål.docx", "A 38363-2022")</f>
        <v/>
      </c>
      <c r="W426">
        <f>HYPERLINK("https://klasma.github.io/Logging_2283/klagomålsmail/A 38363-2022 FSC-klagomål mail.docx", "A 38363-2022")</f>
        <v/>
      </c>
      <c r="X426">
        <f>HYPERLINK("https://klasma.github.io/Logging_2283/tillsyn/A 38363-2022 tillsynsbegäran.docx", "A 38363-2022")</f>
        <v/>
      </c>
      <c r="Y426">
        <f>HYPERLINK("https://klasma.github.io/Logging_2283/tillsynsmail/A 38363-2022 tillsynsbegäran mail.docx", "A 38363-2022")</f>
        <v/>
      </c>
    </row>
    <row r="427" ht="15" customHeight="1">
      <c r="A427" t="inlineStr">
        <is>
          <t>A 49673-2024</t>
        </is>
      </c>
      <c r="B427" s="1" t="n">
        <v>45596</v>
      </c>
      <c r="C427" s="1" t="n">
        <v>46199</v>
      </c>
      <c r="D427" t="inlineStr">
        <is>
          <t>VÄSTERNORRLANDS LÄN</t>
        </is>
      </c>
      <c r="E427" t="inlineStr">
        <is>
          <t>SOLLEFTEÅ</t>
        </is>
      </c>
      <c r="F427" t="inlineStr">
        <is>
          <t>SCA</t>
        </is>
      </c>
      <c r="G427" t="n">
        <v>3.4</v>
      </c>
      <c r="H427" t="n">
        <v>0</v>
      </c>
      <c r="I427" t="n">
        <v>0</v>
      </c>
      <c r="J427" t="n">
        <v>1</v>
      </c>
      <c r="K427" t="n">
        <v>0</v>
      </c>
      <c r="L427" t="n">
        <v>0</v>
      </c>
      <c r="M427" t="n">
        <v>0</v>
      </c>
      <c r="N427" t="n">
        <v>0</v>
      </c>
      <c r="O427" t="n">
        <v>1</v>
      </c>
      <c r="P427" t="n">
        <v>0</v>
      </c>
      <c r="Q427" t="n">
        <v>1</v>
      </c>
      <c r="R427" s="2" t="inlineStr">
        <is>
          <t>Lunglav</t>
        </is>
      </c>
      <c r="S427">
        <f>HYPERLINK("https://klasma.github.io/Logging_2283/artfynd/A 49673-2024 artfynd.xlsx", "A 49673-2024")</f>
        <v/>
      </c>
      <c r="T427">
        <f>HYPERLINK("https://klasma.github.io/Logging_2283/kartor/A 49673-2024 karta.png", "A 49673-2024")</f>
        <v/>
      </c>
      <c r="V427">
        <f>HYPERLINK("https://klasma.github.io/Logging_2283/klagomål/A 49673-2024 FSC-klagomål.docx", "A 49673-2024")</f>
        <v/>
      </c>
      <c r="W427">
        <f>HYPERLINK("https://klasma.github.io/Logging_2283/klagomålsmail/A 49673-2024 FSC-klagomål mail.docx", "A 49673-2024")</f>
        <v/>
      </c>
      <c r="X427">
        <f>HYPERLINK("https://klasma.github.io/Logging_2283/tillsyn/A 49673-2024 tillsynsbegäran.docx", "A 49673-2024")</f>
        <v/>
      </c>
      <c r="Y427">
        <f>HYPERLINK("https://klasma.github.io/Logging_2283/tillsynsmail/A 49673-2024 tillsynsbegäran mail.docx", "A 49673-2024")</f>
        <v/>
      </c>
    </row>
    <row r="428" ht="15" customHeight="1">
      <c r="A428" t="inlineStr">
        <is>
          <t>A 39565-2023</t>
        </is>
      </c>
      <c r="B428" s="1" t="n">
        <v>45167</v>
      </c>
      <c r="C428" s="1" t="n">
        <v>46199</v>
      </c>
      <c r="D428" t="inlineStr">
        <is>
          <t>VÄSTERNORRLANDS LÄN</t>
        </is>
      </c>
      <c r="E428" t="inlineStr">
        <is>
          <t>SOLLEFTEÅ</t>
        </is>
      </c>
      <c r="G428" t="n">
        <v>3.2</v>
      </c>
      <c r="H428" t="n">
        <v>0</v>
      </c>
      <c r="I428" t="n">
        <v>0</v>
      </c>
      <c r="J428" t="n">
        <v>1</v>
      </c>
      <c r="K428" t="n">
        <v>0</v>
      </c>
      <c r="L428" t="n">
        <v>0</v>
      </c>
      <c r="M428" t="n">
        <v>0</v>
      </c>
      <c r="N428" t="n">
        <v>0</v>
      </c>
      <c r="O428" t="n">
        <v>1</v>
      </c>
      <c r="P428" t="n">
        <v>0</v>
      </c>
      <c r="Q428" t="n">
        <v>1</v>
      </c>
      <c r="R428" s="2" t="inlineStr">
        <is>
          <t>Ullticka</t>
        </is>
      </c>
      <c r="S428">
        <f>HYPERLINK("https://klasma.github.io/Logging_2283/artfynd/A 39565-2023 artfynd.xlsx", "A 39565-2023")</f>
        <v/>
      </c>
      <c r="T428">
        <f>HYPERLINK("https://klasma.github.io/Logging_2283/kartor/A 39565-2023 karta.png", "A 39565-2023")</f>
        <v/>
      </c>
      <c r="V428">
        <f>HYPERLINK("https://klasma.github.io/Logging_2283/klagomål/A 39565-2023 FSC-klagomål.docx", "A 39565-2023")</f>
        <v/>
      </c>
      <c r="W428">
        <f>HYPERLINK("https://klasma.github.io/Logging_2283/klagomålsmail/A 39565-2023 FSC-klagomål mail.docx", "A 39565-2023")</f>
        <v/>
      </c>
      <c r="X428">
        <f>HYPERLINK("https://klasma.github.io/Logging_2283/tillsyn/A 39565-2023 tillsynsbegäran.docx", "A 39565-2023")</f>
        <v/>
      </c>
      <c r="Y428">
        <f>HYPERLINK("https://klasma.github.io/Logging_2283/tillsynsmail/A 39565-2023 tillsynsbegäran mail.docx", "A 39565-2023")</f>
        <v/>
      </c>
    </row>
    <row r="429" ht="15" customHeight="1">
      <c r="A429" t="inlineStr">
        <is>
          <t>A 45719-2022</t>
        </is>
      </c>
      <c r="B429" s="1" t="n">
        <v>44845</v>
      </c>
      <c r="C429" s="1" t="n">
        <v>46199</v>
      </c>
      <c r="D429" t="inlineStr">
        <is>
          <t>VÄSTERNORRLANDS LÄN</t>
        </is>
      </c>
      <c r="E429" t="inlineStr">
        <is>
          <t>SOLLEFTEÅ</t>
        </is>
      </c>
      <c r="F429" t="inlineStr">
        <is>
          <t>SCA</t>
        </is>
      </c>
      <c r="G429" t="n">
        <v>1.6</v>
      </c>
      <c r="H429" t="n">
        <v>0</v>
      </c>
      <c r="I429" t="n">
        <v>0</v>
      </c>
      <c r="J429" t="n">
        <v>1</v>
      </c>
      <c r="K429" t="n">
        <v>0</v>
      </c>
      <c r="L429" t="n">
        <v>0</v>
      </c>
      <c r="M429" t="n">
        <v>0</v>
      </c>
      <c r="N429" t="n">
        <v>0</v>
      </c>
      <c r="O429" t="n">
        <v>1</v>
      </c>
      <c r="P429" t="n">
        <v>0</v>
      </c>
      <c r="Q429" t="n">
        <v>1</v>
      </c>
      <c r="R429" s="2" t="inlineStr">
        <is>
          <t>Brunpudrad nållav</t>
        </is>
      </c>
      <c r="S429">
        <f>HYPERLINK("https://klasma.github.io/Logging_2283/artfynd/A 45719-2022 artfynd.xlsx", "A 45719-2022")</f>
        <v/>
      </c>
      <c r="T429">
        <f>HYPERLINK("https://klasma.github.io/Logging_2283/kartor/A 45719-2022 karta.png", "A 45719-2022")</f>
        <v/>
      </c>
      <c r="V429">
        <f>HYPERLINK("https://klasma.github.io/Logging_2283/klagomål/A 45719-2022 FSC-klagomål.docx", "A 45719-2022")</f>
        <v/>
      </c>
      <c r="W429">
        <f>HYPERLINK("https://klasma.github.io/Logging_2283/klagomålsmail/A 45719-2022 FSC-klagomål mail.docx", "A 45719-2022")</f>
        <v/>
      </c>
      <c r="X429">
        <f>HYPERLINK("https://klasma.github.io/Logging_2283/tillsyn/A 45719-2022 tillsynsbegäran.docx", "A 45719-2022")</f>
        <v/>
      </c>
      <c r="Y429">
        <f>HYPERLINK("https://klasma.github.io/Logging_2283/tillsynsmail/A 45719-2022 tillsynsbegäran mail.docx", "A 45719-2022")</f>
        <v/>
      </c>
    </row>
    <row r="430" ht="15" customHeight="1">
      <c r="A430" t="inlineStr">
        <is>
          <t>A 21489-2025</t>
        </is>
      </c>
      <c r="B430" s="1" t="n">
        <v>45782</v>
      </c>
      <c r="C430" s="1" t="n">
        <v>46199</v>
      </c>
      <c r="D430" t="inlineStr">
        <is>
          <t>VÄSTERNORRLANDS LÄN</t>
        </is>
      </c>
      <c r="E430" t="inlineStr">
        <is>
          <t>SOLLEFTEÅ</t>
        </is>
      </c>
      <c r="F430" t="inlineStr">
        <is>
          <t>SCA</t>
        </is>
      </c>
      <c r="G430" t="n">
        <v>3.6</v>
      </c>
      <c r="H430" t="n">
        <v>0</v>
      </c>
      <c r="I430" t="n">
        <v>0</v>
      </c>
      <c r="J430" t="n">
        <v>1</v>
      </c>
      <c r="K430" t="n">
        <v>0</v>
      </c>
      <c r="L430" t="n">
        <v>0</v>
      </c>
      <c r="M430" t="n">
        <v>0</v>
      </c>
      <c r="N430" t="n">
        <v>0</v>
      </c>
      <c r="O430" t="n">
        <v>1</v>
      </c>
      <c r="P430" t="n">
        <v>0</v>
      </c>
      <c r="Q430" t="n">
        <v>1</v>
      </c>
      <c r="R430" s="2" t="inlineStr">
        <is>
          <t>Kortskaftad ärgspik</t>
        </is>
      </c>
      <c r="S430">
        <f>HYPERLINK("https://klasma.github.io/Logging_2283/artfynd/A 21489-2025 artfynd.xlsx", "A 21489-2025")</f>
        <v/>
      </c>
      <c r="T430">
        <f>HYPERLINK("https://klasma.github.io/Logging_2283/kartor/A 21489-2025 karta.png", "A 21489-2025")</f>
        <v/>
      </c>
      <c r="V430">
        <f>HYPERLINK("https://klasma.github.io/Logging_2283/klagomål/A 21489-2025 FSC-klagomål.docx", "A 21489-2025")</f>
        <v/>
      </c>
      <c r="W430">
        <f>HYPERLINK("https://klasma.github.io/Logging_2283/klagomålsmail/A 21489-2025 FSC-klagomål mail.docx", "A 21489-2025")</f>
        <v/>
      </c>
      <c r="X430">
        <f>HYPERLINK("https://klasma.github.io/Logging_2283/tillsyn/A 21489-2025 tillsynsbegäran.docx", "A 21489-2025")</f>
        <v/>
      </c>
      <c r="Y430">
        <f>HYPERLINK("https://klasma.github.io/Logging_2283/tillsynsmail/A 21489-2025 tillsynsbegäran mail.docx", "A 21489-2025")</f>
        <v/>
      </c>
    </row>
    <row r="431" ht="15" customHeight="1">
      <c r="A431" t="inlineStr">
        <is>
          <t>A 49181-2022</t>
        </is>
      </c>
      <c r="B431" s="1" t="n">
        <v>44860</v>
      </c>
      <c r="C431" s="1" t="n">
        <v>46199</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51104-2021</t>
        </is>
      </c>
      <c r="B432" s="1" t="n">
        <v>44459</v>
      </c>
      <c r="C432" s="1" t="n">
        <v>46199</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41455-2022</t>
        </is>
      </c>
      <c r="B433" s="1" t="n">
        <v>44826</v>
      </c>
      <c r="C433" s="1" t="n">
        <v>46199</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45187-2021</t>
        </is>
      </c>
      <c r="B434" s="1" t="n">
        <v>44439</v>
      </c>
      <c r="C434" s="1" t="n">
        <v>46199</v>
      </c>
      <c r="D434" t="inlineStr">
        <is>
          <t>VÄSTERNORRLANDS LÄN</t>
        </is>
      </c>
      <c r="E434" t="inlineStr">
        <is>
          <t>SOLLEFTEÅ</t>
        </is>
      </c>
      <c r="G434" t="n">
        <v>3.2</v>
      </c>
      <c r="H434" t="n">
        <v>0</v>
      </c>
      <c r="I434" t="n">
        <v>0</v>
      </c>
      <c r="J434" t="n">
        <v>0</v>
      </c>
      <c r="K434" t="n">
        <v>0</v>
      </c>
      <c r="L434" t="n">
        <v>0</v>
      </c>
      <c r="M434" t="n">
        <v>0</v>
      </c>
      <c r="N434" t="n">
        <v>0</v>
      </c>
      <c r="O434" t="n">
        <v>0</v>
      </c>
      <c r="P434" t="n">
        <v>0</v>
      </c>
      <c r="Q434" t="n">
        <v>0</v>
      </c>
      <c r="R434" s="2" t="inlineStr"/>
    </row>
    <row r="435" ht="15" customHeight="1">
      <c r="A435" t="inlineStr">
        <is>
          <t>A 30937-2022</t>
        </is>
      </c>
      <c r="B435" s="1" t="n">
        <v>44767</v>
      </c>
      <c r="C435" s="1" t="n">
        <v>46199</v>
      </c>
      <c r="D435" t="inlineStr">
        <is>
          <t>VÄSTERNORRLANDS LÄN</t>
        </is>
      </c>
      <c r="E435" t="inlineStr">
        <is>
          <t>SOLLEFTEÅ</t>
        </is>
      </c>
      <c r="F435" t="inlineStr">
        <is>
          <t>SCA</t>
        </is>
      </c>
      <c r="G435" t="n">
        <v>10.2</v>
      </c>
      <c r="H435" t="n">
        <v>0</v>
      </c>
      <c r="I435" t="n">
        <v>0</v>
      </c>
      <c r="J435" t="n">
        <v>0</v>
      </c>
      <c r="K435" t="n">
        <v>0</v>
      </c>
      <c r="L435" t="n">
        <v>0</v>
      </c>
      <c r="M435" t="n">
        <v>0</v>
      </c>
      <c r="N435" t="n">
        <v>0</v>
      </c>
      <c r="O435" t="n">
        <v>0</v>
      </c>
      <c r="P435" t="n">
        <v>0</v>
      </c>
      <c r="Q435" t="n">
        <v>0</v>
      </c>
      <c r="R435" s="2" t="inlineStr"/>
    </row>
    <row r="436" ht="15" customHeight="1">
      <c r="A436" t="inlineStr">
        <is>
          <t>A 12564-2022</t>
        </is>
      </c>
      <c r="B436" s="1" t="n">
        <v>44638</v>
      </c>
      <c r="C436" s="1" t="n">
        <v>46199</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34542-2022</t>
        </is>
      </c>
      <c r="B437" s="1" t="n">
        <v>44793</v>
      </c>
      <c r="C437" s="1" t="n">
        <v>46199</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58486-2021</t>
        </is>
      </c>
      <c r="B438" s="1" t="n">
        <v>44488</v>
      </c>
      <c r="C438" s="1" t="n">
        <v>46199</v>
      </c>
      <c r="D438" t="inlineStr">
        <is>
          <t>VÄSTERNORRLANDS LÄN</t>
        </is>
      </c>
      <c r="E438" t="inlineStr">
        <is>
          <t>SOLLEFTEÅ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71350-2021</t>
        </is>
      </c>
      <c r="B439" s="1" t="n">
        <v>44539</v>
      </c>
      <c r="C439" s="1" t="n">
        <v>46199</v>
      </c>
      <c r="D439" t="inlineStr">
        <is>
          <t>VÄSTERNORRLANDS LÄN</t>
        </is>
      </c>
      <c r="E439" t="inlineStr">
        <is>
          <t>SOLLEFTEÅ</t>
        </is>
      </c>
      <c r="G439" t="n">
        <v>0</v>
      </c>
      <c r="H439" t="n">
        <v>0</v>
      </c>
      <c r="I439" t="n">
        <v>0</v>
      </c>
      <c r="J439" t="n">
        <v>0</v>
      </c>
      <c r="K439" t="n">
        <v>0</v>
      </c>
      <c r="L439" t="n">
        <v>0</v>
      </c>
      <c r="M439" t="n">
        <v>0</v>
      </c>
      <c r="N439" t="n">
        <v>0</v>
      </c>
      <c r="O439" t="n">
        <v>0</v>
      </c>
      <c r="P439" t="n">
        <v>0</v>
      </c>
      <c r="Q439" t="n">
        <v>0</v>
      </c>
      <c r="R439" s="2" t="inlineStr"/>
    </row>
    <row r="440" ht="15" customHeight="1">
      <c r="A440" t="inlineStr">
        <is>
          <t>A 39372-2022</t>
        </is>
      </c>
      <c r="B440" s="1" t="n">
        <v>44817</v>
      </c>
      <c r="C440" s="1" t="n">
        <v>46199</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17045-2022</t>
        </is>
      </c>
      <c r="B441" s="1" t="n">
        <v>44676</v>
      </c>
      <c r="C441" s="1" t="n">
        <v>46199</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3557-2022</t>
        </is>
      </c>
      <c r="B442" s="1" t="n">
        <v>44585</v>
      </c>
      <c r="C442" s="1" t="n">
        <v>46199</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18015-2022</t>
        </is>
      </c>
      <c r="B443" s="1" t="n">
        <v>44683</v>
      </c>
      <c r="C443" s="1" t="n">
        <v>46199</v>
      </c>
      <c r="D443" t="inlineStr">
        <is>
          <t>VÄSTERNORRLANDS LÄN</t>
        </is>
      </c>
      <c r="E443" t="inlineStr">
        <is>
          <t>SOLLEFTEÅ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4555-2022</t>
        </is>
      </c>
      <c r="B444" s="1" t="n">
        <v>44590</v>
      </c>
      <c r="C444" s="1" t="n">
        <v>46199</v>
      </c>
      <c r="D444" t="inlineStr">
        <is>
          <t>VÄSTERNORRLANDS LÄN</t>
        </is>
      </c>
      <c r="E444" t="inlineStr">
        <is>
          <t>SOLLEFTEÅ</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10927-2022</t>
        </is>
      </c>
      <c r="B445" s="1" t="n">
        <v>44627</v>
      </c>
      <c r="C445" s="1" t="n">
        <v>46199</v>
      </c>
      <c r="D445" t="inlineStr">
        <is>
          <t>VÄSTERNORRLANDS LÄN</t>
        </is>
      </c>
      <c r="E445" t="inlineStr">
        <is>
          <t>SOLLEFTEÅ</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27282-2022</t>
        </is>
      </c>
      <c r="B446" s="1" t="n">
        <v>44741</v>
      </c>
      <c r="C446" s="1" t="n">
        <v>46199</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39006-2022</t>
        </is>
      </c>
      <c r="B447" s="1" t="n">
        <v>44816</v>
      </c>
      <c r="C447" s="1" t="n">
        <v>46199</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24322-2022</t>
        </is>
      </c>
      <c r="B448" s="1" t="n">
        <v>44725</v>
      </c>
      <c r="C448" s="1" t="n">
        <v>46199</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30043-2022</t>
        </is>
      </c>
      <c r="B449" s="1" t="n">
        <v>44756</v>
      </c>
      <c r="C449" s="1" t="n">
        <v>46199</v>
      </c>
      <c r="D449" t="inlineStr">
        <is>
          <t>VÄSTERNORRLANDS LÄN</t>
        </is>
      </c>
      <c r="E449" t="inlineStr">
        <is>
          <t>SOLLEFTEÅ</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29842-2022</t>
        </is>
      </c>
      <c r="B450" s="1" t="n">
        <v>44756</v>
      </c>
      <c r="C450" s="1" t="n">
        <v>46199</v>
      </c>
      <c r="D450" t="inlineStr">
        <is>
          <t>VÄSTERNORRLANDS LÄN</t>
        </is>
      </c>
      <c r="E450" t="inlineStr">
        <is>
          <t>SOLLEFTEÅ</t>
        </is>
      </c>
      <c r="F450" t="inlineStr">
        <is>
          <t>Holmen skog AB</t>
        </is>
      </c>
      <c r="G450" t="n">
        <v>0.3</v>
      </c>
      <c r="H450" t="n">
        <v>0</v>
      </c>
      <c r="I450" t="n">
        <v>0</v>
      </c>
      <c r="J450" t="n">
        <v>0</v>
      </c>
      <c r="K450" t="n">
        <v>0</v>
      </c>
      <c r="L450" t="n">
        <v>0</v>
      </c>
      <c r="M450" t="n">
        <v>0</v>
      </c>
      <c r="N450" t="n">
        <v>0</v>
      </c>
      <c r="O450" t="n">
        <v>0</v>
      </c>
      <c r="P450" t="n">
        <v>0</v>
      </c>
      <c r="Q450" t="n">
        <v>0</v>
      </c>
      <c r="R450" s="2" t="inlineStr"/>
    </row>
    <row r="451" ht="15" customHeight="1">
      <c r="A451" t="inlineStr">
        <is>
          <t>A 67390-2021</t>
        </is>
      </c>
      <c r="B451" s="1" t="n">
        <v>44523</v>
      </c>
      <c r="C451" s="1" t="n">
        <v>46199</v>
      </c>
      <c r="D451" t="inlineStr">
        <is>
          <t>VÄSTERNORRLANDS LÄN</t>
        </is>
      </c>
      <c r="E451" t="inlineStr">
        <is>
          <t>SOLLEFTEÅ</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49175-2022</t>
        </is>
      </c>
      <c r="B452" s="1" t="n">
        <v>44860</v>
      </c>
      <c r="C452" s="1" t="n">
        <v>46199</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21714-2022</t>
        </is>
      </c>
      <c r="B453" s="1" t="n">
        <v>44707</v>
      </c>
      <c r="C453" s="1" t="n">
        <v>46199</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67085-2021</t>
        </is>
      </c>
      <c r="B454" s="1" t="n">
        <v>44522</v>
      </c>
      <c r="C454" s="1" t="n">
        <v>46199</v>
      </c>
      <c r="D454" t="inlineStr">
        <is>
          <t>VÄSTERNORRLANDS LÄN</t>
        </is>
      </c>
      <c r="E454" t="inlineStr">
        <is>
          <t>SOLLEFTEÅ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10417-2022</t>
        </is>
      </c>
      <c r="B455" s="1" t="n">
        <v>44623</v>
      </c>
      <c r="C455" s="1" t="n">
        <v>46199</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45423-2022</t>
        </is>
      </c>
      <c r="B456" s="1" t="n">
        <v>44844</v>
      </c>
      <c r="C456" s="1" t="n">
        <v>46199</v>
      </c>
      <c r="D456" t="inlineStr">
        <is>
          <t>VÄSTERNORRLANDS LÄN</t>
        </is>
      </c>
      <c r="E456" t="inlineStr">
        <is>
          <t>SOLLEFTEÅ</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42219-2021</t>
        </is>
      </c>
      <c r="B457" s="1" t="n">
        <v>44426</v>
      </c>
      <c r="C457" s="1" t="n">
        <v>46199</v>
      </c>
      <c r="D457" t="inlineStr">
        <is>
          <t>VÄSTERNORRLANDS LÄN</t>
        </is>
      </c>
      <c r="E457" t="inlineStr">
        <is>
          <t>SOLLEFTEÅ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41172-2022</t>
        </is>
      </c>
      <c r="B458" s="1" t="n">
        <v>44825</v>
      </c>
      <c r="C458" s="1" t="n">
        <v>46199</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1987-2022</t>
        </is>
      </c>
      <c r="B459" s="1" t="n">
        <v>44575</v>
      </c>
      <c r="C459" s="1" t="n">
        <v>46199</v>
      </c>
      <c r="D459" t="inlineStr">
        <is>
          <t>VÄSTERNORRLANDS LÄN</t>
        </is>
      </c>
      <c r="E459" t="inlineStr">
        <is>
          <t>SOLLEFTEÅ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38663-2022</t>
        </is>
      </c>
      <c r="B460" s="1" t="n">
        <v>44813</v>
      </c>
      <c r="C460" s="1" t="n">
        <v>46199</v>
      </c>
      <c r="D460" t="inlineStr">
        <is>
          <t>VÄSTERNORRLANDS LÄN</t>
        </is>
      </c>
      <c r="E460" t="inlineStr">
        <is>
          <t>SOLLEFTEÅ</t>
        </is>
      </c>
      <c r="G460" t="n">
        <v>3.4</v>
      </c>
      <c r="H460" t="n">
        <v>0</v>
      </c>
      <c r="I460" t="n">
        <v>0</v>
      </c>
      <c r="J460" t="n">
        <v>0</v>
      </c>
      <c r="K460" t="n">
        <v>0</v>
      </c>
      <c r="L460" t="n">
        <v>0</v>
      </c>
      <c r="M460" t="n">
        <v>0</v>
      </c>
      <c r="N460" t="n">
        <v>0</v>
      </c>
      <c r="O460" t="n">
        <v>0</v>
      </c>
      <c r="P460" t="n">
        <v>0</v>
      </c>
      <c r="Q460" t="n">
        <v>0</v>
      </c>
      <c r="R460" s="2" t="inlineStr"/>
    </row>
    <row r="461" ht="15" customHeight="1">
      <c r="A461" t="inlineStr">
        <is>
          <t>A 31490-2022</t>
        </is>
      </c>
      <c r="B461" s="1" t="n">
        <v>44774</v>
      </c>
      <c r="C461" s="1" t="n">
        <v>46199</v>
      </c>
      <c r="D461" t="inlineStr">
        <is>
          <t>VÄSTERNORRLANDS LÄN</t>
        </is>
      </c>
      <c r="E461" t="inlineStr">
        <is>
          <t>SOLLEFTEÅ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1094-2022</t>
        </is>
      </c>
      <c r="B462" s="1" t="n">
        <v>44571</v>
      </c>
      <c r="C462" s="1" t="n">
        <v>46199</v>
      </c>
      <c r="D462" t="inlineStr">
        <is>
          <t>VÄSTERNORRLANDS LÄN</t>
        </is>
      </c>
      <c r="E462" t="inlineStr">
        <is>
          <t>SOLLEFTEÅ</t>
        </is>
      </c>
      <c r="F462" t="inlineStr">
        <is>
          <t>SCA</t>
        </is>
      </c>
      <c r="G462" t="n">
        <v>6</v>
      </c>
      <c r="H462" t="n">
        <v>0</v>
      </c>
      <c r="I462" t="n">
        <v>0</v>
      </c>
      <c r="J462" t="n">
        <v>0</v>
      </c>
      <c r="K462" t="n">
        <v>0</v>
      </c>
      <c r="L462" t="n">
        <v>0</v>
      </c>
      <c r="M462" t="n">
        <v>0</v>
      </c>
      <c r="N462" t="n">
        <v>0</v>
      </c>
      <c r="O462" t="n">
        <v>0</v>
      </c>
      <c r="P462" t="n">
        <v>0</v>
      </c>
      <c r="Q462" t="n">
        <v>0</v>
      </c>
      <c r="R462" s="2" t="inlineStr"/>
    </row>
    <row r="463" ht="15" customHeight="1">
      <c r="A463" t="inlineStr">
        <is>
          <t>A 64947-2021</t>
        </is>
      </c>
      <c r="B463" s="1" t="n">
        <v>44512</v>
      </c>
      <c r="C463" s="1" t="n">
        <v>46199</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v>
      </c>
      <c r="C464" s="1" t="n">
        <v>46199</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18196-2022</t>
        </is>
      </c>
      <c r="B465" s="1" t="n">
        <v>44684</v>
      </c>
      <c r="C465" s="1" t="n">
        <v>46199</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68843-2021</t>
        </is>
      </c>
      <c r="B466" s="1" t="n">
        <v>44530</v>
      </c>
      <c r="C466" s="1" t="n">
        <v>46199</v>
      </c>
      <c r="D466" t="inlineStr">
        <is>
          <t>VÄSTERNORRLANDS LÄN</t>
        </is>
      </c>
      <c r="E466" t="inlineStr">
        <is>
          <t>SOLLEFTEÅ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5110-2022</t>
        </is>
      </c>
      <c r="B467" s="1" t="n">
        <v>44593</v>
      </c>
      <c r="C467" s="1" t="n">
        <v>46199</v>
      </c>
      <c r="D467" t="inlineStr">
        <is>
          <t>VÄSTERNORRLANDS LÄN</t>
        </is>
      </c>
      <c r="E467" t="inlineStr">
        <is>
          <t>SOLLEFTEÅ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35862-2021</t>
        </is>
      </c>
      <c r="B468" s="1" t="n">
        <v>44386</v>
      </c>
      <c r="C468" s="1" t="n">
        <v>46199</v>
      </c>
      <c r="D468" t="inlineStr">
        <is>
          <t>VÄSTERNORRLANDS LÄN</t>
        </is>
      </c>
      <c r="E468" t="inlineStr">
        <is>
          <t>SOLLEFTEÅ</t>
        </is>
      </c>
      <c r="G468" t="n">
        <v>5.5</v>
      </c>
      <c r="H468" t="n">
        <v>0</v>
      </c>
      <c r="I468" t="n">
        <v>0</v>
      </c>
      <c r="J468" t="n">
        <v>0</v>
      </c>
      <c r="K468" t="n">
        <v>0</v>
      </c>
      <c r="L468" t="n">
        <v>0</v>
      </c>
      <c r="M468" t="n">
        <v>0</v>
      </c>
      <c r="N468" t="n">
        <v>0</v>
      </c>
      <c r="O468" t="n">
        <v>0</v>
      </c>
      <c r="P468" t="n">
        <v>0</v>
      </c>
      <c r="Q468" t="n">
        <v>0</v>
      </c>
      <c r="R468" s="2" t="inlineStr"/>
    </row>
    <row r="469" ht="15" customHeight="1">
      <c r="A469" t="inlineStr">
        <is>
          <t>A 44454-2022</t>
        </is>
      </c>
      <c r="B469" s="1" t="n">
        <v>44839</v>
      </c>
      <c r="C469" s="1" t="n">
        <v>46199</v>
      </c>
      <c r="D469" t="inlineStr">
        <is>
          <t>VÄSTERNORRLANDS LÄN</t>
        </is>
      </c>
      <c r="E469" t="inlineStr">
        <is>
          <t>SOLLEFTEÅ</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14299-2022</t>
        </is>
      </c>
      <c r="B470" s="1" t="n">
        <v>44651</v>
      </c>
      <c r="C470" s="1" t="n">
        <v>46199</v>
      </c>
      <c r="D470" t="inlineStr">
        <is>
          <t>VÄSTERNORRLANDS LÄN</t>
        </is>
      </c>
      <c r="E470" t="inlineStr">
        <is>
          <t>SOLLEFTEÅ</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41475-2022</t>
        </is>
      </c>
      <c r="B471" s="1" t="n">
        <v>44826</v>
      </c>
      <c r="C471" s="1" t="n">
        <v>46199</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46664-2022</t>
        </is>
      </c>
      <c r="B472" s="1" t="n">
        <v>44850</v>
      </c>
      <c r="C472" s="1" t="n">
        <v>46199</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39594-2021</t>
        </is>
      </c>
      <c r="B473" s="1" t="n">
        <v>44413</v>
      </c>
      <c r="C473" s="1" t="n">
        <v>46199</v>
      </c>
      <c r="D473" t="inlineStr">
        <is>
          <t>VÄSTERNORRLANDS LÄN</t>
        </is>
      </c>
      <c r="E473" t="inlineStr">
        <is>
          <t>SOLLEFTEÅ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46199</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12562-2022</t>
        </is>
      </c>
      <c r="B475" s="1" t="n">
        <v>44638</v>
      </c>
      <c r="C475" s="1" t="n">
        <v>46199</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55209-2022</t>
        </is>
      </c>
      <c r="B476" s="1" t="n">
        <v>44886</v>
      </c>
      <c r="C476" s="1" t="n">
        <v>46199</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20994-2022</t>
        </is>
      </c>
      <c r="B477" s="1" t="n">
        <v>44703</v>
      </c>
      <c r="C477" s="1" t="n">
        <v>46199</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20996-2022</t>
        </is>
      </c>
      <c r="B478" s="1" t="n">
        <v>44703</v>
      </c>
      <c r="C478" s="1" t="n">
        <v>46199</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49694-2022</t>
        </is>
      </c>
      <c r="B479" s="1" t="n">
        <v>44859</v>
      </c>
      <c r="C479" s="1" t="n">
        <v>46199</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30032-2022</t>
        </is>
      </c>
      <c r="B480" s="1" t="n">
        <v>44756</v>
      </c>
      <c r="C480" s="1" t="n">
        <v>46199</v>
      </c>
      <c r="D480" t="inlineStr">
        <is>
          <t>VÄSTERNORRLANDS LÄN</t>
        </is>
      </c>
      <c r="E480" t="inlineStr">
        <is>
          <t>SOLLEFTEÅ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46324-2022</t>
        </is>
      </c>
      <c r="B481" s="1" t="n">
        <v>44847</v>
      </c>
      <c r="C481" s="1" t="n">
        <v>46199</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12007-2022</t>
        </is>
      </c>
      <c r="B482" s="1" t="n">
        <v>44635</v>
      </c>
      <c r="C482" s="1" t="n">
        <v>46199</v>
      </c>
      <c r="D482" t="inlineStr">
        <is>
          <t>VÄSTERNORRLANDS LÄN</t>
        </is>
      </c>
      <c r="E482" t="inlineStr">
        <is>
          <t>SOLLEFTEÅ</t>
        </is>
      </c>
      <c r="G482" t="n">
        <v>0.4</v>
      </c>
      <c r="H482" t="n">
        <v>0</v>
      </c>
      <c r="I482" t="n">
        <v>0</v>
      </c>
      <c r="J482" t="n">
        <v>0</v>
      </c>
      <c r="K482" t="n">
        <v>0</v>
      </c>
      <c r="L482" t="n">
        <v>0</v>
      </c>
      <c r="M482" t="n">
        <v>0</v>
      </c>
      <c r="N482" t="n">
        <v>0</v>
      </c>
      <c r="O482" t="n">
        <v>0</v>
      </c>
      <c r="P482" t="n">
        <v>0</v>
      </c>
      <c r="Q482" t="n">
        <v>0</v>
      </c>
      <c r="R482" s="2" t="inlineStr"/>
    </row>
    <row r="483" ht="15" customHeight="1">
      <c r="A483" t="inlineStr">
        <is>
          <t>A 43124-2022</t>
        </is>
      </c>
      <c r="B483" s="1" t="n">
        <v>44833</v>
      </c>
      <c r="C483" s="1" t="n">
        <v>46199</v>
      </c>
      <c r="D483" t="inlineStr">
        <is>
          <t>VÄSTERNORRLANDS LÄN</t>
        </is>
      </c>
      <c r="E483" t="inlineStr">
        <is>
          <t>SOLLEFTEÅ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51442-2021</t>
        </is>
      </c>
      <c r="B484" s="1" t="n">
        <v>44461</v>
      </c>
      <c r="C484" s="1" t="n">
        <v>46199</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51443-2021</t>
        </is>
      </c>
      <c r="B485" s="1" t="n">
        <v>44461</v>
      </c>
      <c r="C485" s="1" t="n">
        <v>46199</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57856-2021</t>
        </is>
      </c>
      <c r="B486" s="1" t="n">
        <v>44484</v>
      </c>
      <c r="C486" s="1" t="n">
        <v>46199</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18013-2022</t>
        </is>
      </c>
      <c r="B487" s="1" t="n">
        <v>44683</v>
      </c>
      <c r="C487" s="1" t="n">
        <v>46199</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21404-2022</t>
        </is>
      </c>
      <c r="B488" s="1" t="n">
        <v>44705</v>
      </c>
      <c r="C488" s="1" t="n">
        <v>46199</v>
      </c>
      <c r="D488" t="inlineStr">
        <is>
          <t>VÄSTERNORRLANDS LÄN</t>
        </is>
      </c>
      <c r="E488" t="inlineStr">
        <is>
          <t>SOLLEFTEÅ</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64939-2021</t>
        </is>
      </c>
      <c r="B489" s="1" t="n">
        <v>44512</v>
      </c>
      <c r="C489" s="1" t="n">
        <v>46199</v>
      </c>
      <c r="D489" t="inlineStr">
        <is>
          <t>VÄSTERNORRLANDS LÄN</t>
        </is>
      </c>
      <c r="E489" t="inlineStr">
        <is>
          <t>SOLLEFTEÅ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25339-2022</t>
        </is>
      </c>
      <c r="B490" s="1" t="n">
        <v>44731</v>
      </c>
      <c r="C490" s="1" t="n">
        <v>46199</v>
      </c>
      <c r="D490" t="inlineStr">
        <is>
          <t>VÄSTERNORRLANDS LÄN</t>
        </is>
      </c>
      <c r="E490" t="inlineStr">
        <is>
          <t>SOLLEFTEÅ</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41192-2022</t>
        </is>
      </c>
      <c r="B491" s="1" t="n">
        <v>44825</v>
      </c>
      <c r="C491" s="1" t="n">
        <v>46199</v>
      </c>
      <c r="D491" t="inlineStr">
        <is>
          <t>VÄSTERNORRLANDS LÄN</t>
        </is>
      </c>
      <c r="E491" t="inlineStr">
        <is>
          <t>SOLLEFTEÅ</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41195-2022</t>
        </is>
      </c>
      <c r="B492" s="1" t="n">
        <v>44825</v>
      </c>
      <c r="C492" s="1" t="n">
        <v>46199</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34267-2022</t>
        </is>
      </c>
      <c r="B493" s="1" t="n">
        <v>44791</v>
      </c>
      <c r="C493" s="1" t="n">
        <v>46199</v>
      </c>
      <c r="D493" t="inlineStr">
        <is>
          <t>VÄSTERNORRLANDS LÄN</t>
        </is>
      </c>
      <c r="E493" t="inlineStr">
        <is>
          <t>SOLLEFTEÅ</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72977-2021</t>
        </is>
      </c>
      <c r="B494" s="1" t="n">
        <v>44548</v>
      </c>
      <c r="C494" s="1" t="n">
        <v>46199</v>
      </c>
      <c r="D494" t="inlineStr">
        <is>
          <t>VÄSTERNORRLANDS LÄN</t>
        </is>
      </c>
      <c r="E494" t="inlineStr">
        <is>
          <t>SOLLEFTEÅ</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6121-2022</t>
        </is>
      </c>
      <c r="B495" s="1" t="n">
        <v>44599</v>
      </c>
      <c r="C495" s="1" t="n">
        <v>46199</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48511-2022</t>
        </is>
      </c>
      <c r="B496" s="1" t="n">
        <v>44858</v>
      </c>
      <c r="C496" s="1" t="n">
        <v>46199</v>
      </c>
      <c r="D496" t="inlineStr">
        <is>
          <t>VÄSTERNORRLANDS LÄN</t>
        </is>
      </c>
      <c r="E496" t="inlineStr">
        <is>
          <t>SOLLEFTEÅ</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45105-2021</t>
        </is>
      </c>
      <c r="B497" s="1" t="n">
        <v>44439</v>
      </c>
      <c r="C497" s="1" t="n">
        <v>46199</v>
      </c>
      <c r="D497" t="inlineStr">
        <is>
          <t>VÄSTERNORRLANDS LÄN</t>
        </is>
      </c>
      <c r="E497" t="inlineStr">
        <is>
          <t>SOLLEFTEÅ</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15090-2022</t>
        </is>
      </c>
      <c r="B498" s="1" t="n">
        <v>44657</v>
      </c>
      <c r="C498" s="1" t="n">
        <v>46199</v>
      </c>
      <c r="D498" t="inlineStr">
        <is>
          <t>VÄSTERNORRLANDS LÄN</t>
        </is>
      </c>
      <c r="E498" t="inlineStr">
        <is>
          <t>SOLLEFTEÅ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58268-2021</t>
        </is>
      </c>
      <c r="B499" s="1" t="n">
        <v>44487</v>
      </c>
      <c r="C499" s="1" t="n">
        <v>46199</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57911-2021</t>
        </is>
      </c>
      <c r="B500" s="1" t="n">
        <v>44486</v>
      </c>
      <c r="C500" s="1" t="n">
        <v>46199</v>
      </c>
      <c r="D500" t="inlineStr">
        <is>
          <t>VÄSTERNORRLANDS LÄN</t>
        </is>
      </c>
      <c r="E500" t="inlineStr">
        <is>
          <t>SOLLEFTEÅ</t>
        </is>
      </c>
      <c r="G500" t="n">
        <v>3.1</v>
      </c>
      <c r="H500" t="n">
        <v>0</v>
      </c>
      <c r="I500" t="n">
        <v>0</v>
      </c>
      <c r="J500" t="n">
        <v>0</v>
      </c>
      <c r="K500" t="n">
        <v>0</v>
      </c>
      <c r="L500" t="n">
        <v>0</v>
      </c>
      <c r="M500" t="n">
        <v>0</v>
      </c>
      <c r="N500" t="n">
        <v>0</v>
      </c>
      <c r="O500" t="n">
        <v>0</v>
      </c>
      <c r="P500" t="n">
        <v>0</v>
      </c>
      <c r="Q500" t="n">
        <v>0</v>
      </c>
      <c r="R500" s="2" t="inlineStr"/>
    </row>
    <row r="501" ht="15" customHeight="1">
      <c r="A501" t="inlineStr">
        <is>
          <t>A 71348-2021</t>
        </is>
      </c>
      <c r="B501" s="1" t="n">
        <v>44539</v>
      </c>
      <c r="C501" s="1" t="n">
        <v>46199</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71351-2021</t>
        </is>
      </c>
      <c r="B502" s="1" t="n">
        <v>44539</v>
      </c>
      <c r="C502" s="1" t="n">
        <v>46199</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v>
      </c>
      <c r="C503" s="1" t="n">
        <v>46199</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v>
      </c>
      <c r="C504" s="1" t="n">
        <v>46199</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v>
      </c>
      <c r="C505" s="1" t="n">
        <v>46199</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v>
      </c>
      <c r="C506" s="1" t="n">
        <v>46199</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46199</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46199</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12758-2022</t>
        </is>
      </c>
      <c r="B509" s="1" t="n">
        <v>44641</v>
      </c>
      <c r="C509" s="1" t="n">
        <v>46199</v>
      </c>
      <c r="D509" t="inlineStr">
        <is>
          <t>VÄSTERNORRLANDS LÄN</t>
        </is>
      </c>
      <c r="E509" t="inlineStr">
        <is>
          <t>SOLLEFTEÅ</t>
        </is>
      </c>
      <c r="G509" t="n">
        <v>0.1</v>
      </c>
      <c r="H509" t="n">
        <v>0</v>
      </c>
      <c r="I509" t="n">
        <v>0</v>
      </c>
      <c r="J509" t="n">
        <v>0</v>
      </c>
      <c r="K509" t="n">
        <v>0</v>
      </c>
      <c r="L509" t="n">
        <v>0</v>
      </c>
      <c r="M509" t="n">
        <v>0</v>
      </c>
      <c r="N509" t="n">
        <v>0</v>
      </c>
      <c r="O509" t="n">
        <v>0</v>
      </c>
      <c r="P509" t="n">
        <v>0</v>
      </c>
      <c r="Q509" t="n">
        <v>0</v>
      </c>
      <c r="R509" s="2" t="inlineStr"/>
    </row>
    <row r="510" ht="15" customHeight="1">
      <c r="A510" t="inlineStr">
        <is>
          <t>A 25295-2022</t>
        </is>
      </c>
      <c r="B510" s="1" t="n">
        <v>44730</v>
      </c>
      <c r="C510" s="1" t="n">
        <v>46199</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11133-2022</t>
        </is>
      </c>
      <c r="B511" s="1" t="n">
        <v>44628</v>
      </c>
      <c r="C511" s="1" t="n">
        <v>46199</v>
      </c>
      <c r="D511" t="inlineStr">
        <is>
          <t>VÄSTERNORRLANDS LÄN</t>
        </is>
      </c>
      <c r="E511" t="inlineStr">
        <is>
          <t>SOLLEFTEÅ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46199</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v>
      </c>
      <c r="C513" s="1" t="n">
        <v>46199</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31452-2022</t>
        </is>
      </c>
      <c r="B514" s="1" t="n">
        <v>44774</v>
      </c>
      <c r="C514" s="1" t="n">
        <v>46199</v>
      </c>
      <c r="D514" t="inlineStr">
        <is>
          <t>VÄSTERNORRLANDS LÄN</t>
        </is>
      </c>
      <c r="E514" t="inlineStr">
        <is>
          <t>SOLLEFTEÅ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51020-2021</t>
        </is>
      </c>
      <c r="B515" s="1" t="n">
        <v>44460</v>
      </c>
      <c r="C515" s="1" t="n">
        <v>46199</v>
      </c>
      <c r="D515" t="inlineStr">
        <is>
          <t>VÄSTERNORRLANDS LÄN</t>
        </is>
      </c>
      <c r="E515" t="inlineStr">
        <is>
          <t>SOLLEFTEÅ</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46199</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v>
      </c>
      <c r="C517" s="1" t="n">
        <v>46199</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v>
      </c>
      <c r="C518" s="1" t="n">
        <v>46199</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v>
      </c>
      <c r="C519" s="1" t="n">
        <v>46199</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46199</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30013-2022</t>
        </is>
      </c>
      <c r="B521" s="1" t="n">
        <v>44756</v>
      </c>
      <c r="C521" s="1" t="n">
        <v>46199</v>
      </c>
      <c r="D521" t="inlineStr">
        <is>
          <t>VÄSTERNORRLANDS LÄN</t>
        </is>
      </c>
      <c r="E521" t="inlineStr">
        <is>
          <t>SOLLEFTEÅ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30041-2022</t>
        </is>
      </c>
      <c r="B522" s="1" t="n">
        <v>44756</v>
      </c>
      <c r="C522" s="1" t="n">
        <v>46199</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38430-2022</t>
        </is>
      </c>
      <c r="B523" s="1" t="n">
        <v>44812</v>
      </c>
      <c r="C523" s="1" t="n">
        <v>46199</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3549-2022</t>
        </is>
      </c>
      <c r="B524" s="1" t="n">
        <v>44585</v>
      </c>
      <c r="C524" s="1" t="n">
        <v>46199</v>
      </c>
      <c r="D524" t="inlineStr">
        <is>
          <t>VÄSTERNORRLANDS LÄN</t>
        </is>
      </c>
      <c r="E524" t="inlineStr">
        <is>
          <t>SOLLEFTEÅ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26415-2022</t>
        </is>
      </c>
      <c r="B525" s="1" t="n">
        <v>44735</v>
      </c>
      <c r="C525" s="1" t="n">
        <v>46199</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73886-2021</t>
        </is>
      </c>
      <c r="B526" s="1" t="n">
        <v>44553</v>
      </c>
      <c r="C526" s="1" t="n">
        <v>46199</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v>
      </c>
      <c r="C527" s="1" t="n">
        <v>46199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35574-2021</t>
        </is>
      </c>
      <c r="B528" s="1" t="n">
        <v>44385</v>
      </c>
      <c r="C528" s="1" t="n">
        <v>46199</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53012-2022</t>
        </is>
      </c>
      <c r="B529" s="1" t="n">
        <v>44875</v>
      </c>
      <c r="C529" s="1" t="n">
        <v>46199</v>
      </c>
      <c r="D529" t="inlineStr">
        <is>
          <t>VÄSTERNORRLANDS LÄN</t>
        </is>
      </c>
      <c r="E529" t="inlineStr">
        <is>
          <t>SOLLEFTEÅ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10308-2022</t>
        </is>
      </c>
      <c r="B530" s="1" t="n">
        <v>44622</v>
      </c>
      <c r="C530" s="1" t="n">
        <v>46199</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10311-2022</t>
        </is>
      </c>
      <c r="B531" s="1" t="n">
        <v>44622</v>
      </c>
      <c r="C531" s="1" t="n">
        <v>46199</v>
      </c>
      <c r="D531" t="inlineStr">
        <is>
          <t>VÄSTERNORRLANDS LÄN</t>
        </is>
      </c>
      <c r="E531" t="inlineStr">
        <is>
          <t>SOLLEFTEÅ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10141-2022</t>
        </is>
      </c>
      <c r="B532" s="1" t="n">
        <v>44621</v>
      </c>
      <c r="C532" s="1" t="n">
        <v>46199</v>
      </c>
      <c r="D532" t="inlineStr">
        <is>
          <t>VÄSTERNORRLANDS LÄN</t>
        </is>
      </c>
      <c r="E532" t="inlineStr">
        <is>
          <t>SOLLEFTEÅ</t>
        </is>
      </c>
      <c r="F532" t="inlineStr">
        <is>
          <t>SCA</t>
        </is>
      </c>
      <c r="G532" t="n">
        <v>15.5</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v>
      </c>
      <c r="C533" s="1" t="n">
        <v>46199</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10309-2022</t>
        </is>
      </c>
      <c r="B534" s="1" t="n">
        <v>44622</v>
      </c>
      <c r="C534" s="1" t="n">
        <v>46199</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10310-2022</t>
        </is>
      </c>
      <c r="B535" s="1" t="n">
        <v>44622</v>
      </c>
      <c r="C535" s="1" t="n">
        <v>46199</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38095-2022</t>
        </is>
      </c>
      <c r="B536" s="1" t="n">
        <v>44811</v>
      </c>
      <c r="C536" s="1" t="n">
        <v>46199</v>
      </c>
      <c r="D536" t="inlineStr">
        <is>
          <t>VÄSTERNORRLANDS LÄN</t>
        </is>
      </c>
      <c r="E536" t="inlineStr">
        <is>
          <t>SOLLEFTEÅ</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14477-2022</t>
        </is>
      </c>
      <c r="B537" s="1" t="n">
        <v>44654</v>
      </c>
      <c r="C537" s="1" t="n">
        <v>46199</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59343-2021</t>
        </is>
      </c>
      <c r="B538" s="1" t="n">
        <v>44490</v>
      </c>
      <c r="C538" s="1" t="n">
        <v>46199</v>
      </c>
      <c r="D538" t="inlineStr">
        <is>
          <t>VÄSTERNORRLANDS LÄN</t>
        </is>
      </c>
      <c r="E538" t="inlineStr">
        <is>
          <t>SOLLEFTEÅ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24735-2022</t>
        </is>
      </c>
      <c r="B539" s="1" t="n">
        <v>44727</v>
      </c>
      <c r="C539" s="1" t="n">
        <v>46199</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14447-2022</t>
        </is>
      </c>
      <c r="B540" s="1" t="n">
        <v>44652</v>
      </c>
      <c r="C540" s="1" t="n">
        <v>46199</v>
      </c>
      <c r="D540" t="inlineStr">
        <is>
          <t>VÄSTERNORRLANDS LÄN</t>
        </is>
      </c>
      <c r="E540" t="inlineStr">
        <is>
          <t>SOLLEFTEÅ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21635-2022</t>
        </is>
      </c>
      <c r="B541" s="1" t="n">
        <v>44706</v>
      </c>
      <c r="C541" s="1" t="n">
        <v>46199</v>
      </c>
      <c r="D541" t="inlineStr">
        <is>
          <t>VÄSTERNORRLANDS LÄN</t>
        </is>
      </c>
      <c r="E541" t="inlineStr">
        <is>
          <t>SOLLEFTEÅ</t>
        </is>
      </c>
      <c r="G541" t="n">
        <v>0.3</v>
      </c>
      <c r="H541" t="n">
        <v>0</v>
      </c>
      <c r="I541" t="n">
        <v>0</v>
      </c>
      <c r="J541" t="n">
        <v>0</v>
      </c>
      <c r="K541" t="n">
        <v>0</v>
      </c>
      <c r="L541" t="n">
        <v>0</v>
      </c>
      <c r="M541" t="n">
        <v>0</v>
      </c>
      <c r="N541" t="n">
        <v>0</v>
      </c>
      <c r="O541" t="n">
        <v>0</v>
      </c>
      <c r="P541" t="n">
        <v>0</v>
      </c>
      <c r="Q541" t="n">
        <v>0</v>
      </c>
      <c r="R541" s="2" t="inlineStr"/>
    </row>
    <row r="542" ht="15" customHeight="1">
      <c r="A542" t="inlineStr">
        <is>
          <t>A 27283-2022</t>
        </is>
      </c>
      <c r="B542" s="1" t="n">
        <v>44741</v>
      </c>
      <c r="C542" s="1" t="n">
        <v>46199</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73285-2021</t>
        </is>
      </c>
      <c r="B543" s="1" t="n">
        <v>44550</v>
      </c>
      <c r="C543" s="1" t="n">
        <v>46199</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61496-2021</t>
        </is>
      </c>
      <c r="B544" s="1" t="n">
        <v>44501</v>
      </c>
      <c r="C544" s="1" t="n">
        <v>46199</v>
      </c>
      <c r="D544" t="inlineStr">
        <is>
          <t>VÄSTERNORRLANDS LÄN</t>
        </is>
      </c>
      <c r="E544" t="inlineStr">
        <is>
          <t>SOLLEFTEÅ</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6170-2022</t>
        </is>
      </c>
      <c r="B545" s="1" t="n">
        <v>44599</v>
      </c>
      <c r="C545" s="1" t="n">
        <v>46199</v>
      </c>
      <c r="D545" t="inlineStr">
        <is>
          <t>VÄSTERNORRLANDS LÄN</t>
        </is>
      </c>
      <c r="E545" t="inlineStr">
        <is>
          <t>SOLLEFTEÅ</t>
        </is>
      </c>
      <c r="G545" t="n">
        <v>1.6</v>
      </c>
      <c r="H545" t="n">
        <v>0</v>
      </c>
      <c r="I545" t="n">
        <v>0</v>
      </c>
      <c r="J545" t="n">
        <v>0</v>
      </c>
      <c r="K545" t="n">
        <v>0</v>
      </c>
      <c r="L545" t="n">
        <v>0</v>
      </c>
      <c r="M545" t="n">
        <v>0</v>
      </c>
      <c r="N545" t="n">
        <v>0</v>
      </c>
      <c r="O545" t="n">
        <v>0</v>
      </c>
      <c r="P545" t="n">
        <v>0</v>
      </c>
      <c r="Q545" t="n">
        <v>0</v>
      </c>
      <c r="R545" s="2" t="inlineStr"/>
    </row>
    <row r="546" ht="15" customHeight="1">
      <c r="A546" t="inlineStr">
        <is>
          <t>A 27018-2022</t>
        </is>
      </c>
      <c r="B546" s="1" t="n">
        <v>44740</v>
      </c>
      <c r="C546" s="1" t="n">
        <v>46199</v>
      </c>
      <c r="D546" t="inlineStr">
        <is>
          <t>VÄSTERNORRLANDS LÄN</t>
        </is>
      </c>
      <c r="E546" t="inlineStr">
        <is>
          <t>SOLLEFTEÅ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14065-2022</t>
        </is>
      </c>
      <c r="B547" s="1" t="n">
        <v>44650</v>
      </c>
      <c r="C547" s="1" t="n">
        <v>46199</v>
      </c>
      <c r="D547" t="inlineStr">
        <is>
          <t>VÄSTERNORRLANDS LÄN</t>
        </is>
      </c>
      <c r="E547" t="inlineStr">
        <is>
          <t>SOLLEFTEÅ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36579-2021</t>
        </is>
      </c>
      <c r="B548" s="1" t="n">
        <v>44391</v>
      </c>
      <c r="C548" s="1" t="n">
        <v>46199</v>
      </c>
      <c r="D548" t="inlineStr">
        <is>
          <t>VÄSTERNORRLANDS LÄN</t>
        </is>
      </c>
      <c r="E548" t="inlineStr">
        <is>
          <t>SOLLEFTEÅ</t>
        </is>
      </c>
      <c r="G548" t="n">
        <v>6.9</v>
      </c>
      <c r="H548" t="n">
        <v>0</v>
      </c>
      <c r="I548" t="n">
        <v>0</v>
      </c>
      <c r="J548" t="n">
        <v>0</v>
      </c>
      <c r="K548" t="n">
        <v>0</v>
      </c>
      <c r="L548" t="n">
        <v>0</v>
      </c>
      <c r="M548" t="n">
        <v>0</v>
      </c>
      <c r="N548" t="n">
        <v>0</v>
      </c>
      <c r="O548" t="n">
        <v>0</v>
      </c>
      <c r="P548" t="n">
        <v>0</v>
      </c>
      <c r="Q548" t="n">
        <v>0</v>
      </c>
      <c r="R548" s="2" t="inlineStr"/>
    </row>
    <row r="549" ht="15" customHeight="1">
      <c r="A549" t="inlineStr">
        <is>
          <t>A 19414-2022</t>
        </is>
      </c>
      <c r="B549" s="1" t="n">
        <v>44693</v>
      </c>
      <c r="C549" s="1" t="n">
        <v>46199</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43766-2022</t>
        </is>
      </c>
      <c r="B550" s="1" t="n">
        <v>44837</v>
      </c>
      <c r="C550" s="1" t="n">
        <v>46199</v>
      </c>
      <c r="D550" t="inlineStr">
        <is>
          <t>VÄSTERNORRLANDS LÄN</t>
        </is>
      </c>
      <c r="E550" t="inlineStr">
        <is>
          <t>SOLLEFTEÅ</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21715-2022</t>
        </is>
      </c>
      <c r="B551" s="1" t="n">
        <v>44707</v>
      </c>
      <c r="C551" s="1" t="n">
        <v>46199</v>
      </c>
      <c r="D551" t="inlineStr">
        <is>
          <t>VÄSTERNORRLANDS LÄN</t>
        </is>
      </c>
      <c r="E551" t="inlineStr">
        <is>
          <t>SOLLEFTEÅ</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14061-2022</t>
        </is>
      </c>
      <c r="B552" s="1" t="n">
        <v>44650</v>
      </c>
      <c r="C552" s="1" t="n">
        <v>46199</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48240-2022</t>
        </is>
      </c>
      <c r="B553" s="1" t="n">
        <v>44858</v>
      </c>
      <c r="C553" s="1" t="n">
        <v>46199</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27082-2022</t>
        </is>
      </c>
      <c r="B554" s="1" t="n">
        <v>44741</v>
      </c>
      <c r="C554" s="1" t="n">
        <v>46199</v>
      </c>
      <c r="D554" t="inlineStr">
        <is>
          <t>VÄSTERNORRLANDS LÄN</t>
        </is>
      </c>
      <c r="E554" t="inlineStr">
        <is>
          <t>SOLLEFTEÅ</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30236-2022</t>
        </is>
      </c>
      <c r="B555" s="1" t="n">
        <v>44757</v>
      </c>
      <c r="C555" s="1" t="n">
        <v>46199</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14302-2022</t>
        </is>
      </c>
      <c r="B556" s="1" t="n">
        <v>44651</v>
      </c>
      <c r="C556" s="1" t="n">
        <v>46199</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29294-2022</t>
        </is>
      </c>
      <c r="B557" s="1" t="n">
        <v>44750</v>
      </c>
      <c r="C557" s="1" t="n">
        <v>46199</v>
      </c>
      <c r="D557" t="inlineStr">
        <is>
          <t>VÄSTERNORRLANDS LÄN</t>
        </is>
      </c>
      <c r="E557" t="inlineStr">
        <is>
          <t>SOLLEFTEÅ</t>
        </is>
      </c>
      <c r="F557" t="inlineStr">
        <is>
          <t>SCA</t>
        </is>
      </c>
      <c r="G557" t="n">
        <v>6.7</v>
      </c>
      <c r="H557" t="n">
        <v>0</v>
      </c>
      <c r="I557" t="n">
        <v>0</v>
      </c>
      <c r="J557" t="n">
        <v>0</v>
      </c>
      <c r="K557" t="n">
        <v>0</v>
      </c>
      <c r="L557" t="n">
        <v>0</v>
      </c>
      <c r="M557" t="n">
        <v>0</v>
      </c>
      <c r="N557" t="n">
        <v>0</v>
      </c>
      <c r="O557" t="n">
        <v>0</v>
      </c>
      <c r="P557" t="n">
        <v>0</v>
      </c>
      <c r="Q557" t="n">
        <v>0</v>
      </c>
      <c r="R557" s="2" t="inlineStr"/>
    </row>
    <row r="558" ht="15" customHeight="1">
      <c r="A558" t="inlineStr">
        <is>
          <t>A 24734-2022</t>
        </is>
      </c>
      <c r="B558" s="1" t="n">
        <v>44727</v>
      </c>
      <c r="C558" s="1" t="n">
        <v>46199</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73566-2021</t>
        </is>
      </c>
      <c r="B559" s="1" t="n">
        <v>44551</v>
      </c>
      <c r="C559" s="1" t="n">
        <v>46199</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39944-2022</t>
        </is>
      </c>
      <c r="B560" s="1" t="n">
        <v>44819</v>
      </c>
      <c r="C560" s="1" t="n">
        <v>46199</v>
      </c>
      <c r="D560" t="inlineStr">
        <is>
          <t>VÄSTERNORRLANDS LÄN</t>
        </is>
      </c>
      <c r="E560" t="inlineStr">
        <is>
          <t>SOLLEFTEÅ</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30936-2022</t>
        </is>
      </c>
      <c r="B561" s="1" t="n">
        <v>44767</v>
      </c>
      <c r="C561" s="1" t="n">
        <v>46199</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576-2022</t>
        </is>
      </c>
      <c r="B562" s="1" t="n">
        <v>44566</v>
      </c>
      <c r="C562" s="1" t="n">
        <v>46199</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46199</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39947-2022</t>
        </is>
      </c>
      <c r="B564" s="1" t="n">
        <v>44819</v>
      </c>
      <c r="C564" s="1" t="n">
        <v>46199</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40610-2022</t>
        </is>
      </c>
      <c r="B565" s="1" t="n">
        <v>44823</v>
      </c>
      <c r="C565" s="1" t="n">
        <v>46199</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33990-2022</t>
        </is>
      </c>
      <c r="B566" s="1" t="n">
        <v>44790</v>
      </c>
      <c r="C566" s="1" t="n">
        <v>46199</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11677-2022</t>
        </is>
      </c>
      <c r="B567" s="1" t="n">
        <v>44633</v>
      </c>
      <c r="C567" s="1" t="n">
        <v>46199</v>
      </c>
      <c r="D567" t="inlineStr">
        <is>
          <t>VÄSTERNORRLANDS LÄN</t>
        </is>
      </c>
      <c r="E567" t="inlineStr">
        <is>
          <t>SOLLEFTEÅ</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22323-2022</t>
        </is>
      </c>
      <c r="B568" s="1" t="n">
        <v>44712</v>
      </c>
      <c r="C568" s="1" t="n">
        <v>46199</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42634-2022</t>
        </is>
      </c>
      <c r="B569" s="1" t="n">
        <v>44831</v>
      </c>
      <c r="C569" s="1" t="n">
        <v>46199</v>
      </c>
      <c r="D569" t="inlineStr">
        <is>
          <t>VÄSTERNORRLANDS LÄN</t>
        </is>
      </c>
      <c r="E569" t="inlineStr">
        <is>
          <t>SOLLEFTEÅ</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12568-2022</t>
        </is>
      </c>
      <c r="B570" s="1" t="n">
        <v>44638</v>
      </c>
      <c r="C570" s="1" t="n">
        <v>46199</v>
      </c>
      <c r="D570" t="inlineStr">
        <is>
          <t>VÄSTERNORRLANDS LÄN</t>
        </is>
      </c>
      <c r="E570" t="inlineStr">
        <is>
          <t>SOLLEFTEÅ</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54573-2022</t>
        </is>
      </c>
      <c r="B571" s="1" t="n">
        <v>44882</v>
      </c>
      <c r="C571" s="1" t="n">
        <v>46199</v>
      </c>
      <c r="D571" t="inlineStr">
        <is>
          <t>VÄSTERNORRLANDS LÄN</t>
        </is>
      </c>
      <c r="E571" t="inlineStr">
        <is>
          <t>SOLLEFTEÅ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16088-2022</t>
        </is>
      </c>
      <c r="B572" s="1" t="n">
        <v>44665</v>
      </c>
      <c r="C572" s="1" t="n">
        <v>46199</v>
      </c>
      <c r="D572" t="inlineStr">
        <is>
          <t>VÄSTERNORRLANDS LÄN</t>
        </is>
      </c>
      <c r="E572" t="inlineStr">
        <is>
          <t>SOLLEFTEÅ</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11653-2022</t>
        </is>
      </c>
      <c r="B573" s="1" t="n">
        <v>44631</v>
      </c>
      <c r="C573" s="1" t="n">
        <v>46199</v>
      </c>
      <c r="D573" t="inlineStr">
        <is>
          <t>VÄSTERNORRLANDS LÄN</t>
        </is>
      </c>
      <c r="E573" t="inlineStr">
        <is>
          <t>SOLLEFTEÅ</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44042-2022</t>
        </is>
      </c>
      <c r="B574" s="1" t="n">
        <v>44838</v>
      </c>
      <c r="C574" s="1" t="n">
        <v>46199</v>
      </c>
      <c r="D574" t="inlineStr">
        <is>
          <t>VÄSTERNORRLANDS LÄN</t>
        </is>
      </c>
      <c r="E574" t="inlineStr">
        <is>
          <t>SOLLEFTEÅ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54249-2022</t>
        </is>
      </c>
      <c r="B575" s="1" t="n">
        <v>44881</v>
      </c>
      <c r="C575" s="1" t="n">
        <v>46199</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59309-2021</t>
        </is>
      </c>
      <c r="B576" s="1" t="n">
        <v>44490</v>
      </c>
      <c r="C576" s="1" t="n">
        <v>46199</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58726-2021</t>
        </is>
      </c>
      <c r="B577" s="1" t="n">
        <v>44489</v>
      </c>
      <c r="C577" s="1" t="n">
        <v>46199</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46199</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27926-2022</t>
        </is>
      </c>
      <c r="B579" s="1" t="n">
        <v>44743</v>
      </c>
      <c r="C579" s="1" t="n">
        <v>46199</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60324-2021</t>
        </is>
      </c>
      <c r="B580" s="1" t="n">
        <v>44495</v>
      </c>
      <c r="C580" s="1" t="n">
        <v>46199</v>
      </c>
      <c r="D580" t="inlineStr">
        <is>
          <t>VÄSTERNORRLANDS LÄN</t>
        </is>
      </c>
      <c r="E580" t="inlineStr">
        <is>
          <t>SOLLEFTEÅ</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46199</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20950-2022</t>
        </is>
      </c>
      <c r="B582" s="1" t="n">
        <v>44701</v>
      </c>
      <c r="C582" s="1" t="n">
        <v>46199</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23445-2022</t>
        </is>
      </c>
      <c r="B583" s="1" t="n">
        <v>44720</v>
      </c>
      <c r="C583" s="1" t="n">
        <v>46199</v>
      </c>
      <c r="D583" t="inlineStr">
        <is>
          <t>VÄSTERNORRLANDS LÄN</t>
        </is>
      </c>
      <c r="E583" t="inlineStr">
        <is>
          <t>SOLLEFTEÅ</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20296-2022</t>
        </is>
      </c>
      <c r="B584" s="1" t="n">
        <v>44698</v>
      </c>
      <c r="C584" s="1" t="n">
        <v>46199</v>
      </c>
      <c r="D584" t="inlineStr">
        <is>
          <t>VÄSTERNORRLANDS LÄN</t>
        </is>
      </c>
      <c r="E584" t="inlineStr">
        <is>
          <t>SOLLEFTEÅ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16093-2022</t>
        </is>
      </c>
      <c r="B585" s="1" t="n">
        <v>44665</v>
      </c>
      <c r="C585" s="1" t="n">
        <v>46199</v>
      </c>
      <c r="D585" t="inlineStr">
        <is>
          <t>VÄSTERNORRLANDS LÄN</t>
        </is>
      </c>
      <c r="E585" t="inlineStr">
        <is>
          <t>SOLLEFTEÅ</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33083-2022</t>
        </is>
      </c>
      <c r="B586" s="1" t="n">
        <v>44785</v>
      </c>
      <c r="C586" s="1" t="n">
        <v>46199</v>
      </c>
      <c r="D586" t="inlineStr">
        <is>
          <t>VÄSTERNORRLANDS LÄN</t>
        </is>
      </c>
      <c r="E586" t="inlineStr">
        <is>
          <t>SOLLEFTEÅ</t>
        </is>
      </c>
      <c r="G586" t="n">
        <v>0.3</v>
      </c>
      <c r="H586" t="n">
        <v>0</v>
      </c>
      <c r="I586" t="n">
        <v>0</v>
      </c>
      <c r="J586" t="n">
        <v>0</v>
      </c>
      <c r="K586" t="n">
        <v>0</v>
      </c>
      <c r="L586" t="n">
        <v>0</v>
      </c>
      <c r="M586" t="n">
        <v>0</v>
      </c>
      <c r="N586" t="n">
        <v>0</v>
      </c>
      <c r="O586" t="n">
        <v>0</v>
      </c>
      <c r="P586" t="n">
        <v>0</v>
      </c>
      <c r="Q586" t="n">
        <v>0</v>
      </c>
      <c r="R586" s="2" t="inlineStr"/>
    </row>
    <row r="587" ht="15" customHeight="1">
      <c r="A587" t="inlineStr">
        <is>
          <t>A 22341-2022</t>
        </is>
      </c>
      <c r="B587" s="1" t="n">
        <v>44712</v>
      </c>
      <c r="C587" s="1" t="n">
        <v>46199</v>
      </c>
      <c r="D587" t="inlineStr">
        <is>
          <t>VÄSTERNORRLANDS LÄN</t>
        </is>
      </c>
      <c r="E587" t="inlineStr">
        <is>
          <t>SOLLEFTEÅ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35747-2022</t>
        </is>
      </c>
      <c r="B588" s="1" t="n">
        <v>44799</v>
      </c>
      <c r="C588" s="1" t="n">
        <v>46199</v>
      </c>
      <c r="D588" t="inlineStr">
        <is>
          <t>VÄSTERNORRLANDS LÄN</t>
        </is>
      </c>
      <c r="E588" t="inlineStr">
        <is>
          <t>SOLLEFTEÅ</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72958-2021</t>
        </is>
      </c>
      <c r="B589" s="1" t="n">
        <v>44547</v>
      </c>
      <c r="C589" s="1" t="n">
        <v>46199</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53955-2021</t>
        </is>
      </c>
      <c r="B590" s="1" t="n">
        <v>44469</v>
      </c>
      <c r="C590" s="1" t="n">
        <v>46199</v>
      </c>
      <c r="D590" t="inlineStr">
        <is>
          <t>VÄSTERNORRLANDS LÄN</t>
        </is>
      </c>
      <c r="E590" t="inlineStr">
        <is>
          <t>SOLLEFTEÅ</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28893-2022</t>
        </is>
      </c>
      <c r="B591" s="1" t="n">
        <v>44749</v>
      </c>
      <c r="C591" s="1" t="n">
        <v>46199</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72315-2021</t>
        </is>
      </c>
      <c r="B592" s="1" t="n">
        <v>44545</v>
      </c>
      <c r="C592" s="1" t="n">
        <v>46199</v>
      </c>
      <c r="D592" t="inlineStr">
        <is>
          <t>VÄSTERNORRLANDS LÄN</t>
        </is>
      </c>
      <c r="E592" t="inlineStr">
        <is>
          <t>SOLLEFTEÅ</t>
        </is>
      </c>
      <c r="F592" t="inlineStr">
        <is>
          <t>SCA</t>
        </is>
      </c>
      <c r="G592" t="n">
        <v>6.6</v>
      </c>
      <c r="H592" t="n">
        <v>0</v>
      </c>
      <c r="I592" t="n">
        <v>0</v>
      </c>
      <c r="J592" t="n">
        <v>0</v>
      </c>
      <c r="K592" t="n">
        <v>0</v>
      </c>
      <c r="L592" t="n">
        <v>0</v>
      </c>
      <c r="M592" t="n">
        <v>0</v>
      </c>
      <c r="N592" t="n">
        <v>0</v>
      </c>
      <c r="O592" t="n">
        <v>0</v>
      </c>
      <c r="P592" t="n">
        <v>0</v>
      </c>
      <c r="Q592" t="n">
        <v>0</v>
      </c>
      <c r="R592" s="2" t="inlineStr"/>
    </row>
    <row r="593" ht="15" customHeight="1">
      <c r="A593" t="inlineStr">
        <is>
          <t>A 68317-2021</t>
        </is>
      </c>
      <c r="B593" s="1" t="n">
        <v>44526</v>
      </c>
      <c r="C593" s="1" t="n">
        <v>46199</v>
      </c>
      <c r="D593" t="inlineStr">
        <is>
          <t>VÄSTERNORRLANDS LÄN</t>
        </is>
      </c>
      <c r="E593" t="inlineStr">
        <is>
          <t>SOLLEFTEÅ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72949-2021</t>
        </is>
      </c>
      <c r="B594" s="1" t="n">
        <v>44547</v>
      </c>
      <c r="C594" s="1" t="n">
        <v>46199</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66856-2021</t>
        </is>
      </c>
      <c r="B595" s="1" t="n">
        <v>44522</v>
      </c>
      <c r="C595" s="1" t="n">
        <v>46199</v>
      </c>
      <c r="D595" t="inlineStr">
        <is>
          <t>VÄSTERNORRLANDS LÄN</t>
        </is>
      </c>
      <c r="E595" t="inlineStr">
        <is>
          <t>SOLLEFTEÅ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12191-2022</t>
        </is>
      </c>
      <c r="B596" s="1" t="n">
        <v>44636</v>
      </c>
      <c r="C596" s="1" t="n">
        <v>46199</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43220-2021</t>
        </is>
      </c>
      <c r="B597" s="1" t="n">
        <v>44431</v>
      </c>
      <c r="C597" s="1" t="n">
        <v>46199</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v>
      </c>
      <c r="C598" s="1" t="n">
        <v>46199</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20702-2022</t>
        </is>
      </c>
      <c r="B599" s="1" t="n">
        <v>44700</v>
      </c>
      <c r="C599" s="1" t="n">
        <v>46199</v>
      </c>
      <c r="D599" t="inlineStr">
        <is>
          <t>VÄSTERNORRLANDS LÄN</t>
        </is>
      </c>
      <c r="E599" t="inlineStr">
        <is>
          <t>SOLLEFTEÅ</t>
        </is>
      </c>
      <c r="G599" t="n">
        <v>5.1</v>
      </c>
      <c r="H599" t="n">
        <v>0</v>
      </c>
      <c r="I599" t="n">
        <v>0</v>
      </c>
      <c r="J599" t="n">
        <v>0</v>
      </c>
      <c r="K599" t="n">
        <v>0</v>
      </c>
      <c r="L599" t="n">
        <v>0</v>
      </c>
      <c r="M599" t="n">
        <v>0</v>
      </c>
      <c r="N599" t="n">
        <v>0</v>
      </c>
      <c r="O599" t="n">
        <v>0</v>
      </c>
      <c r="P599" t="n">
        <v>0</v>
      </c>
      <c r="Q599" t="n">
        <v>0</v>
      </c>
      <c r="R599" s="2" t="inlineStr"/>
    </row>
    <row r="600" ht="15" customHeight="1">
      <c r="A600" t="inlineStr">
        <is>
          <t>A 31444-2022</t>
        </is>
      </c>
      <c r="B600" s="1" t="n">
        <v>44774</v>
      </c>
      <c r="C600" s="1" t="n">
        <v>46199</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41334-2021</t>
        </is>
      </c>
      <c r="B601" s="1" t="n">
        <v>44424</v>
      </c>
      <c r="C601" s="1" t="n">
        <v>46199</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37826-2022</t>
        </is>
      </c>
      <c r="B602" s="1" t="n">
        <v>44810</v>
      </c>
      <c r="C602" s="1" t="n">
        <v>46199</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16083-2022</t>
        </is>
      </c>
      <c r="B603" s="1" t="n">
        <v>44665</v>
      </c>
      <c r="C603" s="1" t="n">
        <v>46199</v>
      </c>
      <c r="D603" t="inlineStr">
        <is>
          <t>VÄSTERNORRLANDS LÄN</t>
        </is>
      </c>
      <c r="E603" t="inlineStr">
        <is>
          <t>SOLLEFTEÅ</t>
        </is>
      </c>
      <c r="F603" t="inlineStr">
        <is>
          <t>Holmen skog AB</t>
        </is>
      </c>
      <c r="G603" t="n">
        <v>6.8</v>
      </c>
      <c r="H603" t="n">
        <v>0</v>
      </c>
      <c r="I603" t="n">
        <v>0</v>
      </c>
      <c r="J603" t="n">
        <v>0</v>
      </c>
      <c r="K603" t="n">
        <v>0</v>
      </c>
      <c r="L603" t="n">
        <v>0</v>
      </c>
      <c r="M603" t="n">
        <v>0</v>
      </c>
      <c r="N603" t="n">
        <v>0</v>
      </c>
      <c r="O603" t="n">
        <v>0</v>
      </c>
      <c r="P603" t="n">
        <v>0</v>
      </c>
      <c r="Q603" t="n">
        <v>0</v>
      </c>
      <c r="R603" s="2" t="inlineStr"/>
    </row>
    <row r="604" ht="15" customHeight="1">
      <c r="A604" t="inlineStr">
        <is>
          <t>A 22342-2022</t>
        </is>
      </c>
      <c r="B604" s="1" t="n">
        <v>44712</v>
      </c>
      <c r="C604" s="1" t="n">
        <v>46199</v>
      </c>
      <c r="D604" t="inlineStr">
        <is>
          <t>VÄSTERNORRLANDS LÄN</t>
        </is>
      </c>
      <c r="E604" t="inlineStr">
        <is>
          <t>SOLLEFTEÅ</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55898-2022</t>
        </is>
      </c>
      <c r="B605" s="1" t="n">
        <v>44888</v>
      </c>
      <c r="C605" s="1" t="n">
        <v>46199</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33077-2022</t>
        </is>
      </c>
      <c r="B606" s="1" t="n">
        <v>44785</v>
      </c>
      <c r="C606" s="1" t="n">
        <v>46199</v>
      </c>
      <c r="D606" t="inlineStr">
        <is>
          <t>VÄSTERNORRLANDS LÄN</t>
        </is>
      </c>
      <c r="E606" t="inlineStr">
        <is>
          <t>SOLLEFTEÅ</t>
        </is>
      </c>
      <c r="G606" t="n">
        <v>0.2</v>
      </c>
      <c r="H606" t="n">
        <v>0</v>
      </c>
      <c r="I606" t="n">
        <v>0</v>
      </c>
      <c r="J606" t="n">
        <v>0</v>
      </c>
      <c r="K606" t="n">
        <v>0</v>
      </c>
      <c r="L606" t="n">
        <v>0</v>
      </c>
      <c r="M606" t="n">
        <v>0</v>
      </c>
      <c r="N606" t="n">
        <v>0</v>
      </c>
      <c r="O606" t="n">
        <v>0</v>
      </c>
      <c r="P606" t="n">
        <v>0</v>
      </c>
      <c r="Q606" t="n">
        <v>0</v>
      </c>
      <c r="R606" s="2" t="inlineStr"/>
    </row>
    <row r="607" ht="15" customHeight="1">
      <c r="A607" t="inlineStr">
        <is>
          <t>A 41474-2022</t>
        </is>
      </c>
      <c r="B607" s="1" t="n">
        <v>44826</v>
      </c>
      <c r="C607" s="1" t="n">
        <v>46199</v>
      </c>
      <c r="D607" t="inlineStr">
        <is>
          <t>VÄSTERNORRLANDS LÄN</t>
        </is>
      </c>
      <c r="E607" t="inlineStr">
        <is>
          <t>SOLLEFTEÅ</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11241-2022</t>
        </is>
      </c>
      <c r="B608" s="1" t="n">
        <v>44629</v>
      </c>
      <c r="C608" s="1" t="n">
        <v>46199</v>
      </c>
      <c r="D608" t="inlineStr">
        <is>
          <t>VÄSTERNORRLANDS LÄN</t>
        </is>
      </c>
      <c r="E608" t="inlineStr">
        <is>
          <t>SOLLEFTEÅ</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26435-2022</t>
        </is>
      </c>
      <c r="B609" s="1" t="n">
        <v>44736</v>
      </c>
      <c r="C609" s="1" t="n">
        <v>46199</v>
      </c>
      <c r="D609" t="inlineStr">
        <is>
          <t>VÄSTERNORRLANDS LÄN</t>
        </is>
      </c>
      <c r="E609" t="inlineStr">
        <is>
          <t>SOLLEFTEÅ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5034-2024</t>
        </is>
      </c>
      <c r="B610" s="1" t="n">
        <v>45329</v>
      </c>
      <c r="C610" s="1" t="n">
        <v>46199</v>
      </c>
      <c r="D610" t="inlineStr">
        <is>
          <t>VÄSTERNORRLANDS LÄN</t>
        </is>
      </c>
      <c r="E610" t="inlineStr">
        <is>
          <t>SOLLEFTEÅ</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41813-2022</t>
        </is>
      </c>
      <c r="B611" s="1" t="n">
        <v>44827</v>
      </c>
      <c r="C611" s="1" t="n">
        <v>46199</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52136-2023</t>
        </is>
      </c>
      <c r="B612" s="1" t="n">
        <v>45223</v>
      </c>
      <c r="C612" s="1" t="n">
        <v>46199</v>
      </c>
      <c r="D612" t="inlineStr">
        <is>
          <t>VÄSTERNORRLANDS LÄN</t>
        </is>
      </c>
      <c r="E612" t="inlineStr">
        <is>
          <t>SOLLEFTEÅ</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23286-2023</t>
        </is>
      </c>
      <c r="B613" s="1" t="n">
        <v>45075</v>
      </c>
      <c r="C613" s="1" t="n">
        <v>46199</v>
      </c>
      <c r="D613" t="inlineStr">
        <is>
          <t>VÄSTERNORRLANDS LÄN</t>
        </is>
      </c>
      <c r="E613" t="inlineStr">
        <is>
          <t>SOLLEFTEÅ</t>
        </is>
      </c>
      <c r="G613" t="n">
        <v>0.1</v>
      </c>
      <c r="H613" t="n">
        <v>0</v>
      </c>
      <c r="I613" t="n">
        <v>0</v>
      </c>
      <c r="J613" t="n">
        <v>0</v>
      </c>
      <c r="K613" t="n">
        <v>0</v>
      </c>
      <c r="L613" t="n">
        <v>0</v>
      </c>
      <c r="M613" t="n">
        <v>0</v>
      </c>
      <c r="N613" t="n">
        <v>0</v>
      </c>
      <c r="O613" t="n">
        <v>0</v>
      </c>
      <c r="P613" t="n">
        <v>0</v>
      </c>
      <c r="Q613" t="n">
        <v>0</v>
      </c>
      <c r="R613" s="2" t="inlineStr"/>
    </row>
    <row r="614" ht="15" customHeight="1">
      <c r="A614" t="inlineStr">
        <is>
          <t>A 23288-2023</t>
        </is>
      </c>
      <c r="B614" s="1" t="n">
        <v>45075</v>
      </c>
      <c r="C614" s="1" t="n">
        <v>46199</v>
      </c>
      <c r="D614" t="inlineStr">
        <is>
          <t>VÄSTERNORRLANDS LÄN</t>
        </is>
      </c>
      <c r="E614" t="inlineStr">
        <is>
          <t>SOLLEFTEÅ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23289-2023</t>
        </is>
      </c>
      <c r="B615" s="1" t="n">
        <v>45075</v>
      </c>
      <c r="C615" s="1" t="n">
        <v>46199</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45958-2023</t>
        </is>
      </c>
      <c r="B616" s="1" t="n">
        <v>45195</v>
      </c>
      <c r="C616" s="1" t="n">
        <v>46199</v>
      </c>
      <c r="D616" t="inlineStr">
        <is>
          <t>VÄSTERNORRLANDS LÄN</t>
        </is>
      </c>
      <c r="E616" t="inlineStr">
        <is>
          <t>SOLLEFTEÅ</t>
        </is>
      </c>
      <c r="F616" t="inlineStr">
        <is>
          <t>SCA</t>
        </is>
      </c>
      <c r="G616" t="n">
        <v>9.9</v>
      </c>
      <c r="H616" t="n">
        <v>0</v>
      </c>
      <c r="I616" t="n">
        <v>0</v>
      </c>
      <c r="J616" t="n">
        <v>0</v>
      </c>
      <c r="K616" t="n">
        <v>0</v>
      </c>
      <c r="L616" t="n">
        <v>0</v>
      </c>
      <c r="M616" t="n">
        <v>0</v>
      </c>
      <c r="N616" t="n">
        <v>0</v>
      </c>
      <c r="O616" t="n">
        <v>0</v>
      </c>
      <c r="P616" t="n">
        <v>0</v>
      </c>
      <c r="Q616" t="n">
        <v>0</v>
      </c>
      <c r="R616" s="2" t="inlineStr"/>
    </row>
    <row r="617" ht="15" customHeight="1">
      <c r="A617" t="inlineStr">
        <is>
          <t>A 5874-2024</t>
        </is>
      </c>
      <c r="B617" s="1" t="n">
        <v>45335</v>
      </c>
      <c r="C617" s="1" t="n">
        <v>46199</v>
      </c>
      <c r="D617" t="inlineStr">
        <is>
          <t>VÄSTERNORRLANDS LÄN</t>
        </is>
      </c>
      <c r="E617" t="inlineStr">
        <is>
          <t>SOLLEFTEÅ</t>
        </is>
      </c>
      <c r="F617" t="inlineStr">
        <is>
          <t>Övriga Aktiebolag</t>
        </is>
      </c>
      <c r="G617" t="n">
        <v>5.3</v>
      </c>
      <c r="H617" t="n">
        <v>0</v>
      </c>
      <c r="I617" t="n">
        <v>0</v>
      </c>
      <c r="J617" t="n">
        <v>0</v>
      </c>
      <c r="K617" t="n">
        <v>0</v>
      </c>
      <c r="L617" t="n">
        <v>0</v>
      </c>
      <c r="M617" t="n">
        <v>0</v>
      </c>
      <c r="N617" t="n">
        <v>0</v>
      </c>
      <c r="O617" t="n">
        <v>0</v>
      </c>
      <c r="P617" t="n">
        <v>0</v>
      </c>
      <c r="Q617" t="n">
        <v>0</v>
      </c>
      <c r="R617" s="2" t="inlineStr"/>
    </row>
    <row r="618" ht="15" customHeight="1">
      <c r="A618" t="inlineStr">
        <is>
          <t>A 9557-2024</t>
        </is>
      </c>
      <c r="B618" s="1" t="n">
        <v>45360</v>
      </c>
      <c r="C618" s="1" t="n">
        <v>46199</v>
      </c>
      <c r="D618" t="inlineStr">
        <is>
          <t>VÄSTERNORRLANDS LÄN</t>
        </is>
      </c>
      <c r="E618" t="inlineStr">
        <is>
          <t>SOLLEFTEÅ</t>
        </is>
      </c>
      <c r="F618" t="inlineStr">
        <is>
          <t>SCA</t>
        </is>
      </c>
      <c r="G618" t="n">
        <v>7.4</v>
      </c>
      <c r="H618" t="n">
        <v>0</v>
      </c>
      <c r="I618" t="n">
        <v>0</v>
      </c>
      <c r="J618" t="n">
        <v>0</v>
      </c>
      <c r="K618" t="n">
        <v>0</v>
      </c>
      <c r="L618" t="n">
        <v>0</v>
      </c>
      <c r="M618" t="n">
        <v>0</v>
      </c>
      <c r="N618" t="n">
        <v>0</v>
      </c>
      <c r="O618" t="n">
        <v>0</v>
      </c>
      <c r="P618" t="n">
        <v>0</v>
      </c>
      <c r="Q618" t="n">
        <v>0</v>
      </c>
      <c r="R618" s="2" t="inlineStr"/>
    </row>
    <row r="619" ht="15" customHeight="1">
      <c r="A619" t="inlineStr">
        <is>
          <t>A 31005-2022</t>
        </is>
      </c>
      <c r="B619" s="1" t="n">
        <v>44768</v>
      </c>
      <c r="C619" s="1" t="n">
        <v>46199</v>
      </c>
      <c r="D619" t="inlineStr">
        <is>
          <t>VÄSTERNORRLANDS LÄN</t>
        </is>
      </c>
      <c r="E619" t="inlineStr">
        <is>
          <t>SOLLEFTEÅ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6139-2024</t>
        </is>
      </c>
      <c r="B620" s="1" t="n">
        <v>45337</v>
      </c>
      <c r="C620" s="1" t="n">
        <v>46199</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1679-2024</t>
        </is>
      </c>
      <c r="B621" s="1" t="n">
        <v>45306</v>
      </c>
      <c r="C621" s="1" t="n">
        <v>46199</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20334-2025</t>
        </is>
      </c>
      <c r="B622" s="1" t="n">
        <v>45775</v>
      </c>
      <c r="C622" s="1" t="n">
        <v>46199</v>
      </c>
      <c r="D622" t="inlineStr">
        <is>
          <t>VÄSTERNORRLANDS LÄN</t>
        </is>
      </c>
      <c r="E622" t="inlineStr">
        <is>
          <t>SOLLEFTEÅ</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18456-2023</t>
        </is>
      </c>
      <c r="B623" s="1" t="n">
        <v>45041</v>
      </c>
      <c r="C623" s="1" t="n">
        <v>46199</v>
      </c>
      <c r="D623" t="inlineStr">
        <is>
          <t>VÄSTERNORRLANDS LÄN</t>
        </is>
      </c>
      <c r="E623" t="inlineStr">
        <is>
          <t>SOLLEFTEÅ</t>
        </is>
      </c>
      <c r="G623" t="n">
        <v>1.4</v>
      </c>
      <c r="H623" t="n">
        <v>0</v>
      </c>
      <c r="I623" t="n">
        <v>0</v>
      </c>
      <c r="J623" t="n">
        <v>0</v>
      </c>
      <c r="K623" t="n">
        <v>0</v>
      </c>
      <c r="L623" t="n">
        <v>0</v>
      </c>
      <c r="M623" t="n">
        <v>0</v>
      </c>
      <c r="N623" t="n">
        <v>0</v>
      </c>
      <c r="O623" t="n">
        <v>0</v>
      </c>
      <c r="P623" t="n">
        <v>0</v>
      </c>
      <c r="Q623" t="n">
        <v>0</v>
      </c>
      <c r="R623" s="2" t="inlineStr"/>
    </row>
    <row r="624" ht="15" customHeight="1">
      <c r="A624" t="inlineStr">
        <is>
          <t>A 37977-2022</t>
        </is>
      </c>
      <c r="B624" s="1" t="n">
        <v>44811</v>
      </c>
      <c r="C624" s="1" t="n">
        <v>46199</v>
      </c>
      <c r="D624" t="inlineStr">
        <is>
          <t>VÄSTERNORRLANDS LÄN</t>
        </is>
      </c>
      <c r="E624" t="inlineStr">
        <is>
          <t>SOLLEFTEÅ</t>
        </is>
      </c>
      <c r="G624" t="n">
        <v>3.8</v>
      </c>
      <c r="H624" t="n">
        <v>0</v>
      </c>
      <c r="I624" t="n">
        <v>0</v>
      </c>
      <c r="J624" t="n">
        <v>0</v>
      </c>
      <c r="K624" t="n">
        <v>0</v>
      </c>
      <c r="L624" t="n">
        <v>0</v>
      </c>
      <c r="M624" t="n">
        <v>0</v>
      </c>
      <c r="N624" t="n">
        <v>0</v>
      </c>
      <c r="O624" t="n">
        <v>0</v>
      </c>
      <c r="P624" t="n">
        <v>0</v>
      </c>
      <c r="Q624" t="n">
        <v>0</v>
      </c>
      <c r="R624" s="2" t="inlineStr"/>
    </row>
    <row r="625" ht="15" customHeight="1">
      <c r="A625" t="inlineStr">
        <is>
          <t>A 59579-2023</t>
        </is>
      </c>
      <c r="B625" s="1" t="n">
        <v>45253</v>
      </c>
      <c r="C625" s="1" t="n">
        <v>46199</v>
      </c>
      <c r="D625" t="inlineStr">
        <is>
          <t>VÄSTERNORRLANDS LÄN</t>
        </is>
      </c>
      <c r="E625" t="inlineStr">
        <is>
          <t>SOLLEFTEÅ</t>
        </is>
      </c>
      <c r="G625" t="n">
        <v>6.2</v>
      </c>
      <c r="H625" t="n">
        <v>0</v>
      </c>
      <c r="I625" t="n">
        <v>0</v>
      </c>
      <c r="J625" t="n">
        <v>0</v>
      </c>
      <c r="K625" t="n">
        <v>0</v>
      </c>
      <c r="L625" t="n">
        <v>0</v>
      </c>
      <c r="M625" t="n">
        <v>0</v>
      </c>
      <c r="N625" t="n">
        <v>0</v>
      </c>
      <c r="O625" t="n">
        <v>0</v>
      </c>
      <c r="P625" t="n">
        <v>0</v>
      </c>
      <c r="Q625" t="n">
        <v>0</v>
      </c>
      <c r="R625" s="2" t="inlineStr"/>
    </row>
    <row r="626" ht="15" customHeight="1">
      <c r="A626" t="inlineStr">
        <is>
          <t>A 3096-2025</t>
        </is>
      </c>
      <c r="B626" s="1" t="n">
        <v>45678</v>
      </c>
      <c r="C626" s="1" t="n">
        <v>46199</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42771-2022</t>
        </is>
      </c>
      <c r="B627" s="1" t="n">
        <v>44832</v>
      </c>
      <c r="C627" s="1" t="n">
        <v>46199</v>
      </c>
      <c r="D627" t="inlineStr">
        <is>
          <t>VÄSTERNORRLANDS LÄN</t>
        </is>
      </c>
      <c r="E627" t="inlineStr">
        <is>
          <t>SOLLEFTEÅ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49711-2021</t>
        </is>
      </c>
      <c r="B628" s="1" t="n">
        <v>44455</v>
      </c>
      <c r="C628" s="1" t="n">
        <v>46199</v>
      </c>
      <c r="D628" t="inlineStr">
        <is>
          <t>VÄSTERNORRLANDS LÄN</t>
        </is>
      </c>
      <c r="E628" t="inlineStr">
        <is>
          <t>SOLLEFTEÅ</t>
        </is>
      </c>
      <c r="G628" t="n">
        <v>3.7</v>
      </c>
      <c r="H628" t="n">
        <v>0</v>
      </c>
      <c r="I628" t="n">
        <v>0</v>
      </c>
      <c r="J628" t="n">
        <v>0</v>
      </c>
      <c r="K628" t="n">
        <v>0</v>
      </c>
      <c r="L628" t="n">
        <v>0</v>
      </c>
      <c r="M628" t="n">
        <v>0</v>
      </c>
      <c r="N628" t="n">
        <v>0</v>
      </c>
      <c r="O628" t="n">
        <v>0</v>
      </c>
      <c r="P628" t="n">
        <v>0</v>
      </c>
      <c r="Q628" t="n">
        <v>0</v>
      </c>
      <c r="R628" s="2" t="inlineStr"/>
    </row>
    <row r="629" ht="15" customHeight="1">
      <c r="A629" t="inlineStr">
        <is>
          <t>A 49036-2023</t>
        </is>
      </c>
      <c r="B629" s="1" t="n">
        <v>45209</v>
      </c>
      <c r="C629" s="1" t="n">
        <v>46199</v>
      </c>
      <c r="D629" t="inlineStr">
        <is>
          <t>VÄSTERNORRLANDS LÄN</t>
        </is>
      </c>
      <c r="E629" t="inlineStr">
        <is>
          <t>SOLLEFTEÅ</t>
        </is>
      </c>
      <c r="G629" t="n">
        <v>2.1</v>
      </c>
      <c r="H629" t="n">
        <v>0</v>
      </c>
      <c r="I629" t="n">
        <v>0</v>
      </c>
      <c r="J629" t="n">
        <v>0</v>
      </c>
      <c r="K629" t="n">
        <v>0</v>
      </c>
      <c r="L629" t="n">
        <v>0</v>
      </c>
      <c r="M629" t="n">
        <v>0</v>
      </c>
      <c r="N629" t="n">
        <v>0</v>
      </c>
      <c r="O629" t="n">
        <v>0</v>
      </c>
      <c r="P629" t="n">
        <v>0</v>
      </c>
      <c r="Q629" t="n">
        <v>0</v>
      </c>
      <c r="R629" s="2" t="inlineStr"/>
    </row>
    <row r="630" ht="15" customHeight="1">
      <c r="A630" t="inlineStr">
        <is>
          <t>A 42663-2022</t>
        </is>
      </c>
      <c r="B630" s="1" t="n">
        <v>44831</v>
      </c>
      <c r="C630" s="1" t="n">
        <v>46199</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43512-2023</t>
        </is>
      </c>
      <c r="B631" s="1" t="n">
        <v>45181</v>
      </c>
      <c r="C631" s="1" t="n">
        <v>46199</v>
      </c>
      <c r="D631" t="inlineStr">
        <is>
          <t>VÄSTERNORRLANDS LÄN</t>
        </is>
      </c>
      <c r="E631" t="inlineStr">
        <is>
          <t>SOLLEFTEÅ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16237-2024</t>
        </is>
      </c>
      <c r="B632" s="1" t="n">
        <v>45407</v>
      </c>
      <c r="C632" s="1" t="n">
        <v>46199</v>
      </c>
      <c r="D632" t="inlineStr">
        <is>
          <t>VÄSTERNORRLANDS LÄN</t>
        </is>
      </c>
      <c r="E632" t="inlineStr">
        <is>
          <t>SOLLEFTEÅ</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6816-2024</t>
        </is>
      </c>
      <c r="B633" s="1" t="n">
        <v>45342</v>
      </c>
      <c r="C633" s="1" t="n">
        <v>46199</v>
      </c>
      <c r="D633" t="inlineStr">
        <is>
          <t>VÄSTERNORRLANDS LÄN</t>
        </is>
      </c>
      <c r="E633" t="inlineStr">
        <is>
          <t>SOLLEFTEÅ</t>
        </is>
      </c>
      <c r="G633" t="n">
        <v>1.7</v>
      </c>
      <c r="H633" t="n">
        <v>0</v>
      </c>
      <c r="I633" t="n">
        <v>0</v>
      </c>
      <c r="J633" t="n">
        <v>0</v>
      </c>
      <c r="K633" t="n">
        <v>0</v>
      </c>
      <c r="L633" t="n">
        <v>0</v>
      </c>
      <c r="M633" t="n">
        <v>0</v>
      </c>
      <c r="N633" t="n">
        <v>0</v>
      </c>
      <c r="O633" t="n">
        <v>0</v>
      </c>
      <c r="P633" t="n">
        <v>0</v>
      </c>
      <c r="Q633" t="n">
        <v>0</v>
      </c>
      <c r="R633" s="2" t="inlineStr"/>
    </row>
    <row r="634" ht="15" customHeight="1">
      <c r="A634" t="inlineStr">
        <is>
          <t>A 54045-2023</t>
        </is>
      </c>
      <c r="B634" s="1" t="n">
        <v>45231</v>
      </c>
      <c r="C634" s="1" t="n">
        <v>46199</v>
      </c>
      <c r="D634" t="inlineStr">
        <is>
          <t>VÄSTERNORRLANDS LÄN</t>
        </is>
      </c>
      <c r="E634" t="inlineStr">
        <is>
          <t>SOLLEFTEÅ</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16238-2024</t>
        </is>
      </c>
      <c r="B635" s="1" t="n">
        <v>45407</v>
      </c>
      <c r="C635" s="1" t="n">
        <v>46199</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52267-2023</t>
        </is>
      </c>
      <c r="B636" s="1" t="n">
        <v>45217</v>
      </c>
      <c r="C636" s="1" t="n">
        <v>46199</v>
      </c>
      <c r="D636" t="inlineStr">
        <is>
          <t>VÄSTERNORRLANDS LÄN</t>
        </is>
      </c>
      <c r="E636" t="inlineStr">
        <is>
          <t>SOLLEFTEÅ</t>
        </is>
      </c>
      <c r="G636" t="n">
        <v>6.2</v>
      </c>
      <c r="H636" t="n">
        <v>0</v>
      </c>
      <c r="I636" t="n">
        <v>0</v>
      </c>
      <c r="J636" t="n">
        <v>0</v>
      </c>
      <c r="K636" t="n">
        <v>0</v>
      </c>
      <c r="L636" t="n">
        <v>0</v>
      </c>
      <c r="M636" t="n">
        <v>0</v>
      </c>
      <c r="N636" t="n">
        <v>0</v>
      </c>
      <c r="O636" t="n">
        <v>0</v>
      </c>
      <c r="P636" t="n">
        <v>0</v>
      </c>
      <c r="Q636" t="n">
        <v>0</v>
      </c>
      <c r="R636" s="2" t="inlineStr"/>
    </row>
    <row r="637" ht="15" customHeight="1">
      <c r="A637" t="inlineStr">
        <is>
          <t>A 11539-2024</t>
        </is>
      </c>
      <c r="B637" s="1" t="n">
        <v>45372</v>
      </c>
      <c r="C637" s="1" t="n">
        <v>46199</v>
      </c>
      <c r="D637" t="inlineStr">
        <is>
          <t>VÄSTERNORRLANDS LÄN</t>
        </is>
      </c>
      <c r="E637" t="inlineStr">
        <is>
          <t>SOLLEFTEÅ</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15273-2025</t>
        </is>
      </c>
      <c r="B638" s="1" t="n">
        <v>45744</v>
      </c>
      <c r="C638" s="1" t="n">
        <v>46199</v>
      </c>
      <c r="D638" t="inlineStr">
        <is>
          <t>VÄSTERNORRLANDS LÄN</t>
        </is>
      </c>
      <c r="E638" t="inlineStr">
        <is>
          <t>SOLLEFTEÅ</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14094-2025</t>
        </is>
      </c>
      <c r="B639" s="1" t="n">
        <v>45740</v>
      </c>
      <c r="C639" s="1" t="n">
        <v>46199</v>
      </c>
      <c r="D639" t="inlineStr">
        <is>
          <t>VÄSTERNORRLANDS LÄN</t>
        </is>
      </c>
      <c r="E639" t="inlineStr">
        <is>
          <t>SOLLEFTEÅ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14096-2025</t>
        </is>
      </c>
      <c r="B640" s="1" t="n">
        <v>45740</v>
      </c>
      <c r="C640" s="1" t="n">
        <v>46199</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9831-2024</t>
        </is>
      </c>
      <c r="B641" s="1" t="n">
        <v>45363</v>
      </c>
      <c r="C641" s="1" t="n">
        <v>46199</v>
      </c>
      <c r="D641" t="inlineStr">
        <is>
          <t>VÄSTERNORRLANDS LÄN</t>
        </is>
      </c>
      <c r="E641" t="inlineStr">
        <is>
          <t>SOLLEFTEÅ</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46207-2023</t>
        </is>
      </c>
      <c r="B642" s="1" t="n">
        <v>45190</v>
      </c>
      <c r="C642" s="1" t="n">
        <v>46199</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56249-2024</t>
        </is>
      </c>
      <c r="B643" s="1" t="n">
        <v>45624</v>
      </c>
      <c r="C643" s="1" t="n">
        <v>46199</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18149-2023</t>
        </is>
      </c>
      <c r="B644" s="1" t="n">
        <v>45040</v>
      </c>
      <c r="C644" s="1" t="n">
        <v>46199</v>
      </c>
      <c r="D644" t="inlineStr">
        <is>
          <t>VÄSTERNORRLANDS LÄN</t>
        </is>
      </c>
      <c r="E644" t="inlineStr">
        <is>
          <t>SOLLEFTEÅ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14975-2024</t>
        </is>
      </c>
      <c r="B645" s="1" t="n">
        <v>45398</v>
      </c>
      <c r="C645" s="1" t="n">
        <v>46199</v>
      </c>
      <c r="D645" t="inlineStr">
        <is>
          <t>VÄSTERNORRLANDS LÄN</t>
        </is>
      </c>
      <c r="E645" t="inlineStr">
        <is>
          <t>SOLLEFTEÅ</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14983-2024</t>
        </is>
      </c>
      <c r="B646" s="1" t="n">
        <v>45398</v>
      </c>
      <c r="C646" s="1" t="n">
        <v>46199</v>
      </c>
      <c r="D646" t="inlineStr">
        <is>
          <t>VÄSTERNORRLANDS LÄN</t>
        </is>
      </c>
      <c r="E646" t="inlineStr">
        <is>
          <t>SOLLEFTEÅ</t>
        </is>
      </c>
      <c r="F646" t="inlineStr">
        <is>
          <t>SCA</t>
        </is>
      </c>
      <c r="G646" t="n">
        <v>6.7</v>
      </c>
      <c r="H646" t="n">
        <v>0</v>
      </c>
      <c r="I646" t="n">
        <v>0</v>
      </c>
      <c r="J646" t="n">
        <v>0</v>
      </c>
      <c r="K646" t="n">
        <v>0</v>
      </c>
      <c r="L646" t="n">
        <v>0</v>
      </c>
      <c r="M646" t="n">
        <v>0</v>
      </c>
      <c r="N646" t="n">
        <v>0</v>
      </c>
      <c r="O646" t="n">
        <v>0</v>
      </c>
      <c r="P646" t="n">
        <v>0</v>
      </c>
      <c r="Q646" t="n">
        <v>0</v>
      </c>
      <c r="R646" s="2" t="inlineStr"/>
    </row>
    <row r="647" ht="15" customHeight="1">
      <c r="A647" t="inlineStr">
        <is>
          <t>A 13521-2023</t>
        </is>
      </c>
      <c r="B647" s="1" t="n">
        <v>45005</v>
      </c>
      <c r="C647" s="1" t="n">
        <v>46199</v>
      </c>
      <c r="D647" t="inlineStr">
        <is>
          <t>VÄSTERNORRLANDS LÄN</t>
        </is>
      </c>
      <c r="E647" t="inlineStr">
        <is>
          <t>SOLLEFTEÅ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56987-2025</t>
        </is>
      </c>
      <c r="B648" s="1" t="n">
        <v>45978</v>
      </c>
      <c r="C648" s="1" t="n">
        <v>46199</v>
      </c>
      <c r="D648" t="inlineStr">
        <is>
          <t>VÄSTERNORRLANDS LÄN</t>
        </is>
      </c>
      <c r="E648" t="inlineStr">
        <is>
          <t>SOLLEFTEÅ</t>
        </is>
      </c>
      <c r="G648" t="n">
        <v>2.8</v>
      </c>
      <c r="H648" t="n">
        <v>0</v>
      </c>
      <c r="I648" t="n">
        <v>0</v>
      </c>
      <c r="J648" t="n">
        <v>0</v>
      </c>
      <c r="K648" t="n">
        <v>0</v>
      </c>
      <c r="L648" t="n">
        <v>0</v>
      </c>
      <c r="M648" t="n">
        <v>0</v>
      </c>
      <c r="N648" t="n">
        <v>0</v>
      </c>
      <c r="O648" t="n">
        <v>0</v>
      </c>
      <c r="P648" t="n">
        <v>0</v>
      </c>
      <c r="Q648" t="n">
        <v>0</v>
      </c>
      <c r="R648" s="2" t="inlineStr"/>
    </row>
    <row r="649" ht="15" customHeight="1">
      <c r="A649" t="inlineStr">
        <is>
          <t>A 16726-2024</t>
        </is>
      </c>
      <c r="B649" s="1" t="n">
        <v>45409</v>
      </c>
      <c r="C649" s="1" t="n">
        <v>46199</v>
      </c>
      <c r="D649" t="inlineStr">
        <is>
          <t>VÄSTERNORRLANDS LÄN</t>
        </is>
      </c>
      <c r="E649" t="inlineStr">
        <is>
          <t>SOLLEFTEÅ</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4838-2025</t>
        </is>
      </c>
      <c r="B650" s="1" t="n">
        <v>45688</v>
      </c>
      <c r="C650" s="1" t="n">
        <v>46199</v>
      </c>
      <c r="D650" t="inlineStr">
        <is>
          <t>VÄSTERNORRLANDS LÄN</t>
        </is>
      </c>
      <c r="E650" t="inlineStr">
        <is>
          <t>SOLLEFTEÅ</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60389-2024</t>
        </is>
      </c>
      <c r="B651" s="1" t="n">
        <v>45643</v>
      </c>
      <c r="C651" s="1" t="n">
        <v>46199</v>
      </c>
      <c r="D651" t="inlineStr">
        <is>
          <t>VÄSTERNORRLANDS LÄN</t>
        </is>
      </c>
      <c r="E651" t="inlineStr">
        <is>
          <t>SOLLEFTEÅ</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53524-2021</t>
        </is>
      </c>
      <c r="B652" s="1" t="n">
        <v>44468</v>
      </c>
      <c r="C652" s="1" t="n">
        <v>46199</v>
      </c>
      <c r="D652" t="inlineStr">
        <is>
          <t>VÄSTERNORRLANDS LÄN</t>
        </is>
      </c>
      <c r="E652" t="inlineStr">
        <is>
          <t>SOLLEFTEÅ</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56425-2025</t>
        </is>
      </c>
      <c r="B653" s="1" t="n">
        <v>45975</v>
      </c>
      <c r="C653" s="1" t="n">
        <v>46199</v>
      </c>
      <c r="D653" t="inlineStr">
        <is>
          <t>VÄSTERNORRLANDS LÄN</t>
        </is>
      </c>
      <c r="E653" t="inlineStr">
        <is>
          <t>SOLLEFTEÅ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40355-2024</t>
        </is>
      </c>
      <c r="B654" s="1" t="n">
        <v>45555</v>
      </c>
      <c r="C654" s="1" t="n">
        <v>46199</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60361-2024</t>
        </is>
      </c>
      <c r="B655" s="1" t="n">
        <v>45643</v>
      </c>
      <c r="C655" s="1" t="n">
        <v>46199</v>
      </c>
      <c r="D655" t="inlineStr">
        <is>
          <t>VÄSTERNORRLANDS LÄN</t>
        </is>
      </c>
      <c r="E655" t="inlineStr">
        <is>
          <t>SOLLEFTEÅ</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20184-2025</t>
        </is>
      </c>
      <c r="B656" s="1" t="n">
        <v>45772</v>
      </c>
      <c r="C656" s="1" t="n">
        <v>46199</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22184-2025</t>
        </is>
      </c>
      <c r="B657" s="1" t="n">
        <v>45785</v>
      </c>
      <c r="C657" s="1" t="n">
        <v>46199</v>
      </c>
      <c r="D657" t="inlineStr">
        <is>
          <t>VÄSTERNORRLANDS LÄN</t>
        </is>
      </c>
      <c r="E657" t="inlineStr">
        <is>
          <t>SOLLEFTEÅ</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22211-2025</t>
        </is>
      </c>
      <c r="B658" s="1" t="n">
        <v>45785</v>
      </c>
      <c r="C658" s="1" t="n">
        <v>46199</v>
      </c>
      <c r="D658" t="inlineStr">
        <is>
          <t>VÄSTERNORRLANDS LÄN</t>
        </is>
      </c>
      <c r="E658" t="inlineStr">
        <is>
          <t>SOLLEFTEÅ</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22036-2025</t>
        </is>
      </c>
      <c r="B659" s="1" t="n">
        <v>45785</v>
      </c>
      <c r="C659" s="1" t="n">
        <v>46199</v>
      </c>
      <c r="D659" t="inlineStr">
        <is>
          <t>VÄSTERNORRLANDS LÄN</t>
        </is>
      </c>
      <c r="E659" t="inlineStr">
        <is>
          <t>SOLLEFTEÅ</t>
        </is>
      </c>
      <c r="G659" t="n">
        <v>1.9</v>
      </c>
      <c r="H659" t="n">
        <v>0</v>
      </c>
      <c r="I659" t="n">
        <v>0</v>
      </c>
      <c r="J659" t="n">
        <v>0</v>
      </c>
      <c r="K659" t="n">
        <v>0</v>
      </c>
      <c r="L659" t="n">
        <v>0</v>
      </c>
      <c r="M659" t="n">
        <v>0</v>
      </c>
      <c r="N659" t="n">
        <v>0</v>
      </c>
      <c r="O659" t="n">
        <v>0</v>
      </c>
      <c r="P659" t="n">
        <v>0</v>
      </c>
      <c r="Q659" t="n">
        <v>0</v>
      </c>
      <c r="R659" s="2" t="inlineStr"/>
    </row>
    <row r="660" ht="15" customHeight="1">
      <c r="A660" t="inlineStr">
        <is>
          <t>A 50864-2024</t>
        </is>
      </c>
      <c r="B660" s="1" t="n">
        <v>45602</v>
      </c>
      <c r="C660" s="1" t="n">
        <v>46199</v>
      </c>
      <c r="D660" t="inlineStr">
        <is>
          <t>VÄSTERNORRLANDS LÄN</t>
        </is>
      </c>
      <c r="E660" t="inlineStr">
        <is>
          <t>SOLLEFTEÅ</t>
        </is>
      </c>
      <c r="G660" t="n">
        <v>9.5</v>
      </c>
      <c r="H660" t="n">
        <v>0</v>
      </c>
      <c r="I660" t="n">
        <v>0</v>
      </c>
      <c r="J660" t="n">
        <v>0</v>
      </c>
      <c r="K660" t="n">
        <v>0</v>
      </c>
      <c r="L660" t="n">
        <v>0</v>
      </c>
      <c r="M660" t="n">
        <v>0</v>
      </c>
      <c r="N660" t="n">
        <v>0</v>
      </c>
      <c r="O660" t="n">
        <v>0</v>
      </c>
      <c r="P660" t="n">
        <v>0</v>
      </c>
      <c r="Q660" t="n">
        <v>0</v>
      </c>
      <c r="R660" s="2" t="inlineStr"/>
    </row>
    <row r="661" ht="15" customHeight="1">
      <c r="A661" t="inlineStr">
        <is>
          <t>A 57019-2022</t>
        </is>
      </c>
      <c r="B661" s="1" t="n">
        <v>44894</v>
      </c>
      <c r="C661" s="1" t="n">
        <v>46199</v>
      </c>
      <c r="D661" t="inlineStr">
        <is>
          <t>VÄSTERNORRLANDS LÄN</t>
        </is>
      </c>
      <c r="E661" t="inlineStr">
        <is>
          <t>SOLLEFTEÅ</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55912-2023</t>
        </is>
      </c>
      <c r="B662" s="1" t="n">
        <v>45239</v>
      </c>
      <c r="C662" s="1" t="n">
        <v>46199</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38220-2025</t>
        </is>
      </c>
      <c r="B663" s="1" t="n">
        <v>45883</v>
      </c>
      <c r="C663" s="1" t="n">
        <v>46199</v>
      </c>
      <c r="D663" t="inlineStr">
        <is>
          <t>VÄSTERNORRLANDS LÄN</t>
        </is>
      </c>
      <c r="E663" t="inlineStr">
        <is>
          <t>SOLLEFTEÅ</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22668-2024</t>
        </is>
      </c>
      <c r="B664" s="1" t="n">
        <v>45447</v>
      </c>
      <c r="C664" s="1" t="n">
        <v>46199</v>
      </c>
      <c r="D664" t="inlineStr">
        <is>
          <t>VÄSTERNORRLANDS LÄN</t>
        </is>
      </c>
      <c r="E664" t="inlineStr">
        <is>
          <t>SOLLEFTEÅ</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22046-2025</t>
        </is>
      </c>
      <c r="B665" s="1" t="n">
        <v>45785</v>
      </c>
      <c r="C665" s="1" t="n">
        <v>46199</v>
      </c>
      <c r="D665" t="inlineStr">
        <is>
          <t>VÄSTERNORRLANDS LÄN</t>
        </is>
      </c>
      <c r="E665" t="inlineStr">
        <is>
          <t>SOLLEFTEÅ</t>
        </is>
      </c>
      <c r="F665" t="inlineStr">
        <is>
          <t>SCA</t>
        </is>
      </c>
      <c r="G665" t="n">
        <v>5.5</v>
      </c>
      <c r="H665" t="n">
        <v>0</v>
      </c>
      <c r="I665" t="n">
        <v>0</v>
      </c>
      <c r="J665" t="n">
        <v>0</v>
      </c>
      <c r="K665" t="n">
        <v>0</v>
      </c>
      <c r="L665" t="n">
        <v>0</v>
      </c>
      <c r="M665" t="n">
        <v>0</v>
      </c>
      <c r="N665" t="n">
        <v>0</v>
      </c>
      <c r="O665" t="n">
        <v>0</v>
      </c>
      <c r="P665" t="n">
        <v>0</v>
      </c>
      <c r="Q665" t="n">
        <v>0</v>
      </c>
      <c r="R665" s="2" t="inlineStr"/>
    </row>
    <row r="666" ht="15" customHeight="1">
      <c r="A666" t="inlineStr">
        <is>
          <t>A 26172-2024</t>
        </is>
      </c>
      <c r="B666" s="1" t="n">
        <v>45468</v>
      </c>
      <c r="C666" s="1" t="n">
        <v>46199</v>
      </c>
      <c r="D666" t="inlineStr">
        <is>
          <t>VÄSTERNORRLANDS LÄN</t>
        </is>
      </c>
      <c r="E666" t="inlineStr">
        <is>
          <t>SOLLEFTEÅ</t>
        </is>
      </c>
      <c r="G666" t="n">
        <v>4.4</v>
      </c>
      <c r="H666" t="n">
        <v>0</v>
      </c>
      <c r="I666" t="n">
        <v>0</v>
      </c>
      <c r="J666" t="n">
        <v>0</v>
      </c>
      <c r="K666" t="n">
        <v>0</v>
      </c>
      <c r="L666" t="n">
        <v>0</v>
      </c>
      <c r="M666" t="n">
        <v>0</v>
      </c>
      <c r="N666" t="n">
        <v>0</v>
      </c>
      <c r="O666" t="n">
        <v>0</v>
      </c>
      <c r="P666" t="n">
        <v>0</v>
      </c>
      <c r="Q666" t="n">
        <v>0</v>
      </c>
      <c r="R666" s="2" t="inlineStr"/>
    </row>
    <row r="667" ht="15" customHeight="1">
      <c r="A667" t="inlineStr">
        <is>
          <t>A 22615-2025</t>
        </is>
      </c>
      <c r="B667" s="1" t="n">
        <v>45789</v>
      </c>
      <c r="C667" s="1" t="n">
        <v>46199</v>
      </c>
      <c r="D667" t="inlineStr">
        <is>
          <t>VÄSTERNORRLANDS LÄN</t>
        </is>
      </c>
      <c r="E667" t="inlineStr">
        <is>
          <t>SOLLEFTEÅ</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41028-2024</t>
        </is>
      </c>
      <c r="B668" s="1" t="n">
        <v>45559</v>
      </c>
      <c r="C668" s="1" t="n">
        <v>46199</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56260-2023</t>
        </is>
      </c>
      <c r="B669" s="1" t="n">
        <v>45240</v>
      </c>
      <c r="C669" s="1" t="n">
        <v>46199</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38330-2025</t>
        </is>
      </c>
      <c r="B670" s="1" t="n">
        <v>45883</v>
      </c>
      <c r="C670" s="1" t="n">
        <v>46199</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22287-2025</t>
        </is>
      </c>
      <c r="B671" s="1" t="n">
        <v>45786</v>
      </c>
      <c r="C671" s="1" t="n">
        <v>46199</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39230-2021</t>
        </is>
      </c>
      <c r="B672" s="1" t="n">
        <v>44413</v>
      </c>
      <c r="C672" s="1" t="n">
        <v>46199</v>
      </c>
      <c r="D672" t="inlineStr">
        <is>
          <t>VÄSTERNORRLANDS LÄN</t>
        </is>
      </c>
      <c r="E672" t="inlineStr">
        <is>
          <t>SOLLEFTEÅ</t>
        </is>
      </c>
      <c r="G672" t="n">
        <v>13.6</v>
      </c>
      <c r="H672" t="n">
        <v>0</v>
      </c>
      <c r="I672" t="n">
        <v>0</v>
      </c>
      <c r="J672" t="n">
        <v>0</v>
      </c>
      <c r="K672" t="n">
        <v>0</v>
      </c>
      <c r="L672" t="n">
        <v>0</v>
      </c>
      <c r="M672" t="n">
        <v>0</v>
      </c>
      <c r="N672" t="n">
        <v>0</v>
      </c>
      <c r="O672" t="n">
        <v>0</v>
      </c>
      <c r="P672" t="n">
        <v>0</v>
      </c>
      <c r="Q672" t="n">
        <v>0</v>
      </c>
      <c r="R672" s="2" t="inlineStr"/>
    </row>
    <row r="673" ht="15" customHeight="1">
      <c r="A673" t="inlineStr">
        <is>
          <t>A 20389-2025</t>
        </is>
      </c>
      <c r="B673" s="1" t="n">
        <v>45775</v>
      </c>
      <c r="C673" s="1" t="n">
        <v>46199</v>
      </c>
      <c r="D673" t="inlineStr">
        <is>
          <t>VÄSTERNORRLANDS LÄN</t>
        </is>
      </c>
      <c r="E673" t="inlineStr">
        <is>
          <t>SOLLEFTEÅ</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51847-2021</t>
        </is>
      </c>
      <c r="B674" s="1" t="n">
        <v>44462</v>
      </c>
      <c r="C674" s="1" t="n">
        <v>46199</v>
      </c>
      <c r="D674" t="inlineStr">
        <is>
          <t>VÄSTERNORRLANDS LÄN</t>
        </is>
      </c>
      <c r="E674" t="inlineStr">
        <is>
          <t>SOLLEFTEÅ</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31179-2023</t>
        </is>
      </c>
      <c r="B675" s="1" t="n">
        <v>45113</v>
      </c>
      <c r="C675" s="1" t="n">
        <v>46199</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22866-2025</t>
        </is>
      </c>
      <c r="B676" s="1" t="n">
        <v>45790</v>
      </c>
      <c r="C676" s="1" t="n">
        <v>46199</v>
      </c>
      <c r="D676" t="inlineStr">
        <is>
          <t>VÄSTERNORRLANDS LÄN</t>
        </is>
      </c>
      <c r="E676" t="inlineStr">
        <is>
          <t>SOLLEFTEÅ</t>
        </is>
      </c>
      <c r="F676" t="inlineStr">
        <is>
          <t>SCA</t>
        </is>
      </c>
      <c r="G676" t="n">
        <v>16.2</v>
      </c>
      <c r="H676" t="n">
        <v>0</v>
      </c>
      <c r="I676" t="n">
        <v>0</v>
      </c>
      <c r="J676" t="n">
        <v>0</v>
      </c>
      <c r="K676" t="n">
        <v>0</v>
      </c>
      <c r="L676" t="n">
        <v>0</v>
      </c>
      <c r="M676" t="n">
        <v>0</v>
      </c>
      <c r="N676" t="n">
        <v>0</v>
      </c>
      <c r="O676" t="n">
        <v>0</v>
      </c>
      <c r="P676" t="n">
        <v>0</v>
      </c>
      <c r="Q676" t="n">
        <v>0</v>
      </c>
      <c r="R676" s="2" t="inlineStr"/>
    </row>
    <row r="677" ht="15" customHeight="1">
      <c r="A677" t="inlineStr">
        <is>
          <t>A 22562-2025</t>
        </is>
      </c>
      <c r="B677" s="1" t="n">
        <v>45789</v>
      </c>
      <c r="C677" s="1" t="n">
        <v>46199</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16693-2024</t>
        </is>
      </c>
      <c r="B678" s="1" t="n">
        <v>45408</v>
      </c>
      <c r="C678" s="1" t="n">
        <v>46199</v>
      </c>
      <c r="D678" t="inlineStr">
        <is>
          <t>VÄSTERNORRLANDS LÄN</t>
        </is>
      </c>
      <c r="E678" t="inlineStr">
        <is>
          <t>SOLLEFTEÅ</t>
        </is>
      </c>
      <c r="G678" t="n">
        <v>2.1</v>
      </c>
      <c r="H678" t="n">
        <v>0</v>
      </c>
      <c r="I678" t="n">
        <v>0</v>
      </c>
      <c r="J678" t="n">
        <v>0</v>
      </c>
      <c r="K678" t="n">
        <v>0</v>
      </c>
      <c r="L678" t="n">
        <v>0</v>
      </c>
      <c r="M678" t="n">
        <v>0</v>
      </c>
      <c r="N678" t="n">
        <v>0</v>
      </c>
      <c r="O678" t="n">
        <v>0</v>
      </c>
      <c r="P678" t="n">
        <v>0</v>
      </c>
      <c r="Q678" t="n">
        <v>0</v>
      </c>
      <c r="R678" s="2" t="inlineStr"/>
    </row>
    <row r="679" ht="15" customHeight="1">
      <c r="A679" t="inlineStr">
        <is>
          <t>A 16710-2024</t>
        </is>
      </c>
      <c r="B679" s="1" t="n">
        <v>45409</v>
      </c>
      <c r="C679" s="1" t="n">
        <v>46199</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22803-2025</t>
        </is>
      </c>
      <c r="B680" s="1" t="n">
        <v>45789</v>
      </c>
      <c r="C680" s="1" t="n">
        <v>46199</v>
      </c>
      <c r="D680" t="inlineStr">
        <is>
          <t>VÄSTERNORRLANDS LÄN</t>
        </is>
      </c>
      <c r="E680" t="inlineStr">
        <is>
          <t>SOLLEFTEÅ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23522-2025</t>
        </is>
      </c>
      <c r="B681" s="1" t="n">
        <v>45792</v>
      </c>
      <c r="C681" s="1" t="n">
        <v>46199</v>
      </c>
      <c r="D681" t="inlineStr">
        <is>
          <t>VÄSTERNORRLANDS LÄN</t>
        </is>
      </c>
      <c r="E681" t="inlineStr">
        <is>
          <t>SOLLEFTEÅ</t>
        </is>
      </c>
      <c r="F681" t="inlineStr">
        <is>
          <t>Holmen skog AB</t>
        </is>
      </c>
      <c r="G681" t="n">
        <v>0.6</v>
      </c>
      <c r="H681" t="n">
        <v>0</v>
      </c>
      <c r="I681" t="n">
        <v>0</v>
      </c>
      <c r="J681" t="n">
        <v>0</v>
      </c>
      <c r="K681" t="n">
        <v>0</v>
      </c>
      <c r="L681" t="n">
        <v>0</v>
      </c>
      <c r="M681" t="n">
        <v>0</v>
      </c>
      <c r="N681" t="n">
        <v>0</v>
      </c>
      <c r="O681" t="n">
        <v>0</v>
      </c>
      <c r="P681" t="n">
        <v>0</v>
      </c>
      <c r="Q681" t="n">
        <v>0</v>
      </c>
      <c r="R681" s="2" t="inlineStr"/>
    </row>
    <row r="682" ht="15" customHeight="1">
      <c r="A682" t="inlineStr">
        <is>
          <t>A 57205-2025</t>
        </is>
      </c>
      <c r="B682" s="1" t="n">
        <v>45979</v>
      </c>
      <c r="C682" s="1" t="n">
        <v>46199</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23634-2025</t>
        </is>
      </c>
      <c r="B683" s="1" t="n">
        <v>45792</v>
      </c>
      <c r="C683" s="1" t="n">
        <v>46199</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23515-2025</t>
        </is>
      </c>
      <c r="B684" s="1" t="n">
        <v>45792</v>
      </c>
      <c r="C684" s="1" t="n">
        <v>46199</v>
      </c>
      <c r="D684" t="inlineStr">
        <is>
          <t>VÄSTERNORRLANDS LÄN</t>
        </is>
      </c>
      <c r="E684" t="inlineStr">
        <is>
          <t>SOLLEFTEÅ</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38581-2025</t>
        </is>
      </c>
      <c r="B685" s="1" t="n">
        <v>45884</v>
      </c>
      <c r="C685" s="1" t="n">
        <v>46199</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38596-2025</t>
        </is>
      </c>
      <c r="B686" s="1" t="n">
        <v>45884</v>
      </c>
      <c r="C686" s="1" t="n">
        <v>46199</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38598-2025</t>
        </is>
      </c>
      <c r="B687" s="1" t="n">
        <v>45884</v>
      </c>
      <c r="C687" s="1" t="n">
        <v>46199</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42915-2024</t>
        </is>
      </c>
      <c r="B688" s="1" t="n">
        <v>45566</v>
      </c>
      <c r="C688" s="1" t="n">
        <v>46199</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23409-2025</t>
        </is>
      </c>
      <c r="B689" s="1" t="n">
        <v>45792</v>
      </c>
      <c r="C689" s="1" t="n">
        <v>46199</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15154-2024</t>
        </is>
      </c>
      <c r="B690" s="1" t="n">
        <v>45399</v>
      </c>
      <c r="C690" s="1" t="n">
        <v>46199</v>
      </c>
      <c r="D690" t="inlineStr">
        <is>
          <t>VÄSTERNORRLANDS LÄN</t>
        </is>
      </c>
      <c r="E690" t="inlineStr">
        <is>
          <t>SOLLEFTEÅ</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58179-2021</t>
        </is>
      </c>
      <c r="B691" s="1" t="n">
        <v>44487</v>
      </c>
      <c r="C691" s="1" t="n">
        <v>46199</v>
      </c>
      <c r="D691" t="inlineStr">
        <is>
          <t>VÄSTERNORRLANDS LÄN</t>
        </is>
      </c>
      <c r="E691" t="inlineStr">
        <is>
          <t>SOLLEFTEÅ</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23090-2025</t>
        </is>
      </c>
      <c r="B692" s="1" t="n">
        <v>45791</v>
      </c>
      <c r="C692" s="1" t="n">
        <v>46199</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29957-2023</t>
        </is>
      </c>
      <c r="B693" s="1" t="n">
        <v>45107</v>
      </c>
      <c r="C693" s="1" t="n">
        <v>46199</v>
      </c>
      <c r="D693" t="inlineStr">
        <is>
          <t>VÄSTERNORRLANDS LÄN</t>
        </is>
      </c>
      <c r="E693" t="inlineStr">
        <is>
          <t>SOLLEFTEÅ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13009-2023</t>
        </is>
      </c>
      <c r="B694" s="1" t="n">
        <v>45002</v>
      </c>
      <c r="C694" s="1" t="n">
        <v>46199</v>
      </c>
      <c r="D694" t="inlineStr">
        <is>
          <t>VÄSTERNORRLANDS LÄN</t>
        </is>
      </c>
      <c r="E694" t="inlineStr">
        <is>
          <t>SOLLEFTEÅ</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23287-2023</t>
        </is>
      </c>
      <c r="B695" s="1" t="n">
        <v>45075</v>
      </c>
      <c r="C695" s="1" t="n">
        <v>46199</v>
      </c>
      <c r="D695" t="inlineStr">
        <is>
          <t>VÄSTERNORRLANDS LÄN</t>
        </is>
      </c>
      <c r="E695" t="inlineStr">
        <is>
          <t>SOLLEFTEÅ</t>
        </is>
      </c>
      <c r="G695" t="n">
        <v>0.2</v>
      </c>
      <c r="H695" t="n">
        <v>0</v>
      </c>
      <c r="I695" t="n">
        <v>0</v>
      </c>
      <c r="J695" t="n">
        <v>0</v>
      </c>
      <c r="K695" t="n">
        <v>0</v>
      </c>
      <c r="L695" t="n">
        <v>0</v>
      </c>
      <c r="M695" t="n">
        <v>0</v>
      </c>
      <c r="N695" t="n">
        <v>0</v>
      </c>
      <c r="O695" t="n">
        <v>0</v>
      </c>
      <c r="P695" t="n">
        <v>0</v>
      </c>
      <c r="Q695" t="n">
        <v>0</v>
      </c>
      <c r="R695" s="2" t="inlineStr"/>
    </row>
    <row r="696" ht="15" customHeight="1">
      <c r="A696" t="inlineStr">
        <is>
          <t>A 918-2023</t>
        </is>
      </c>
      <c r="B696" s="1" t="n">
        <v>44931</v>
      </c>
      <c r="C696" s="1" t="n">
        <v>46199</v>
      </c>
      <c r="D696" t="inlineStr">
        <is>
          <t>VÄSTERNORRLANDS LÄN</t>
        </is>
      </c>
      <c r="E696" t="inlineStr">
        <is>
          <t>SOLLEFTEÅ</t>
        </is>
      </c>
      <c r="F696" t="inlineStr">
        <is>
          <t>SCA</t>
        </is>
      </c>
      <c r="G696" t="n">
        <v>7.1</v>
      </c>
      <c r="H696" t="n">
        <v>0</v>
      </c>
      <c r="I696" t="n">
        <v>0</v>
      </c>
      <c r="J696" t="n">
        <v>0</v>
      </c>
      <c r="K696" t="n">
        <v>0</v>
      </c>
      <c r="L696" t="n">
        <v>0</v>
      </c>
      <c r="M696" t="n">
        <v>0</v>
      </c>
      <c r="N696" t="n">
        <v>0</v>
      </c>
      <c r="O696" t="n">
        <v>0</v>
      </c>
      <c r="P696" t="n">
        <v>0</v>
      </c>
      <c r="Q696" t="n">
        <v>0</v>
      </c>
      <c r="R696" s="2" t="inlineStr"/>
    </row>
    <row r="697" ht="15" customHeight="1">
      <c r="A697" t="inlineStr">
        <is>
          <t>A 57061-2025</t>
        </is>
      </c>
      <c r="B697" s="1" t="n">
        <v>45979</v>
      </c>
      <c r="C697" s="1" t="n">
        <v>46199</v>
      </c>
      <c r="D697" t="inlineStr">
        <is>
          <t>VÄSTERNORRLANDS LÄN</t>
        </is>
      </c>
      <c r="E697" t="inlineStr">
        <is>
          <t>SOLLEFTEÅ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57395-2023</t>
        </is>
      </c>
      <c r="B698" s="1" t="n">
        <v>45245</v>
      </c>
      <c r="C698" s="1" t="n">
        <v>46199</v>
      </c>
      <c r="D698" t="inlineStr">
        <is>
          <t>VÄSTERNORRLANDS LÄN</t>
        </is>
      </c>
      <c r="E698" t="inlineStr">
        <is>
          <t>SOLLEFTEÅ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22514-2025</t>
        </is>
      </c>
      <c r="B699" s="1" t="n">
        <v>45786</v>
      </c>
      <c r="C699" s="1" t="n">
        <v>46199</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23339-2025</t>
        </is>
      </c>
      <c r="B700" s="1" t="n">
        <v>45791</v>
      </c>
      <c r="C700" s="1" t="n">
        <v>46199</v>
      </c>
      <c r="D700" t="inlineStr">
        <is>
          <t>VÄSTERNORRLANDS LÄN</t>
        </is>
      </c>
      <c r="E700" t="inlineStr">
        <is>
          <t>SOLLEFTEÅ</t>
        </is>
      </c>
      <c r="G700" t="n">
        <v>3.9</v>
      </c>
      <c r="H700" t="n">
        <v>0</v>
      </c>
      <c r="I700" t="n">
        <v>0</v>
      </c>
      <c r="J700" t="n">
        <v>0</v>
      </c>
      <c r="K700" t="n">
        <v>0</v>
      </c>
      <c r="L700" t="n">
        <v>0</v>
      </c>
      <c r="M700" t="n">
        <v>0</v>
      </c>
      <c r="N700" t="n">
        <v>0</v>
      </c>
      <c r="O700" t="n">
        <v>0</v>
      </c>
      <c r="P700" t="n">
        <v>0</v>
      </c>
      <c r="Q700" t="n">
        <v>0</v>
      </c>
      <c r="R700" s="2" t="inlineStr"/>
    </row>
    <row r="701" ht="15" customHeight="1">
      <c r="A701" t="inlineStr">
        <is>
          <t>A 23542-2025</t>
        </is>
      </c>
      <c r="B701" s="1" t="n">
        <v>45792</v>
      </c>
      <c r="C701" s="1" t="n">
        <v>46199</v>
      </c>
      <c r="D701" t="inlineStr">
        <is>
          <t>VÄSTERNORRLANDS LÄN</t>
        </is>
      </c>
      <c r="E701" t="inlineStr">
        <is>
          <t>SOLLEFTEÅ</t>
        </is>
      </c>
      <c r="F701" t="inlineStr">
        <is>
          <t>Holmen skog AB</t>
        </is>
      </c>
      <c r="G701" t="n">
        <v>2.9</v>
      </c>
      <c r="H701" t="n">
        <v>0</v>
      </c>
      <c r="I701" t="n">
        <v>0</v>
      </c>
      <c r="J701" t="n">
        <v>0</v>
      </c>
      <c r="K701" t="n">
        <v>0</v>
      </c>
      <c r="L701" t="n">
        <v>0</v>
      </c>
      <c r="M701" t="n">
        <v>0</v>
      </c>
      <c r="N701" t="n">
        <v>0</v>
      </c>
      <c r="O701" t="n">
        <v>0</v>
      </c>
      <c r="P701" t="n">
        <v>0</v>
      </c>
      <c r="Q701" t="n">
        <v>0</v>
      </c>
      <c r="R701" s="2" t="inlineStr"/>
    </row>
    <row r="702" ht="15" customHeight="1">
      <c r="A702" t="inlineStr">
        <is>
          <t>A 60328-2023</t>
        </is>
      </c>
      <c r="B702" s="1" t="n">
        <v>45258</v>
      </c>
      <c r="C702" s="1" t="n">
        <v>46199</v>
      </c>
      <c r="D702" t="inlineStr">
        <is>
          <t>VÄSTERNORRLANDS LÄN</t>
        </is>
      </c>
      <c r="E702" t="inlineStr">
        <is>
          <t>SOLLEFTEÅ</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33110-2024</t>
        </is>
      </c>
      <c r="B703" s="1" t="n">
        <v>45517</v>
      </c>
      <c r="C703" s="1" t="n">
        <v>46199</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55610-2021</t>
        </is>
      </c>
      <c r="B704" s="1" t="n">
        <v>44475</v>
      </c>
      <c r="C704" s="1" t="n">
        <v>46199</v>
      </c>
      <c r="D704" t="inlineStr">
        <is>
          <t>VÄSTERNORRLANDS LÄN</t>
        </is>
      </c>
      <c r="E704" t="inlineStr">
        <is>
          <t>SOLLEFTEÅ</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18623-2024</t>
        </is>
      </c>
      <c r="B705" s="1" t="n">
        <v>45425</v>
      </c>
      <c r="C705" s="1" t="n">
        <v>46199</v>
      </c>
      <c r="D705" t="inlineStr">
        <is>
          <t>VÄSTERNORRLANDS LÄN</t>
        </is>
      </c>
      <c r="E705" t="inlineStr">
        <is>
          <t>SOLLEFTEÅ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57176-2025</t>
        </is>
      </c>
      <c r="B706" s="1" t="n">
        <v>45979</v>
      </c>
      <c r="C706" s="1" t="n">
        <v>46199</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62523-2023</t>
        </is>
      </c>
      <c r="B707" s="1" t="n">
        <v>45267</v>
      </c>
      <c r="C707" s="1" t="n">
        <v>46199</v>
      </c>
      <c r="D707" t="inlineStr">
        <is>
          <t>VÄSTERNORRLANDS LÄN</t>
        </is>
      </c>
      <c r="E707" t="inlineStr">
        <is>
          <t>SOLLEFTEÅ</t>
        </is>
      </c>
      <c r="G707" t="n">
        <v>33.6</v>
      </c>
      <c r="H707" t="n">
        <v>0</v>
      </c>
      <c r="I707" t="n">
        <v>0</v>
      </c>
      <c r="J707" t="n">
        <v>0</v>
      </c>
      <c r="K707" t="n">
        <v>0</v>
      </c>
      <c r="L707" t="n">
        <v>0</v>
      </c>
      <c r="M707" t="n">
        <v>0</v>
      </c>
      <c r="N707" t="n">
        <v>0</v>
      </c>
      <c r="O707" t="n">
        <v>0</v>
      </c>
      <c r="P707" t="n">
        <v>0</v>
      </c>
      <c r="Q707" t="n">
        <v>0</v>
      </c>
      <c r="R707" s="2" t="inlineStr"/>
    </row>
    <row r="708" ht="15" customHeight="1">
      <c r="A708" t="inlineStr">
        <is>
          <t>A 58511-2025</t>
        </is>
      </c>
      <c r="B708" s="1" t="n">
        <v>45982</v>
      </c>
      <c r="C708" s="1" t="n">
        <v>46199</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42755-2022</t>
        </is>
      </c>
      <c r="B709" s="1" t="n">
        <v>44832</v>
      </c>
      <c r="C709" s="1" t="n">
        <v>46199</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34983-2023</t>
        </is>
      </c>
      <c r="B710" s="1" t="n">
        <v>45141</v>
      </c>
      <c r="C710" s="1" t="n">
        <v>46199</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54617-2023</t>
        </is>
      </c>
      <c r="B711" s="1" t="n">
        <v>45233</v>
      </c>
      <c r="C711" s="1" t="n">
        <v>46199</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34397-2021</t>
        </is>
      </c>
      <c r="B712" s="1" t="n">
        <v>44379</v>
      </c>
      <c r="C712" s="1" t="n">
        <v>46199</v>
      </c>
      <c r="D712" t="inlineStr">
        <is>
          <t>VÄSTERNORRLANDS LÄN</t>
        </is>
      </c>
      <c r="E712" t="inlineStr">
        <is>
          <t>SOLLEFTEÅ</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37648-2021</t>
        </is>
      </c>
      <c r="B713" s="1" t="n">
        <v>44400</v>
      </c>
      <c r="C713" s="1" t="n">
        <v>46199</v>
      </c>
      <c r="D713" t="inlineStr">
        <is>
          <t>VÄSTERNORRLANDS LÄN</t>
        </is>
      </c>
      <c r="E713" t="inlineStr">
        <is>
          <t>SOLLEFTEÅ</t>
        </is>
      </c>
      <c r="G713" t="n">
        <v>33.6</v>
      </c>
      <c r="H713" t="n">
        <v>0</v>
      </c>
      <c r="I713" t="n">
        <v>0</v>
      </c>
      <c r="J713" t="n">
        <v>0</v>
      </c>
      <c r="K713" t="n">
        <v>0</v>
      </c>
      <c r="L713" t="n">
        <v>0</v>
      </c>
      <c r="M713" t="n">
        <v>0</v>
      </c>
      <c r="N713" t="n">
        <v>0</v>
      </c>
      <c r="O713" t="n">
        <v>0</v>
      </c>
      <c r="P713" t="n">
        <v>0</v>
      </c>
      <c r="Q713" t="n">
        <v>0</v>
      </c>
      <c r="R713" s="2" t="inlineStr"/>
    </row>
    <row r="714" ht="15" customHeight="1">
      <c r="A714" t="inlineStr">
        <is>
          <t>A 2699-2025</t>
        </is>
      </c>
      <c r="B714" s="1" t="n">
        <v>45677</v>
      </c>
      <c r="C714" s="1" t="n">
        <v>46199</v>
      </c>
      <c r="D714" t="inlineStr">
        <is>
          <t>VÄSTERNORRLANDS LÄN</t>
        </is>
      </c>
      <c r="E714" t="inlineStr">
        <is>
          <t>SOLLEFTEÅ</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60420-2022</t>
        </is>
      </c>
      <c r="B715" s="1" t="n">
        <v>44910</v>
      </c>
      <c r="C715" s="1" t="n">
        <v>46199</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52602-2024</t>
        </is>
      </c>
      <c r="B716" s="1" t="n">
        <v>45609</v>
      </c>
      <c r="C716" s="1" t="n">
        <v>46199</v>
      </c>
      <c r="D716" t="inlineStr">
        <is>
          <t>VÄSTERNORRLANDS LÄN</t>
        </is>
      </c>
      <c r="E716" t="inlineStr">
        <is>
          <t>SOLLEFTEÅ</t>
        </is>
      </c>
      <c r="G716" t="n">
        <v>10.8</v>
      </c>
      <c r="H716" t="n">
        <v>0</v>
      </c>
      <c r="I716" t="n">
        <v>0</v>
      </c>
      <c r="J716" t="n">
        <v>0</v>
      </c>
      <c r="K716" t="n">
        <v>0</v>
      </c>
      <c r="L716" t="n">
        <v>0</v>
      </c>
      <c r="M716" t="n">
        <v>0</v>
      </c>
      <c r="N716" t="n">
        <v>0</v>
      </c>
      <c r="O716" t="n">
        <v>0</v>
      </c>
      <c r="P716" t="n">
        <v>0</v>
      </c>
      <c r="Q716" t="n">
        <v>0</v>
      </c>
      <c r="R716" s="2" t="inlineStr"/>
    </row>
    <row r="717" ht="15" customHeight="1">
      <c r="A717" t="inlineStr">
        <is>
          <t>A 58152-2025</t>
        </is>
      </c>
      <c r="B717" s="1" t="n">
        <v>45982</v>
      </c>
      <c r="C717" s="1" t="n">
        <v>46199</v>
      </c>
      <c r="D717" t="inlineStr">
        <is>
          <t>VÄSTERNORRLANDS LÄN</t>
        </is>
      </c>
      <c r="E717" t="inlineStr">
        <is>
          <t>SOLLEFTEÅ</t>
        </is>
      </c>
      <c r="G717" t="n">
        <v>6.4</v>
      </c>
      <c r="H717" t="n">
        <v>0</v>
      </c>
      <c r="I717" t="n">
        <v>0</v>
      </c>
      <c r="J717" t="n">
        <v>0</v>
      </c>
      <c r="K717" t="n">
        <v>0</v>
      </c>
      <c r="L717" t="n">
        <v>0</v>
      </c>
      <c r="M717" t="n">
        <v>0</v>
      </c>
      <c r="N717" t="n">
        <v>0</v>
      </c>
      <c r="O717" t="n">
        <v>0</v>
      </c>
      <c r="P717" t="n">
        <v>0</v>
      </c>
      <c r="Q717" t="n">
        <v>0</v>
      </c>
      <c r="R717" s="2" t="inlineStr"/>
    </row>
    <row r="718" ht="15" customHeight="1">
      <c r="A718" t="inlineStr">
        <is>
          <t>A 25847-2024</t>
        </is>
      </c>
      <c r="B718" s="1" t="n">
        <v>45467</v>
      </c>
      <c r="C718" s="1" t="n">
        <v>46199</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25851-2024</t>
        </is>
      </c>
      <c r="B719" s="1" t="n">
        <v>45467</v>
      </c>
      <c r="C719" s="1" t="n">
        <v>46199</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28290-2024</t>
        </is>
      </c>
      <c r="B720" s="1" t="n">
        <v>45477</v>
      </c>
      <c r="C720" s="1" t="n">
        <v>46199</v>
      </c>
      <c r="D720" t="inlineStr">
        <is>
          <t>VÄSTERNORRLANDS LÄN</t>
        </is>
      </c>
      <c r="E720" t="inlineStr">
        <is>
          <t>SOLLEFTEÅ</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35358-2021</t>
        </is>
      </c>
      <c r="B721" s="1" t="n">
        <v>44384</v>
      </c>
      <c r="C721" s="1" t="n">
        <v>46199</v>
      </c>
      <c r="D721" t="inlineStr">
        <is>
          <t>VÄSTERNORRLANDS LÄN</t>
        </is>
      </c>
      <c r="E721" t="inlineStr">
        <is>
          <t>SOLLEFTEÅ</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23997-2025</t>
        </is>
      </c>
      <c r="B722" s="1" t="n">
        <v>45796</v>
      </c>
      <c r="C722" s="1" t="n">
        <v>46199</v>
      </c>
      <c r="D722" t="inlineStr">
        <is>
          <t>VÄSTERNORRLANDS LÄN</t>
        </is>
      </c>
      <c r="E722" t="inlineStr">
        <is>
          <t>SOLLEFTEÅ</t>
        </is>
      </c>
      <c r="G722" t="n">
        <v>1.3</v>
      </c>
      <c r="H722" t="n">
        <v>0</v>
      </c>
      <c r="I722" t="n">
        <v>0</v>
      </c>
      <c r="J722" t="n">
        <v>0</v>
      </c>
      <c r="K722" t="n">
        <v>0</v>
      </c>
      <c r="L722" t="n">
        <v>0</v>
      </c>
      <c r="M722" t="n">
        <v>0</v>
      </c>
      <c r="N722" t="n">
        <v>0</v>
      </c>
      <c r="O722" t="n">
        <v>0</v>
      </c>
      <c r="P722" t="n">
        <v>0</v>
      </c>
      <c r="Q722" t="n">
        <v>0</v>
      </c>
      <c r="R722" s="2" t="inlineStr"/>
    </row>
    <row r="723" ht="15" customHeight="1">
      <c r="A723" t="inlineStr">
        <is>
          <t>A 23871-2025</t>
        </is>
      </c>
      <c r="B723" s="1" t="n">
        <v>45793</v>
      </c>
      <c r="C723" s="1" t="n">
        <v>46199</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1268-2024</t>
        </is>
      </c>
      <c r="B724" s="1" t="n">
        <v>45302</v>
      </c>
      <c r="C724" s="1" t="n">
        <v>46199</v>
      </c>
      <c r="D724" t="inlineStr">
        <is>
          <t>VÄSTERNORRLANDS LÄN</t>
        </is>
      </c>
      <c r="E724" t="inlineStr">
        <is>
          <t>SOLLEFTEÅ</t>
        </is>
      </c>
      <c r="G724" t="n">
        <v>3.3</v>
      </c>
      <c r="H724" t="n">
        <v>0</v>
      </c>
      <c r="I724" t="n">
        <v>0</v>
      </c>
      <c r="J724" t="n">
        <v>0</v>
      </c>
      <c r="K724" t="n">
        <v>0</v>
      </c>
      <c r="L724" t="n">
        <v>0</v>
      </c>
      <c r="M724" t="n">
        <v>0</v>
      </c>
      <c r="N724" t="n">
        <v>0</v>
      </c>
      <c r="O724" t="n">
        <v>0</v>
      </c>
      <c r="P724" t="n">
        <v>0</v>
      </c>
      <c r="Q724" t="n">
        <v>0</v>
      </c>
      <c r="R724" s="2" t="inlineStr"/>
    </row>
    <row r="725" ht="15" customHeight="1">
      <c r="A725" t="inlineStr">
        <is>
          <t>A 21100-2024</t>
        </is>
      </c>
      <c r="B725" s="1" t="n">
        <v>45439</v>
      </c>
      <c r="C725" s="1" t="n">
        <v>46199</v>
      </c>
      <c r="D725" t="inlineStr">
        <is>
          <t>VÄSTERNORRLANDS LÄN</t>
        </is>
      </c>
      <c r="E725" t="inlineStr">
        <is>
          <t>SOLLEFTEÅ</t>
        </is>
      </c>
      <c r="F725" t="inlineStr">
        <is>
          <t>SCA</t>
        </is>
      </c>
      <c r="G725" t="n">
        <v>8.1</v>
      </c>
      <c r="H725" t="n">
        <v>0</v>
      </c>
      <c r="I725" t="n">
        <v>0</v>
      </c>
      <c r="J725" t="n">
        <v>0</v>
      </c>
      <c r="K725" t="n">
        <v>0</v>
      </c>
      <c r="L725" t="n">
        <v>0</v>
      </c>
      <c r="M725" t="n">
        <v>0</v>
      </c>
      <c r="N725" t="n">
        <v>0</v>
      </c>
      <c r="O725" t="n">
        <v>0</v>
      </c>
      <c r="P725" t="n">
        <v>0</v>
      </c>
      <c r="Q725" t="n">
        <v>0</v>
      </c>
      <c r="R725" s="2" t="inlineStr"/>
    </row>
    <row r="726" ht="15" customHeight="1">
      <c r="A726" t="inlineStr">
        <is>
          <t>A 16365-2022</t>
        </is>
      </c>
      <c r="B726" s="1" t="n">
        <v>44670</v>
      </c>
      <c r="C726" s="1" t="n">
        <v>46199</v>
      </c>
      <c r="D726" t="inlineStr">
        <is>
          <t>VÄSTERNORRLANDS LÄN</t>
        </is>
      </c>
      <c r="E726" t="inlineStr">
        <is>
          <t>SOLLEFTEÅ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31916-2023</t>
        </is>
      </c>
      <c r="B727" s="1" t="n">
        <v>45118</v>
      </c>
      <c r="C727" s="1" t="n">
        <v>46199</v>
      </c>
      <c r="D727" t="inlineStr">
        <is>
          <t>VÄSTERNORRLANDS LÄN</t>
        </is>
      </c>
      <c r="E727" t="inlineStr">
        <is>
          <t>SOLLEFTEÅ</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31919-2023</t>
        </is>
      </c>
      <c r="B728" s="1" t="n">
        <v>45118</v>
      </c>
      <c r="C728" s="1" t="n">
        <v>46199</v>
      </c>
      <c r="D728" t="inlineStr">
        <is>
          <t>VÄSTERNORRLANDS LÄN</t>
        </is>
      </c>
      <c r="E728" t="inlineStr">
        <is>
          <t>SOLLEFTEÅ</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58512-2025</t>
        </is>
      </c>
      <c r="B729" s="1" t="n">
        <v>45982</v>
      </c>
      <c r="C729" s="1" t="n">
        <v>46199</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22666-2024</t>
        </is>
      </c>
      <c r="B730" s="1" t="n">
        <v>45447</v>
      </c>
      <c r="C730" s="1" t="n">
        <v>46199</v>
      </c>
      <c r="D730" t="inlineStr">
        <is>
          <t>VÄSTERNORRLANDS LÄN</t>
        </is>
      </c>
      <c r="E730" t="inlineStr">
        <is>
          <t>SOLLEFTEÅ</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22675-2024</t>
        </is>
      </c>
      <c r="B731" s="1" t="n">
        <v>45447</v>
      </c>
      <c r="C731" s="1" t="n">
        <v>46199</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57784-2025</t>
        </is>
      </c>
      <c r="B732" s="1" t="n">
        <v>45981</v>
      </c>
      <c r="C732" s="1" t="n">
        <v>46199</v>
      </c>
      <c r="D732" t="inlineStr">
        <is>
          <t>VÄSTERNORRLANDS LÄN</t>
        </is>
      </c>
      <c r="E732" t="inlineStr">
        <is>
          <t>SOLLEFTEÅ</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62750-2022</t>
        </is>
      </c>
      <c r="B733" s="1" t="n">
        <v>44925</v>
      </c>
      <c r="C733" s="1" t="n">
        <v>46199</v>
      </c>
      <c r="D733" t="inlineStr">
        <is>
          <t>VÄSTERNORRLANDS LÄN</t>
        </is>
      </c>
      <c r="E733" t="inlineStr">
        <is>
          <t>SOLLEFTEÅ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38958-2025</t>
        </is>
      </c>
      <c r="B734" s="1" t="n">
        <v>45887</v>
      </c>
      <c r="C734" s="1" t="n">
        <v>46199</v>
      </c>
      <c r="D734" t="inlineStr">
        <is>
          <t>VÄSTERNORRLANDS LÄN</t>
        </is>
      </c>
      <c r="E734" t="inlineStr">
        <is>
          <t>SOLLEFTEÅ</t>
        </is>
      </c>
      <c r="F734" t="inlineStr">
        <is>
          <t>SCA</t>
        </is>
      </c>
      <c r="G734" t="n">
        <v>9.1</v>
      </c>
      <c r="H734" t="n">
        <v>0</v>
      </c>
      <c r="I734" t="n">
        <v>0</v>
      </c>
      <c r="J734" t="n">
        <v>0</v>
      </c>
      <c r="K734" t="n">
        <v>0</v>
      </c>
      <c r="L734" t="n">
        <v>0</v>
      </c>
      <c r="M734" t="n">
        <v>0</v>
      </c>
      <c r="N734" t="n">
        <v>0</v>
      </c>
      <c r="O734" t="n">
        <v>0</v>
      </c>
      <c r="P734" t="n">
        <v>0</v>
      </c>
      <c r="Q734" t="n">
        <v>0</v>
      </c>
      <c r="R734" s="2" t="inlineStr"/>
    </row>
    <row r="735" ht="15" customHeight="1">
      <c r="A735" t="inlineStr">
        <is>
          <t>A 39195-2025</t>
        </is>
      </c>
      <c r="B735" s="1" t="n">
        <v>45888</v>
      </c>
      <c r="C735" s="1" t="n">
        <v>46199</v>
      </c>
      <c r="D735" t="inlineStr">
        <is>
          <t>VÄSTERNORRLANDS LÄN</t>
        </is>
      </c>
      <c r="E735" t="inlineStr">
        <is>
          <t>SOLLEFTEÅ</t>
        </is>
      </c>
      <c r="G735" t="n">
        <v>4.7</v>
      </c>
      <c r="H735" t="n">
        <v>0</v>
      </c>
      <c r="I735" t="n">
        <v>0</v>
      </c>
      <c r="J735" t="n">
        <v>0</v>
      </c>
      <c r="K735" t="n">
        <v>0</v>
      </c>
      <c r="L735" t="n">
        <v>0</v>
      </c>
      <c r="M735" t="n">
        <v>0</v>
      </c>
      <c r="N735" t="n">
        <v>0</v>
      </c>
      <c r="O735" t="n">
        <v>0</v>
      </c>
      <c r="P735" t="n">
        <v>0</v>
      </c>
      <c r="Q735" t="n">
        <v>0</v>
      </c>
      <c r="R735" s="2" t="inlineStr"/>
    </row>
    <row r="736" ht="15" customHeight="1">
      <c r="A736" t="inlineStr">
        <is>
          <t>A 35417-2024</t>
        </is>
      </c>
      <c r="B736" s="1" t="n">
        <v>45531</v>
      </c>
      <c r="C736" s="1" t="n">
        <v>46199</v>
      </c>
      <c r="D736" t="inlineStr">
        <is>
          <t>VÄSTERNORRLANDS LÄN</t>
        </is>
      </c>
      <c r="E736" t="inlineStr">
        <is>
          <t>SOLLEFTEÅ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38959-2025</t>
        </is>
      </c>
      <c r="B737" s="1" t="n">
        <v>45887</v>
      </c>
      <c r="C737" s="1" t="n">
        <v>46199</v>
      </c>
      <c r="D737" t="inlineStr">
        <is>
          <t>VÄSTERNORRLANDS LÄN</t>
        </is>
      </c>
      <c r="E737" t="inlineStr">
        <is>
          <t>SOLLEFTEÅ</t>
        </is>
      </c>
      <c r="F737" t="inlineStr">
        <is>
          <t>SCA</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35420-2024</t>
        </is>
      </c>
      <c r="B738" s="1" t="n">
        <v>45531</v>
      </c>
      <c r="C738" s="1" t="n">
        <v>46199</v>
      </c>
      <c r="D738" t="inlineStr">
        <is>
          <t>VÄSTERNORRLANDS LÄN</t>
        </is>
      </c>
      <c r="E738" t="inlineStr">
        <is>
          <t>SOLLEFTEÅ</t>
        </is>
      </c>
      <c r="F738" t="inlineStr">
        <is>
          <t>SCA</t>
        </is>
      </c>
      <c r="G738" t="n">
        <v>9.1</v>
      </c>
      <c r="H738" t="n">
        <v>0</v>
      </c>
      <c r="I738" t="n">
        <v>0</v>
      </c>
      <c r="J738" t="n">
        <v>0</v>
      </c>
      <c r="K738" t="n">
        <v>0</v>
      </c>
      <c r="L738" t="n">
        <v>0</v>
      </c>
      <c r="M738" t="n">
        <v>0</v>
      </c>
      <c r="N738" t="n">
        <v>0</v>
      </c>
      <c r="O738" t="n">
        <v>0</v>
      </c>
      <c r="P738" t="n">
        <v>0</v>
      </c>
      <c r="Q738" t="n">
        <v>0</v>
      </c>
      <c r="R738" s="2" t="inlineStr"/>
    </row>
    <row r="739" ht="15" customHeight="1">
      <c r="A739" t="inlineStr">
        <is>
          <t>A 25363-2024</t>
        </is>
      </c>
      <c r="B739" s="1" t="n">
        <v>45462</v>
      </c>
      <c r="C739" s="1" t="n">
        <v>46199</v>
      </c>
      <c r="D739" t="inlineStr">
        <is>
          <t>VÄSTERNORRLANDS LÄN</t>
        </is>
      </c>
      <c r="E739" t="inlineStr">
        <is>
          <t>SOLLEFTEÅ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25384-2024</t>
        </is>
      </c>
      <c r="B740" s="1" t="n">
        <v>45462</v>
      </c>
      <c r="C740" s="1" t="n">
        <v>46199</v>
      </c>
      <c r="D740" t="inlineStr">
        <is>
          <t>VÄSTERNORRLANDS LÄN</t>
        </is>
      </c>
      <c r="E740" t="inlineStr">
        <is>
          <t>SOLLEFTEÅ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61480-2021</t>
        </is>
      </c>
      <c r="B741" s="1" t="n">
        <v>44500</v>
      </c>
      <c r="C741" s="1" t="n">
        <v>46199</v>
      </c>
      <c r="D741" t="inlineStr">
        <is>
          <t>VÄSTERNORRLANDS LÄN</t>
        </is>
      </c>
      <c r="E741" t="inlineStr">
        <is>
          <t>SOLLEFTEÅ</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24693-2025</t>
        </is>
      </c>
      <c r="B742" s="1" t="n">
        <v>45798</v>
      </c>
      <c r="C742" s="1" t="n">
        <v>46199</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24488-2025</t>
        </is>
      </c>
      <c r="B743" s="1" t="n">
        <v>45798</v>
      </c>
      <c r="C743" s="1" t="n">
        <v>46199</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56176-2022</t>
        </is>
      </c>
      <c r="B744" s="1" t="n">
        <v>44889</v>
      </c>
      <c r="C744" s="1" t="n">
        <v>46199</v>
      </c>
      <c r="D744" t="inlineStr">
        <is>
          <t>VÄSTERNORRLANDS LÄN</t>
        </is>
      </c>
      <c r="E744" t="inlineStr">
        <is>
          <t>SOLLEFTEÅ</t>
        </is>
      </c>
      <c r="G744" t="n">
        <v>1.3</v>
      </c>
      <c r="H744" t="n">
        <v>0</v>
      </c>
      <c r="I744" t="n">
        <v>0</v>
      </c>
      <c r="J744" t="n">
        <v>0</v>
      </c>
      <c r="K744" t="n">
        <v>0</v>
      </c>
      <c r="L744" t="n">
        <v>0</v>
      </c>
      <c r="M744" t="n">
        <v>0</v>
      </c>
      <c r="N744" t="n">
        <v>0</v>
      </c>
      <c r="O744" t="n">
        <v>0</v>
      </c>
      <c r="P744" t="n">
        <v>0</v>
      </c>
      <c r="Q744" t="n">
        <v>0</v>
      </c>
      <c r="R744" s="2" t="inlineStr"/>
    </row>
    <row r="745" ht="15" customHeight="1">
      <c r="A745" t="inlineStr">
        <is>
          <t>A 24393-2025</t>
        </is>
      </c>
      <c r="B745" s="1" t="n">
        <v>45797</v>
      </c>
      <c r="C745" s="1" t="n">
        <v>46199</v>
      </c>
      <c r="D745" t="inlineStr">
        <is>
          <t>VÄSTERNORRLANDS LÄN</t>
        </is>
      </c>
      <c r="E745" t="inlineStr">
        <is>
          <t>SOLLEFTEÅ</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38910-2025</t>
        </is>
      </c>
      <c r="B746" s="1" t="n">
        <v>45887</v>
      </c>
      <c r="C746" s="1" t="n">
        <v>46199</v>
      </c>
      <c r="D746" t="inlineStr">
        <is>
          <t>VÄSTERNORRLANDS LÄN</t>
        </is>
      </c>
      <c r="E746" t="inlineStr">
        <is>
          <t>SOLLEFTEÅ</t>
        </is>
      </c>
      <c r="G746" t="n">
        <v>3.2</v>
      </c>
      <c r="H746" t="n">
        <v>0</v>
      </c>
      <c r="I746" t="n">
        <v>0</v>
      </c>
      <c r="J746" t="n">
        <v>0</v>
      </c>
      <c r="K746" t="n">
        <v>0</v>
      </c>
      <c r="L746" t="n">
        <v>0</v>
      </c>
      <c r="M746" t="n">
        <v>0</v>
      </c>
      <c r="N746" t="n">
        <v>0</v>
      </c>
      <c r="O746" t="n">
        <v>0</v>
      </c>
      <c r="P746" t="n">
        <v>0</v>
      </c>
      <c r="Q746" t="n">
        <v>0</v>
      </c>
      <c r="R746" s="2" t="inlineStr"/>
    </row>
    <row r="747" ht="15" customHeight="1">
      <c r="A747" t="inlineStr">
        <is>
          <t>A 47272-2022</t>
        </is>
      </c>
      <c r="B747" s="1" t="n">
        <v>44852</v>
      </c>
      <c r="C747" s="1" t="n">
        <v>46199</v>
      </c>
      <c r="D747" t="inlineStr">
        <is>
          <t>VÄSTERNORRLANDS LÄN</t>
        </is>
      </c>
      <c r="E747" t="inlineStr">
        <is>
          <t>SOLLEFTEÅ</t>
        </is>
      </c>
      <c r="G747" t="n">
        <v>12.2</v>
      </c>
      <c r="H747" t="n">
        <v>0</v>
      </c>
      <c r="I747" t="n">
        <v>0</v>
      </c>
      <c r="J747" t="n">
        <v>0</v>
      </c>
      <c r="K747" t="n">
        <v>0</v>
      </c>
      <c r="L747" t="n">
        <v>0</v>
      </c>
      <c r="M747" t="n">
        <v>0</v>
      </c>
      <c r="N747" t="n">
        <v>0</v>
      </c>
      <c r="O747" t="n">
        <v>0</v>
      </c>
      <c r="P747" t="n">
        <v>0</v>
      </c>
      <c r="Q747" t="n">
        <v>0</v>
      </c>
      <c r="R747" s="2" t="inlineStr"/>
    </row>
    <row r="748" ht="15" customHeight="1">
      <c r="A748" t="inlineStr">
        <is>
          <t>A 22208-2024</t>
        </is>
      </c>
      <c r="B748" s="1" t="n">
        <v>45446</v>
      </c>
      <c r="C748" s="1" t="n">
        <v>46199</v>
      </c>
      <c r="D748" t="inlineStr">
        <is>
          <t>VÄSTERNORRLANDS LÄN</t>
        </is>
      </c>
      <c r="E748" t="inlineStr">
        <is>
          <t>SOLLEFTEÅ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47965-2024</t>
        </is>
      </c>
      <c r="B749" s="1" t="n">
        <v>45589</v>
      </c>
      <c r="C749" s="1" t="n">
        <v>46199</v>
      </c>
      <c r="D749" t="inlineStr">
        <is>
          <t>VÄSTERNORRLANDS LÄN</t>
        </is>
      </c>
      <c r="E749" t="inlineStr">
        <is>
          <t>SOLLEFTEÅ</t>
        </is>
      </c>
      <c r="G749" t="n">
        <v>3.4</v>
      </c>
      <c r="H749" t="n">
        <v>0</v>
      </c>
      <c r="I749" t="n">
        <v>0</v>
      </c>
      <c r="J749" t="n">
        <v>0</v>
      </c>
      <c r="K749" t="n">
        <v>0</v>
      </c>
      <c r="L749" t="n">
        <v>0</v>
      </c>
      <c r="M749" t="n">
        <v>0</v>
      </c>
      <c r="N749" t="n">
        <v>0</v>
      </c>
      <c r="O749" t="n">
        <v>0</v>
      </c>
      <c r="P749" t="n">
        <v>0</v>
      </c>
      <c r="Q749" t="n">
        <v>0</v>
      </c>
      <c r="R749" s="2" t="inlineStr"/>
    </row>
    <row r="750" ht="15" customHeight="1">
      <c r="A750" t="inlineStr">
        <is>
          <t>A 49665-2022</t>
        </is>
      </c>
      <c r="B750" s="1" t="n">
        <v>44862</v>
      </c>
      <c r="C750" s="1" t="n">
        <v>46199</v>
      </c>
      <c r="D750" t="inlineStr">
        <is>
          <t>VÄSTERNORRLANDS LÄN</t>
        </is>
      </c>
      <c r="E750" t="inlineStr">
        <is>
          <t>SOLLEFTEÅ</t>
        </is>
      </c>
      <c r="F750" t="inlineStr">
        <is>
          <t>Holmen skog AB</t>
        </is>
      </c>
      <c r="G750" t="n">
        <v>3</v>
      </c>
      <c r="H750" t="n">
        <v>0</v>
      </c>
      <c r="I750" t="n">
        <v>0</v>
      </c>
      <c r="J750" t="n">
        <v>0</v>
      </c>
      <c r="K750" t="n">
        <v>0</v>
      </c>
      <c r="L750" t="n">
        <v>0</v>
      </c>
      <c r="M750" t="n">
        <v>0</v>
      </c>
      <c r="N750" t="n">
        <v>0</v>
      </c>
      <c r="O750" t="n">
        <v>0</v>
      </c>
      <c r="P750" t="n">
        <v>0</v>
      </c>
      <c r="Q750" t="n">
        <v>0</v>
      </c>
      <c r="R750" s="2" t="inlineStr"/>
    </row>
    <row r="751" ht="15" customHeight="1">
      <c r="A751" t="inlineStr">
        <is>
          <t>A 25243-2025</t>
        </is>
      </c>
      <c r="B751" s="1" t="n">
        <v>45800</v>
      </c>
      <c r="C751" s="1" t="n">
        <v>46199</v>
      </c>
      <c r="D751" t="inlineStr">
        <is>
          <t>VÄSTERNORRLANDS LÄN</t>
        </is>
      </c>
      <c r="E751" t="inlineStr">
        <is>
          <t>SOLLEFTEÅ</t>
        </is>
      </c>
      <c r="G751" t="n">
        <v>3.2</v>
      </c>
      <c r="H751" t="n">
        <v>0</v>
      </c>
      <c r="I751" t="n">
        <v>0</v>
      </c>
      <c r="J751" t="n">
        <v>0</v>
      </c>
      <c r="K751" t="n">
        <v>0</v>
      </c>
      <c r="L751" t="n">
        <v>0</v>
      </c>
      <c r="M751" t="n">
        <v>0</v>
      </c>
      <c r="N751" t="n">
        <v>0</v>
      </c>
      <c r="O751" t="n">
        <v>0</v>
      </c>
      <c r="P751" t="n">
        <v>0</v>
      </c>
      <c r="Q751" t="n">
        <v>0</v>
      </c>
      <c r="R751" s="2" t="inlineStr"/>
    </row>
    <row r="752" ht="15" customHeight="1">
      <c r="A752" t="inlineStr">
        <is>
          <t>A 17096-2025</t>
        </is>
      </c>
      <c r="B752" s="1" t="n">
        <v>45755</v>
      </c>
      <c r="C752" s="1" t="n">
        <v>46199</v>
      </c>
      <c r="D752" t="inlineStr">
        <is>
          <t>VÄSTERNORRLANDS LÄN</t>
        </is>
      </c>
      <c r="E752" t="inlineStr">
        <is>
          <t>SOLLEFTEÅ</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64115-2023</t>
        </is>
      </c>
      <c r="B753" s="1" t="n">
        <v>45279</v>
      </c>
      <c r="C753" s="1" t="n">
        <v>46199</v>
      </c>
      <c r="D753" t="inlineStr">
        <is>
          <t>VÄSTERNORRLANDS LÄN</t>
        </is>
      </c>
      <c r="E753" t="inlineStr">
        <is>
          <t>SOLLEFTEÅ</t>
        </is>
      </c>
      <c r="G753" t="n">
        <v>16.1</v>
      </c>
      <c r="H753" t="n">
        <v>0</v>
      </c>
      <c r="I753" t="n">
        <v>0</v>
      </c>
      <c r="J753" t="n">
        <v>0</v>
      </c>
      <c r="K753" t="n">
        <v>0</v>
      </c>
      <c r="L753" t="n">
        <v>0</v>
      </c>
      <c r="M753" t="n">
        <v>0</v>
      </c>
      <c r="N753" t="n">
        <v>0</v>
      </c>
      <c r="O753" t="n">
        <v>0</v>
      </c>
      <c r="P753" t="n">
        <v>0</v>
      </c>
      <c r="Q753" t="n">
        <v>0</v>
      </c>
      <c r="R753" s="2" t="inlineStr"/>
    </row>
    <row r="754" ht="15" customHeight="1">
      <c r="A754" t="inlineStr">
        <is>
          <t>A 24420-2025</t>
        </is>
      </c>
      <c r="B754" s="1" t="n">
        <v>45797</v>
      </c>
      <c r="C754" s="1" t="n">
        <v>46199</v>
      </c>
      <c r="D754" t="inlineStr">
        <is>
          <t>VÄSTERNORRLANDS LÄN</t>
        </is>
      </c>
      <c r="E754" t="inlineStr">
        <is>
          <t>SOLLEFTEÅ</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34311-2023</t>
        </is>
      </c>
      <c r="B755" s="1" t="n">
        <v>45138</v>
      </c>
      <c r="C755" s="1" t="n">
        <v>46199</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58509-2025</t>
        </is>
      </c>
      <c r="B756" s="1" t="n">
        <v>45982</v>
      </c>
      <c r="C756" s="1" t="n">
        <v>46199</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58510-2025</t>
        </is>
      </c>
      <c r="B757" s="1" t="n">
        <v>45982</v>
      </c>
      <c r="C757" s="1" t="n">
        <v>46199</v>
      </c>
      <c r="D757" t="inlineStr">
        <is>
          <t>VÄSTERNORRLANDS LÄN</t>
        </is>
      </c>
      <c r="E757" t="inlineStr">
        <is>
          <t>SOLLEFTEÅ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39568-2025</t>
        </is>
      </c>
      <c r="B758" s="1" t="n">
        <v>45890</v>
      </c>
      <c r="C758" s="1" t="n">
        <v>46199</v>
      </c>
      <c r="D758" t="inlineStr">
        <is>
          <t>VÄSTERNORRLANDS LÄN</t>
        </is>
      </c>
      <c r="E758" t="inlineStr">
        <is>
          <t>SOLLEFTEÅ</t>
        </is>
      </c>
      <c r="F758" t="inlineStr">
        <is>
          <t>SCA</t>
        </is>
      </c>
      <c r="G758" t="n">
        <v>14.4</v>
      </c>
      <c r="H758" t="n">
        <v>0</v>
      </c>
      <c r="I758" t="n">
        <v>0</v>
      </c>
      <c r="J758" t="n">
        <v>0</v>
      </c>
      <c r="K758" t="n">
        <v>0</v>
      </c>
      <c r="L758" t="n">
        <v>0</v>
      </c>
      <c r="M758" t="n">
        <v>0</v>
      </c>
      <c r="N758" t="n">
        <v>0</v>
      </c>
      <c r="O758" t="n">
        <v>0</v>
      </c>
      <c r="P758" t="n">
        <v>0</v>
      </c>
      <c r="Q758" t="n">
        <v>0</v>
      </c>
      <c r="R758" s="2" t="inlineStr"/>
    </row>
    <row r="759" ht="15" customHeight="1">
      <c r="A759" t="inlineStr">
        <is>
          <t>A 39602-2025</t>
        </is>
      </c>
      <c r="B759" s="1" t="n">
        <v>45890</v>
      </c>
      <c r="C759" s="1" t="n">
        <v>46199</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24199-2024</t>
        </is>
      </c>
      <c r="B760" s="1" t="n">
        <v>45456</v>
      </c>
      <c r="C760" s="1" t="n">
        <v>46199</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39475-2025</t>
        </is>
      </c>
      <c r="B761" s="1" t="n">
        <v>45890</v>
      </c>
      <c r="C761" s="1" t="n">
        <v>46199</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39619-2025</t>
        </is>
      </c>
      <c r="B762" s="1" t="n">
        <v>45890</v>
      </c>
      <c r="C762" s="1" t="n">
        <v>46199</v>
      </c>
      <c r="D762" t="inlineStr">
        <is>
          <t>VÄSTERNORRLANDS LÄN</t>
        </is>
      </c>
      <c r="E762" t="inlineStr">
        <is>
          <t>SOLLEFTEÅ</t>
        </is>
      </c>
      <c r="F762" t="inlineStr">
        <is>
          <t>SCA</t>
        </is>
      </c>
      <c r="G762" t="n">
        <v>6.6</v>
      </c>
      <c r="H762" t="n">
        <v>0</v>
      </c>
      <c r="I762" t="n">
        <v>0</v>
      </c>
      <c r="J762" t="n">
        <v>0</v>
      </c>
      <c r="K762" t="n">
        <v>0</v>
      </c>
      <c r="L762" t="n">
        <v>0</v>
      </c>
      <c r="M762" t="n">
        <v>0</v>
      </c>
      <c r="N762" t="n">
        <v>0</v>
      </c>
      <c r="O762" t="n">
        <v>0</v>
      </c>
      <c r="P762" t="n">
        <v>0</v>
      </c>
      <c r="Q762" t="n">
        <v>0</v>
      </c>
      <c r="R762" s="2" t="inlineStr"/>
    </row>
    <row r="763" ht="15" customHeight="1">
      <c r="A763" t="inlineStr">
        <is>
          <t>A 58032-2025</t>
        </is>
      </c>
      <c r="B763" s="1" t="n">
        <v>45982</v>
      </c>
      <c r="C763" s="1" t="n">
        <v>46199</v>
      </c>
      <c r="D763" t="inlineStr">
        <is>
          <t>VÄSTERNORRLANDS LÄN</t>
        </is>
      </c>
      <c r="E763" t="inlineStr">
        <is>
          <t>SOLLEFTEÅ</t>
        </is>
      </c>
      <c r="G763" t="n">
        <v>2.4</v>
      </c>
      <c r="H763" t="n">
        <v>0</v>
      </c>
      <c r="I763" t="n">
        <v>0</v>
      </c>
      <c r="J763" t="n">
        <v>0</v>
      </c>
      <c r="K763" t="n">
        <v>0</v>
      </c>
      <c r="L763" t="n">
        <v>0</v>
      </c>
      <c r="M763" t="n">
        <v>0</v>
      </c>
      <c r="N763" t="n">
        <v>0</v>
      </c>
      <c r="O763" t="n">
        <v>0</v>
      </c>
      <c r="P763" t="n">
        <v>0</v>
      </c>
      <c r="Q763" t="n">
        <v>0</v>
      </c>
      <c r="R763" s="2" t="inlineStr"/>
    </row>
    <row r="764" ht="15" customHeight="1">
      <c r="A764" t="inlineStr">
        <is>
          <t>A 57990-2025</t>
        </is>
      </c>
      <c r="B764" s="1" t="n">
        <v>45982</v>
      </c>
      <c r="C764" s="1" t="n">
        <v>46199</v>
      </c>
      <c r="D764" t="inlineStr">
        <is>
          <t>VÄSTERNORRLANDS LÄN</t>
        </is>
      </c>
      <c r="E764" t="inlineStr">
        <is>
          <t>SOLLEFTEÅ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55643-2021</t>
        </is>
      </c>
      <c r="B765" s="1" t="n">
        <v>44475</v>
      </c>
      <c r="C765" s="1" t="n">
        <v>46199</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39433-2025</t>
        </is>
      </c>
      <c r="B766" s="1" t="n">
        <v>45889</v>
      </c>
      <c r="C766" s="1" t="n">
        <v>46199</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40049-2025</t>
        </is>
      </c>
      <c r="B767" s="1" t="n">
        <v>45894</v>
      </c>
      <c r="C767" s="1" t="n">
        <v>46199</v>
      </c>
      <c r="D767" t="inlineStr">
        <is>
          <t>VÄSTERNORRLANDS LÄN</t>
        </is>
      </c>
      <c r="E767" t="inlineStr">
        <is>
          <t>SOLLEFTEÅ</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38973-2025</t>
        </is>
      </c>
      <c r="B768" s="1" t="n">
        <v>45887</v>
      </c>
      <c r="C768" s="1" t="n">
        <v>46199</v>
      </c>
      <c r="D768" t="inlineStr">
        <is>
          <t>VÄSTERNORRLANDS LÄN</t>
        </is>
      </c>
      <c r="E768" t="inlineStr">
        <is>
          <t>SOLLEFTEÅ</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51314-2022</t>
        </is>
      </c>
      <c r="B769" s="1" t="n">
        <v>44868</v>
      </c>
      <c r="C769" s="1" t="n">
        <v>46199</v>
      </c>
      <c r="D769" t="inlineStr">
        <is>
          <t>VÄSTERNORRLANDS LÄN</t>
        </is>
      </c>
      <c r="E769" t="inlineStr">
        <is>
          <t>SOLLEFTEÅ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40014-2025</t>
        </is>
      </c>
      <c r="B770" s="1" t="n">
        <v>45894</v>
      </c>
      <c r="C770" s="1" t="n">
        <v>46199</v>
      </c>
      <c r="D770" t="inlineStr">
        <is>
          <t>VÄSTERNORRLANDS LÄN</t>
        </is>
      </c>
      <c r="E770" t="inlineStr">
        <is>
          <t>SOLLEFTEÅ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40048-2025</t>
        </is>
      </c>
      <c r="B771" s="1" t="n">
        <v>45894</v>
      </c>
      <c r="C771" s="1" t="n">
        <v>46199</v>
      </c>
      <c r="D771" t="inlineStr">
        <is>
          <t>VÄSTERNORRLANDS LÄN</t>
        </is>
      </c>
      <c r="E771" t="inlineStr">
        <is>
          <t>SOLLEFTEÅ</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39935-2025</t>
        </is>
      </c>
      <c r="B772" s="1" t="n">
        <v>45891</v>
      </c>
      <c r="C772" s="1" t="n">
        <v>46199</v>
      </c>
      <c r="D772" t="inlineStr">
        <is>
          <t>VÄSTERNORRLANDS LÄN</t>
        </is>
      </c>
      <c r="E772" t="inlineStr">
        <is>
          <t>SOLLEFTEÅ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58505-2025</t>
        </is>
      </c>
      <c r="B773" s="1" t="n">
        <v>45985</v>
      </c>
      <c r="C773" s="1" t="n">
        <v>46199</v>
      </c>
      <c r="D773" t="inlineStr">
        <is>
          <t>VÄSTERNORRLANDS LÄN</t>
        </is>
      </c>
      <c r="E773" t="inlineStr">
        <is>
          <t>SOLLEFTEÅ</t>
        </is>
      </c>
      <c r="F773" t="inlineStr">
        <is>
          <t>SCA</t>
        </is>
      </c>
      <c r="G773" t="n">
        <v>4.8</v>
      </c>
      <c r="H773" t="n">
        <v>0</v>
      </c>
      <c r="I773" t="n">
        <v>0</v>
      </c>
      <c r="J773" t="n">
        <v>0</v>
      </c>
      <c r="K773" t="n">
        <v>0</v>
      </c>
      <c r="L773" t="n">
        <v>0</v>
      </c>
      <c r="M773" t="n">
        <v>0</v>
      </c>
      <c r="N773" t="n">
        <v>0</v>
      </c>
      <c r="O773" t="n">
        <v>0</v>
      </c>
      <c r="P773" t="n">
        <v>0</v>
      </c>
      <c r="Q773" t="n">
        <v>0</v>
      </c>
      <c r="R773" s="2" t="inlineStr"/>
    </row>
    <row r="774" ht="15" customHeight="1">
      <c r="A774" t="inlineStr">
        <is>
          <t>A 40009-2025</t>
        </is>
      </c>
      <c r="B774" s="1" t="n">
        <v>45894</v>
      </c>
      <c r="C774" s="1" t="n">
        <v>46199</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40008-2025</t>
        </is>
      </c>
      <c r="B775" s="1" t="n">
        <v>45894</v>
      </c>
      <c r="C775" s="1" t="n">
        <v>46199</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38972-2025</t>
        </is>
      </c>
      <c r="B776" s="1" t="n">
        <v>45887</v>
      </c>
      <c r="C776" s="1" t="n">
        <v>46199</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40492-2025</t>
        </is>
      </c>
      <c r="B777" s="1" t="n">
        <v>45896</v>
      </c>
      <c r="C777" s="1" t="n">
        <v>46199</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38234-2024</t>
        </is>
      </c>
      <c r="B778" s="1" t="n">
        <v>45545</v>
      </c>
      <c r="C778" s="1" t="n">
        <v>46199</v>
      </c>
      <c r="D778" t="inlineStr">
        <is>
          <t>VÄSTERNORRLANDS LÄN</t>
        </is>
      </c>
      <c r="E778" t="inlineStr">
        <is>
          <t>SOLLEFTEÅ</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34318-2024</t>
        </is>
      </c>
      <c r="B779" s="1" t="n">
        <v>45524</v>
      </c>
      <c r="C779" s="1" t="n">
        <v>46199</v>
      </c>
      <c r="D779" t="inlineStr">
        <is>
          <t>VÄSTERNORRLANDS LÄN</t>
        </is>
      </c>
      <c r="E779" t="inlineStr">
        <is>
          <t>SOLLEFTEÅ</t>
        </is>
      </c>
      <c r="F779" t="inlineStr">
        <is>
          <t>Övriga statliga verk och myndigheter</t>
        </is>
      </c>
      <c r="G779" t="n">
        <v>0.3</v>
      </c>
      <c r="H779" t="n">
        <v>0</v>
      </c>
      <c r="I779" t="n">
        <v>0</v>
      </c>
      <c r="J779" t="n">
        <v>0</v>
      </c>
      <c r="K779" t="n">
        <v>0</v>
      </c>
      <c r="L779" t="n">
        <v>0</v>
      </c>
      <c r="M779" t="n">
        <v>0</v>
      </c>
      <c r="N779" t="n">
        <v>0</v>
      </c>
      <c r="O779" t="n">
        <v>0</v>
      </c>
      <c r="P779" t="n">
        <v>0</v>
      </c>
      <c r="Q779" t="n">
        <v>0</v>
      </c>
      <c r="R779" s="2" t="inlineStr"/>
    </row>
    <row r="780" ht="15" customHeight="1">
      <c r="A780" t="inlineStr">
        <is>
          <t>A 40304-2025</t>
        </is>
      </c>
      <c r="B780" s="1" t="n">
        <v>45895</v>
      </c>
      <c r="C780" s="1" t="n">
        <v>46199</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24730-2025</t>
        </is>
      </c>
      <c r="B781" s="1" t="n">
        <v>45799</v>
      </c>
      <c r="C781" s="1" t="n">
        <v>46199</v>
      </c>
      <c r="D781" t="inlineStr">
        <is>
          <t>VÄSTERNORRLANDS LÄN</t>
        </is>
      </c>
      <c r="E781" t="inlineStr">
        <is>
          <t>SOLLEFTEÅ</t>
        </is>
      </c>
      <c r="G781" t="n">
        <v>1.5</v>
      </c>
      <c r="H781" t="n">
        <v>0</v>
      </c>
      <c r="I781" t="n">
        <v>0</v>
      </c>
      <c r="J781" t="n">
        <v>0</v>
      </c>
      <c r="K781" t="n">
        <v>0</v>
      </c>
      <c r="L781" t="n">
        <v>0</v>
      </c>
      <c r="M781" t="n">
        <v>0</v>
      </c>
      <c r="N781" t="n">
        <v>0</v>
      </c>
      <c r="O781" t="n">
        <v>0</v>
      </c>
      <c r="P781" t="n">
        <v>0</v>
      </c>
      <c r="Q781" t="n">
        <v>0</v>
      </c>
      <c r="R781" s="2" t="inlineStr"/>
    </row>
    <row r="782" ht="15" customHeight="1">
      <c r="A782" t="inlineStr">
        <is>
          <t>A 40651-2025</t>
        </is>
      </c>
      <c r="B782" s="1" t="n">
        <v>45896</v>
      </c>
      <c r="C782" s="1" t="n">
        <v>46199</v>
      </c>
      <c r="D782" t="inlineStr">
        <is>
          <t>VÄSTERNORRLANDS LÄN</t>
        </is>
      </c>
      <c r="E782" t="inlineStr">
        <is>
          <t>SOLLEFTEÅ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44045-2022</t>
        </is>
      </c>
      <c r="B783" s="1" t="n">
        <v>44838</v>
      </c>
      <c r="C783" s="1" t="n">
        <v>46199</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25297-2025</t>
        </is>
      </c>
      <c r="B784" s="1" t="n">
        <v>45800</v>
      </c>
      <c r="C784" s="1" t="n">
        <v>46199</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58386-2025</t>
        </is>
      </c>
      <c r="B785" s="1" t="n">
        <v>45985</v>
      </c>
      <c r="C785" s="1" t="n">
        <v>46199</v>
      </c>
      <c r="D785" t="inlineStr">
        <is>
          <t>VÄSTERNORRLANDS LÄN</t>
        </is>
      </c>
      <c r="E785" t="inlineStr">
        <is>
          <t>SOLLEFTEÅ</t>
        </is>
      </c>
      <c r="G785" t="n">
        <v>2.6</v>
      </c>
      <c r="H785" t="n">
        <v>0</v>
      </c>
      <c r="I785" t="n">
        <v>0</v>
      </c>
      <c r="J785" t="n">
        <v>0</v>
      </c>
      <c r="K785" t="n">
        <v>0</v>
      </c>
      <c r="L785" t="n">
        <v>0</v>
      </c>
      <c r="M785" t="n">
        <v>0</v>
      </c>
      <c r="N785" t="n">
        <v>0</v>
      </c>
      <c r="O785" t="n">
        <v>0</v>
      </c>
      <c r="P785" t="n">
        <v>0</v>
      </c>
      <c r="Q785" t="n">
        <v>0</v>
      </c>
      <c r="R785" s="2" t="inlineStr"/>
    </row>
    <row r="786" ht="15" customHeight="1">
      <c r="A786" t="inlineStr">
        <is>
          <t>A 58445-2025</t>
        </is>
      </c>
      <c r="B786" s="1" t="n">
        <v>45985</v>
      </c>
      <c r="C786" s="1" t="n">
        <v>46199</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59346-2023</t>
        </is>
      </c>
      <c r="B787" s="1" t="n">
        <v>45253</v>
      </c>
      <c r="C787" s="1" t="n">
        <v>46199</v>
      </c>
      <c r="D787" t="inlineStr">
        <is>
          <t>VÄSTERNORRLANDS LÄN</t>
        </is>
      </c>
      <c r="E787" t="inlineStr">
        <is>
          <t>SOLLEFTEÅ</t>
        </is>
      </c>
      <c r="F787" t="inlineStr">
        <is>
          <t>Holmen skog AB</t>
        </is>
      </c>
      <c r="G787" t="n">
        <v>6.3</v>
      </c>
      <c r="H787" t="n">
        <v>0</v>
      </c>
      <c r="I787" t="n">
        <v>0</v>
      </c>
      <c r="J787" t="n">
        <v>0</v>
      </c>
      <c r="K787" t="n">
        <v>0</v>
      </c>
      <c r="L787" t="n">
        <v>0</v>
      </c>
      <c r="M787" t="n">
        <v>0</v>
      </c>
      <c r="N787" t="n">
        <v>0</v>
      </c>
      <c r="O787" t="n">
        <v>0</v>
      </c>
      <c r="P787" t="n">
        <v>0</v>
      </c>
      <c r="Q787" t="n">
        <v>0</v>
      </c>
      <c r="R787" s="2" t="inlineStr"/>
    </row>
    <row r="788" ht="15" customHeight="1">
      <c r="A788" t="inlineStr">
        <is>
          <t>A 24759-2025</t>
        </is>
      </c>
      <c r="B788" s="1" t="n">
        <v>45799</v>
      </c>
      <c r="C788" s="1" t="n">
        <v>46199</v>
      </c>
      <c r="D788" t="inlineStr">
        <is>
          <t>VÄSTERNORRLANDS LÄN</t>
        </is>
      </c>
      <c r="E788" t="inlineStr">
        <is>
          <t>SOLLEFTEÅ</t>
        </is>
      </c>
      <c r="G788" t="n">
        <v>0.7</v>
      </c>
      <c r="H788" t="n">
        <v>0</v>
      </c>
      <c r="I788" t="n">
        <v>0</v>
      </c>
      <c r="J788" t="n">
        <v>0</v>
      </c>
      <c r="K788" t="n">
        <v>0</v>
      </c>
      <c r="L788" t="n">
        <v>0</v>
      </c>
      <c r="M788" t="n">
        <v>0</v>
      </c>
      <c r="N788" t="n">
        <v>0</v>
      </c>
      <c r="O788" t="n">
        <v>0</v>
      </c>
      <c r="P788" t="n">
        <v>0</v>
      </c>
      <c r="Q788" t="n">
        <v>0</v>
      </c>
      <c r="R788" s="2" t="inlineStr"/>
    </row>
    <row r="789" ht="15" customHeight="1">
      <c r="A789" t="inlineStr">
        <is>
          <t>A 56684-2023</t>
        </is>
      </c>
      <c r="B789" s="1" t="n">
        <v>45243</v>
      </c>
      <c r="C789" s="1" t="n">
        <v>46199</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42631-2024</t>
        </is>
      </c>
      <c r="B790" s="1" t="n">
        <v>45565</v>
      </c>
      <c r="C790" s="1" t="n">
        <v>46199</v>
      </c>
      <c r="D790" t="inlineStr">
        <is>
          <t>VÄSTERNORRLANDS LÄN</t>
        </is>
      </c>
      <c r="E790" t="inlineStr">
        <is>
          <t>SOLLEFTEÅ</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40701-2025</t>
        </is>
      </c>
      <c r="B791" s="1" t="n">
        <v>45897</v>
      </c>
      <c r="C791" s="1" t="n">
        <v>46199</v>
      </c>
      <c r="D791" t="inlineStr">
        <is>
          <t>VÄSTERNORRLANDS LÄN</t>
        </is>
      </c>
      <c r="E791" t="inlineStr">
        <is>
          <t>SOLLEFTEÅ</t>
        </is>
      </c>
      <c r="G791" t="n">
        <v>2.4</v>
      </c>
      <c r="H791" t="n">
        <v>0</v>
      </c>
      <c r="I791" t="n">
        <v>0</v>
      </c>
      <c r="J791" t="n">
        <v>0</v>
      </c>
      <c r="K791" t="n">
        <v>0</v>
      </c>
      <c r="L791" t="n">
        <v>0</v>
      </c>
      <c r="M791" t="n">
        <v>0</v>
      </c>
      <c r="N791" t="n">
        <v>0</v>
      </c>
      <c r="O791" t="n">
        <v>0</v>
      </c>
      <c r="P791" t="n">
        <v>0</v>
      </c>
      <c r="Q791" t="n">
        <v>0</v>
      </c>
      <c r="R791" s="2" t="inlineStr"/>
    </row>
    <row r="792" ht="15" customHeight="1">
      <c r="A792" t="inlineStr">
        <is>
          <t>A 63712-2023</t>
        </is>
      </c>
      <c r="B792" s="1" t="n">
        <v>45275</v>
      </c>
      <c r="C792" s="1" t="n">
        <v>46199</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40752-2025</t>
        </is>
      </c>
      <c r="B793" s="1" t="n">
        <v>45897</v>
      </c>
      <c r="C793" s="1" t="n">
        <v>46199</v>
      </c>
      <c r="D793" t="inlineStr">
        <is>
          <t>VÄSTERNORRLANDS LÄN</t>
        </is>
      </c>
      <c r="E793" t="inlineStr">
        <is>
          <t>SOLLEFTEÅ</t>
        </is>
      </c>
      <c r="G793" t="n">
        <v>3.9</v>
      </c>
      <c r="H793" t="n">
        <v>0</v>
      </c>
      <c r="I793" t="n">
        <v>0</v>
      </c>
      <c r="J793" t="n">
        <v>0</v>
      </c>
      <c r="K793" t="n">
        <v>0</v>
      </c>
      <c r="L793" t="n">
        <v>0</v>
      </c>
      <c r="M793" t="n">
        <v>0</v>
      </c>
      <c r="N793" t="n">
        <v>0</v>
      </c>
      <c r="O793" t="n">
        <v>0</v>
      </c>
      <c r="P793" t="n">
        <v>0</v>
      </c>
      <c r="Q793" t="n">
        <v>0</v>
      </c>
      <c r="R793" s="2" t="inlineStr"/>
    </row>
    <row r="794" ht="15" customHeight="1">
      <c r="A794" t="inlineStr">
        <is>
          <t>A 40962-2025</t>
        </is>
      </c>
      <c r="B794" s="1" t="n">
        <v>45897</v>
      </c>
      <c r="C794" s="1" t="n">
        <v>46199</v>
      </c>
      <c r="D794" t="inlineStr">
        <is>
          <t>VÄSTERNORRLANDS LÄN</t>
        </is>
      </c>
      <c r="E794" t="inlineStr">
        <is>
          <t>SOLLEFTEÅ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25145-2025</t>
        </is>
      </c>
      <c r="B795" s="1" t="n">
        <v>45800</v>
      </c>
      <c r="C795" s="1" t="n">
        <v>46199</v>
      </c>
      <c r="D795" t="inlineStr">
        <is>
          <t>VÄSTERNORRLANDS LÄN</t>
        </is>
      </c>
      <c r="E795" t="inlineStr">
        <is>
          <t>SOLLEFTEÅ</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41025-2025</t>
        </is>
      </c>
      <c r="B796" s="1" t="n">
        <v>45897</v>
      </c>
      <c r="C796" s="1" t="n">
        <v>46199</v>
      </c>
      <c r="D796" t="inlineStr">
        <is>
          <t>VÄSTERNORRLANDS LÄN</t>
        </is>
      </c>
      <c r="E796" t="inlineStr">
        <is>
          <t>SOLLEFTEÅ</t>
        </is>
      </c>
      <c r="G796" t="n">
        <v>9.1</v>
      </c>
      <c r="H796" t="n">
        <v>0</v>
      </c>
      <c r="I796" t="n">
        <v>0</v>
      </c>
      <c r="J796" t="n">
        <v>0</v>
      </c>
      <c r="K796" t="n">
        <v>0</v>
      </c>
      <c r="L796" t="n">
        <v>0</v>
      </c>
      <c r="M796" t="n">
        <v>0</v>
      </c>
      <c r="N796" t="n">
        <v>0</v>
      </c>
      <c r="O796" t="n">
        <v>0</v>
      </c>
      <c r="P796" t="n">
        <v>0</v>
      </c>
      <c r="Q796" t="n">
        <v>0</v>
      </c>
      <c r="R796" s="2" t="inlineStr"/>
    </row>
    <row r="797" ht="15" customHeight="1">
      <c r="A797" t="inlineStr">
        <is>
          <t>A 59371-2022</t>
        </is>
      </c>
      <c r="B797" s="1" t="n">
        <v>44904</v>
      </c>
      <c r="C797" s="1" t="n">
        <v>46199</v>
      </c>
      <c r="D797" t="inlineStr">
        <is>
          <t>VÄSTERNORRLANDS LÄN</t>
        </is>
      </c>
      <c r="E797" t="inlineStr">
        <is>
          <t>SOLLEFTEÅ</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27908-2024</t>
        </is>
      </c>
      <c r="B798" s="1" t="n">
        <v>45475</v>
      </c>
      <c r="C798" s="1" t="n">
        <v>46199</v>
      </c>
      <c r="D798" t="inlineStr">
        <is>
          <t>VÄSTERNORRLANDS LÄN</t>
        </is>
      </c>
      <c r="E798" t="inlineStr">
        <is>
          <t>SOLLEFTEÅ</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41146-2023</t>
        </is>
      </c>
      <c r="B799" s="1" t="n">
        <v>45173</v>
      </c>
      <c r="C799" s="1" t="n">
        <v>46199</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41473-2025</t>
        </is>
      </c>
      <c r="B800" s="1" t="n">
        <v>45901</v>
      </c>
      <c r="C800" s="1" t="n">
        <v>46199</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41449-2025</t>
        </is>
      </c>
      <c r="B801" s="1" t="n">
        <v>45901</v>
      </c>
      <c r="C801" s="1" t="n">
        <v>46199</v>
      </c>
      <c r="D801" t="inlineStr">
        <is>
          <t>VÄSTERNORRLANDS LÄN</t>
        </is>
      </c>
      <c r="E801" t="inlineStr">
        <is>
          <t>SOLLEFTEÅ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31554-2024</t>
        </is>
      </c>
      <c r="B802" s="1" t="n">
        <v>45505</v>
      </c>
      <c r="C802" s="1" t="n">
        <v>46199</v>
      </c>
      <c r="D802" t="inlineStr">
        <is>
          <t>VÄSTERNORRLANDS LÄN</t>
        </is>
      </c>
      <c r="E802" t="inlineStr">
        <is>
          <t>SOLLEFTEÅ</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31556-2024</t>
        </is>
      </c>
      <c r="B803" s="1" t="n">
        <v>45505</v>
      </c>
      <c r="C803" s="1" t="n">
        <v>46199</v>
      </c>
      <c r="D803" t="inlineStr">
        <is>
          <t>VÄSTERNORRLANDS LÄN</t>
        </is>
      </c>
      <c r="E803" t="inlineStr">
        <is>
          <t>SOLLEFTEÅ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25856-2025</t>
        </is>
      </c>
      <c r="B804" s="1" t="n">
        <v>45804</v>
      </c>
      <c r="C804" s="1" t="n">
        <v>46199</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25963-2025</t>
        </is>
      </c>
      <c r="B805" s="1" t="n">
        <v>45804</v>
      </c>
      <c r="C805" s="1" t="n">
        <v>46199</v>
      </c>
      <c r="D805" t="inlineStr">
        <is>
          <t>VÄSTERNORRLANDS LÄN</t>
        </is>
      </c>
      <c r="E805" t="inlineStr">
        <is>
          <t>SOLLEFTEÅ</t>
        </is>
      </c>
      <c r="G805" t="n">
        <v>4.3</v>
      </c>
      <c r="H805" t="n">
        <v>0</v>
      </c>
      <c r="I805" t="n">
        <v>0</v>
      </c>
      <c r="J805" t="n">
        <v>0</v>
      </c>
      <c r="K805" t="n">
        <v>0</v>
      </c>
      <c r="L805" t="n">
        <v>0</v>
      </c>
      <c r="M805" t="n">
        <v>0</v>
      </c>
      <c r="N805" t="n">
        <v>0</v>
      </c>
      <c r="O805" t="n">
        <v>0</v>
      </c>
      <c r="P805" t="n">
        <v>0</v>
      </c>
      <c r="Q805" t="n">
        <v>0</v>
      </c>
      <c r="R805" s="2" t="inlineStr"/>
    </row>
    <row r="806" ht="15" customHeight="1">
      <c r="A806" t="inlineStr">
        <is>
          <t>A 41617-2025</t>
        </is>
      </c>
      <c r="B806" s="1" t="n">
        <v>45901</v>
      </c>
      <c r="C806" s="1" t="n">
        <v>46199</v>
      </c>
      <c r="D806" t="inlineStr">
        <is>
          <t>VÄSTERNORRLANDS LÄN</t>
        </is>
      </c>
      <c r="E806" t="inlineStr">
        <is>
          <t>SOLLEFTEÅ</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29869-2024</t>
        </is>
      </c>
      <c r="B807" s="1" t="n">
        <v>45485</v>
      </c>
      <c r="C807" s="1" t="n">
        <v>46199</v>
      </c>
      <c r="D807" t="inlineStr">
        <is>
          <t>VÄSTERNORRLANDS LÄN</t>
        </is>
      </c>
      <c r="E807" t="inlineStr">
        <is>
          <t>SOLLEFTEÅ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29246-2025</t>
        </is>
      </c>
      <c r="B808" s="1" t="n">
        <v>45824</v>
      </c>
      <c r="C808" s="1" t="n">
        <v>46199</v>
      </c>
      <c r="D808" t="inlineStr">
        <is>
          <t>VÄSTERNORRLANDS LÄN</t>
        </is>
      </c>
      <c r="E808" t="inlineStr">
        <is>
          <t>SOLLEFTEÅ</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25855-2025</t>
        </is>
      </c>
      <c r="B809" s="1" t="n">
        <v>45804</v>
      </c>
      <c r="C809" s="1" t="n">
        <v>46199</v>
      </c>
      <c r="D809" t="inlineStr">
        <is>
          <t>VÄSTERNORRLANDS LÄN</t>
        </is>
      </c>
      <c r="E809" t="inlineStr">
        <is>
          <t>SOLLEFTEÅ</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25857-2025</t>
        </is>
      </c>
      <c r="B810" s="1" t="n">
        <v>45804</v>
      </c>
      <c r="C810" s="1" t="n">
        <v>46199</v>
      </c>
      <c r="D810" t="inlineStr">
        <is>
          <t>VÄSTERNORRLANDS LÄN</t>
        </is>
      </c>
      <c r="E810" t="inlineStr">
        <is>
          <t>SOLLEFTEÅ</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41543-2025</t>
        </is>
      </c>
      <c r="B811" s="1" t="n">
        <v>45901</v>
      </c>
      <c r="C811" s="1" t="n">
        <v>46199</v>
      </c>
      <c r="D811" t="inlineStr">
        <is>
          <t>VÄSTERNORRLANDS LÄN</t>
        </is>
      </c>
      <c r="E811" t="inlineStr">
        <is>
          <t>SOLLEFTEÅ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35793-2024</t>
        </is>
      </c>
      <c r="B812" s="1" t="n">
        <v>45532</v>
      </c>
      <c r="C812" s="1" t="n">
        <v>46199</v>
      </c>
      <c r="D812" t="inlineStr">
        <is>
          <t>VÄSTERNORRLANDS LÄN</t>
        </is>
      </c>
      <c r="E812" t="inlineStr">
        <is>
          <t>SOLLEFTEÅ</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35794-2024</t>
        </is>
      </c>
      <c r="B813" s="1" t="n">
        <v>45532</v>
      </c>
      <c r="C813" s="1" t="n">
        <v>46199</v>
      </c>
      <c r="D813" t="inlineStr">
        <is>
          <t>VÄSTERNORRLANDS LÄN</t>
        </is>
      </c>
      <c r="E813" t="inlineStr">
        <is>
          <t>SOLLEFTEÅ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35803-2024</t>
        </is>
      </c>
      <c r="B814" s="1" t="n">
        <v>45532</v>
      </c>
      <c r="C814" s="1" t="n">
        <v>46199</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58772-2025</t>
        </is>
      </c>
      <c r="B815" s="1" t="n">
        <v>45986</v>
      </c>
      <c r="C815" s="1" t="n">
        <v>46199</v>
      </c>
      <c r="D815" t="inlineStr">
        <is>
          <t>VÄSTERNORRLANDS LÄN</t>
        </is>
      </c>
      <c r="E815" t="inlineStr">
        <is>
          <t>SOLLEFTEÅ</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25854-2025</t>
        </is>
      </c>
      <c r="B816" s="1" t="n">
        <v>45804</v>
      </c>
      <c r="C816" s="1" t="n">
        <v>46199</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41925-2025</t>
        </is>
      </c>
      <c r="B817" s="1" t="n">
        <v>45903</v>
      </c>
      <c r="C817" s="1" t="n">
        <v>46199</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41948-2025</t>
        </is>
      </c>
      <c r="B818" s="1" t="n">
        <v>45903</v>
      </c>
      <c r="C818" s="1" t="n">
        <v>46199</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42192-2025</t>
        </is>
      </c>
      <c r="B819" s="1" t="n">
        <v>45904</v>
      </c>
      <c r="C819" s="1" t="n">
        <v>46199</v>
      </c>
      <c r="D819" t="inlineStr">
        <is>
          <t>VÄSTERNORRLANDS LÄN</t>
        </is>
      </c>
      <c r="E819" t="inlineStr">
        <is>
          <t>SOLLEFTEÅ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42199-2025</t>
        </is>
      </c>
      <c r="B820" s="1" t="n">
        <v>45904</v>
      </c>
      <c r="C820" s="1" t="n">
        <v>46199</v>
      </c>
      <c r="D820" t="inlineStr">
        <is>
          <t>VÄSTERNORRLANDS LÄN</t>
        </is>
      </c>
      <c r="E820" t="inlineStr">
        <is>
          <t>SOLLEFTEÅ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27377-2024</t>
        </is>
      </c>
      <c r="B821" s="1" t="n">
        <v>45473</v>
      </c>
      <c r="C821" s="1" t="n">
        <v>46199</v>
      </c>
      <c r="D821" t="inlineStr">
        <is>
          <t>VÄSTERNORRLANDS LÄN</t>
        </is>
      </c>
      <c r="E821" t="inlineStr">
        <is>
          <t>SOLLEFTEÅ</t>
        </is>
      </c>
      <c r="G821" t="n">
        <v>9.1</v>
      </c>
      <c r="H821" t="n">
        <v>0</v>
      </c>
      <c r="I821" t="n">
        <v>0</v>
      </c>
      <c r="J821" t="n">
        <v>0</v>
      </c>
      <c r="K821" t="n">
        <v>0</v>
      </c>
      <c r="L821" t="n">
        <v>0</v>
      </c>
      <c r="M821" t="n">
        <v>0</v>
      </c>
      <c r="N821" t="n">
        <v>0</v>
      </c>
      <c r="O821" t="n">
        <v>0</v>
      </c>
      <c r="P821" t="n">
        <v>0</v>
      </c>
      <c r="Q821" t="n">
        <v>0</v>
      </c>
      <c r="R821" s="2" t="inlineStr"/>
    </row>
    <row r="822" ht="15" customHeight="1">
      <c r="A822" t="inlineStr">
        <is>
          <t>A 58558-2025</t>
        </is>
      </c>
      <c r="B822" s="1" t="n">
        <v>45986</v>
      </c>
      <c r="C822" s="1" t="n">
        <v>46199</v>
      </c>
      <c r="D822" t="inlineStr">
        <is>
          <t>VÄSTERNORRLANDS LÄN</t>
        </is>
      </c>
      <c r="E822" t="inlineStr">
        <is>
          <t>SOLLEFTEÅ</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73367-2021</t>
        </is>
      </c>
      <c r="B823" s="1" t="n">
        <v>44550</v>
      </c>
      <c r="C823" s="1" t="n">
        <v>46199</v>
      </c>
      <c r="D823" t="inlineStr">
        <is>
          <t>VÄSTERNORRLANDS LÄN</t>
        </is>
      </c>
      <c r="E823" t="inlineStr">
        <is>
          <t>SOLLEFTEÅ</t>
        </is>
      </c>
      <c r="G823" t="n">
        <v>10.8</v>
      </c>
      <c r="H823" t="n">
        <v>0</v>
      </c>
      <c r="I823" t="n">
        <v>0</v>
      </c>
      <c r="J823" t="n">
        <v>0</v>
      </c>
      <c r="K823" t="n">
        <v>0</v>
      </c>
      <c r="L823" t="n">
        <v>0</v>
      </c>
      <c r="M823" t="n">
        <v>0</v>
      </c>
      <c r="N823" t="n">
        <v>0</v>
      </c>
      <c r="O823" t="n">
        <v>0</v>
      </c>
      <c r="P823" t="n">
        <v>0</v>
      </c>
      <c r="Q823" t="n">
        <v>0</v>
      </c>
      <c r="R823" s="2" t="inlineStr"/>
    </row>
    <row r="824" ht="15" customHeight="1">
      <c r="A824" t="inlineStr">
        <is>
          <t>A 42127-2025</t>
        </is>
      </c>
      <c r="B824" s="1" t="n">
        <v>45904</v>
      </c>
      <c r="C824" s="1" t="n">
        <v>46199</v>
      </c>
      <c r="D824" t="inlineStr">
        <is>
          <t>VÄSTERNORRLANDS LÄN</t>
        </is>
      </c>
      <c r="E824" t="inlineStr">
        <is>
          <t>SOLLEFTEÅ</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27916-2024</t>
        </is>
      </c>
      <c r="B825" s="1" t="n">
        <v>45475</v>
      </c>
      <c r="C825" s="1" t="n">
        <v>46199</v>
      </c>
      <c r="D825" t="inlineStr">
        <is>
          <t>VÄSTERNORRLANDS LÄN</t>
        </is>
      </c>
      <c r="E825" t="inlineStr">
        <is>
          <t>SOLLEFTEÅ</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26088-2025</t>
        </is>
      </c>
      <c r="B826" s="1" t="n">
        <v>45805</v>
      </c>
      <c r="C826" s="1" t="n">
        <v>46199</v>
      </c>
      <c r="D826" t="inlineStr">
        <is>
          <t>VÄSTERNORRLANDS LÄN</t>
        </is>
      </c>
      <c r="E826" t="inlineStr">
        <is>
          <t>SOLLEFTEÅ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42201-2025</t>
        </is>
      </c>
      <c r="B827" s="1" t="n">
        <v>45904</v>
      </c>
      <c r="C827" s="1" t="n">
        <v>46199</v>
      </c>
      <c r="D827" t="inlineStr">
        <is>
          <t>VÄSTERNORRLANDS LÄN</t>
        </is>
      </c>
      <c r="E827" t="inlineStr">
        <is>
          <t>SOLLEFTEÅ</t>
        </is>
      </c>
      <c r="G827" t="n">
        <v>1.4</v>
      </c>
      <c r="H827" t="n">
        <v>0</v>
      </c>
      <c r="I827" t="n">
        <v>0</v>
      </c>
      <c r="J827" t="n">
        <v>0</v>
      </c>
      <c r="K827" t="n">
        <v>0</v>
      </c>
      <c r="L827" t="n">
        <v>0</v>
      </c>
      <c r="M827" t="n">
        <v>0</v>
      </c>
      <c r="N827" t="n">
        <v>0</v>
      </c>
      <c r="O827" t="n">
        <v>0</v>
      </c>
      <c r="P827" t="n">
        <v>0</v>
      </c>
      <c r="Q827" t="n">
        <v>0</v>
      </c>
      <c r="R827" s="2" t="inlineStr"/>
    </row>
    <row r="828" ht="15" customHeight="1">
      <c r="A828" t="inlineStr">
        <is>
          <t>A 58383-2025</t>
        </is>
      </c>
      <c r="B828" s="1" t="n">
        <v>45985</v>
      </c>
      <c r="C828" s="1" t="n">
        <v>46199</v>
      </c>
      <c r="D828" t="inlineStr">
        <is>
          <t>VÄSTERNORRLANDS LÄN</t>
        </is>
      </c>
      <c r="E828" t="inlineStr">
        <is>
          <t>SOLLEFTEÅ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42789-2025</t>
        </is>
      </c>
      <c r="B829" s="1" t="n">
        <v>45908</v>
      </c>
      <c r="C829" s="1" t="n">
        <v>46199</v>
      </c>
      <c r="D829" t="inlineStr">
        <is>
          <t>VÄSTERNORRLANDS LÄN</t>
        </is>
      </c>
      <c r="E829" t="inlineStr">
        <is>
          <t>SOLLEFTEÅ</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1997-2022</t>
        </is>
      </c>
      <c r="B830" s="1" t="n">
        <v>44575</v>
      </c>
      <c r="C830" s="1" t="n">
        <v>46199</v>
      </c>
      <c r="D830" t="inlineStr">
        <is>
          <t>VÄSTERNORRLANDS LÄN</t>
        </is>
      </c>
      <c r="E830" t="inlineStr">
        <is>
          <t>SOLLEFTEÅ</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7330-2023</t>
        </is>
      </c>
      <c r="B831" s="1" t="n">
        <v>44970</v>
      </c>
      <c r="C831" s="1" t="n">
        <v>46199</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7333-2023</t>
        </is>
      </c>
      <c r="B832" s="1" t="n">
        <v>44970</v>
      </c>
      <c r="C832" s="1" t="n">
        <v>46199</v>
      </c>
      <c r="D832" t="inlineStr">
        <is>
          <t>VÄSTERNORRLANDS LÄN</t>
        </is>
      </c>
      <c r="E832" t="inlineStr">
        <is>
          <t>SOLLEFTEÅ</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62038-2024</t>
        </is>
      </c>
      <c r="B833" s="1" t="n">
        <v>45656</v>
      </c>
      <c r="C833" s="1" t="n">
        <v>46199</v>
      </c>
      <c r="D833" t="inlineStr">
        <is>
          <t>VÄSTERNORRLANDS LÄN</t>
        </is>
      </c>
      <c r="E833" t="inlineStr">
        <is>
          <t>SOLLEFTEÅ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42697-2025</t>
        </is>
      </c>
      <c r="B834" s="1" t="n">
        <v>45908</v>
      </c>
      <c r="C834" s="1" t="n">
        <v>46199</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26426-2025</t>
        </is>
      </c>
      <c r="B835" s="1" t="n">
        <v>45807</v>
      </c>
      <c r="C835" s="1" t="n">
        <v>46199</v>
      </c>
      <c r="D835" t="inlineStr">
        <is>
          <t>VÄSTERNORRLANDS LÄN</t>
        </is>
      </c>
      <c r="E835" t="inlineStr">
        <is>
          <t>SOLLEFTEÅ</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31428-2025</t>
        </is>
      </c>
      <c r="B836" s="1" t="n">
        <v>45833</v>
      </c>
      <c r="C836" s="1" t="n">
        <v>46199</v>
      </c>
      <c r="D836" t="inlineStr">
        <is>
          <t>VÄSTERNORRLANDS LÄN</t>
        </is>
      </c>
      <c r="E836" t="inlineStr">
        <is>
          <t>SOLLEFTEÅ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9163-2025</t>
        </is>
      </c>
      <c r="B837" s="1" t="n">
        <v>45714</v>
      </c>
      <c r="C837" s="1" t="n">
        <v>46199</v>
      </c>
      <c r="D837" t="inlineStr">
        <is>
          <t>VÄSTERNORRLANDS LÄN</t>
        </is>
      </c>
      <c r="E837" t="inlineStr">
        <is>
          <t>SOLLEFTEÅ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48555-2021</t>
        </is>
      </c>
      <c r="B838" s="1" t="n">
        <v>44452</v>
      </c>
      <c r="C838" s="1" t="n">
        <v>46199</v>
      </c>
      <c r="D838" t="inlineStr">
        <is>
          <t>VÄSTERNORRLANDS LÄN</t>
        </is>
      </c>
      <c r="E838" t="inlineStr">
        <is>
          <t>SOLLEFTEÅ</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58234-2025</t>
        </is>
      </c>
      <c r="B839" s="1" t="n">
        <v>45985</v>
      </c>
      <c r="C839" s="1" t="n">
        <v>46199</v>
      </c>
      <c r="D839" t="inlineStr">
        <is>
          <t>VÄSTERNORRLANDS LÄN</t>
        </is>
      </c>
      <c r="E839" t="inlineStr">
        <is>
          <t>SOLLEFTEÅ</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42733-2025</t>
        </is>
      </c>
      <c r="B840" s="1" t="n">
        <v>45908</v>
      </c>
      <c r="C840" s="1" t="n">
        <v>46199</v>
      </c>
      <c r="D840" t="inlineStr">
        <is>
          <t>VÄSTERNORRLANDS LÄN</t>
        </is>
      </c>
      <c r="E840" t="inlineStr">
        <is>
          <t>SOLLEFTEÅ</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13492-2022</t>
        </is>
      </c>
      <c r="B841" s="1" t="n">
        <v>44646</v>
      </c>
      <c r="C841" s="1" t="n">
        <v>46199</v>
      </c>
      <c r="D841" t="inlineStr">
        <is>
          <t>VÄSTERNORRLANDS LÄN</t>
        </is>
      </c>
      <c r="E841" t="inlineStr">
        <is>
          <t>SOLLEFTEÅ</t>
        </is>
      </c>
      <c r="G841" t="n">
        <v>8.4</v>
      </c>
      <c r="H841" t="n">
        <v>0</v>
      </c>
      <c r="I841" t="n">
        <v>0</v>
      </c>
      <c r="J841" t="n">
        <v>0</v>
      </c>
      <c r="K841" t="n">
        <v>0</v>
      </c>
      <c r="L841" t="n">
        <v>0</v>
      </c>
      <c r="M841" t="n">
        <v>0</v>
      </c>
      <c r="N841" t="n">
        <v>0</v>
      </c>
      <c r="O841" t="n">
        <v>0</v>
      </c>
      <c r="P841" t="n">
        <v>0</v>
      </c>
      <c r="Q841" t="n">
        <v>0</v>
      </c>
      <c r="R841" s="2" t="inlineStr"/>
    </row>
    <row r="842" ht="15" customHeight="1">
      <c r="A842" t="inlineStr">
        <is>
          <t>A 58276-2021</t>
        </is>
      </c>
      <c r="B842" s="1" t="n">
        <v>44487</v>
      </c>
      <c r="C842" s="1" t="n">
        <v>46199</v>
      </c>
      <c r="D842" t="inlineStr">
        <is>
          <t>VÄSTERNORRLANDS LÄN</t>
        </is>
      </c>
      <c r="E842" t="inlineStr">
        <is>
          <t>SOLLEFTEÅ</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6066-2024</t>
        </is>
      </c>
      <c r="B843" s="1" t="n">
        <v>45336</v>
      </c>
      <c r="C843" s="1" t="n">
        <v>46199</v>
      </c>
      <c r="D843" t="inlineStr">
        <is>
          <t>VÄSTERNORRLANDS LÄN</t>
        </is>
      </c>
      <c r="E843" t="inlineStr">
        <is>
          <t>SOLLEFTEÅ</t>
        </is>
      </c>
      <c r="F843" t="inlineStr">
        <is>
          <t>Övriga Aktiebolag</t>
        </is>
      </c>
      <c r="G843" t="n">
        <v>14.8</v>
      </c>
      <c r="H843" t="n">
        <v>0</v>
      </c>
      <c r="I843" t="n">
        <v>0</v>
      </c>
      <c r="J843" t="n">
        <v>0</v>
      </c>
      <c r="K843" t="n">
        <v>0</v>
      </c>
      <c r="L843" t="n">
        <v>0</v>
      </c>
      <c r="M843" t="n">
        <v>0</v>
      </c>
      <c r="N843" t="n">
        <v>0</v>
      </c>
      <c r="O843" t="n">
        <v>0</v>
      </c>
      <c r="P843" t="n">
        <v>0</v>
      </c>
      <c r="Q843" t="n">
        <v>0</v>
      </c>
      <c r="R843" s="2" t="inlineStr"/>
    </row>
    <row r="844" ht="15" customHeight="1">
      <c r="A844" t="inlineStr">
        <is>
          <t>A 59024-2025</t>
        </is>
      </c>
      <c r="B844" s="1" t="n">
        <v>45988</v>
      </c>
      <c r="C844" s="1" t="n">
        <v>46199</v>
      </c>
      <c r="D844" t="inlineStr">
        <is>
          <t>VÄSTERNORRLANDS LÄN</t>
        </is>
      </c>
      <c r="E844" t="inlineStr">
        <is>
          <t>SOLLEFTEÅ</t>
        </is>
      </c>
      <c r="F844" t="inlineStr">
        <is>
          <t>SCA</t>
        </is>
      </c>
      <c r="G844" t="n">
        <v>7.5</v>
      </c>
      <c r="H844" t="n">
        <v>0</v>
      </c>
      <c r="I844" t="n">
        <v>0</v>
      </c>
      <c r="J844" t="n">
        <v>0</v>
      </c>
      <c r="K844" t="n">
        <v>0</v>
      </c>
      <c r="L844" t="n">
        <v>0</v>
      </c>
      <c r="M844" t="n">
        <v>0</v>
      </c>
      <c r="N844" t="n">
        <v>0</v>
      </c>
      <c r="O844" t="n">
        <v>0</v>
      </c>
      <c r="P844" t="n">
        <v>0</v>
      </c>
      <c r="Q844" t="n">
        <v>0</v>
      </c>
      <c r="R844" s="2" t="inlineStr"/>
    </row>
    <row r="845" ht="15" customHeight="1">
      <c r="A845" t="inlineStr">
        <is>
          <t>A 282-2023</t>
        </is>
      </c>
      <c r="B845" s="1" t="n">
        <v>44928</v>
      </c>
      <c r="C845" s="1" t="n">
        <v>46199</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31453-2022</t>
        </is>
      </c>
      <c r="B846" s="1" t="n">
        <v>44774</v>
      </c>
      <c r="C846" s="1" t="n">
        <v>46199</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22473-2024</t>
        </is>
      </c>
      <c r="B847" s="1" t="n">
        <v>45446</v>
      </c>
      <c r="C847" s="1" t="n">
        <v>46199</v>
      </c>
      <c r="D847" t="inlineStr">
        <is>
          <t>VÄSTERNORRLANDS LÄN</t>
        </is>
      </c>
      <c r="E847" t="inlineStr">
        <is>
          <t>SOLLEFTEÅ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26409-2025</t>
        </is>
      </c>
      <c r="B848" s="1" t="n">
        <v>45807</v>
      </c>
      <c r="C848" s="1" t="n">
        <v>46199</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58998-2025</t>
        </is>
      </c>
      <c r="B849" s="1" t="n">
        <v>45987</v>
      </c>
      <c r="C849" s="1" t="n">
        <v>46199</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59002-2025</t>
        </is>
      </c>
      <c r="B850" s="1" t="n">
        <v>45987</v>
      </c>
      <c r="C850" s="1" t="n">
        <v>46199</v>
      </c>
      <c r="D850" t="inlineStr">
        <is>
          <t>VÄSTERNORRLANDS LÄN</t>
        </is>
      </c>
      <c r="E850" t="inlineStr">
        <is>
          <t>SOLLEFTEÅ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26641-2025</t>
        </is>
      </c>
      <c r="B851" s="1" t="n">
        <v>45810</v>
      </c>
      <c r="C851" s="1" t="n">
        <v>46199</v>
      </c>
      <c r="D851" t="inlineStr">
        <is>
          <t>VÄSTERNORRLANDS LÄN</t>
        </is>
      </c>
      <c r="E851" t="inlineStr">
        <is>
          <t>SOLLEFTEÅ</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26733-2025</t>
        </is>
      </c>
      <c r="B852" s="1" t="n">
        <v>45810</v>
      </c>
      <c r="C852" s="1" t="n">
        <v>46199</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51029-2021</t>
        </is>
      </c>
      <c r="B853" s="1" t="n">
        <v>44460</v>
      </c>
      <c r="C853" s="1" t="n">
        <v>46199</v>
      </c>
      <c r="D853" t="inlineStr">
        <is>
          <t>VÄSTERNORRLANDS LÄN</t>
        </is>
      </c>
      <c r="E853" t="inlineStr">
        <is>
          <t>SOLLEFTEÅ</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7258-2024</t>
        </is>
      </c>
      <c r="B854" s="1" t="n">
        <v>45344</v>
      </c>
      <c r="C854" s="1" t="n">
        <v>46199</v>
      </c>
      <c r="D854" t="inlineStr">
        <is>
          <t>VÄSTERNORRLANDS LÄN</t>
        </is>
      </c>
      <c r="E854" t="inlineStr">
        <is>
          <t>SOLLEFTEÅ</t>
        </is>
      </c>
      <c r="G854" t="n">
        <v>4.1</v>
      </c>
      <c r="H854" t="n">
        <v>0</v>
      </c>
      <c r="I854" t="n">
        <v>0</v>
      </c>
      <c r="J854" t="n">
        <v>0</v>
      </c>
      <c r="K854" t="n">
        <v>0</v>
      </c>
      <c r="L854" t="n">
        <v>0</v>
      </c>
      <c r="M854" t="n">
        <v>0</v>
      </c>
      <c r="N854" t="n">
        <v>0</v>
      </c>
      <c r="O854" t="n">
        <v>0</v>
      </c>
      <c r="P854" t="n">
        <v>0</v>
      </c>
      <c r="Q854" t="n">
        <v>0</v>
      </c>
      <c r="R854" s="2" t="inlineStr"/>
    </row>
    <row r="855" ht="15" customHeight="1">
      <c r="A855" t="inlineStr">
        <is>
          <t>A 31662-2024</t>
        </is>
      </c>
      <c r="B855" s="1" t="n">
        <v>45506</v>
      </c>
      <c r="C855" s="1" t="n">
        <v>46199</v>
      </c>
      <c r="D855" t="inlineStr">
        <is>
          <t>VÄSTERNORRLANDS LÄN</t>
        </is>
      </c>
      <c r="E855" t="inlineStr">
        <is>
          <t>SOLLEFTEÅ</t>
        </is>
      </c>
      <c r="G855" t="n">
        <v>11.7</v>
      </c>
      <c r="H855" t="n">
        <v>0</v>
      </c>
      <c r="I855" t="n">
        <v>0</v>
      </c>
      <c r="J855" t="n">
        <v>0</v>
      </c>
      <c r="K855" t="n">
        <v>0</v>
      </c>
      <c r="L855" t="n">
        <v>0</v>
      </c>
      <c r="M855" t="n">
        <v>0</v>
      </c>
      <c r="N855" t="n">
        <v>0</v>
      </c>
      <c r="O855" t="n">
        <v>0</v>
      </c>
      <c r="P855" t="n">
        <v>0</v>
      </c>
      <c r="Q855" t="n">
        <v>0</v>
      </c>
      <c r="R855" s="2" t="inlineStr"/>
    </row>
    <row r="856" ht="15" customHeight="1">
      <c r="A856" t="inlineStr">
        <is>
          <t>A 56416-2023</t>
        </is>
      </c>
      <c r="B856" s="1" t="n">
        <v>45237</v>
      </c>
      <c r="C856" s="1" t="n">
        <v>46199</v>
      </c>
      <c r="D856" t="inlineStr">
        <is>
          <t>VÄSTERNORRLANDS LÄN</t>
        </is>
      </c>
      <c r="E856" t="inlineStr">
        <is>
          <t>SOLLEFTEÅ</t>
        </is>
      </c>
      <c r="G856" t="n">
        <v>11.2</v>
      </c>
      <c r="H856" t="n">
        <v>0</v>
      </c>
      <c r="I856" t="n">
        <v>0</v>
      </c>
      <c r="J856" t="n">
        <v>0</v>
      </c>
      <c r="K856" t="n">
        <v>0</v>
      </c>
      <c r="L856" t="n">
        <v>0</v>
      </c>
      <c r="M856" t="n">
        <v>0</v>
      </c>
      <c r="N856" t="n">
        <v>0</v>
      </c>
      <c r="O856" t="n">
        <v>0</v>
      </c>
      <c r="P856" t="n">
        <v>0</v>
      </c>
      <c r="Q856" t="n">
        <v>0</v>
      </c>
      <c r="R856" s="2" t="inlineStr"/>
    </row>
    <row r="857" ht="15" customHeight="1">
      <c r="A857" t="inlineStr">
        <is>
          <t>A 26953-2025</t>
        </is>
      </c>
      <c r="B857" s="1" t="n">
        <v>45811</v>
      </c>
      <c r="C857" s="1" t="n">
        <v>46199</v>
      </c>
      <c r="D857" t="inlineStr">
        <is>
          <t>VÄSTERNORRLANDS LÄN</t>
        </is>
      </c>
      <c r="E857" t="inlineStr">
        <is>
          <t>SOLLEFTEÅ</t>
        </is>
      </c>
      <c r="F857" t="inlineStr">
        <is>
          <t>SCA</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43620-2025</t>
        </is>
      </c>
      <c r="B858" s="1" t="n">
        <v>45911</v>
      </c>
      <c r="C858" s="1" t="n">
        <v>46199</v>
      </c>
      <c r="D858" t="inlineStr">
        <is>
          <t>VÄSTERNORRLANDS LÄN</t>
        </is>
      </c>
      <c r="E858" t="inlineStr">
        <is>
          <t>SOLLEFTEÅ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58999-2025</t>
        </is>
      </c>
      <c r="B859" s="1" t="n">
        <v>45987</v>
      </c>
      <c r="C859" s="1" t="n">
        <v>46199</v>
      </c>
      <c r="D859" t="inlineStr">
        <is>
          <t>VÄSTERNORRLANDS LÄN</t>
        </is>
      </c>
      <c r="E859" t="inlineStr">
        <is>
          <t>SOLLEFTEÅ</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58694-2024</t>
        </is>
      </c>
      <c r="B860" s="1" t="n">
        <v>45635</v>
      </c>
      <c r="C860" s="1" t="n">
        <v>46199</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26952-2025</t>
        </is>
      </c>
      <c r="B861" s="1" t="n">
        <v>45811</v>
      </c>
      <c r="C861" s="1" t="n">
        <v>46199</v>
      </c>
      <c r="D861" t="inlineStr">
        <is>
          <t>VÄSTERNORRLANDS LÄN</t>
        </is>
      </c>
      <c r="E861" t="inlineStr">
        <is>
          <t>SOLLEFTEÅ</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43462-2025</t>
        </is>
      </c>
      <c r="B862" s="1" t="n">
        <v>45911</v>
      </c>
      <c r="C862" s="1" t="n">
        <v>46199</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43863-2025</t>
        </is>
      </c>
      <c r="B863" s="1" t="n">
        <v>45912</v>
      </c>
      <c r="C863" s="1" t="n">
        <v>46199</v>
      </c>
      <c r="D863" t="inlineStr">
        <is>
          <t>VÄSTERNORRLANDS LÄN</t>
        </is>
      </c>
      <c r="E863" t="inlineStr">
        <is>
          <t>SOLLEFTEÅ</t>
        </is>
      </c>
      <c r="F863" t="inlineStr">
        <is>
          <t>SCA</t>
        </is>
      </c>
      <c r="G863" t="n">
        <v>16.8</v>
      </c>
      <c r="H863" t="n">
        <v>0</v>
      </c>
      <c r="I863" t="n">
        <v>0</v>
      </c>
      <c r="J863" t="n">
        <v>0</v>
      </c>
      <c r="K863" t="n">
        <v>0</v>
      </c>
      <c r="L863" t="n">
        <v>0</v>
      </c>
      <c r="M863" t="n">
        <v>0</v>
      </c>
      <c r="N863" t="n">
        <v>0</v>
      </c>
      <c r="O863" t="n">
        <v>0</v>
      </c>
      <c r="P863" t="n">
        <v>0</v>
      </c>
      <c r="Q863" t="n">
        <v>0</v>
      </c>
      <c r="R863" s="2" t="inlineStr"/>
    </row>
    <row r="864" ht="15" customHeight="1">
      <c r="A864" t="inlineStr">
        <is>
          <t>A 42987-2024</t>
        </is>
      </c>
      <c r="B864" s="1" t="n">
        <v>45567</v>
      </c>
      <c r="C864" s="1" t="n">
        <v>46199</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59260-2025</t>
        </is>
      </c>
      <c r="B865" s="1" t="n">
        <v>45988</v>
      </c>
      <c r="C865" s="1" t="n">
        <v>46199</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7157-2025</t>
        </is>
      </c>
      <c r="B866" s="1" t="n">
        <v>45702</v>
      </c>
      <c r="C866" s="1" t="n">
        <v>46199</v>
      </c>
      <c r="D866" t="inlineStr">
        <is>
          <t>VÄSTERNORRLANDS LÄN</t>
        </is>
      </c>
      <c r="E866" t="inlineStr">
        <is>
          <t>SOLLEFTEÅ</t>
        </is>
      </c>
      <c r="G866" t="n">
        <v>12.5</v>
      </c>
      <c r="H866" t="n">
        <v>0</v>
      </c>
      <c r="I866" t="n">
        <v>0</v>
      </c>
      <c r="J866" t="n">
        <v>0</v>
      </c>
      <c r="K866" t="n">
        <v>0</v>
      </c>
      <c r="L866" t="n">
        <v>0</v>
      </c>
      <c r="M866" t="n">
        <v>0</v>
      </c>
      <c r="N866" t="n">
        <v>0</v>
      </c>
      <c r="O866" t="n">
        <v>0</v>
      </c>
      <c r="P866" t="n">
        <v>0</v>
      </c>
      <c r="Q866" t="n">
        <v>0</v>
      </c>
      <c r="R866" s="2" t="inlineStr"/>
    </row>
    <row r="867" ht="15" customHeight="1">
      <c r="A867" t="inlineStr">
        <is>
          <t>A 43490-2025</t>
        </is>
      </c>
      <c r="B867" s="1" t="n">
        <v>45911</v>
      </c>
      <c r="C867" s="1" t="n">
        <v>46199</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43510-2025</t>
        </is>
      </c>
      <c r="B868" s="1" t="n">
        <v>45911</v>
      </c>
      <c r="C868" s="1" t="n">
        <v>46199</v>
      </c>
      <c r="D868" t="inlineStr">
        <is>
          <t>VÄSTERNORRLANDS LÄN</t>
        </is>
      </c>
      <c r="E868" t="inlineStr">
        <is>
          <t>SOLLEFTEÅ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43503-2025</t>
        </is>
      </c>
      <c r="B869" s="1" t="n">
        <v>45911</v>
      </c>
      <c r="C869" s="1" t="n">
        <v>46199</v>
      </c>
      <c r="D869" t="inlineStr">
        <is>
          <t>VÄSTERNORRLANDS LÄN</t>
        </is>
      </c>
      <c r="E869" t="inlineStr">
        <is>
          <t>SOLLEFTEÅ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60170-2022</t>
        </is>
      </c>
      <c r="B870" s="1" t="n">
        <v>44909</v>
      </c>
      <c r="C870" s="1" t="n">
        <v>46199</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27427-2025</t>
        </is>
      </c>
      <c r="B871" s="1" t="n">
        <v>45813</v>
      </c>
      <c r="C871" s="1" t="n">
        <v>46199</v>
      </c>
      <c r="D871" t="inlineStr">
        <is>
          <t>VÄSTERNORRLANDS LÄN</t>
        </is>
      </c>
      <c r="E871" t="inlineStr">
        <is>
          <t>SOLLEFTEÅ</t>
        </is>
      </c>
      <c r="G871" t="n">
        <v>2.9</v>
      </c>
      <c r="H871" t="n">
        <v>0</v>
      </c>
      <c r="I871" t="n">
        <v>0</v>
      </c>
      <c r="J871" t="n">
        <v>0</v>
      </c>
      <c r="K871" t="n">
        <v>0</v>
      </c>
      <c r="L871" t="n">
        <v>0</v>
      </c>
      <c r="M871" t="n">
        <v>0</v>
      </c>
      <c r="N871" t="n">
        <v>0</v>
      </c>
      <c r="O871" t="n">
        <v>0</v>
      </c>
      <c r="P871" t="n">
        <v>0</v>
      </c>
      <c r="Q871" t="n">
        <v>0</v>
      </c>
      <c r="R871" s="2" t="inlineStr"/>
    </row>
    <row r="872" ht="15" customHeight="1">
      <c r="A872" t="inlineStr">
        <is>
          <t>A 59181-2025</t>
        </is>
      </c>
      <c r="B872" s="1" t="n">
        <v>45988</v>
      </c>
      <c r="C872" s="1" t="n">
        <v>46199</v>
      </c>
      <c r="D872" t="inlineStr">
        <is>
          <t>VÄSTERNORRLANDS LÄN</t>
        </is>
      </c>
      <c r="E872" t="inlineStr">
        <is>
          <t>SOLLEFTEÅ</t>
        </is>
      </c>
      <c r="F872" t="inlineStr">
        <is>
          <t>SCA</t>
        </is>
      </c>
      <c r="G872" t="n">
        <v>28.3</v>
      </c>
      <c r="H872" t="n">
        <v>0</v>
      </c>
      <c r="I872" t="n">
        <v>0</v>
      </c>
      <c r="J872" t="n">
        <v>0</v>
      </c>
      <c r="K872" t="n">
        <v>0</v>
      </c>
      <c r="L872" t="n">
        <v>0</v>
      </c>
      <c r="M872" t="n">
        <v>0</v>
      </c>
      <c r="N872" t="n">
        <v>0</v>
      </c>
      <c r="O872" t="n">
        <v>0</v>
      </c>
      <c r="P872" t="n">
        <v>0</v>
      </c>
      <c r="Q872" t="n">
        <v>0</v>
      </c>
      <c r="R872" s="2" t="inlineStr"/>
    </row>
    <row r="873" ht="15" customHeight="1">
      <c r="A873" t="inlineStr">
        <is>
          <t>A 23025-2024</t>
        </is>
      </c>
      <c r="B873" s="1" t="n">
        <v>45450</v>
      </c>
      <c r="C873" s="1" t="n">
        <v>46199</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52035-2022</t>
        </is>
      </c>
      <c r="B874" s="1" t="n">
        <v>44872</v>
      </c>
      <c r="C874" s="1" t="n">
        <v>46199</v>
      </c>
      <c r="D874" t="inlineStr">
        <is>
          <t>VÄSTERNORRLANDS LÄN</t>
        </is>
      </c>
      <c r="E874" t="inlineStr">
        <is>
          <t>SOLLEFTEÅ</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36004-2024</t>
        </is>
      </c>
      <c r="B875" s="1" t="n">
        <v>45533</v>
      </c>
      <c r="C875" s="1" t="n">
        <v>46199</v>
      </c>
      <c r="D875" t="inlineStr">
        <is>
          <t>VÄSTERNORRLANDS LÄN</t>
        </is>
      </c>
      <c r="E875" t="inlineStr">
        <is>
          <t>SOLLEFTEÅ</t>
        </is>
      </c>
      <c r="G875" t="n">
        <v>3.7</v>
      </c>
      <c r="H875" t="n">
        <v>0</v>
      </c>
      <c r="I875" t="n">
        <v>0</v>
      </c>
      <c r="J875" t="n">
        <v>0</v>
      </c>
      <c r="K875" t="n">
        <v>0</v>
      </c>
      <c r="L875" t="n">
        <v>0</v>
      </c>
      <c r="M875" t="n">
        <v>0</v>
      </c>
      <c r="N875" t="n">
        <v>0</v>
      </c>
      <c r="O875" t="n">
        <v>0</v>
      </c>
      <c r="P875" t="n">
        <v>0</v>
      </c>
      <c r="Q875" t="n">
        <v>0</v>
      </c>
      <c r="R875" s="2" t="inlineStr"/>
    </row>
    <row r="876" ht="15" customHeight="1">
      <c r="A876" t="inlineStr">
        <is>
          <t>A 12617-2025</t>
        </is>
      </c>
      <c r="B876" s="1" t="n">
        <v>45733</v>
      </c>
      <c r="C876" s="1" t="n">
        <v>46199</v>
      </c>
      <c r="D876" t="inlineStr">
        <is>
          <t>VÄSTERNORRLANDS LÄN</t>
        </is>
      </c>
      <c r="E876" t="inlineStr">
        <is>
          <t>SOLLEFTEÅ</t>
        </is>
      </c>
      <c r="G876" t="n">
        <v>5.6</v>
      </c>
      <c r="H876" t="n">
        <v>0</v>
      </c>
      <c r="I876" t="n">
        <v>0</v>
      </c>
      <c r="J876" t="n">
        <v>0</v>
      </c>
      <c r="K876" t="n">
        <v>0</v>
      </c>
      <c r="L876" t="n">
        <v>0</v>
      </c>
      <c r="M876" t="n">
        <v>0</v>
      </c>
      <c r="N876" t="n">
        <v>0</v>
      </c>
      <c r="O876" t="n">
        <v>0</v>
      </c>
      <c r="P876" t="n">
        <v>0</v>
      </c>
      <c r="Q876" t="n">
        <v>0</v>
      </c>
      <c r="R876" s="2" t="inlineStr"/>
    </row>
    <row r="877" ht="15" customHeight="1">
      <c r="A877" t="inlineStr">
        <is>
          <t>A 44387-2025</t>
        </is>
      </c>
      <c r="B877" s="1" t="n">
        <v>45916</v>
      </c>
      <c r="C877" s="1" t="n">
        <v>46199</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15429-2025</t>
        </is>
      </c>
      <c r="B878" s="1" t="n">
        <v>45747</v>
      </c>
      <c r="C878" s="1" t="n">
        <v>46199</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58948-2025</t>
        </is>
      </c>
      <c r="B879" s="1" t="n">
        <v>45987</v>
      </c>
      <c r="C879" s="1" t="n">
        <v>46199</v>
      </c>
      <c r="D879" t="inlineStr">
        <is>
          <t>VÄSTERNORRLANDS LÄN</t>
        </is>
      </c>
      <c r="E879" t="inlineStr">
        <is>
          <t>SOLLEFTEÅ</t>
        </is>
      </c>
      <c r="G879" t="n">
        <v>6.5</v>
      </c>
      <c r="H879" t="n">
        <v>0</v>
      </c>
      <c r="I879" t="n">
        <v>0</v>
      </c>
      <c r="J879" t="n">
        <v>0</v>
      </c>
      <c r="K879" t="n">
        <v>0</v>
      </c>
      <c r="L879" t="n">
        <v>0</v>
      </c>
      <c r="M879" t="n">
        <v>0</v>
      </c>
      <c r="N879" t="n">
        <v>0</v>
      </c>
      <c r="O879" t="n">
        <v>0</v>
      </c>
      <c r="P879" t="n">
        <v>0</v>
      </c>
      <c r="Q879" t="n">
        <v>0</v>
      </c>
      <c r="R879" s="2" t="inlineStr"/>
    </row>
    <row r="880" ht="15" customHeight="1">
      <c r="A880" t="inlineStr">
        <is>
          <t>A 61997-2022</t>
        </is>
      </c>
      <c r="B880" s="1" t="n">
        <v>44914</v>
      </c>
      <c r="C880" s="1" t="n">
        <v>46199</v>
      </c>
      <c r="D880" t="inlineStr">
        <is>
          <t>VÄSTERNORRLANDS LÄN</t>
        </is>
      </c>
      <c r="E880" t="inlineStr">
        <is>
          <t>SOLLEFTEÅ</t>
        </is>
      </c>
      <c r="G880" t="n">
        <v>0.8</v>
      </c>
      <c r="H880" t="n">
        <v>0</v>
      </c>
      <c r="I880" t="n">
        <v>0</v>
      </c>
      <c r="J880" t="n">
        <v>0</v>
      </c>
      <c r="K880" t="n">
        <v>0</v>
      </c>
      <c r="L880" t="n">
        <v>0</v>
      </c>
      <c r="M880" t="n">
        <v>0</v>
      </c>
      <c r="N880" t="n">
        <v>0</v>
      </c>
      <c r="O880" t="n">
        <v>0</v>
      </c>
      <c r="P880" t="n">
        <v>0</v>
      </c>
      <c r="Q880" t="n">
        <v>0</v>
      </c>
      <c r="R880" s="2" t="inlineStr"/>
    </row>
    <row r="881" ht="15" customHeight="1">
      <c r="A881" t="inlineStr">
        <is>
          <t>A 20799-2024</t>
        </is>
      </c>
      <c r="B881" s="1" t="n">
        <v>45438</v>
      </c>
      <c r="C881" s="1" t="n">
        <v>46199</v>
      </c>
      <c r="D881" t="inlineStr">
        <is>
          <t>VÄSTERNORRLANDS LÄN</t>
        </is>
      </c>
      <c r="E881" t="inlineStr">
        <is>
          <t>SOLLEFTEÅ</t>
        </is>
      </c>
      <c r="F881" t="inlineStr">
        <is>
          <t>SCA</t>
        </is>
      </c>
      <c r="G881" t="n">
        <v>0.1</v>
      </c>
      <c r="H881" t="n">
        <v>0</v>
      </c>
      <c r="I881" t="n">
        <v>0</v>
      </c>
      <c r="J881" t="n">
        <v>0</v>
      </c>
      <c r="K881" t="n">
        <v>0</v>
      </c>
      <c r="L881" t="n">
        <v>0</v>
      </c>
      <c r="M881" t="n">
        <v>0</v>
      </c>
      <c r="N881" t="n">
        <v>0</v>
      </c>
      <c r="O881" t="n">
        <v>0</v>
      </c>
      <c r="P881" t="n">
        <v>0</v>
      </c>
      <c r="Q881" t="n">
        <v>0</v>
      </c>
      <c r="R881" s="2" t="inlineStr"/>
    </row>
    <row r="882" ht="15" customHeight="1">
      <c r="A882" t="inlineStr">
        <is>
          <t>A 30060-2024</t>
        </is>
      </c>
      <c r="B882" s="1" t="n">
        <v>45488</v>
      </c>
      <c r="C882" s="1" t="n">
        <v>46199</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23285-2023</t>
        </is>
      </c>
      <c r="B883" s="1" t="n">
        <v>45075</v>
      </c>
      <c r="C883" s="1" t="n">
        <v>46199</v>
      </c>
      <c r="D883" t="inlineStr">
        <is>
          <t>VÄSTERNORRLANDS LÄN</t>
        </is>
      </c>
      <c r="E883" t="inlineStr">
        <is>
          <t>SOLLEFTEÅ</t>
        </is>
      </c>
      <c r="G883" t="n">
        <v>0.2</v>
      </c>
      <c r="H883" t="n">
        <v>0</v>
      </c>
      <c r="I883" t="n">
        <v>0</v>
      </c>
      <c r="J883" t="n">
        <v>0</v>
      </c>
      <c r="K883" t="n">
        <v>0</v>
      </c>
      <c r="L883" t="n">
        <v>0</v>
      </c>
      <c r="M883" t="n">
        <v>0</v>
      </c>
      <c r="N883" t="n">
        <v>0</v>
      </c>
      <c r="O883" t="n">
        <v>0</v>
      </c>
      <c r="P883" t="n">
        <v>0</v>
      </c>
      <c r="Q883" t="n">
        <v>0</v>
      </c>
      <c r="R883" s="2" t="inlineStr"/>
    </row>
    <row r="884" ht="15" customHeight="1">
      <c r="A884" t="inlineStr">
        <is>
          <t>A 59474-2024</t>
        </is>
      </c>
      <c r="B884" s="1" t="n">
        <v>45638</v>
      </c>
      <c r="C884" s="1" t="n">
        <v>46199</v>
      </c>
      <c r="D884" t="inlineStr">
        <is>
          <t>VÄSTERNORRLANDS LÄN</t>
        </is>
      </c>
      <c r="E884" t="inlineStr">
        <is>
          <t>SOLLEFTEÅ</t>
        </is>
      </c>
      <c r="G884" t="n">
        <v>1.2</v>
      </c>
      <c r="H884" t="n">
        <v>0</v>
      </c>
      <c r="I884" t="n">
        <v>0</v>
      </c>
      <c r="J884" t="n">
        <v>0</v>
      </c>
      <c r="K884" t="n">
        <v>0</v>
      </c>
      <c r="L884" t="n">
        <v>0</v>
      </c>
      <c r="M884" t="n">
        <v>0</v>
      </c>
      <c r="N884" t="n">
        <v>0</v>
      </c>
      <c r="O884" t="n">
        <v>0</v>
      </c>
      <c r="P884" t="n">
        <v>0</v>
      </c>
      <c r="Q884" t="n">
        <v>0</v>
      </c>
      <c r="R884" s="2" t="inlineStr"/>
    </row>
    <row r="885" ht="15" customHeight="1">
      <c r="A885" t="inlineStr">
        <is>
          <t>A 44746-2025</t>
        </is>
      </c>
      <c r="B885" s="1" t="n">
        <v>45917</v>
      </c>
      <c r="C885" s="1" t="n">
        <v>46199</v>
      </c>
      <c r="D885" t="inlineStr">
        <is>
          <t>VÄSTERNORRLANDS LÄN</t>
        </is>
      </c>
      <c r="E885" t="inlineStr">
        <is>
          <t>SOLLEFTEÅ</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51505-2024</t>
        </is>
      </c>
      <c r="B886" s="1" t="n">
        <v>45604</v>
      </c>
      <c r="C886" s="1" t="n">
        <v>46199</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58973-2025</t>
        </is>
      </c>
      <c r="B887" s="1" t="n">
        <v>45987</v>
      </c>
      <c r="C887" s="1" t="n">
        <v>46199</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18621-2024</t>
        </is>
      </c>
      <c r="B888" s="1" t="n">
        <v>45425</v>
      </c>
      <c r="C888" s="1" t="n">
        <v>46199</v>
      </c>
      <c r="D888" t="inlineStr">
        <is>
          <t>VÄSTERNORRLANDS LÄN</t>
        </is>
      </c>
      <c r="E888" t="inlineStr">
        <is>
          <t>SOLLEFTEÅ</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18622-2024</t>
        </is>
      </c>
      <c r="B889" s="1" t="n">
        <v>45425</v>
      </c>
      <c r="C889" s="1" t="n">
        <v>46199</v>
      </c>
      <c r="D889" t="inlineStr">
        <is>
          <t>VÄSTERNORRLANDS LÄN</t>
        </is>
      </c>
      <c r="E889" t="inlineStr">
        <is>
          <t>SOLLEFTEÅ</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28142-2025</t>
        </is>
      </c>
      <c r="B890" s="1" t="n">
        <v>45818</v>
      </c>
      <c r="C890" s="1" t="n">
        <v>46199</v>
      </c>
      <c r="D890" t="inlineStr">
        <is>
          <t>VÄSTERNORRLANDS LÄN</t>
        </is>
      </c>
      <c r="E890" t="inlineStr">
        <is>
          <t>SOLLEFTEÅ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44839-2025</t>
        </is>
      </c>
      <c r="B891" s="1" t="n">
        <v>45918</v>
      </c>
      <c r="C891" s="1" t="n">
        <v>46199</v>
      </c>
      <c r="D891" t="inlineStr">
        <is>
          <t>VÄSTERNORRLANDS LÄN</t>
        </is>
      </c>
      <c r="E891" t="inlineStr">
        <is>
          <t>SOLLEFTEÅ</t>
        </is>
      </c>
      <c r="G891" t="n">
        <v>1.7</v>
      </c>
      <c r="H891" t="n">
        <v>0</v>
      </c>
      <c r="I891" t="n">
        <v>0</v>
      </c>
      <c r="J891" t="n">
        <v>0</v>
      </c>
      <c r="K891" t="n">
        <v>0</v>
      </c>
      <c r="L891" t="n">
        <v>0</v>
      </c>
      <c r="M891" t="n">
        <v>0</v>
      </c>
      <c r="N891" t="n">
        <v>0</v>
      </c>
      <c r="O891" t="n">
        <v>0</v>
      </c>
      <c r="P891" t="n">
        <v>0</v>
      </c>
      <c r="Q891" t="n">
        <v>0</v>
      </c>
      <c r="R891" s="2" t="inlineStr"/>
    </row>
    <row r="892" ht="15" customHeight="1">
      <c r="A892" t="inlineStr">
        <is>
          <t>A 33134-2024</t>
        </is>
      </c>
      <c r="B892" s="1" t="n">
        <v>45518</v>
      </c>
      <c r="C892" s="1" t="n">
        <v>46199</v>
      </c>
      <c r="D892" t="inlineStr">
        <is>
          <t>VÄSTERNORRLANDS LÄN</t>
        </is>
      </c>
      <c r="E892" t="inlineStr">
        <is>
          <t>SOLLEFTEÅ</t>
        </is>
      </c>
      <c r="F892" t="inlineStr">
        <is>
          <t>Holmen skog AB</t>
        </is>
      </c>
      <c r="G892" t="n">
        <v>6.2</v>
      </c>
      <c r="H892" t="n">
        <v>0</v>
      </c>
      <c r="I892" t="n">
        <v>0</v>
      </c>
      <c r="J892" t="n">
        <v>0</v>
      </c>
      <c r="K892" t="n">
        <v>0</v>
      </c>
      <c r="L892" t="n">
        <v>0</v>
      </c>
      <c r="M892" t="n">
        <v>0</v>
      </c>
      <c r="N892" t="n">
        <v>0</v>
      </c>
      <c r="O892" t="n">
        <v>0</v>
      </c>
      <c r="P892" t="n">
        <v>0</v>
      </c>
      <c r="Q892" t="n">
        <v>0</v>
      </c>
      <c r="R892" s="2" t="inlineStr"/>
    </row>
    <row r="893" ht="15" customHeight="1">
      <c r="A893" t="inlineStr">
        <is>
          <t>A 33141-2024</t>
        </is>
      </c>
      <c r="B893" s="1" t="n">
        <v>45518</v>
      </c>
      <c r="C893" s="1" t="n">
        <v>46199</v>
      </c>
      <c r="D893" t="inlineStr">
        <is>
          <t>VÄSTERNORRLANDS LÄN</t>
        </is>
      </c>
      <c r="E893" t="inlineStr">
        <is>
          <t>SOLLEFTEÅ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600-2025</t>
        </is>
      </c>
      <c r="B894" s="1" t="n">
        <v>45664</v>
      </c>
      <c r="C894" s="1" t="n">
        <v>46199</v>
      </c>
      <c r="D894" t="inlineStr">
        <is>
          <t>VÄSTERNORRLANDS LÄN</t>
        </is>
      </c>
      <c r="E894" t="inlineStr">
        <is>
          <t>SOLLEFTEÅ</t>
        </is>
      </c>
      <c r="F894" t="inlineStr">
        <is>
          <t>SCA</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43177-2023</t>
        </is>
      </c>
      <c r="B895" s="1" t="n">
        <v>45181</v>
      </c>
      <c r="C895" s="1" t="n">
        <v>46199</v>
      </c>
      <c r="D895" t="inlineStr">
        <is>
          <t>VÄSTERNORRLANDS LÄN</t>
        </is>
      </c>
      <c r="E895" t="inlineStr">
        <is>
          <t>SOLLEFTEÅ</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58845-2025</t>
        </is>
      </c>
      <c r="B896" s="1" t="n">
        <v>45987</v>
      </c>
      <c r="C896" s="1" t="n">
        <v>46199</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44907-2025</t>
        </is>
      </c>
      <c r="B897" s="1" t="n">
        <v>45918</v>
      </c>
      <c r="C897" s="1" t="n">
        <v>46199</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27822-2025</t>
        </is>
      </c>
      <c r="B898" s="1" t="n">
        <v>45817</v>
      </c>
      <c r="C898" s="1" t="n">
        <v>46199</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279-2023</t>
        </is>
      </c>
      <c r="B899" s="1" t="n">
        <v>44928</v>
      </c>
      <c r="C899" s="1" t="n">
        <v>46199</v>
      </c>
      <c r="D899" t="inlineStr">
        <is>
          <t>VÄSTERNORRLANDS LÄN</t>
        </is>
      </c>
      <c r="E899" t="inlineStr">
        <is>
          <t>SOLLEFTEÅ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44906-2025</t>
        </is>
      </c>
      <c r="B900" s="1" t="n">
        <v>45918</v>
      </c>
      <c r="C900" s="1" t="n">
        <v>46199</v>
      </c>
      <c r="D900" t="inlineStr">
        <is>
          <t>VÄSTERNORRLANDS LÄN</t>
        </is>
      </c>
      <c r="E900" t="inlineStr">
        <is>
          <t>SOLLEFTEÅ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28195-2025</t>
        </is>
      </c>
      <c r="B901" s="1" t="n">
        <v>45818</v>
      </c>
      <c r="C901" s="1" t="n">
        <v>46199</v>
      </c>
      <c r="D901" t="inlineStr">
        <is>
          <t>VÄSTERNORRLANDS LÄN</t>
        </is>
      </c>
      <c r="E901" t="inlineStr">
        <is>
          <t>SOLLEFTEÅ</t>
        </is>
      </c>
      <c r="G901" t="n">
        <v>5.2</v>
      </c>
      <c r="H901" t="n">
        <v>0</v>
      </c>
      <c r="I901" t="n">
        <v>0</v>
      </c>
      <c r="J901" t="n">
        <v>0</v>
      </c>
      <c r="K901" t="n">
        <v>0</v>
      </c>
      <c r="L901" t="n">
        <v>0</v>
      </c>
      <c r="M901" t="n">
        <v>0</v>
      </c>
      <c r="N901" t="n">
        <v>0</v>
      </c>
      <c r="O901" t="n">
        <v>0</v>
      </c>
      <c r="P901" t="n">
        <v>0</v>
      </c>
      <c r="Q901" t="n">
        <v>0</v>
      </c>
      <c r="R901" s="2" t="inlineStr"/>
    </row>
    <row r="902" ht="15" customHeight="1">
      <c r="A902" t="inlineStr">
        <is>
          <t>A 45252-2025</t>
        </is>
      </c>
      <c r="B902" s="1" t="n">
        <v>45919</v>
      </c>
      <c r="C902" s="1" t="n">
        <v>46199</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28579-2025</t>
        </is>
      </c>
      <c r="B903" s="1" t="n">
        <v>45819</v>
      </c>
      <c r="C903" s="1" t="n">
        <v>46199</v>
      </c>
      <c r="D903" t="inlineStr">
        <is>
          <t>VÄSTERNORRLANDS LÄN</t>
        </is>
      </c>
      <c r="E903" t="inlineStr">
        <is>
          <t>SOLLEFTEÅ</t>
        </is>
      </c>
      <c r="G903" t="n">
        <v>5.2</v>
      </c>
      <c r="H903" t="n">
        <v>0</v>
      </c>
      <c r="I903" t="n">
        <v>0</v>
      </c>
      <c r="J903" t="n">
        <v>0</v>
      </c>
      <c r="K903" t="n">
        <v>0</v>
      </c>
      <c r="L903" t="n">
        <v>0</v>
      </c>
      <c r="M903" t="n">
        <v>0</v>
      </c>
      <c r="N903" t="n">
        <v>0</v>
      </c>
      <c r="O903" t="n">
        <v>0</v>
      </c>
      <c r="P903" t="n">
        <v>0</v>
      </c>
      <c r="Q903" t="n">
        <v>0</v>
      </c>
      <c r="R903" s="2" t="inlineStr"/>
    </row>
    <row r="904" ht="15" customHeight="1">
      <c r="A904" t="inlineStr">
        <is>
          <t>A 28686-2025</t>
        </is>
      </c>
      <c r="B904" s="1" t="n">
        <v>45819</v>
      </c>
      <c r="C904" s="1" t="n">
        <v>46199</v>
      </c>
      <c r="D904" t="inlineStr">
        <is>
          <t>VÄSTERNORRLANDS LÄN</t>
        </is>
      </c>
      <c r="E904" t="inlineStr">
        <is>
          <t>SOLLEFTEÅ</t>
        </is>
      </c>
      <c r="G904" t="n">
        <v>5.7</v>
      </c>
      <c r="H904" t="n">
        <v>0</v>
      </c>
      <c r="I904" t="n">
        <v>0</v>
      </c>
      <c r="J904" t="n">
        <v>0</v>
      </c>
      <c r="K904" t="n">
        <v>0</v>
      </c>
      <c r="L904" t="n">
        <v>0</v>
      </c>
      <c r="M904" t="n">
        <v>0</v>
      </c>
      <c r="N904" t="n">
        <v>0</v>
      </c>
      <c r="O904" t="n">
        <v>0</v>
      </c>
      <c r="P904" t="n">
        <v>0</v>
      </c>
      <c r="Q904" t="n">
        <v>0</v>
      </c>
      <c r="R904" s="2" t="inlineStr"/>
    </row>
    <row r="905" ht="15" customHeight="1">
      <c r="A905" t="inlineStr">
        <is>
          <t>A 28743-2025</t>
        </is>
      </c>
      <c r="B905" s="1" t="n">
        <v>45820</v>
      </c>
      <c r="C905" s="1" t="n">
        <v>46199</v>
      </c>
      <c r="D905" t="inlineStr">
        <is>
          <t>VÄSTERNORRLANDS LÄN</t>
        </is>
      </c>
      <c r="E905" t="inlineStr">
        <is>
          <t>SOLLEFTEÅ</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43842-2025</t>
        </is>
      </c>
      <c r="B906" s="1" t="n">
        <v>45912</v>
      </c>
      <c r="C906" s="1" t="n">
        <v>46199</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11551-2023</t>
        </is>
      </c>
      <c r="B907" s="1" t="n">
        <v>44993</v>
      </c>
      <c r="C907" s="1" t="n">
        <v>46199</v>
      </c>
      <c r="D907" t="inlineStr">
        <is>
          <t>VÄSTERNORRLANDS LÄN</t>
        </is>
      </c>
      <c r="E907" t="inlineStr">
        <is>
          <t>SOLLEFTEÅ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10093-2023</t>
        </is>
      </c>
      <c r="B908" s="1" t="n">
        <v>44985</v>
      </c>
      <c r="C908" s="1" t="n">
        <v>46199</v>
      </c>
      <c r="D908" t="inlineStr">
        <is>
          <t>VÄSTERNORRLANDS LÄN</t>
        </is>
      </c>
      <c r="E908" t="inlineStr">
        <is>
          <t>SOLLEFTEÅ</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10094-2023</t>
        </is>
      </c>
      <c r="B909" s="1" t="n">
        <v>44985</v>
      </c>
      <c r="C909" s="1" t="n">
        <v>46199</v>
      </c>
      <c r="D909" t="inlineStr">
        <is>
          <t>VÄSTERNORRLANDS LÄN</t>
        </is>
      </c>
      <c r="E909" t="inlineStr">
        <is>
          <t>SOLLEFTEÅ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60171-2022</t>
        </is>
      </c>
      <c r="B910" s="1" t="n">
        <v>44909</v>
      </c>
      <c r="C910" s="1" t="n">
        <v>46199</v>
      </c>
      <c r="D910" t="inlineStr">
        <is>
          <t>VÄSTERNORRLANDS LÄN</t>
        </is>
      </c>
      <c r="E910" t="inlineStr">
        <is>
          <t>SOLLEFTEÅ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45236-2025</t>
        </is>
      </c>
      <c r="B911" s="1" t="n">
        <v>45919</v>
      </c>
      <c r="C911" s="1" t="n">
        <v>46199</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52718-2022</t>
        </is>
      </c>
      <c r="B912" s="1" t="n">
        <v>44874</v>
      </c>
      <c r="C912" s="1" t="n">
        <v>46199</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3234-2024</t>
        </is>
      </c>
      <c r="B913" s="1" t="n">
        <v>45316</v>
      </c>
      <c r="C913" s="1" t="n">
        <v>46199</v>
      </c>
      <c r="D913" t="inlineStr">
        <is>
          <t>VÄSTERNORRLANDS LÄN</t>
        </is>
      </c>
      <c r="E913" t="inlineStr">
        <is>
          <t>SOLLEFTEÅ</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45569-2025</t>
        </is>
      </c>
      <c r="B914" s="1" t="n">
        <v>45922</v>
      </c>
      <c r="C914" s="1" t="n">
        <v>46199</v>
      </c>
      <c r="D914" t="inlineStr">
        <is>
          <t>VÄSTERNORRLANDS LÄN</t>
        </is>
      </c>
      <c r="E914" t="inlineStr">
        <is>
          <t>SOLLEFTEÅ</t>
        </is>
      </c>
      <c r="F914" t="inlineStr">
        <is>
          <t>SCA</t>
        </is>
      </c>
      <c r="G914" t="n">
        <v>6.3</v>
      </c>
      <c r="H914" t="n">
        <v>0</v>
      </c>
      <c r="I914" t="n">
        <v>0</v>
      </c>
      <c r="J914" t="n">
        <v>0</v>
      </c>
      <c r="K914" t="n">
        <v>0</v>
      </c>
      <c r="L914" t="n">
        <v>0</v>
      </c>
      <c r="M914" t="n">
        <v>0</v>
      </c>
      <c r="N914" t="n">
        <v>0</v>
      </c>
      <c r="O914" t="n">
        <v>0</v>
      </c>
      <c r="P914" t="n">
        <v>0</v>
      </c>
      <c r="Q914" t="n">
        <v>0</v>
      </c>
      <c r="R914" s="2" t="inlineStr"/>
    </row>
    <row r="915" ht="15" customHeight="1">
      <c r="A915" t="inlineStr">
        <is>
          <t>A 42879-2025</t>
        </is>
      </c>
      <c r="B915" s="1" t="n">
        <v>45908</v>
      </c>
      <c r="C915" s="1" t="n">
        <v>46199</v>
      </c>
      <c r="D915" t="inlineStr">
        <is>
          <t>VÄSTERNORRLANDS LÄN</t>
        </is>
      </c>
      <c r="E915" t="inlineStr">
        <is>
          <t>SOLLEFTEÅ</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28995-2025</t>
        </is>
      </c>
      <c r="B916" s="1" t="n">
        <v>45821</v>
      </c>
      <c r="C916" s="1" t="n">
        <v>46199</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28998-2025</t>
        </is>
      </c>
      <c r="B917" s="1" t="n">
        <v>45821</v>
      </c>
      <c r="C917" s="1" t="n">
        <v>46199</v>
      </c>
      <c r="D917" t="inlineStr">
        <is>
          <t>VÄSTERNORRLANDS LÄN</t>
        </is>
      </c>
      <c r="E917" t="inlineStr">
        <is>
          <t>SOLLEFTEÅ</t>
        </is>
      </c>
      <c r="F917" t="inlineStr">
        <is>
          <t>SCA</t>
        </is>
      </c>
      <c r="G917" t="n">
        <v>14.2</v>
      </c>
      <c r="H917" t="n">
        <v>0</v>
      </c>
      <c r="I917" t="n">
        <v>0</v>
      </c>
      <c r="J917" t="n">
        <v>0</v>
      </c>
      <c r="K917" t="n">
        <v>0</v>
      </c>
      <c r="L917" t="n">
        <v>0</v>
      </c>
      <c r="M917" t="n">
        <v>0</v>
      </c>
      <c r="N917" t="n">
        <v>0</v>
      </c>
      <c r="O917" t="n">
        <v>0</v>
      </c>
      <c r="P917" t="n">
        <v>0</v>
      </c>
      <c r="Q917" t="n">
        <v>0</v>
      </c>
      <c r="R917" s="2" t="inlineStr"/>
    </row>
    <row r="918" ht="15" customHeight="1">
      <c r="A918" t="inlineStr">
        <is>
          <t>A 61611-2024</t>
        </is>
      </c>
      <c r="B918" s="1" t="n">
        <v>45645</v>
      </c>
      <c r="C918" s="1" t="n">
        <v>46199</v>
      </c>
      <c r="D918" t="inlineStr">
        <is>
          <t>VÄSTERNORRLANDS LÄN</t>
        </is>
      </c>
      <c r="E918" t="inlineStr">
        <is>
          <t>SOLLEFTEÅ</t>
        </is>
      </c>
      <c r="G918" t="n">
        <v>13.9</v>
      </c>
      <c r="H918" t="n">
        <v>0</v>
      </c>
      <c r="I918" t="n">
        <v>0</v>
      </c>
      <c r="J918" t="n">
        <v>0</v>
      </c>
      <c r="K918" t="n">
        <v>0</v>
      </c>
      <c r="L918" t="n">
        <v>0</v>
      </c>
      <c r="M918" t="n">
        <v>0</v>
      </c>
      <c r="N918" t="n">
        <v>0</v>
      </c>
      <c r="O918" t="n">
        <v>0</v>
      </c>
      <c r="P918" t="n">
        <v>0</v>
      </c>
      <c r="Q918" t="n">
        <v>0</v>
      </c>
      <c r="R918" s="2" t="inlineStr"/>
    </row>
    <row r="919" ht="15" customHeight="1">
      <c r="A919" t="inlineStr">
        <is>
          <t>A 29039-2025</t>
        </is>
      </c>
      <c r="B919" s="1" t="n">
        <v>45821</v>
      </c>
      <c r="C919" s="1" t="n">
        <v>46199</v>
      </c>
      <c r="D919" t="inlineStr">
        <is>
          <t>VÄSTERNORRLANDS LÄN</t>
        </is>
      </c>
      <c r="E919" t="inlineStr">
        <is>
          <t>SOLLEFTEÅ</t>
        </is>
      </c>
      <c r="F919" t="inlineStr">
        <is>
          <t>SCA</t>
        </is>
      </c>
      <c r="G919" t="n">
        <v>5.6</v>
      </c>
      <c r="H919" t="n">
        <v>0</v>
      </c>
      <c r="I919" t="n">
        <v>0</v>
      </c>
      <c r="J919" t="n">
        <v>0</v>
      </c>
      <c r="K919" t="n">
        <v>0</v>
      </c>
      <c r="L919" t="n">
        <v>0</v>
      </c>
      <c r="M919" t="n">
        <v>0</v>
      </c>
      <c r="N919" t="n">
        <v>0</v>
      </c>
      <c r="O919" t="n">
        <v>0</v>
      </c>
      <c r="P919" t="n">
        <v>0</v>
      </c>
      <c r="Q919" t="n">
        <v>0</v>
      </c>
      <c r="R919" s="2" t="inlineStr"/>
    </row>
    <row r="920" ht="15" customHeight="1">
      <c r="A920" t="inlineStr">
        <is>
          <t>A 27293-2024</t>
        </is>
      </c>
      <c r="B920" s="1" t="n">
        <v>45471</v>
      </c>
      <c r="C920" s="1" t="n">
        <v>46199</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46003-2025</t>
        </is>
      </c>
      <c r="B921" s="1" t="n">
        <v>45924</v>
      </c>
      <c r="C921" s="1" t="n">
        <v>46199</v>
      </c>
      <c r="D921" t="inlineStr">
        <is>
          <t>VÄSTERNORRLANDS LÄN</t>
        </is>
      </c>
      <c r="E921" t="inlineStr">
        <is>
          <t>SOLLEFTEÅ</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46174-2025</t>
        </is>
      </c>
      <c r="B922" s="1" t="n">
        <v>45924</v>
      </c>
      <c r="C922" s="1" t="n">
        <v>46199</v>
      </c>
      <c r="D922" t="inlineStr">
        <is>
          <t>VÄSTERNORRLANDS LÄN</t>
        </is>
      </c>
      <c r="E922" t="inlineStr">
        <is>
          <t>SOLLEFTEÅ</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20101-2025</t>
        </is>
      </c>
      <c r="B923" s="1" t="n">
        <v>45772</v>
      </c>
      <c r="C923" s="1" t="n">
        <v>46199</v>
      </c>
      <c r="D923" t="inlineStr">
        <is>
          <t>VÄSTERNORRLANDS LÄN</t>
        </is>
      </c>
      <c r="E923" t="inlineStr">
        <is>
          <t>SOLLEFTEÅ</t>
        </is>
      </c>
      <c r="F923" t="inlineStr">
        <is>
          <t>SCA</t>
        </is>
      </c>
      <c r="G923" t="n">
        <v>13.5</v>
      </c>
      <c r="H923" t="n">
        <v>0</v>
      </c>
      <c r="I923" t="n">
        <v>0</v>
      </c>
      <c r="J923" t="n">
        <v>0</v>
      </c>
      <c r="K923" t="n">
        <v>0</v>
      </c>
      <c r="L923" t="n">
        <v>0</v>
      </c>
      <c r="M923" t="n">
        <v>0</v>
      </c>
      <c r="N923" t="n">
        <v>0</v>
      </c>
      <c r="O923" t="n">
        <v>0</v>
      </c>
      <c r="P923" t="n">
        <v>0</v>
      </c>
      <c r="Q923" t="n">
        <v>0</v>
      </c>
      <c r="R923" s="2" t="inlineStr"/>
    </row>
    <row r="924" ht="15" customHeight="1">
      <c r="A924" t="inlineStr">
        <is>
          <t>A 28994-2025</t>
        </is>
      </c>
      <c r="B924" s="1" t="n">
        <v>45821</v>
      </c>
      <c r="C924" s="1" t="n">
        <v>46199</v>
      </c>
      <c r="D924" t="inlineStr">
        <is>
          <t>VÄSTERNORRLANDS LÄN</t>
        </is>
      </c>
      <c r="E924" t="inlineStr">
        <is>
          <t>SOLLEFTEÅ</t>
        </is>
      </c>
      <c r="F924" t="inlineStr">
        <is>
          <t>SCA</t>
        </is>
      </c>
      <c r="G924" t="n">
        <v>10.8</v>
      </c>
      <c r="H924" t="n">
        <v>0</v>
      </c>
      <c r="I924" t="n">
        <v>0</v>
      </c>
      <c r="J924" t="n">
        <v>0</v>
      </c>
      <c r="K924" t="n">
        <v>0</v>
      </c>
      <c r="L924" t="n">
        <v>0</v>
      </c>
      <c r="M924" t="n">
        <v>0</v>
      </c>
      <c r="N924" t="n">
        <v>0</v>
      </c>
      <c r="O924" t="n">
        <v>0</v>
      </c>
      <c r="P924" t="n">
        <v>0</v>
      </c>
      <c r="Q924" t="n">
        <v>0</v>
      </c>
      <c r="R924" s="2" t="inlineStr"/>
    </row>
    <row r="925" ht="15" customHeight="1">
      <c r="A925" t="inlineStr">
        <is>
          <t>A 59842-2025</t>
        </is>
      </c>
      <c r="B925" s="1" t="n">
        <v>45992</v>
      </c>
      <c r="C925" s="1" t="n">
        <v>46199</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59849-2025</t>
        </is>
      </c>
      <c r="B926" s="1" t="n">
        <v>45992</v>
      </c>
      <c r="C926" s="1" t="n">
        <v>46199</v>
      </c>
      <c r="D926" t="inlineStr">
        <is>
          <t>VÄSTERNORRLANDS LÄN</t>
        </is>
      </c>
      <c r="E926" t="inlineStr">
        <is>
          <t>SOLLEFTEÅ</t>
        </is>
      </c>
      <c r="F926" t="inlineStr">
        <is>
          <t>Holmen skog AB</t>
        </is>
      </c>
      <c r="G926" t="n">
        <v>6.9</v>
      </c>
      <c r="H926" t="n">
        <v>0</v>
      </c>
      <c r="I926" t="n">
        <v>0</v>
      </c>
      <c r="J926" t="n">
        <v>0</v>
      </c>
      <c r="K926" t="n">
        <v>0</v>
      </c>
      <c r="L926" t="n">
        <v>0</v>
      </c>
      <c r="M926" t="n">
        <v>0</v>
      </c>
      <c r="N926" t="n">
        <v>0</v>
      </c>
      <c r="O926" t="n">
        <v>0</v>
      </c>
      <c r="P926" t="n">
        <v>0</v>
      </c>
      <c r="Q926" t="n">
        <v>0</v>
      </c>
      <c r="R926" s="2" t="inlineStr"/>
    </row>
    <row r="927" ht="15" customHeight="1">
      <c r="A927" t="inlineStr">
        <is>
          <t>A 59648-2025</t>
        </is>
      </c>
      <c r="B927" s="1" t="n">
        <v>45992</v>
      </c>
      <c r="C927" s="1" t="n">
        <v>46199</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59645-2025</t>
        </is>
      </c>
      <c r="B928" s="1" t="n">
        <v>45992</v>
      </c>
      <c r="C928" s="1" t="n">
        <v>46199</v>
      </c>
      <c r="D928" t="inlineStr">
        <is>
          <t>VÄSTERNORRLANDS LÄN</t>
        </is>
      </c>
      <c r="E928" t="inlineStr">
        <is>
          <t>SOLLEFTEÅ</t>
        </is>
      </c>
      <c r="F928" t="inlineStr">
        <is>
          <t>SCA</t>
        </is>
      </c>
      <c r="G928" t="n">
        <v>6.4</v>
      </c>
      <c r="H928" t="n">
        <v>0</v>
      </c>
      <c r="I928" t="n">
        <v>0</v>
      </c>
      <c r="J928" t="n">
        <v>0</v>
      </c>
      <c r="K928" t="n">
        <v>0</v>
      </c>
      <c r="L928" t="n">
        <v>0</v>
      </c>
      <c r="M928" t="n">
        <v>0</v>
      </c>
      <c r="N928" t="n">
        <v>0</v>
      </c>
      <c r="O928" t="n">
        <v>0</v>
      </c>
      <c r="P928" t="n">
        <v>0</v>
      </c>
      <c r="Q928" t="n">
        <v>0</v>
      </c>
      <c r="R928" s="2" t="inlineStr"/>
    </row>
    <row r="929" ht="15" customHeight="1">
      <c r="A929" t="inlineStr">
        <is>
          <t>A 59408-2025</t>
        </is>
      </c>
      <c r="B929" s="1" t="n">
        <v>45989</v>
      </c>
      <c r="C929" s="1" t="n">
        <v>46199</v>
      </c>
      <c r="D929" t="inlineStr">
        <is>
          <t>VÄSTERNORRLANDS LÄN</t>
        </is>
      </c>
      <c r="E929" t="inlineStr">
        <is>
          <t>SOLLEFTEÅ</t>
        </is>
      </c>
      <c r="F929" t="inlineStr">
        <is>
          <t>Holmen skog AB</t>
        </is>
      </c>
      <c r="G929" t="n">
        <v>11.5</v>
      </c>
      <c r="H929" t="n">
        <v>0</v>
      </c>
      <c r="I929" t="n">
        <v>0</v>
      </c>
      <c r="J929" t="n">
        <v>0</v>
      </c>
      <c r="K929" t="n">
        <v>0</v>
      </c>
      <c r="L929" t="n">
        <v>0</v>
      </c>
      <c r="M929" t="n">
        <v>0</v>
      </c>
      <c r="N929" t="n">
        <v>0</v>
      </c>
      <c r="O929" t="n">
        <v>0</v>
      </c>
      <c r="P929" t="n">
        <v>0</v>
      </c>
      <c r="Q929" t="n">
        <v>0</v>
      </c>
      <c r="R929" s="2" t="inlineStr"/>
    </row>
    <row r="930" ht="15" customHeight="1">
      <c r="A930" t="inlineStr">
        <is>
          <t>A 59541-2025</t>
        </is>
      </c>
      <c r="B930" s="1" t="n">
        <v>45990</v>
      </c>
      <c r="C930" s="1" t="n">
        <v>46199</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28993-2025</t>
        </is>
      </c>
      <c r="B931" s="1" t="n">
        <v>45821</v>
      </c>
      <c r="C931" s="1" t="n">
        <v>46199</v>
      </c>
      <c r="D931" t="inlineStr">
        <is>
          <t>VÄSTERNORRLANDS LÄN</t>
        </is>
      </c>
      <c r="E931" t="inlineStr">
        <is>
          <t>SOLLEFTEÅ</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29142-2025</t>
        </is>
      </c>
      <c r="B932" s="1" t="n">
        <v>45821</v>
      </c>
      <c r="C932" s="1" t="n">
        <v>46199</v>
      </c>
      <c r="D932" t="inlineStr">
        <is>
          <t>VÄSTERNORRLANDS LÄN</t>
        </is>
      </c>
      <c r="E932" t="inlineStr">
        <is>
          <t>SOLLEFTEÅ</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59767-2025</t>
        </is>
      </c>
      <c r="B933" s="1" t="n">
        <v>45992</v>
      </c>
      <c r="C933" s="1" t="n">
        <v>46199</v>
      </c>
      <c r="D933" t="inlineStr">
        <is>
          <t>VÄSTERNORRLANDS LÄN</t>
        </is>
      </c>
      <c r="E933" t="inlineStr">
        <is>
          <t>SOLLEFTEÅ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30466-2024</t>
        </is>
      </c>
      <c r="B934" s="1" t="n">
        <v>45491</v>
      </c>
      <c r="C934" s="1" t="n">
        <v>46199</v>
      </c>
      <c r="D934" t="inlineStr">
        <is>
          <t>VÄSTERNORRLANDS LÄN</t>
        </is>
      </c>
      <c r="E934" t="inlineStr">
        <is>
          <t>SOLLEFTEÅ</t>
        </is>
      </c>
      <c r="F934" t="inlineStr">
        <is>
          <t>SCA</t>
        </is>
      </c>
      <c r="G934" t="n">
        <v>5.2</v>
      </c>
      <c r="H934" t="n">
        <v>0</v>
      </c>
      <c r="I934" t="n">
        <v>0</v>
      </c>
      <c r="J934" t="n">
        <v>0</v>
      </c>
      <c r="K934" t="n">
        <v>0</v>
      </c>
      <c r="L934" t="n">
        <v>0</v>
      </c>
      <c r="M934" t="n">
        <v>0</v>
      </c>
      <c r="N934" t="n">
        <v>0</v>
      </c>
      <c r="O934" t="n">
        <v>0</v>
      </c>
      <c r="P934" t="n">
        <v>0</v>
      </c>
      <c r="Q934" t="n">
        <v>0</v>
      </c>
      <c r="R934" s="2" t="inlineStr"/>
    </row>
    <row r="935" ht="15" customHeight="1">
      <c r="A935" t="inlineStr">
        <is>
          <t>A 73564-2021</t>
        </is>
      </c>
      <c r="B935" s="1" t="n">
        <v>44551</v>
      </c>
      <c r="C935" s="1" t="n">
        <v>46199</v>
      </c>
      <c r="D935" t="inlineStr">
        <is>
          <t>VÄSTERNORRLANDS LÄN</t>
        </is>
      </c>
      <c r="E935" t="inlineStr">
        <is>
          <t>SOLLEFTEÅ</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46037-2025</t>
        </is>
      </c>
      <c r="B936" s="1" t="n">
        <v>45924</v>
      </c>
      <c r="C936" s="1" t="n">
        <v>46199</v>
      </c>
      <c r="D936" t="inlineStr">
        <is>
          <t>VÄSTERNORRLANDS LÄN</t>
        </is>
      </c>
      <c r="E936" t="inlineStr">
        <is>
          <t>SOLLEFTEÅ</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29762-2025</t>
        </is>
      </c>
      <c r="B937" s="1" t="n">
        <v>45825</v>
      </c>
      <c r="C937" s="1" t="n">
        <v>46199</v>
      </c>
      <c r="D937" t="inlineStr">
        <is>
          <t>VÄSTERNORRLANDS LÄN</t>
        </is>
      </c>
      <c r="E937" t="inlineStr">
        <is>
          <t>SOLLEFTEÅ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30073-2025</t>
        </is>
      </c>
      <c r="B938" s="1" t="n">
        <v>45826</v>
      </c>
      <c r="C938" s="1" t="n">
        <v>46199</v>
      </c>
      <c r="D938" t="inlineStr">
        <is>
          <t>VÄSTERNORRLANDS LÄN</t>
        </is>
      </c>
      <c r="E938" t="inlineStr">
        <is>
          <t>SOLLEFTEÅ</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30018-2025</t>
        </is>
      </c>
      <c r="B939" s="1" t="n">
        <v>45826</v>
      </c>
      <c r="C939" s="1" t="n">
        <v>46199</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30020-2025</t>
        </is>
      </c>
      <c r="B940" s="1" t="n">
        <v>45826</v>
      </c>
      <c r="C940" s="1" t="n">
        <v>46199</v>
      </c>
      <c r="D940" t="inlineStr">
        <is>
          <t>VÄSTERNORRLANDS LÄN</t>
        </is>
      </c>
      <c r="E940" t="inlineStr">
        <is>
          <t>SOLLEFTEÅ</t>
        </is>
      </c>
      <c r="F940" t="inlineStr">
        <is>
          <t>SCA</t>
        </is>
      </c>
      <c r="G940" t="n">
        <v>6.4</v>
      </c>
      <c r="H940" t="n">
        <v>0</v>
      </c>
      <c r="I940" t="n">
        <v>0</v>
      </c>
      <c r="J940" t="n">
        <v>0</v>
      </c>
      <c r="K940" t="n">
        <v>0</v>
      </c>
      <c r="L940" t="n">
        <v>0</v>
      </c>
      <c r="M940" t="n">
        <v>0</v>
      </c>
      <c r="N940" t="n">
        <v>0</v>
      </c>
      <c r="O940" t="n">
        <v>0</v>
      </c>
      <c r="P940" t="n">
        <v>0</v>
      </c>
      <c r="Q940" t="n">
        <v>0</v>
      </c>
      <c r="R940" s="2" t="inlineStr"/>
    </row>
    <row r="941" ht="15" customHeight="1">
      <c r="A941" t="inlineStr">
        <is>
          <t>A 29562-2025</t>
        </is>
      </c>
      <c r="B941" s="1" t="n">
        <v>45825</v>
      </c>
      <c r="C941" s="1" t="n">
        <v>46199</v>
      </c>
      <c r="D941" t="inlineStr">
        <is>
          <t>VÄSTERNORRLANDS LÄN</t>
        </is>
      </c>
      <c r="E941" t="inlineStr">
        <is>
          <t>SOLLEFTEÅ</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59436-2025</t>
        </is>
      </c>
      <c r="B942" s="1" t="n">
        <v>45989</v>
      </c>
      <c r="C942" s="1" t="n">
        <v>46199</v>
      </c>
      <c r="D942" t="inlineStr">
        <is>
          <t>VÄSTERNORRLANDS LÄN</t>
        </is>
      </c>
      <c r="E942" t="inlineStr">
        <is>
          <t>SOLLEFTEÅ</t>
        </is>
      </c>
      <c r="F942" t="inlineStr">
        <is>
          <t>Holmen skog AB</t>
        </is>
      </c>
      <c r="G942" t="n">
        <v>20</v>
      </c>
      <c r="H942" t="n">
        <v>0</v>
      </c>
      <c r="I942" t="n">
        <v>0</v>
      </c>
      <c r="J942" t="n">
        <v>0</v>
      </c>
      <c r="K942" t="n">
        <v>0</v>
      </c>
      <c r="L942" t="n">
        <v>0</v>
      </c>
      <c r="M942" t="n">
        <v>0</v>
      </c>
      <c r="N942" t="n">
        <v>0</v>
      </c>
      <c r="O942" t="n">
        <v>0</v>
      </c>
      <c r="P942" t="n">
        <v>0</v>
      </c>
      <c r="Q942" t="n">
        <v>0</v>
      </c>
      <c r="R942" s="2" t="inlineStr"/>
    </row>
    <row r="943" ht="15" customHeight="1">
      <c r="A943" t="inlineStr">
        <is>
          <t>A 45977-2025</t>
        </is>
      </c>
      <c r="B943" s="1" t="n">
        <v>45924</v>
      </c>
      <c r="C943" s="1" t="n">
        <v>46199</v>
      </c>
      <c r="D943" t="inlineStr">
        <is>
          <t>VÄSTERNORRLANDS LÄN</t>
        </is>
      </c>
      <c r="E943" t="inlineStr">
        <is>
          <t>SOLLEFTEÅ</t>
        </is>
      </c>
      <c r="G943" t="n">
        <v>1.7</v>
      </c>
      <c r="H943" t="n">
        <v>0</v>
      </c>
      <c r="I943" t="n">
        <v>0</v>
      </c>
      <c r="J943" t="n">
        <v>0</v>
      </c>
      <c r="K943" t="n">
        <v>0</v>
      </c>
      <c r="L943" t="n">
        <v>0</v>
      </c>
      <c r="M943" t="n">
        <v>0</v>
      </c>
      <c r="N943" t="n">
        <v>0</v>
      </c>
      <c r="O943" t="n">
        <v>0</v>
      </c>
      <c r="P943" t="n">
        <v>0</v>
      </c>
      <c r="Q943" t="n">
        <v>0</v>
      </c>
      <c r="R943" s="2" t="inlineStr"/>
    </row>
    <row r="944" ht="15" customHeight="1">
      <c r="A944" t="inlineStr">
        <is>
          <t>A 29535-2025</t>
        </is>
      </c>
      <c r="B944" s="1" t="n">
        <v>45825</v>
      </c>
      <c r="C944" s="1" t="n">
        <v>46199</v>
      </c>
      <c r="D944" t="inlineStr">
        <is>
          <t>VÄSTERNORRLANDS LÄN</t>
        </is>
      </c>
      <c r="E944" t="inlineStr">
        <is>
          <t>SOLLEFTEÅ</t>
        </is>
      </c>
      <c r="F944" t="inlineStr">
        <is>
          <t>SCA</t>
        </is>
      </c>
      <c r="G944" t="n">
        <v>20.6</v>
      </c>
      <c r="H944" t="n">
        <v>0</v>
      </c>
      <c r="I944" t="n">
        <v>0</v>
      </c>
      <c r="J944" t="n">
        <v>0</v>
      </c>
      <c r="K944" t="n">
        <v>0</v>
      </c>
      <c r="L944" t="n">
        <v>0</v>
      </c>
      <c r="M944" t="n">
        <v>0</v>
      </c>
      <c r="N944" t="n">
        <v>0</v>
      </c>
      <c r="O944" t="n">
        <v>0</v>
      </c>
      <c r="P944" t="n">
        <v>0</v>
      </c>
      <c r="Q944" t="n">
        <v>0</v>
      </c>
      <c r="R944" s="2" t="inlineStr"/>
    </row>
    <row r="945" ht="15" customHeight="1">
      <c r="A945" t="inlineStr">
        <is>
          <t>A 59764-2025</t>
        </is>
      </c>
      <c r="B945" s="1" t="n">
        <v>45992</v>
      </c>
      <c r="C945" s="1" t="n">
        <v>46199</v>
      </c>
      <c r="D945" t="inlineStr">
        <is>
          <t>VÄSTERNORRLANDS LÄN</t>
        </is>
      </c>
      <c r="E945" t="inlineStr">
        <is>
          <t>SOLLEFTEÅ</t>
        </is>
      </c>
      <c r="F945" t="inlineStr">
        <is>
          <t>SCA</t>
        </is>
      </c>
      <c r="G945" t="n">
        <v>7.5</v>
      </c>
      <c r="H945" t="n">
        <v>0</v>
      </c>
      <c r="I945" t="n">
        <v>0</v>
      </c>
      <c r="J945" t="n">
        <v>0</v>
      </c>
      <c r="K945" t="n">
        <v>0</v>
      </c>
      <c r="L945" t="n">
        <v>0</v>
      </c>
      <c r="M945" t="n">
        <v>0</v>
      </c>
      <c r="N945" t="n">
        <v>0</v>
      </c>
      <c r="O945" t="n">
        <v>0</v>
      </c>
      <c r="P945" t="n">
        <v>0</v>
      </c>
      <c r="Q945" t="n">
        <v>0</v>
      </c>
      <c r="R945" s="2" t="inlineStr"/>
    </row>
    <row r="946" ht="15" customHeight="1">
      <c r="A946" t="inlineStr">
        <is>
          <t>A 58508-2025</t>
        </is>
      </c>
      <c r="B946" s="1" t="n">
        <v>45982</v>
      </c>
      <c r="C946" s="1" t="n">
        <v>46199</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58382-2025</t>
        </is>
      </c>
      <c r="B947" s="1" t="n">
        <v>45982</v>
      </c>
      <c r="C947" s="1" t="n">
        <v>46199</v>
      </c>
      <c r="D947" t="inlineStr">
        <is>
          <t>VÄSTERNORRLANDS LÄN</t>
        </is>
      </c>
      <c r="E947" t="inlineStr">
        <is>
          <t>SOLLEFTEÅ</t>
        </is>
      </c>
      <c r="G947" t="n">
        <v>3.7</v>
      </c>
      <c r="H947" t="n">
        <v>0</v>
      </c>
      <c r="I947" t="n">
        <v>0</v>
      </c>
      <c r="J947" t="n">
        <v>0</v>
      </c>
      <c r="K947" t="n">
        <v>0</v>
      </c>
      <c r="L947" t="n">
        <v>0</v>
      </c>
      <c r="M947" t="n">
        <v>0</v>
      </c>
      <c r="N947" t="n">
        <v>0</v>
      </c>
      <c r="O947" t="n">
        <v>0</v>
      </c>
      <c r="P947" t="n">
        <v>0</v>
      </c>
      <c r="Q947" t="n">
        <v>0</v>
      </c>
      <c r="R947" s="2" t="inlineStr"/>
    </row>
    <row r="948" ht="15" customHeight="1">
      <c r="A948" t="inlineStr">
        <is>
          <t>A 58391-2025</t>
        </is>
      </c>
      <c r="B948" s="1" t="n">
        <v>45982</v>
      </c>
      <c r="C948" s="1" t="n">
        <v>46199</v>
      </c>
      <c r="D948" t="inlineStr">
        <is>
          <t>VÄSTERNORRLANDS LÄN</t>
        </is>
      </c>
      <c r="E948" t="inlineStr">
        <is>
          <t>SOLLEFTEÅ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59789-2025</t>
        </is>
      </c>
      <c r="B949" s="1" t="n">
        <v>45992</v>
      </c>
      <c r="C949" s="1" t="n">
        <v>46199</v>
      </c>
      <c r="D949" t="inlineStr">
        <is>
          <t>VÄSTERNORRLANDS LÄN</t>
        </is>
      </c>
      <c r="E949" t="inlineStr">
        <is>
          <t>SOLLEFTEÅ</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40211-2024</t>
        </is>
      </c>
      <c r="B950" s="1" t="n">
        <v>45554</v>
      </c>
      <c r="C950" s="1" t="n">
        <v>46199</v>
      </c>
      <c r="D950" t="inlineStr">
        <is>
          <t>VÄSTERNORRLANDS LÄN</t>
        </is>
      </c>
      <c r="E950" t="inlineStr">
        <is>
          <t>SOLLEFTEÅ</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29884-2025</t>
        </is>
      </c>
      <c r="B951" s="1" t="n">
        <v>45826</v>
      </c>
      <c r="C951" s="1" t="n">
        <v>46199</v>
      </c>
      <c r="D951" t="inlineStr">
        <is>
          <t>VÄSTERNORRLANDS LÄN</t>
        </is>
      </c>
      <c r="E951" t="inlineStr">
        <is>
          <t>SOLLEFTEÅ</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15872-2024</t>
        </is>
      </c>
      <c r="B952" s="1" t="n">
        <v>45405</v>
      </c>
      <c r="C952" s="1" t="n">
        <v>46199</v>
      </c>
      <c r="D952" t="inlineStr">
        <is>
          <t>VÄSTERNORRLANDS LÄN</t>
        </is>
      </c>
      <c r="E952" t="inlineStr">
        <is>
          <t>SOLLEFTEÅ</t>
        </is>
      </c>
      <c r="G952" t="n">
        <v>7.1</v>
      </c>
      <c r="H952" t="n">
        <v>0</v>
      </c>
      <c r="I952" t="n">
        <v>0</v>
      </c>
      <c r="J952" t="n">
        <v>0</v>
      </c>
      <c r="K952" t="n">
        <v>0</v>
      </c>
      <c r="L952" t="n">
        <v>0</v>
      </c>
      <c r="M952" t="n">
        <v>0</v>
      </c>
      <c r="N952" t="n">
        <v>0</v>
      </c>
      <c r="O952" t="n">
        <v>0</v>
      </c>
      <c r="P952" t="n">
        <v>0</v>
      </c>
      <c r="Q952" t="n">
        <v>0</v>
      </c>
      <c r="R952" s="2" t="inlineStr"/>
    </row>
    <row r="953" ht="15" customHeight="1">
      <c r="A953" t="inlineStr">
        <is>
          <t>A 60036-2025</t>
        </is>
      </c>
      <c r="B953" s="1" t="n">
        <v>45993</v>
      </c>
      <c r="C953" s="1" t="n">
        <v>46199</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26014-2025</t>
        </is>
      </c>
      <c r="B954" s="1" t="n">
        <v>45804</v>
      </c>
      <c r="C954" s="1" t="n">
        <v>46199</v>
      </c>
      <c r="D954" t="inlineStr">
        <is>
          <t>VÄSTERNORRLANDS LÄN</t>
        </is>
      </c>
      <c r="E954" t="inlineStr">
        <is>
          <t>SOLLEFTEÅ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29883-2025</t>
        </is>
      </c>
      <c r="B955" s="1" t="n">
        <v>45826</v>
      </c>
      <c r="C955" s="1" t="n">
        <v>46199</v>
      </c>
      <c r="D955" t="inlineStr">
        <is>
          <t>VÄSTERNORRLANDS LÄN</t>
        </is>
      </c>
      <c r="E955" t="inlineStr">
        <is>
          <t>SOLLEFTEÅ</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60063-2025</t>
        </is>
      </c>
      <c r="B956" s="1" t="n">
        <v>45993</v>
      </c>
      <c r="C956" s="1" t="n">
        <v>46199</v>
      </c>
      <c r="D956" t="inlineStr">
        <is>
          <t>VÄSTERNORRLANDS LÄN</t>
        </is>
      </c>
      <c r="E956" t="inlineStr">
        <is>
          <t>SOLLEFTEÅ</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59999-2025</t>
        </is>
      </c>
      <c r="B957" s="1" t="n">
        <v>45993</v>
      </c>
      <c r="C957" s="1" t="n">
        <v>46199</v>
      </c>
      <c r="D957" t="inlineStr">
        <is>
          <t>VÄSTERNORRLANDS LÄN</t>
        </is>
      </c>
      <c r="E957" t="inlineStr">
        <is>
          <t>SOLLEFTEÅ</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59896-2025</t>
        </is>
      </c>
      <c r="B958" s="1" t="n">
        <v>45993</v>
      </c>
      <c r="C958" s="1" t="n">
        <v>46199</v>
      </c>
      <c r="D958" t="inlineStr">
        <is>
          <t>VÄSTERNORRLANDS LÄN</t>
        </is>
      </c>
      <c r="E958" t="inlineStr">
        <is>
          <t>SOLLEFTEÅ</t>
        </is>
      </c>
      <c r="F958" t="inlineStr">
        <is>
          <t>SCA</t>
        </is>
      </c>
      <c r="G958" t="n">
        <v>16.1</v>
      </c>
      <c r="H958" t="n">
        <v>0</v>
      </c>
      <c r="I958" t="n">
        <v>0</v>
      </c>
      <c r="J958" t="n">
        <v>0</v>
      </c>
      <c r="K958" t="n">
        <v>0</v>
      </c>
      <c r="L958" t="n">
        <v>0</v>
      </c>
      <c r="M958" t="n">
        <v>0</v>
      </c>
      <c r="N958" t="n">
        <v>0</v>
      </c>
      <c r="O958" t="n">
        <v>0</v>
      </c>
      <c r="P958" t="n">
        <v>0</v>
      </c>
      <c r="Q958" t="n">
        <v>0</v>
      </c>
      <c r="R958" s="2" t="inlineStr"/>
    </row>
    <row r="959" ht="15" customHeight="1">
      <c r="A959" t="inlineStr">
        <is>
          <t>A 59038-2022</t>
        </is>
      </c>
      <c r="B959" s="1" t="n">
        <v>44903</v>
      </c>
      <c r="C959" s="1" t="n">
        <v>46199</v>
      </c>
      <c r="D959" t="inlineStr">
        <is>
          <t>VÄSTERNORRLANDS LÄN</t>
        </is>
      </c>
      <c r="E959" t="inlineStr">
        <is>
          <t>SOLLEFTEÅ</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60123-2025</t>
        </is>
      </c>
      <c r="B960" s="1" t="n">
        <v>45994</v>
      </c>
      <c r="C960" s="1" t="n">
        <v>46199</v>
      </c>
      <c r="D960" t="inlineStr">
        <is>
          <t>VÄSTERNORRLANDS LÄN</t>
        </is>
      </c>
      <c r="E960" t="inlineStr">
        <is>
          <t>SOLLEFTEÅ</t>
        </is>
      </c>
      <c r="G960" t="n">
        <v>5.6</v>
      </c>
      <c r="H960" t="n">
        <v>0</v>
      </c>
      <c r="I960" t="n">
        <v>0</v>
      </c>
      <c r="J960" t="n">
        <v>0</v>
      </c>
      <c r="K960" t="n">
        <v>0</v>
      </c>
      <c r="L960" t="n">
        <v>0</v>
      </c>
      <c r="M960" t="n">
        <v>0</v>
      </c>
      <c r="N960" t="n">
        <v>0</v>
      </c>
      <c r="O960" t="n">
        <v>0</v>
      </c>
      <c r="P960" t="n">
        <v>0</v>
      </c>
      <c r="Q960" t="n">
        <v>0</v>
      </c>
      <c r="R960" s="2" t="inlineStr"/>
    </row>
    <row r="961" ht="15" customHeight="1">
      <c r="A961" t="inlineStr">
        <is>
          <t>A 60709-2025</t>
        </is>
      </c>
      <c r="B961" s="1" t="n">
        <v>45996</v>
      </c>
      <c r="C961" s="1" t="n">
        <v>46199</v>
      </c>
      <c r="D961" t="inlineStr">
        <is>
          <t>VÄSTERNORRLANDS LÄN</t>
        </is>
      </c>
      <c r="E961" t="inlineStr">
        <is>
          <t>SOLLEFTEÅ</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60410-2025</t>
        </is>
      </c>
      <c r="B962" s="1" t="n">
        <v>45995</v>
      </c>
      <c r="C962" s="1" t="n">
        <v>46199</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60516-2025</t>
        </is>
      </c>
      <c r="B963" s="1" t="n">
        <v>45995</v>
      </c>
      <c r="C963" s="1" t="n">
        <v>46199</v>
      </c>
      <c r="D963" t="inlineStr">
        <is>
          <t>VÄSTERNORRLANDS LÄN</t>
        </is>
      </c>
      <c r="E963" t="inlineStr">
        <is>
          <t>SOLLEFTEÅ</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60601-2025</t>
        </is>
      </c>
      <c r="B964" s="1" t="n">
        <v>45996</v>
      </c>
      <c r="C964" s="1" t="n">
        <v>46199</v>
      </c>
      <c r="D964" t="inlineStr">
        <is>
          <t>VÄSTERNORRLANDS LÄN</t>
        </is>
      </c>
      <c r="E964" t="inlineStr">
        <is>
          <t>SOLLEFTEÅ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60591-2025</t>
        </is>
      </c>
      <c r="B965" s="1" t="n">
        <v>45996</v>
      </c>
      <c r="C965" s="1" t="n">
        <v>46199</v>
      </c>
      <c r="D965" t="inlineStr">
        <is>
          <t>VÄSTERNORRLANDS LÄN</t>
        </is>
      </c>
      <c r="E965" t="inlineStr">
        <is>
          <t>SOLLEFTEÅ</t>
        </is>
      </c>
      <c r="G965" t="n">
        <v>3.3</v>
      </c>
      <c r="H965" t="n">
        <v>0</v>
      </c>
      <c r="I965" t="n">
        <v>0</v>
      </c>
      <c r="J965" t="n">
        <v>0</v>
      </c>
      <c r="K965" t="n">
        <v>0</v>
      </c>
      <c r="L965" t="n">
        <v>0</v>
      </c>
      <c r="M965" t="n">
        <v>0</v>
      </c>
      <c r="N965" t="n">
        <v>0</v>
      </c>
      <c r="O965" t="n">
        <v>0</v>
      </c>
      <c r="P965" t="n">
        <v>0</v>
      </c>
      <c r="Q965" t="n">
        <v>0</v>
      </c>
      <c r="R965" s="2" t="inlineStr"/>
    </row>
    <row r="966" ht="15" customHeight="1">
      <c r="A966" t="inlineStr">
        <is>
          <t>A 60761-2025</t>
        </is>
      </c>
      <c r="B966" s="1" t="n">
        <v>45999</v>
      </c>
      <c r="C966" s="1" t="n">
        <v>46199</v>
      </c>
      <c r="D966" t="inlineStr">
        <is>
          <t>VÄSTERNORRLANDS LÄN</t>
        </is>
      </c>
      <c r="E966" t="inlineStr">
        <is>
          <t>SOLLEFTEÅ</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60803-2025</t>
        </is>
      </c>
      <c r="B967" s="1" t="n">
        <v>45999</v>
      </c>
      <c r="C967" s="1" t="n">
        <v>46199</v>
      </c>
      <c r="D967" t="inlineStr">
        <is>
          <t>VÄSTERNORRLANDS LÄN</t>
        </is>
      </c>
      <c r="E967" t="inlineStr">
        <is>
          <t>SOLLEFTEÅ</t>
        </is>
      </c>
      <c r="F967" t="inlineStr">
        <is>
          <t>Holmen skog AB</t>
        </is>
      </c>
      <c r="G967" t="n">
        <v>4</v>
      </c>
      <c r="H967" t="n">
        <v>0</v>
      </c>
      <c r="I967" t="n">
        <v>0</v>
      </c>
      <c r="J967" t="n">
        <v>0</v>
      </c>
      <c r="K967" t="n">
        <v>0</v>
      </c>
      <c r="L967" t="n">
        <v>0</v>
      </c>
      <c r="M967" t="n">
        <v>0</v>
      </c>
      <c r="N967" t="n">
        <v>0</v>
      </c>
      <c r="O967" t="n">
        <v>0</v>
      </c>
      <c r="P967" t="n">
        <v>0</v>
      </c>
      <c r="Q967" t="n">
        <v>0</v>
      </c>
      <c r="R967" s="2" t="inlineStr"/>
    </row>
    <row r="968" ht="15" customHeight="1">
      <c r="A968" t="inlineStr">
        <is>
          <t>A 34560-2024</t>
        </is>
      </c>
      <c r="B968" s="1" t="n">
        <v>45526</v>
      </c>
      <c r="C968" s="1" t="n">
        <v>46199</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61265-2025</t>
        </is>
      </c>
      <c r="B969" s="1" t="n">
        <v>46000</v>
      </c>
      <c r="C969" s="1" t="n">
        <v>46199</v>
      </c>
      <c r="D969" t="inlineStr">
        <is>
          <t>VÄSTERNORRLANDS LÄN</t>
        </is>
      </c>
      <c r="E969" t="inlineStr">
        <is>
          <t>SOLLEFTEÅ</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61278-2025</t>
        </is>
      </c>
      <c r="B970" s="1" t="n">
        <v>46000</v>
      </c>
      <c r="C970" s="1" t="n">
        <v>46199</v>
      </c>
      <c r="D970" t="inlineStr">
        <is>
          <t>VÄSTERNORRLANDS LÄN</t>
        </is>
      </c>
      <c r="E970" t="inlineStr">
        <is>
          <t>SOLLEFTEÅ</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40280-2025</t>
        </is>
      </c>
      <c r="B971" s="1" t="n">
        <v>45895</v>
      </c>
      <c r="C971" s="1" t="n">
        <v>46199</v>
      </c>
      <c r="D971" t="inlineStr">
        <is>
          <t>VÄSTERNORRLANDS LÄN</t>
        </is>
      </c>
      <c r="E971" t="inlineStr">
        <is>
          <t>SOLLEFTEÅ</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30389-2025</t>
        </is>
      </c>
      <c r="B972" s="1" t="n">
        <v>45827</v>
      </c>
      <c r="C972" s="1" t="n">
        <v>46199</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34388-2024</t>
        </is>
      </c>
      <c r="B973" s="1" t="n">
        <v>45525</v>
      </c>
      <c r="C973" s="1" t="n">
        <v>46199</v>
      </c>
      <c r="D973" t="inlineStr">
        <is>
          <t>VÄSTERNORRLANDS LÄN</t>
        </is>
      </c>
      <c r="E973" t="inlineStr">
        <is>
          <t>SOLLEFTEÅ</t>
        </is>
      </c>
      <c r="F973" t="inlineStr">
        <is>
          <t>SCA</t>
        </is>
      </c>
      <c r="G973" t="n">
        <v>6.1</v>
      </c>
      <c r="H973" t="n">
        <v>0</v>
      </c>
      <c r="I973" t="n">
        <v>0</v>
      </c>
      <c r="J973" t="n">
        <v>0</v>
      </c>
      <c r="K973" t="n">
        <v>0</v>
      </c>
      <c r="L973" t="n">
        <v>0</v>
      </c>
      <c r="M973" t="n">
        <v>0</v>
      </c>
      <c r="N973" t="n">
        <v>0</v>
      </c>
      <c r="O973" t="n">
        <v>0</v>
      </c>
      <c r="P973" t="n">
        <v>0</v>
      </c>
      <c r="Q973" t="n">
        <v>0</v>
      </c>
      <c r="R973" s="2" t="inlineStr"/>
    </row>
    <row r="974" ht="15" customHeight="1">
      <c r="A974" t="inlineStr">
        <is>
          <t>A 60764-2025</t>
        </is>
      </c>
      <c r="B974" s="1" t="n">
        <v>45999</v>
      </c>
      <c r="C974" s="1" t="n">
        <v>46199</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60854-2025</t>
        </is>
      </c>
      <c r="B975" s="1" t="n">
        <v>45999</v>
      </c>
      <c r="C975" s="1" t="n">
        <v>46199</v>
      </c>
      <c r="D975" t="inlineStr">
        <is>
          <t>VÄSTERNORRLANDS LÄN</t>
        </is>
      </c>
      <c r="E975" t="inlineStr">
        <is>
          <t>SOLLEFTEÅ</t>
        </is>
      </c>
      <c r="F975" t="inlineStr">
        <is>
          <t>SCA</t>
        </is>
      </c>
      <c r="G975" t="n">
        <v>5.6</v>
      </c>
      <c r="H975" t="n">
        <v>0</v>
      </c>
      <c r="I975" t="n">
        <v>0</v>
      </c>
      <c r="J975" t="n">
        <v>0</v>
      </c>
      <c r="K975" t="n">
        <v>0</v>
      </c>
      <c r="L975" t="n">
        <v>0</v>
      </c>
      <c r="M975" t="n">
        <v>0</v>
      </c>
      <c r="N975" t="n">
        <v>0</v>
      </c>
      <c r="O975" t="n">
        <v>0</v>
      </c>
      <c r="P975" t="n">
        <v>0</v>
      </c>
      <c r="Q975" t="n">
        <v>0</v>
      </c>
      <c r="R975" s="2" t="inlineStr"/>
    </row>
    <row r="976" ht="15" customHeight="1">
      <c r="A976" t="inlineStr">
        <is>
          <t>A 61062-2025</t>
        </is>
      </c>
      <c r="B976" s="1" t="n">
        <v>46000</v>
      </c>
      <c r="C976" s="1" t="n">
        <v>46199</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33241-2024</t>
        </is>
      </c>
      <c r="B977" s="1" t="n">
        <v>45518</v>
      </c>
      <c r="C977" s="1" t="n">
        <v>46199</v>
      </c>
      <c r="D977" t="inlineStr">
        <is>
          <t>VÄSTERNORRLANDS LÄN</t>
        </is>
      </c>
      <c r="E977" t="inlineStr">
        <is>
          <t>SOLLEFTEÅ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61061-2025</t>
        </is>
      </c>
      <c r="B978" s="1" t="n">
        <v>46000</v>
      </c>
      <c r="C978" s="1" t="n">
        <v>46199</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50226-2023</t>
        </is>
      </c>
      <c r="B979" s="1" t="n">
        <v>45215</v>
      </c>
      <c r="C979" s="1" t="n">
        <v>46199</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30834-2025</t>
        </is>
      </c>
      <c r="B980" s="1" t="n">
        <v>45831</v>
      </c>
      <c r="C980" s="1" t="n">
        <v>46199</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47218-2025</t>
        </is>
      </c>
      <c r="B981" s="1" t="n">
        <v>45930</v>
      </c>
      <c r="C981" s="1" t="n">
        <v>46199</v>
      </c>
      <c r="D981" t="inlineStr">
        <is>
          <t>VÄSTERNORRLANDS LÄN</t>
        </is>
      </c>
      <c r="E981" t="inlineStr">
        <is>
          <t>SOLLEFTEÅ</t>
        </is>
      </c>
      <c r="G981" t="n">
        <v>10.3</v>
      </c>
      <c r="H981" t="n">
        <v>0</v>
      </c>
      <c r="I981" t="n">
        <v>0</v>
      </c>
      <c r="J981" t="n">
        <v>0</v>
      </c>
      <c r="K981" t="n">
        <v>0</v>
      </c>
      <c r="L981" t="n">
        <v>0</v>
      </c>
      <c r="M981" t="n">
        <v>0</v>
      </c>
      <c r="N981" t="n">
        <v>0</v>
      </c>
      <c r="O981" t="n">
        <v>0</v>
      </c>
      <c r="P981" t="n">
        <v>0</v>
      </c>
      <c r="Q981" t="n">
        <v>0</v>
      </c>
      <c r="R981" s="2" t="inlineStr"/>
    </row>
    <row r="982" ht="15" customHeight="1">
      <c r="A982" t="inlineStr">
        <is>
          <t>A 47291-2025</t>
        </is>
      </c>
      <c r="B982" s="1" t="n">
        <v>45930</v>
      </c>
      <c r="C982" s="1" t="n">
        <v>46199</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49629-2024</t>
        </is>
      </c>
      <c r="B983" s="1" t="n">
        <v>45596</v>
      </c>
      <c r="C983" s="1" t="n">
        <v>46199</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47448-2025</t>
        </is>
      </c>
      <c r="B984" s="1" t="n">
        <v>45930</v>
      </c>
      <c r="C984" s="1" t="n">
        <v>46199</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46973-2025</t>
        </is>
      </c>
      <c r="B985" s="1" t="n">
        <v>45929</v>
      </c>
      <c r="C985" s="1" t="n">
        <v>46199</v>
      </c>
      <c r="D985" t="inlineStr">
        <is>
          <t>VÄSTERNORRLANDS LÄN</t>
        </is>
      </c>
      <c r="E985" t="inlineStr">
        <is>
          <t>SOLLEFTEÅ</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46873-2025</t>
        </is>
      </c>
      <c r="B986" s="1" t="n">
        <v>45929</v>
      </c>
      <c r="C986" s="1" t="n">
        <v>46199</v>
      </c>
      <c r="D986" t="inlineStr">
        <is>
          <t>VÄSTERNORRLANDS LÄN</t>
        </is>
      </c>
      <c r="E986" t="inlineStr">
        <is>
          <t>SOLLEFTEÅ</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31183-2025</t>
        </is>
      </c>
      <c r="B987" s="1" t="n">
        <v>45832</v>
      </c>
      <c r="C987" s="1" t="n">
        <v>46199</v>
      </c>
      <c r="D987" t="inlineStr">
        <is>
          <t>VÄSTERNORRLANDS LÄN</t>
        </is>
      </c>
      <c r="E987" t="inlineStr">
        <is>
          <t>SOLLEFTEÅ</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46905-2025</t>
        </is>
      </c>
      <c r="B988" s="1" t="n">
        <v>45929</v>
      </c>
      <c r="C988" s="1" t="n">
        <v>46199</v>
      </c>
      <c r="D988" t="inlineStr">
        <is>
          <t>VÄSTERNORRLANDS LÄN</t>
        </is>
      </c>
      <c r="E988" t="inlineStr">
        <is>
          <t>SOLLEFTEÅ</t>
        </is>
      </c>
      <c r="G988" t="n">
        <v>3.1</v>
      </c>
      <c r="H988" t="n">
        <v>0</v>
      </c>
      <c r="I988" t="n">
        <v>0</v>
      </c>
      <c r="J988" t="n">
        <v>0</v>
      </c>
      <c r="K988" t="n">
        <v>0</v>
      </c>
      <c r="L988" t="n">
        <v>0</v>
      </c>
      <c r="M988" t="n">
        <v>0</v>
      </c>
      <c r="N988" t="n">
        <v>0</v>
      </c>
      <c r="O988" t="n">
        <v>0</v>
      </c>
      <c r="P988" t="n">
        <v>0</v>
      </c>
      <c r="Q988" t="n">
        <v>0</v>
      </c>
      <c r="R988" s="2" t="inlineStr"/>
    </row>
    <row r="989" ht="15" customHeight="1">
      <c r="A989" t="inlineStr">
        <is>
          <t>A 14612-2025</t>
        </is>
      </c>
      <c r="B989" s="1" t="n">
        <v>45742</v>
      </c>
      <c r="C989" s="1" t="n">
        <v>46199</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14656-2025</t>
        </is>
      </c>
      <c r="B990" s="1" t="n">
        <v>45742</v>
      </c>
      <c r="C990" s="1" t="n">
        <v>46199</v>
      </c>
      <c r="D990" t="inlineStr">
        <is>
          <t>VÄSTERNORRLANDS LÄN</t>
        </is>
      </c>
      <c r="E990" t="inlineStr">
        <is>
          <t>SOLLEFTEÅ</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30750-2025</t>
        </is>
      </c>
      <c r="B991" s="1" t="n">
        <v>45831</v>
      </c>
      <c r="C991" s="1" t="n">
        <v>46199</v>
      </c>
      <c r="D991" t="inlineStr">
        <is>
          <t>VÄSTERNORRLANDS LÄN</t>
        </is>
      </c>
      <c r="E991" t="inlineStr">
        <is>
          <t>SOLLEFTEÅ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30754-2025</t>
        </is>
      </c>
      <c r="B992" s="1" t="n">
        <v>45831</v>
      </c>
      <c r="C992" s="1" t="n">
        <v>46199</v>
      </c>
      <c r="D992" t="inlineStr">
        <is>
          <t>VÄSTERNORRLANDS LÄN</t>
        </is>
      </c>
      <c r="E992" t="inlineStr">
        <is>
          <t>SOLLEFTEÅ</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14109-2023</t>
        </is>
      </c>
      <c r="B993" s="1" t="n">
        <v>45008</v>
      </c>
      <c r="C993" s="1" t="n">
        <v>46199</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39449-2024</t>
        </is>
      </c>
      <c r="B994" s="1" t="n">
        <v>45551</v>
      </c>
      <c r="C994" s="1" t="n">
        <v>46199</v>
      </c>
      <c r="D994" t="inlineStr">
        <is>
          <t>VÄSTERNORRLANDS LÄN</t>
        </is>
      </c>
      <c r="E994" t="inlineStr">
        <is>
          <t>SOLLEFTEÅ</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47217-2025</t>
        </is>
      </c>
      <c r="B995" s="1" t="n">
        <v>45930</v>
      </c>
      <c r="C995" s="1" t="n">
        <v>46199</v>
      </c>
      <c r="D995" t="inlineStr">
        <is>
          <t>VÄSTERNORRLANDS LÄN</t>
        </is>
      </c>
      <c r="E995" t="inlineStr">
        <is>
          <t>SOLLEFTEÅ</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47069-2025</t>
        </is>
      </c>
      <c r="B996" s="1" t="n">
        <v>45929</v>
      </c>
      <c r="C996" s="1" t="n">
        <v>46199</v>
      </c>
      <c r="D996" t="inlineStr">
        <is>
          <t>VÄSTERNORRLANDS LÄN</t>
        </is>
      </c>
      <c r="E996" t="inlineStr">
        <is>
          <t>SOLLEFTEÅ</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60430-2025</t>
        </is>
      </c>
      <c r="B997" s="1" t="n">
        <v>45995</v>
      </c>
      <c r="C997" s="1" t="n">
        <v>46199</v>
      </c>
      <c r="D997" t="inlineStr">
        <is>
          <t>VÄSTERNORRLANDS LÄN</t>
        </is>
      </c>
      <c r="E997" t="inlineStr">
        <is>
          <t>SOLLEFTEÅ</t>
        </is>
      </c>
      <c r="G997" t="n">
        <v>8.1</v>
      </c>
      <c r="H997" t="n">
        <v>0</v>
      </c>
      <c r="I997" t="n">
        <v>0</v>
      </c>
      <c r="J997" t="n">
        <v>0</v>
      </c>
      <c r="K997" t="n">
        <v>0</v>
      </c>
      <c r="L997" t="n">
        <v>0</v>
      </c>
      <c r="M997" t="n">
        <v>0</v>
      </c>
      <c r="N997" t="n">
        <v>0</v>
      </c>
      <c r="O997" t="n">
        <v>0</v>
      </c>
      <c r="P997" t="n">
        <v>0</v>
      </c>
      <c r="Q997" t="n">
        <v>0</v>
      </c>
      <c r="R997" s="2" t="inlineStr"/>
    </row>
    <row r="998" ht="15" customHeight="1">
      <c r="A998" t="inlineStr">
        <is>
          <t>A 61488-2025</t>
        </is>
      </c>
      <c r="B998" s="1" t="n">
        <v>46001</v>
      </c>
      <c r="C998" s="1" t="n">
        <v>46199</v>
      </c>
      <c r="D998" t="inlineStr">
        <is>
          <t>VÄSTERNORRLANDS LÄN</t>
        </is>
      </c>
      <c r="E998" t="inlineStr">
        <is>
          <t>SOLLEFTEÅ</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61485-2025</t>
        </is>
      </c>
      <c r="B999" s="1" t="n">
        <v>46001</v>
      </c>
      <c r="C999" s="1" t="n">
        <v>46199</v>
      </c>
      <c r="D999" t="inlineStr">
        <is>
          <t>VÄSTERNORRLANDS LÄN</t>
        </is>
      </c>
      <c r="E999" t="inlineStr">
        <is>
          <t>SOLLEFTEÅ</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61669-2025</t>
        </is>
      </c>
      <c r="B1000" s="1" t="n">
        <v>46002</v>
      </c>
      <c r="C1000" s="1" t="n">
        <v>46199</v>
      </c>
      <c r="D1000" t="inlineStr">
        <is>
          <t>VÄSTERNORRLANDS LÄN</t>
        </is>
      </c>
      <c r="E1000" t="inlineStr">
        <is>
          <t>SOLLEFTEÅ</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51544-2022</t>
        </is>
      </c>
      <c r="B1001" s="1" t="n">
        <v>44869</v>
      </c>
      <c r="C1001" s="1" t="n">
        <v>46199</v>
      </c>
      <c r="D1001" t="inlineStr">
        <is>
          <t>VÄSTERNORRLANDS LÄN</t>
        </is>
      </c>
      <c r="E1001" t="inlineStr">
        <is>
          <t>SOLLEFTEÅ</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31396-2025</t>
        </is>
      </c>
      <c r="B1002" s="1" t="n">
        <v>45833</v>
      </c>
      <c r="C1002" s="1" t="n">
        <v>46199</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31435-2025</t>
        </is>
      </c>
      <c r="B1003" s="1" t="n">
        <v>45833</v>
      </c>
      <c r="C1003" s="1" t="n">
        <v>46199</v>
      </c>
      <c r="D1003" t="inlineStr">
        <is>
          <t>VÄSTERNORRLANDS LÄN</t>
        </is>
      </c>
      <c r="E1003" t="inlineStr">
        <is>
          <t>SOLLEFTEÅ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47292-2025</t>
        </is>
      </c>
      <c r="B1004" s="1" t="n">
        <v>45930</v>
      </c>
      <c r="C1004" s="1" t="n">
        <v>46199</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47489-2025</t>
        </is>
      </c>
      <c r="B1005" s="1" t="n">
        <v>45930</v>
      </c>
      <c r="C1005" s="1" t="n">
        <v>46199</v>
      </c>
      <c r="D1005" t="inlineStr">
        <is>
          <t>VÄSTERNORRLANDS LÄN</t>
        </is>
      </c>
      <c r="E1005" t="inlineStr">
        <is>
          <t>SOLLEFTEÅ</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47490-2025</t>
        </is>
      </c>
      <c r="B1006" s="1" t="n">
        <v>45930</v>
      </c>
      <c r="C1006" s="1" t="n">
        <v>46199</v>
      </c>
      <c r="D1006" t="inlineStr">
        <is>
          <t>VÄSTERNORRLANDS LÄN</t>
        </is>
      </c>
      <c r="E1006" t="inlineStr">
        <is>
          <t>SOLLEFTEÅ</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31479-2025</t>
        </is>
      </c>
      <c r="B1007" s="1" t="n">
        <v>45833</v>
      </c>
      <c r="C1007" s="1" t="n">
        <v>46199</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61523-2025</t>
        </is>
      </c>
      <c r="B1008" s="1" t="n">
        <v>46001</v>
      </c>
      <c r="C1008" s="1" t="n">
        <v>46199</v>
      </c>
      <c r="D1008" t="inlineStr">
        <is>
          <t>VÄSTERNORRLANDS LÄN</t>
        </is>
      </c>
      <c r="E1008" t="inlineStr">
        <is>
          <t>SOLLEFTEÅ</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61507-2025</t>
        </is>
      </c>
      <c r="B1009" s="1" t="n">
        <v>46001</v>
      </c>
      <c r="C1009" s="1" t="n">
        <v>46199</v>
      </c>
      <c r="D1009" t="inlineStr">
        <is>
          <t>VÄSTERNORRLANDS LÄN</t>
        </is>
      </c>
      <c r="E1009" t="inlineStr">
        <is>
          <t>SOLLEFTEÅ</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61732-2025</t>
        </is>
      </c>
      <c r="B1010" s="1" t="n">
        <v>46002</v>
      </c>
      <c r="C1010" s="1" t="n">
        <v>46199</v>
      </c>
      <c r="D1010" t="inlineStr">
        <is>
          <t>VÄSTERNORRLANDS LÄN</t>
        </is>
      </c>
      <c r="E1010" t="inlineStr">
        <is>
          <t>SOLLEFTEÅ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61733-2025</t>
        </is>
      </c>
      <c r="B1011" s="1" t="n">
        <v>46002</v>
      </c>
      <c r="C1011" s="1" t="n">
        <v>46199</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61347-2025</t>
        </is>
      </c>
      <c r="B1012" s="1" t="n">
        <v>46001</v>
      </c>
      <c r="C1012" s="1" t="n">
        <v>46199</v>
      </c>
      <c r="D1012" t="inlineStr">
        <is>
          <t>VÄSTERNORRLANDS LÄN</t>
        </is>
      </c>
      <c r="E1012" t="inlineStr">
        <is>
          <t>SOLLEFTEÅ</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61442-2025</t>
        </is>
      </c>
      <c r="B1013" s="1" t="n">
        <v>46001</v>
      </c>
      <c r="C1013" s="1" t="n">
        <v>46199</v>
      </c>
      <c r="D1013" t="inlineStr">
        <is>
          <t>VÄSTERNORRLANDS LÄN</t>
        </is>
      </c>
      <c r="E1013" t="inlineStr">
        <is>
          <t>SOLLEFTEÅ</t>
        </is>
      </c>
      <c r="F1013" t="inlineStr">
        <is>
          <t>SCA</t>
        </is>
      </c>
      <c r="G1013" t="n">
        <v>12.8</v>
      </c>
      <c r="H1013" t="n">
        <v>0</v>
      </c>
      <c r="I1013" t="n">
        <v>0</v>
      </c>
      <c r="J1013" t="n">
        <v>0</v>
      </c>
      <c r="K1013" t="n">
        <v>0</v>
      </c>
      <c r="L1013" t="n">
        <v>0</v>
      </c>
      <c r="M1013" t="n">
        <v>0</v>
      </c>
      <c r="N1013" t="n">
        <v>0</v>
      </c>
      <c r="O1013" t="n">
        <v>0</v>
      </c>
      <c r="P1013" t="n">
        <v>0</v>
      </c>
      <c r="Q1013" t="n">
        <v>0</v>
      </c>
      <c r="R1013" s="2" t="inlineStr"/>
    </row>
    <row r="1014" ht="15" customHeight="1">
      <c r="A1014" t="inlineStr">
        <is>
          <t>A 31304-2025</t>
        </is>
      </c>
      <c r="B1014" s="1" t="n">
        <v>45833</v>
      </c>
      <c r="C1014" s="1" t="n">
        <v>46199</v>
      </c>
      <c r="D1014" t="inlineStr">
        <is>
          <t>VÄSTERNORRLANDS LÄN</t>
        </is>
      </c>
      <c r="E1014" t="inlineStr">
        <is>
          <t>SOLLEFTEÅ</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47702-2025</t>
        </is>
      </c>
      <c r="B1015" s="1" t="n">
        <v>45931</v>
      </c>
      <c r="C1015" s="1" t="n">
        <v>46199</v>
      </c>
      <c r="D1015" t="inlineStr">
        <is>
          <t>VÄSTERNORRLANDS LÄN</t>
        </is>
      </c>
      <c r="E1015" t="inlineStr">
        <is>
          <t>SOLLEFTEÅ</t>
        </is>
      </c>
      <c r="F1015" t="inlineStr">
        <is>
          <t>Holmen skog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31432-2025</t>
        </is>
      </c>
      <c r="B1016" s="1" t="n">
        <v>45833</v>
      </c>
      <c r="C1016" s="1" t="n">
        <v>46199</v>
      </c>
      <c r="D1016" t="inlineStr">
        <is>
          <t>VÄSTERNORRLANDS LÄN</t>
        </is>
      </c>
      <c r="E1016" t="inlineStr">
        <is>
          <t>SOLLEFTEÅ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61861-2025</t>
        </is>
      </c>
      <c r="B1017" s="1" t="n">
        <v>46003</v>
      </c>
      <c r="C1017" s="1" t="n">
        <v>46199</v>
      </c>
      <c r="D1017" t="inlineStr">
        <is>
          <t>VÄSTERNORRLANDS LÄN</t>
        </is>
      </c>
      <c r="E1017" t="inlineStr">
        <is>
          <t>SOLLEFTEÅ</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62065-2025</t>
        </is>
      </c>
      <c r="B1018" s="1" t="n">
        <v>46006</v>
      </c>
      <c r="C1018" s="1" t="n">
        <v>46199</v>
      </c>
      <c r="D1018" t="inlineStr">
        <is>
          <t>VÄSTERNORRLANDS LÄN</t>
        </is>
      </c>
      <c r="E1018" t="inlineStr">
        <is>
          <t>SOLLEFTEÅ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61953-2025</t>
        </is>
      </c>
      <c r="B1019" s="1" t="n">
        <v>46003</v>
      </c>
      <c r="C1019" s="1" t="n">
        <v>46199</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61980-2025</t>
        </is>
      </c>
      <c r="B1020" s="1" t="n">
        <v>46003</v>
      </c>
      <c r="C1020" s="1" t="n">
        <v>46199</v>
      </c>
      <c r="D1020" t="inlineStr">
        <is>
          <t>VÄSTERNORRLANDS LÄN</t>
        </is>
      </c>
      <c r="E1020" t="inlineStr">
        <is>
          <t>SOLLEFTEÅ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47851-2025</t>
        </is>
      </c>
      <c r="B1021" s="1" t="n">
        <v>45932</v>
      </c>
      <c r="C1021" s="1" t="n">
        <v>46199</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61967-2025</t>
        </is>
      </c>
      <c r="B1022" s="1" t="n">
        <v>46003</v>
      </c>
      <c r="C1022" s="1" t="n">
        <v>46199</v>
      </c>
      <c r="D1022" t="inlineStr">
        <is>
          <t>VÄSTERNORRLANDS LÄN</t>
        </is>
      </c>
      <c r="E1022" t="inlineStr">
        <is>
          <t>SOLLEFTEÅ</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47536-2025</t>
        </is>
      </c>
      <c r="B1023" s="1" t="n">
        <v>45931</v>
      </c>
      <c r="C1023" s="1" t="n">
        <v>46199</v>
      </c>
      <c r="D1023" t="inlineStr">
        <is>
          <t>VÄSTERNORRLANDS LÄN</t>
        </is>
      </c>
      <c r="E1023" t="inlineStr">
        <is>
          <t>SOLLEFTEÅ</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62181-2025</t>
        </is>
      </c>
      <c r="B1024" s="1" t="n">
        <v>46006</v>
      </c>
      <c r="C1024" s="1" t="n">
        <v>46199</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2114-2023</t>
        </is>
      </c>
      <c r="B1025" s="1" t="n">
        <v>44939</v>
      </c>
      <c r="C1025" s="1" t="n">
        <v>46199</v>
      </c>
      <c r="D1025" t="inlineStr">
        <is>
          <t>VÄSTERNORRLANDS LÄN</t>
        </is>
      </c>
      <c r="E1025" t="inlineStr">
        <is>
          <t>SOLLEFTEÅ</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47962-2025</t>
        </is>
      </c>
      <c r="B1026" s="1" t="n">
        <v>45932</v>
      </c>
      <c r="C1026" s="1" t="n">
        <v>46199</v>
      </c>
      <c r="D1026" t="inlineStr">
        <is>
          <t>VÄSTERNORRLANDS LÄN</t>
        </is>
      </c>
      <c r="E1026" t="inlineStr">
        <is>
          <t>SOLLEFTEÅ</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31437-2025</t>
        </is>
      </c>
      <c r="B1027" s="1" t="n">
        <v>45833</v>
      </c>
      <c r="C1027" s="1" t="n">
        <v>46199</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62195-2025</t>
        </is>
      </c>
      <c r="B1028" s="1" t="n">
        <v>46006</v>
      </c>
      <c r="C1028" s="1" t="n">
        <v>46199</v>
      </c>
      <c r="D1028" t="inlineStr">
        <is>
          <t>VÄSTERNORRLANDS LÄN</t>
        </is>
      </c>
      <c r="E1028" t="inlineStr">
        <is>
          <t>SOLLEFTEÅ</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62281-2025</t>
        </is>
      </c>
      <c r="B1029" s="1" t="n">
        <v>46006</v>
      </c>
      <c r="C1029" s="1" t="n">
        <v>46199</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30329-2024</t>
        </is>
      </c>
      <c r="B1030" s="1" t="n">
        <v>45490</v>
      </c>
      <c r="C1030" s="1" t="n">
        <v>46199</v>
      </c>
      <c r="D1030" t="inlineStr">
        <is>
          <t>VÄSTERNORRLANDS LÄN</t>
        </is>
      </c>
      <c r="E1030" t="inlineStr">
        <is>
          <t>SOLLEFTEÅ</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31665-2025</t>
        </is>
      </c>
      <c r="B1031" s="1" t="n">
        <v>45834</v>
      </c>
      <c r="C1031" s="1" t="n">
        <v>46199</v>
      </c>
      <c r="D1031" t="inlineStr">
        <is>
          <t>VÄSTERNORRLANDS LÄN</t>
        </is>
      </c>
      <c r="E1031" t="inlineStr">
        <is>
          <t>SOLLEFTEÅ</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31801-2025</t>
        </is>
      </c>
      <c r="B1032" s="1" t="n">
        <v>45834</v>
      </c>
      <c r="C1032" s="1" t="n">
        <v>46199</v>
      </c>
      <c r="D1032" t="inlineStr">
        <is>
          <t>VÄSTERNORRLANDS LÄN</t>
        </is>
      </c>
      <c r="E1032" t="inlineStr">
        <is>
          <t>SOLLEFTEÅ</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47947-2025</t>
        </is>
      </c>
      <c r="B1033" s="1" t="n">
        <v>45932</v>
      </c>
      <c r="C1033" s="1" t="n">
        <v>46199</v>
      </c>
      <c r="D1033" t="inlineStr">
        <is>
          <t>VÄSTERNORRLANDS LÄN</t>
        </is>
      </c>
      <c r="E1033" t="inlineStr">
        <is>
          <t>SOLLEFTEÅ</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61920-2025</t>
        </is>
      </c>
      <c r="B1034" s="1" t="n">
        <v>46003</v>
      </c>
      <c r="C1034" s="1" t="n">
        <v>46199</v>
      </c>
      <c r="D1034" t="inlineStr">
        <is>
          <t>VÄSTERNORRLANDS LÄN</t>
        </is>
      </c>
      <c r="E1034" t="inlineStr">
        <is>
          <t>SOLLEFTEÅ</t>
        </is>
      </c>
      <c r="F1034" t="inlineStr">
        <is>
          <t>SCA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11318-2022</t>
        </is>
      </c>
      <c r="B1035" s="1" t="n">
        <v>44629</v>
      </c>
      <c r="C1035" s="1" t="n">
        <v>46199</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56252-2024</t>
        </is>
      </c>
      <c r="B1036" s="1" t="n">
        <v>45624</v>
      </c>
      <c r="C1036" s="1" t="n">
        <v>46199</v>
      </c>
      <c r="D1036" t="inlineStr">
        <is>
          <t>VÄSTERNORRLANDS LÄN</t>
        </is>
      </c>
      <c r="E1036" t="inlineStr">
        <is>
          <t>SOLLEFTEÅ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62585-2025</t>
        </is>
      </c>
      <c r="B1037" s="1" t="n">
        <v>46007</v>
      </c>
      <c r="C1037" s="1" t="n">
        <v>46199</v>
      </c>
      <c r="D1037" t="inlineStr">
        <is>
          <t>VÄSTERNORRLANDS LÄN</t>
        </is>
      </c>
      <c r="E1037" t="inlineStr">
        <is>
          <t>SOLLEFTEÅ</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62526-2025</t>
        </is>
      </c>
      <c r="B1038" s="1" t="n">
        <v>46007</v>
      </c>
      <c r="C1038" s="1" t="n">
        <v>46199</v>
      </c>
      <c r="D1038" t="inlineStr">
        <is>
          <t>VÄSTERNORRLANDS LÄN</t>
        </is>
      </c>
      <c r="E1038" t="inlineStr">
        <is>
          <t>SOLLEFTEÅ</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62458-2025</t>
        </is>
      </c>
      <c r="B1039" s="1" t="n">
        <v>46007</v>
      </c>
      <c r="C1039" s="1" t="n">
        <v>46199</v>
      </c>
      <c r="D1039" t="inlineStr">
        <is>
          <t>VÄSTERNORRLANDS LÄN</t>
        </is>
      </c>
      <c r="E1039" t="inlineStr">
        <is>
          <t>SOLLEFTEÅ</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40571-2024</t>
        </is>
      </c>
      <c r="B1040" s="1" t="n">
        <v>45555</v>
      </c>
      <c r="C1040" s="1" t="n">
        <v>46199</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48125-2025</t>
        </is>
      </c>
      <c r="B1041" s="1" t="n">
        <v>45933</v>
      </c>
      <c r="C1041" s="1" t="n">
        <v>46199</v>
      </c>
      <c r="D1041" t="inlineStr">
        <is>
          <t>VÄSTERNORRLANDS LÄN</t>
        </is>
      </c>
      <c r="E1041" t="inlineStr">
        <is>
          <t>SOLLEFTEÅ</t>
        </is>
      </c>
      <c r="F1041" t="inlineStr">
        <is>
          <t>SCA</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48422-2025</t>
        </is>
      </c>
      <c r="B1042" s="1" t="n">
        <v>45934</v>
      </c>
      <c r="C1042" s="1" t="n">
        <v>46199</v>
      </c>
      <c r="D1042" t="inlineStr">
        <is>
          <t>VÄSTERNORRLANDS LÄN</t>
        </is>
      </c>
      <c r="E1042" t="inlineStr">
        <is>
          <t>SOLLEFTEÅ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62371-2025</t>
        </is>
      </c>
      <c r="B1043" s="1" t="n">
        <v>46007</v>
      </c>
      <c r="C1043" s="1" t="n">
        <v>46199</v>
      </c>
      <c r="D1043" t="inlineStr">
        <is>
          <t>VÄSTERNORRLANDS LÄN</t>
        </is>
      </c>
      <c r="E1043" t="inlineStr">
        <is>
          <t>SOLLEFTEÅ</t>
        </is>
      </c>
      <c r="F1043" t="inlineStr">
        <is>
          <t>SCA</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72244-2021</t>
        </is>
      </c>
      <c r="B1044" s="1" t="n">
        <v>44544</v>
      </c>
      <c r="C1044" s="1" t="n">
        <v>46199</v>
      </c>
      <c r="D1044" t="inlineStr">
        <is>
          <t>VÄSTERNORRLANDS LÄN</t>
        </is>
      </c>
      <c r="E1044" t="inlineStr">
        <is>
          <t>SOLLEFTEÅ</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41834-2024</t>
        </is>
      </c>
      <c r="B1045" s="1" t="n">
        <v>45561</v>
      </c>
      <c r="C1045" s="1" t="n">
        <v>46199</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48713-2025</t>
        </is>
      </c>
      <c r="B1046" s="1" t="n">
        <v>45936</v>
      </c>
      <c r="C1046" s="1" t="n">
        <v>46199</v>
      </c>
      <c r="D1046" t="inlineStr">
        <is>
          <t>VÄSTERNORRLANDS LÄN</t>
        </is>
      </c>
      <c r="E1046" t="inlineStr">
        <is>
          <t>SOLLEFTEÅ</t>
        </is>
      </c>
      <c r="F1046" t="inlineStr">
        <is>
          <t>SCA</t>
        </is>
      </c>
      <c r="G1046" t="n">
        <v>24.2</v>
      </c>
      <c r="H1046" t="n">
        <v>0</v>
      </c>
      <c r="I1046" t="n">
        <v>0</v>
      </c>
      <c r="J1046" t="n">
        <v>0</v>
      </c>
      <c r="K1046" t="n">
        <v>0</v>
      </c>
      <c r="L1046" t="n">
        <v>0</v>
      </c>
      <c r="M1046" t="n">
        <v>0</v>
      </c>
      <c r="N1046" t="n">
        <v>0</v>
      </c>
      <c r="O1046" t="n">
        <v>0</v>
      </c>
      <c r="P1046" t="n">
        <v>0</v>
      </c>
      <c r="Q1046" t="n">
        <v>0</v>
      </c>
      <c r="R1046" s="2" t="inlineStr"/>
    </row>
    <row r="1047" ht="15" customHeight="1">
      <c r="A1047" t="inlineStr">
        <is>
          <t>A 48340-2025</t>
        </is>
      </c>
      <c r="B1047" s="1" t="n">
        <v>45933</v>
      </c>
      <c r="C1047" s="1" t="n">
        <v>46199</v>
      </c>
      <c r="D1047" t="inlineStr">
        <is>
          <t>VÄSTERNORRLANDS LÄN</t>
        </is>
      </c>
      <c r="E1047" t="inlineStr">
        <is>
          <t>SOLLEFTEÅ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48603-2025</t>
        </is>
      </c>
      <c r="B1048" s="1" t="n">
        <v>45936</v>
      </c>
      <c r="C1048" s="1" t="n">
        <v>46199</v>
      </c>
      <c r="D1048" t="inlineStr">
        <is>
          <t>VÄSTERNORRLANDS LÄN</t>
        </is>
      </c>
      <c r="E1048" t="inlineStr">
        <is>
          <t>SOLLEFTEÅ</t>
        </is>
      </c>
      <c r="F1048" t="inlineStr">
        <is>
          <t>SCA</t>
        </is>
      </c>
      <c r="G1048" t="n">
        <v>25.6</v>
      </c>
      <c r="H1048" t="n">
        <v>0</v>
      </c>
      <c r="I1048" t="n">
        <v>0</v>
      </c>
      <c r="J1048" t="n">
        <v>0</v>
      </c>
      <c r="K1048" t="n">
        <v>0</v>
      </c>
      <c r="L1048" t="n">
        <v>0</v>
      </c>
      <c r="M1048" t="n">
        <v>0</v>
      </c>
      <c r="N1048" t="n">
        <v>0</v>
      </c>
      <c r="O1048" t="n">
        <v>0</v>
      </c>
      <c r="P1048" t="n">
        <v>0</v>
      </c>
      <c r="Q1048" t="n">
        <v>0</v>
      </c>
      <c r="R1048" s="2" t="inlineStr"/>
    </row>
    <row r="1049" ht="15" customHeight="1">
      <c r="A1049" t="inlineStr">
        <is>
          <t>A 41975-2024</t>
        </is>
      </c>
      <c r="B1049" s="1" t="n">
        <v>45561</v>
      </c>
      <c r="C1049" s="1" t="n">
        <v>46199</v>
      </c>
      <c r="D1049" t="inlineStr">
        <is>
          <t>VÄSTERNORRLANDS LÄN</t>
        </is>
      </c>
      <c r="E1049" t="inlineStr">
        <is>
          <t>SOLLEFTEÅ</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48306-2025</t>
        </is>
      </c>
      <c r="B1050" s="1" t="n">
        <v>45933</v>
      </c>
      <c r="C1050" s="1" t="n">
        <v>46199</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48349-2025</t>
        </is>
      </c>
      <c r="B1051" s="1" t="n">
        <v>45933</v>
      </c>
      <c r="C1051" s="1" t="n">
        <v>46199</v>
      </c>
      <c r="D1051" t="inlineStr">
        <is>
          <t>VÄSTERNORRLANDS LÄN</t>
        </is>
      </c>
      <c r="E1051" t="inlineStr">
        <is>
          <t>SOLLEFTEÅ</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48310-2025</t>
        </is>
      </c>
      <c r="B1052" s="1" t="n">
        <v>45933</v>
      </c>
      <c r="C1052" s="1" t="n">
        <v>46199</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48425-2025</t>
        </is>
      </c>
      <c r="B1053" s="1" t="n">
        <v>45934</v>
      </c>
      <c r="C1053" s="1" t="n">
        <v>46199</v>
      </c>
      <c r="D1053" t="inlineStr">
        <is>
          <t>VÄSTERNORRLANDS LÄN</t>
        </is>
      </c>
      <c r="E1053" t="inlineStr">
        <is>
          <t>SOLLEFTEÅ</t>
        </is>
      </c>
      <c r="F1053" t="inlineStr">
        <is>
          <t>SCA</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48743-2025</t>
        </is>
      </c>
      <c r="B1054" s="1" t="n">
        <v>45936</v>
      </c>
      <c r="C1054" s="1" t="n">
        <v>46199</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30069-2024</t>
        </is>
      </c>
      <c r="B1055" s="1" t="n">
        <v>45488</v>
      </c>
      <c r="C1055" s="1" t="n">
        <v>46199</v>
      </c>
      <c r="D1055" t="inlineStr">
        <is>
          <t>VÄSTERNORRLANDS LÄN</t>
        </is>
      </c>
      <c r="E1055" t="inlineStr">
        <is>
          <t>SOLLEFTEÅ</t>
        </is>
      </c>
      <c r="F1055" t="inlineStr">
        <is>
          <t>SCA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33713-2023</t>
        </is>
      </c>
      <c r="B1056" s="1" t="n">
        <v>45132</v>
      </c>
      <c r="C1056" s="1" t="n">
        <v>46199</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59388-2024</t>
        </is>
      </c>
      <c r="B1057" s="1" t="n">
        <v>45638</v>
      </c>
      <c r="C1057" s="1" t="n">
        <v>46199</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46261-2024</t>
        </is>
      </c>
      <c r="B1058" s="1" t="n">
        <v>45581</v>
      </c>
      <c r="C1058" s="1" t="n">
        <v>46199</v>
      </c>
      <c r="D1058" t="inlineStr">
        <is>
          <t>VÄSTERNORRLANDS LÄN</t>
        </is>
      </c>
      <c r="E1058" t="inlineStr">
        <is>
          <t>SOLLEFTEÅ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48848-2025</t>
        </is>
      </c>
      <c r="B1059" s="1" t="n">
        <v>45937</v>
      </c>
      <c r="C1059" s="1" t="n">
        <v>46199</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62982-2025</t>
        </is>
      </c>
      <c r="B1060" s="1" t="n">
        <v>46009</v>
      </c>
      <c r="C1060" s="1" t="n">
        <v>46199</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32537-2025</t>
        </is>
      </c>
      <c r="B1061" s="1" t="n">
        <v>45838</v>
      </c>
      <c r="C1061" s="1" t="n">
        <v>46199</v>
      </c>
      <c r="D1061" t="inlineStr">
        <is>
          <t>VÄSTERNORRLANDS LÄN</t>
        </is>
      </c>
      <c r="E1061" t="inlineStr">
        <is>
          <t>SOLLEFTEÅ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63296-2025</t>
        </is>
      </c>
      <c r="B1062" s="1" t="n">
        <v>46010</v>
      </c>
      <c r="C1062" s="1" t="n">
        <v>46199</v>
      </c>
      <c r="D1062" t="inlineStr">
        <is>
          <t>VÄSTERNORRLANDS LÄN</t>
        </is>
      </c>
      <c r="E1062" t="inlineStr">
        <is>
          <t>SOLLEFTEÅ</t>
        </is>
      </c>
      <c r="F1062" t="inlineStr">
        <is>
          <t>Holmen skog AB</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49380-2025</t>
        </is>
      </c>
      <c r="B1063" s="1" t="n">
        <v>45938</v>
      </c>
      <c r="C1063" s="1" t="n">
        <v>46199</v>
      </c>
      <c r="D1063" t="inlineStr">
        <is>
          <t>VÄSTERNORRLANDS LÄN</t>
        </is>
      </c>
      <c r="E1063" t="inlineStr">
        <is>
          <t>SOLLEFTEÅ</t>
        </is>
      </c>
      <c r="F1063" t="inlineStr">
        <is>
          <t>SCA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62981-2025</t>
        </is>
      </c>
      <c r="B1064" s="1" t="n">
        <v>46009</v>
      </c>
      <c r="C1064" s="1" t="n">
        <v>46199</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49254-2025</t>
        </is>
      </c>
      <c r="B1065" s="1" t="n">
        <v>45938</v>
      </c>
      <c r="C1065" s="1" t="n">
        <v>46199</v>
      </c>
      <c r="D1065" t="inlineStr">
        <is>
          <t>VÄSTERNORRLANDS LÄN</t>
        </is>
      </c>
      <c r="E1065" t="inlineStr">
        <is>
          <t>SOLLEFTEÅ</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62902-2025</t>
        </is>
      </c>
      <c r="B1066" s="1" t="n">
        <v>46009</v>
      </c>
      <c r="C1066" s="1" t="n">
        <v>46199</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32073-2025</t>
        </is>
      </c>
      <c r="B1067" s="1" t="n">
        <v>45835</v>
      </c>
      <c r="C1067" s="1" t="n">
        <v>46199</v>
      </c>
      <c r="D1067" t="inlineStr">
        <is>
          <t>VÄSTERNORRLANDS LÄN</t>
        </is>
      </c>
      <c r="E1067" t="inlineStr">
        <is>
          <t>SOLLEFTEÅ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63273-2025</t>
        </is>
      </c>
      <c r="B1068" s="1" t="n">
        <v>46010</v>
      </c>
      <c r="C1068" s="1" t="n">
        <v>46199</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41595-2024</t>
        </is>
      </c>
      <c r="B1069" s="1" t="n">
        <v>45560</v>
      </c>
      <c r="C1069" s="1" t="n">
        <v>46199</v>
      </c>
      <c r="D1069" t="inlineStr">
        <is>
          <t>VÄSTERNORRLANDS LÄN</t>
        </is>
      </c>
      <c r="E1069" t="inlineStr">
        <is>
          <t>SOLLEFTEÅ</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28658-2025</t>
        </is>
      </c>
      <c r="B1070" s="1" t="n">
        <v>45819</v>
      </c>
      <c r="C1070" s="1" t="n">
        <v>46199</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49406-2025</t>
        </is>
      </c>
      <c r="B1071" s="1" t="n">
        <v>45938</v>
      </c>
      <c r="C1071" s="1" t="n">
        <v>46199</v>
      </c>
      <c r="D1071" t="inlineStr">
        <is>
          <t>VÄSTERNORRLANDS LÄN</t>
        </is>
      </c>
      <c r="E1071" t="inlineStr">
        <is>
          <t>SOLLEFTEÅ</t>
        </is>
      </c>
      <c r="F1071" t="inlineStr">
        <is>
          <t>SCA</t>
        </is>
      </c>
      <c r="G1071" t="n">
        <v>28.6</v>
      </c>
      <c r="H1071" t="n">
        <v>0</v>
      </c>
      <c r="I1071" t="n">
        <v>0</v>
      </c>
      <c r="J1071" t="n">
        <v>0</v>
      </c>
      <c r="K1071" t="n">
        <v>0</v>
      </c>
      <c r="L1071" t="n">
        <v>0</v>
      </c>
      <c r="M1071" t="n">
        <v>0</v>
      </c>
      <c r="N1071" t="n">
        <v>0</v>
      </c>
      <c r="O1071" t="n">
        <v>0</v>
      </c>
      <c r="P1071" t="n">
        <v>0</v>
      </c>
      <c r="Q1071" t="n">
        <v>0</v>
      </c>
      <c r="R1071" s="2" t="inlineStr"/>
    </row>
    <row r="1072" ht="15" customHeight="1">
      <c r="A1072" t="inlineStr">
        <is>
          <t>A 59402-2025</t>
        </is>
      </c>
      <c r="B1072" s="1" t="n">
        <v>45989</v>
      </c>
      <c r="C1072" s="1" t="n">
        <v>46199</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62903-2025</t>
        </is>
      </c>
      <c r="B1073" s="1" t="n">
        <v>46009</v>
      </c>
      <c r="C1073" s="1" t="n">
        <v>46199</v>
      </c>
      <c r="D1073" t="inlineStr">
        <is>
          <t>VÄSTERNORRLANDS LÄN</t>
        </is>
      </c>
      <c r="E1073" t="inlineStr">
        <is>
          <t>SOLLEFTEÅ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33013-2025</t>
        </is>
      </c>
      <c r="B1074" s="1" t="n">
        <v>45840</v>
      </c>
      <c r="C1074" s="1" t="n">
        <v>46199</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49154-2025</t>
        </is>
      </c>
      <c r="B1075" s="1" t="n">
        <v>45938</v>
      </c>
      <c r="C1075" s="1" t="n">
        <v>46199</v>
      </c>
      <c r="D1075" t="inlineStr">
        <is>
          <t>VÄSTERNORRLANDS LÄN</t>
        </is>
      </c>
      <c r="E1075" t="inlineStr">
        <is>
          <t>SOLLEFTEÅ</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49289-2025</t>
        </is>
      </c>
      <c r="B1076" s="1" t="n">
        <v>45938</v>
      </c>
      <c r="C1076" s="1" t="n">
        <v>46199</v>
      </c>
      <c r="D1076" t="inlineStr">
        <is>
          <t>VÄSTERNORRLANDS LÄN</t>
        </is>
      </c>
      <c r="E1076" t="inlineStr">
        <is>
          <t>SOLLEFTEÅ</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49115-2025</t>
        </is>
      </c>
      <c r="B1077" s="1" t="n">
        <v>45937</v>
      </c>
      <c r="C1077" s="1" t="n">
        <v>46199</v>
      </c>
      <c r="D1077" t="inlineStr">
        <is>
          <t>VÄSTERNORRLANDS LÄN</t>
        </is>
      </c>
      <c r="E1077" t="inlineStr">
        <is>
          <t>SOLLEFTEÅ</t>
        </is>
      </c>
      <c r="F1077" t="inlineStr">
        <is>
          <t>Övriga Aktiebolag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49155-2025</t>
        </is>
      </c>
      <c r="B1078" s="1" t="n">
        <v>45938</v>
      </c>
      <c r="C1078" s="1" t="n">
        <v>46199</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49696-2025</t>
        </is>
      </c>
      <c r="B1079" s="1" t="n">
        <v>45939</v>
      </c>
      <c r="C1079" s="1" t="n">
        <v>46199</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49699-2025</t>
        </is>
      </c>
      <c r="B1080" s="1" t="n">
        <v>45939</v>
      </c>
      <c r="C1080" s="1" t="n">
        <v>46199</v>
      </c>
      <c r="D1080" t="inlineStr">
        <is>
          <t>VÄSTERNORRLANDS LÄN</t>
        </is>
      </c>
      <c r="E1080" t="inlineStr">
        <is>
          <t>SOLLEFTEÅ</t>
        </is>
      </c>
      <c r="F1080" t="inlineStr">
        <is>
          <t>SCA</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49700-2025</t>
        </is>
      </c>
      <c r="B1081" s="1" t="n">
        <v>45939</v>
      </c>
      <c r="C1081" s="1" t="n">
        <v>46199</v>
      </c>
      <c r="D1081" t="inlineStr">
        <is>
          <t>VÄSTERNORRLANDS LÄN</t>
        </is>
      </c>
      <c r="E1081" t="inlineStr">
        <is>
          <t>SOLLEFTEÅ</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49706-2025</t>
        </is>
      </c>
      <c r="B1082" s="1" t="n">
        <v>45939</v>
      </c>
      <c r="C1082" s="1" t="n">
        <v>46199</v>
      </c>
      <c r="D1082" t="inlineStr">
        <is>
          <t>VÄSTERNORRLANDS LÄN</t>
        </is>
      </c>
      <c r="E1082" t="inlineStr">
        <is>
          <t>SOLLEFTEÅ</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49919-2025</t>
        </is>
      </c>
      <c r="B1083" s="1" t="n">
        <v>45940</v>
      </c>
      <c r="C1083" s="1" t="n">
        <v>46199</v>
      </c>
      <c r="D1083" t="inlineStr">
        <is>
          <t>VÄSTERNORRLANDS LÄN</t>
        </is>
      </c>
      <c r="E1083" t="inlineStr">
        <is>
          <t>SOLLEFTEÅ</t>
        </is>
      </c>
      <c r="F1083" t="inlineStr">
        <is>
          <t>SCA</t>
        </is>
      </c>
      <c r="G1083" t="n">
        <v>41.5</v>
      </c>
      <c r="H1083" t="n">
        <v>0</v>
      </c>
      <c r="I1083" t="n">
        <v>0</v>
      </c>
      <c r="J1083" t="n">
        <v>0</v>
      </c>
      <c r="K1083" t="n">
        <v>0</v>
      </c>
      <c r="L1083" t="n">
        <v>0</v>
      </c>
      <c r="M1083" t="n">
        <v>0</v>
      </c>
      <c r="N1083" t="n">
        <v>0</v>
      </c>
      <c r="O1083" t="n">
        <v>0</v>
      </c>
      <c r="P1083" t="n">
        <v>0</v>
      </c>
      <c r="Q1083" t="n">
        <v>0</v>
      </c>
      <c r="R1083" s="2" t="inlineStr"/>
    </row>
    <row r="1084" ht="15" customHeight="1">
      <c r="A1084" t="inlineStr">
        <is>
          <t>A 67702-2021</t>
        </is>
      </c>
      <c r="B1084" s="1" t="n">
        <v>44524</v>
      </c>
      <c r="C1084" s="1" t="n">
        <v>46199</v>
      </c>
      <c r="D1084" t="inlineStr">
        <is>
          <t>VÄSTERNORRLANDS LÄN</t>
        </is>
      </c>
      <c r="E1084" t="inlineStr">
        <is>
          <t>SOLLEFTEÅ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49705-2025</t>
        </is>
      </c>
      <c r="B1085" s="1" t="n">
        <v>45939</v>
      </c>
      <c r="C1085" s="1" t="n">
        <v>46199</v>
      </c>
      <c r="D1085" t="inlineStr">
        <is>
          <t>VÄSTERNORRLANDS LÄN</t>
        </is>
      </c>
      <c r="E1085" t="inlineStr">
        <is>
          <t>SOLLEFTEÅ</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32745-2025</t>
        </is>
      </c>
      <c r="B1086" s="1" t="n">
        <v>45839</v>
      </c>
      <c r="C1086" s="1" t="n">
        <v>46199</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32749-2025</t>
        </is>
      </c>
      <c r="B1087" s="1" t="n">
        <v>45839</v>
      </c>
      <c r="C1087" s="1" t="n">
        <v>46199</v>
      </c>
      <c r="D1087" t="inlineStr">
        <is>
          <t>VÄSTERNORRLANDS LÄN</t>
        </is>
      </c>
      <c r="E1087" t="inlineStr">
        <is>
          <t>SOLLEFTEÅ</t>
        </is>
      </c>
      <c r="F1087" t="inlineStr">
        <is>
          <t>SCA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10870-2024</t>
        </is>
      </c>
      <c r="B1088" s="1" t="n">
        <v>45370</v>
      </c>
      <c r="C1088" s="1" t="n">
        <v>46199</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33012-2025</t>
        </is>
      </c>
      <c r="B1089" s="1" t="n">
        <v>45840</v>
      </c>
      <c r="C1089" s="1" t="n">
        <v>46199</v>
      </c>
      <c r="D1089" t="inlineStr">
        <is>
          <t>VÄSTERNORRLANDS LÄN</t>
        </is>
      </c>
      <c r="E1089" t="inlineStr">
        <is>
          <t>SOLLEFTEÅ</t>
        </is>
      </c>
      <c r="F1089" t="inlineStr">
        <is>
          <t>SCA</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49794-2025</t>
        </is>
      </c>
      <c r="B1090" s="1" t="n">
        <v>45940</v>
      </c>
      <c r="C1090" s="1" t="n">
        <v>46199</v>
      </c>
      <c r="D1090" t="inlineStr">
        <is>
          <t>VÄSTERNORRLANDS LÄN</t>
        </is>
      </c>
      <c r="E1090" t="inlineStr">
        <is>
          <t>SOLLEFTEÅ</t>
        </is>
      </c>
      <c r="F1090" t="inlineStr">
        <is>
          <t>SCA</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49920-2025</t>
        </is>
      </c>
      <c r="B1091" s="1" t="n">
        <v>45940</v>
      </c>
      <c r="C1091" s="1" t="n">
        <v>46199</v>
      </c>
      <c r="D1091" t="inlineStr">
        <is>
          <t>VÄSTERNORRLANDS LÄN</t>
        </is>
      </c>
      <c r="E1091" t="inlineStr">
        <is>
          <t>SOLLEFTEÅ</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49703-2025</t>
        </is>
      </c>
      <c r="B1092" s="1" t="n">
        <v>45939</v>
      </c>
      <c r="C1092" s="1" t="n">
        <v>46199</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33855-2025</t>
        </is>
      </c>
      <c r="B1093" s="1" t="n">
        <v>45842</v>
      </c>
      <c r="C1093" s="1" t="n">
        <v>46199</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33957-2025</t>
        </is>
      </c>
      <c r="B1094" s="1" t="n">
        <v>45842</v>
      </c>
      <c r="C1094" s="1" t="n">
        <v>46199</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49474-2025</t>
        </is>
      </c>
      <c r="B1095" s="1" t="n">
        <v>45939</v>
      </c>
      <c r="C1095" s="1" t="n">
        <v>46199</v>
      </c>
      <c r="D1095" t="inlineStr">
        <is>
          <t>VÄSTERNORRLANDS LÄN</t>
        </is>
      </c>
      <c r="E1095" t="inlineStr">
        <is>
          <t>SOLLEFTEÅ</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49488-2025</t>
        </is>
      </c>
      <c r="B1096" s="1" t="n">
        <v>45939</v>
      </c>
      <c r="C1096" s="1" t="n">
        <v>46199</v>
      </c>
      <c r="D1096" t="inlineStr">
        <is>
          <t>VÄSTERNORRLANDS LÄN</t>
        </is>
      </c>
      <c r="E1096" t="inlineStr">
        <is>
          <t>SOLLEFTEÅ</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62901-2025</t>
        </is>
      </c>
      <c r="B1097" s="1" t="n">
        <v>46009</v>
      </c>
      <c r="C1097" s="1" t="n">
        <v>46199</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62900-2025</t>
        </is>
      </c>
      <c r="B1098" s="1" t="n">
        <v>46009</v>
      </c>
      <c r="C1098" s="1" t="n">
        <v>46199</v>
      </c>
      <c r="D1098" t="inlineStr">
        <is>
          <t>VÄSTERNORRLANDS LÄN</t>
        </is>
      </c>
      <c r="E1098" t="inlineStr">
        <is>
          <t>SOLLEFTEÅ</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33917-2025</t>
        </is>
      </c>
      <c r="B1099" s="1" t="n">
        <v>45842</v>
      </c>
      <c r="C1099" s="1" t="n">
        <v>46199</v>
      </c>
      <c r="D1099" t="inlineStr">
        <is>
          <t>VÄSTERNORRLANDS LÄN</t>
        </is>
      </c>
      <c r="E1099" t="inlineStr">
        <is>
          <t>SOLLEFTEÅ</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49748-2025</t>
        </is>
      </c>
      <c r="B1100" s="1" t="n">
        <v>45940</v>
      </c>
      <c r="C1100" s="1" t="n">
        <v>46199</v>
      </c>
      <c r="D1100" t="inlineStr">
        <is>
          <t>VÄSTERNORRLANDS LÄN</t>
        </is>
      </c>
      <c r="E1100" t="inlineStr">
        <is>
          <t>SOLLEFTEÅ</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63470-2025</t>
        </is>
      </c>
      <c r="B1101" s="1" t="n">
        <v>46013</v>
      </c>
      <c r="C1101" s="1" t="n">
        <v>46199</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49667-2025</t>
        </is>
      </c>
      <c r="B1102" s="1" t="n">
        <v>45939</v>
      </c>
      <c r="C1102" s="1" t="n">
        <v>46199</v>
      </c>
      <c r="D1102" t="inlineStr">
        <is>
          <t>VÄSTERNORRLANDS LÄN</t>
        </is>
      </c>
      <c r="E1102" t="inlineStr">
        <is>
          <t>SOLLEFTEÅ</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63579-2025</t>
        </is>
      </c>
      <c r="B1103" s="1" t="n">
        <v>46013</v>
      </c>
      <c r="C1103" s="1" t="n">
        <v>46199</v>
      </c>
      <c r="D1103" t="inlineStr">
        <is>
          <t>VÄSTERNORRLANDS LÄN</t>
        </is>
      </c>
      <c r="E1103" t="inlineStr">
        <is>
          <t>SOLLEFTEÅ</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33430-2025</t>
        </is>
      </c>
      <c r="B1104" s="1" t="n">
        <v>45841</v>
      </c>
      <c r="C1104" s="1" t="n">
        <v>46199</v>
      </c>
      <c r="D1104" t="inlineStr">
        <is>
          <t>VÄSTERNORRLANDS LÄN</t>
        </is>
      </c>
      <c r="E1104" t="inlineStr">
        <is>
          <t>SOLLEFTEÅ</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58995-2024</t>
        </is>
      </c>
      <c r="B1105" s="1" t="n">
        <v>45636</v>
      </c>
      <c r="C1105" s="1" t="n">
        <v>46199</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33436-2025</t>
        </is>
      </c>
      <c r="B1106" s="1" t="n">
        <v>45841</v>
      </c>
      <c r="C1106" s="1" t="n">
        <v>46199</v>
      </c>
      <c r="D1106" t="inlineStr">
        <is>
          <t>VÄSTERNORRLANDS LÄN</t>
        </is>
      </c>
      <c r="E1106" t="inlineStr">
        <is>
          <t>SOLLEFTEÅ</t>
        </is>
      </c>
      <c r="F1106" t="inlineStr">
        <is>
          <t>SCA</t>
        </is>
      </c>
      <c r="G1106" t="n">
        <v>19.2</v>
      </c>
      <c r="H1106" t="n">
        <v>0</v>
      </c>
      <c r="I1106" t="n">
        <v>0</v>
      </c>
      <c r="J1106" t="n">
        <v>0</v>
      </c>
      <c r="K1106" t="n">
        <v>0</v>
      </c>
      <c r="L1106" t="n">
        <v>0</v>
      </c>
      <c r="M1106" t="n">
        <v>0</v>
      </c>
      <c r="N1106" t="n">
        <v>0</v>
      </c>
      <c r="O1106" t="n">
        <v>0</v>
      </c>
      <c r="P1106" t="n">
        <v>0</v>
      </c>
      <c r="Q1106" t="n">
        <v>0</v>
      </c>
      <c r="R1106" s="2" t="inlineStr"/>
    </row>
    <row r="1107" ht="15" customHeight="1">
      <c r="A1107" t="inlineStr">
        <is>
          <t>A 33442-2025</t>
        </is>
      </c>
      <c r="B1107" s="1" t="n">
        <v>45841</v>
      </c>
      <c r="C1107" s="1" t="n">
        <v>46199</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49565-2025</t>
        </is>
      </c>
      <c r="B1108" s="1" t="n">
        <v>45939</v>
      </c>
      <c r="C1108" s="1" t="n">
        <v>46199</v>
      </c>
      <c r="D1108" t="inlineStr">
        <is>
          <t>VÄSTERNORRLANDS LÄN</t>
        </is>
      </c>
      <c r="E1108" t="inlineStr">
        <is>
          <t>SOLLEFTEÅ</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33437-2025</t>
        </is>
      </c>
      <c r="B1109" s="1" t="n">
        <v>45841</v>
      </c>
      <c r="C1109" s="1" t="n">
        <v>46199</v>
      </c>
      <c r="D1109" t="inlineStr">
        <is>
          <t>VÄSTERNORRLANDS LÄN</t>
        </is>
      </c>
      <c r="E1109" t="inlineStr">
        <is>
          <t>SOLLEFTEÅ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33936-2025</t>
        </is>
      </c>
      <c r="B1110" s="1" t="n">
        <v>45842</v>
      </c>
      <c r="C1110" s="1" t="n">
        <v>46199</v>
      </c>
      <c r="D1110" t="inlineStr">
        <is>
          <t>VÄSTERNORRLANDS LÄN</t>
        </is>
      </c>
      <c r="E1110" t="inlineStr">
        <is>
          <t>SOLLEFTEÅ</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33825-2025</t>
        </is>
      </c>
      <c r="B1111" s="1" t="n">
        <v>45842</v>
      </c>
      <c r="C1111" s="1" t="n">
        <v>46199</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33607-2025</t>
        </is>
      </c>
      <c r="B1112" s="1" t="n">
        <v>45841</v>
      </c>
      <c r="C1112" s="1" t="n">
        <v>46199</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63456-2025</t>
        </is>
      </c>
      <c r="B1113" s="1" t="n">
        <v>46013</v>
      </c>
      <c r="C1113" s="1" t="n">
        <v>46199</v>
      </c>
      <c r="D1113" t="inlineStr">
        <is>
          <t>VÄSTERNORRLANDS LÄN</t>
        </is>
      </c>
      <c r="E1113" t="inlineStr">
        <is>
          <t>SOLLEFTEÅ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33935-2025</t>
        </is>
      </c>
      <c r="B1114" s="1" t="n">
        <v>45842</v>
      </c>
      <c r="C1114" s="1" t="n">
        <v>46199</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50245-2025</t>
        </is>
      </c>
      <c r="B1115" s="1" t="n">
        <v>45944</v>
      </c>
      <c r="C1115" s="1" t="n">
        <v>46199</v>
      </c>
      <c r="D1115" t="inlineStr">
        <is>
          <t>VÄSTERNORRLANDS LÄN</t>
        </is>
      </c>
      <c r="E1115" t="inlineStr">
        <is>
          <t>SOLLEFTEÅ</t>
        </is>
      </c>
      <c r="F1115" t="inlineStr">
        <is>
          <t>Holmen skog AB</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33502-2025</t>
        </is>
      </c>
      <c r="B1116" s="1" t="n">
        <v>45841</v>
      </c>
      <c r="C1116" s="1" t="n">
        <v>46199</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33452-2025</t>
        </is>
      </c>
      <c r="B1117" s="1" t="n">
        <v>45841</v>
      </c>
      <c r="C1117" s="1" t="n">
        <v>46199</v>
      </c>
      <c r="D1117" t="inlineStr">
        <is>
          <t>VÄSTERNORRLANDS LÄN</t>
        </is>
      </c>
      <c r="E1117" t="inlineStr">
        <is>
          <t>SOLLEFTEÅ</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33852-2025</t>
        </is>
      </c>
      <c r="B1118" s="1" t="n">
        <v>45842</v>
      </c>
      <c r="C1118" s="1" t="n">
        <v>46199</v>
      </c>
      <c r="D1118" t="inlineStr">
        <is>
          <t>VÄSTERNORRLANDS LÄN</t>
        </is>
      </c>
      <c r="E1118" t="inlineStr">
        <is>
          <t>SOLLEFTEÅ</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50388-2025</t>
        </is>
      </c>
      <c r="B1119" s="1" t="n">
        <v>45944</v>
      </c>
      <c r="C1119" s="1" t="n">
        <v>46199</v>
      </c>
      <c r="D1119" t="inlineStr">
        <is>
          <t>VÄSTERNORRLANDS LÄN</t>
        </is>
      </c>
      <c r="E1119" t="inlineStr">
        <is>
          <t>SOLLEFTEÅ</t>
        </is>
      </c>
      <c r="F1119" t="inlineStr">
        <is>
          <t>SCA</t>
        </is>
      </c>
      <c r="G1119" t="n">
        <v>22.8</v>
      </c>
      <c r="H1119" t="n">
        <v>0</v>
      </c>
      <c r="I1119" t="n">
        <v>0</v>
      </c>
      <c r="J1119" t="n">
        <v>0</v>
      </c>
      <c r="K1119" t="n">
        <v>0</v>
      </c>
      <c r="L1119" t="n">
        <v>0</v>
      </c>
      <c r="M1119" t="n">
        <v>0</v>
      </c>
      <c r="N1119" t="n">
        <v>0</v>
      </c>
      <c r="O1119" t="n">
        <v>0</v>
      </c>
      <c r="P1119" t="n">
        <v>0</v>
      </c>
      <c r="Q1119" t="n">
        <v>0</v>
      </c>
      <c r="R1119" s="2" t="inlineStr"/>
    </row>
    <row r="1120" ht="15" customHeight="1">
      <c r="A1120" t="inlineStr">
        <is>
          <t>A 5867-2024</t>
        </is>
      </c>
      <c r="B1120" s="1" t="n">
        <v>45335</v>
      </c>
      <c r="C1120" s="1" t="n">
        <v>46199</v>
      </c>
      <c r="D1120" t="inlineStr">
        <is>
          <t>VÄSTERNORRLANDS LÄN</t>
        </is>
      </c>
      <c r="E1120" t="inlineStr">
        <is>
          <t>SOLLEFTEÅ</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40575-2024</t>
        </is>
      </c>
      <c r="B1121" s="1" t="n">
        <v>45555</v>
      </c>
      <c r="C1121" s="1" t="n">
        <v>46199</v>
      </c>
      <c r="D1121" t="inlineStr">
        <is>
          <t>VÄSTERNORRLANDS LÄN</t>
        </is>
      </c>
      <c r="E1121" t="inlineStr">
        <is>
          <t>SOLLEFTEÅ</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63471-2025</t>
        </is>
      </c>
      <c r="B1122" s="1" t="n">
        <v>46013</v>
      </c>
      <c r="C1122" s="1" t="n">
        <v>46199</v>
      </c>
      <c r="D1122" t="inlineStr">
        <is>
          <t>VÄSTERNORRLANDS LÄN</t>
        </is>
      </c>
      <c r="E1122" t="inlineStr">
        <is>
          <t>SOLLEFTEÅ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50283-2025</t>
        </is>
      </c>
      <c r="B1123" s="1" t="n">
        <v>45944</v>
      </c>
      <c r="C1123" s="1" t="n">
        <v>46199</v>
      </c>
      <c r="D1123" t="inlineStr">
        <is>
          <t>VÄSTERNORRLANDS LÄN</t>
        </is>
      </c>
      <c r="E1123" t="inlineStr">
        <is>
          <t>SOLLEFTEÅ</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13008-2023</t>
        </is>
      </c>
      <c r="B1124" s="1" t="n">
        <v>45002</v>
      </c>
      <c r="C1124" s="1" t="n">
        <v>46199</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63646-2025</t>
        </is>
      </c>
      <c r="B1125" s="1" t="n">
        <v>46014</v>
      </c>
      <c r="C1125" s="1" t="n">
        <v>46199</v>
      </c>
      <c r="D1125" t="inlineStr">
        <is>
          <t>VÄSTERNORRLANDS LÄN</t>
        </is>
      </c>
      <c r="E1125" t="inlineStr">
        <is>
          <t>SOLLEFTEÅ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11009-2024</t>
        </is>
      </c>
      <c r="B1126" s="1" t="n">
        <v>45370</v>
      </c>
      <c r="C1126" s="1" t="n">
        <v>46199</v>
      </c>
      <c r="D1126" t="inlineStr">
        <is>
          <t>VÄSTERNORRLANDS LÄN</t>
        </is>
      </c>
      <c r="E1126" t="inlineStr">
        <is>
          <t>SOLLEFTEÅ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50627-2025</t>
        </is>
      </c>
      <c r="B1127" s="1" t="n">
        <v>45945</v>
      </c>
      <c r="C1127" s="1" t="n">
        <v>46199</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50733-2025</t>
        </is>
      </c>
      <c r="B1128" s="1" t="n">
        <v>45946</v>
      </c>
      <c r="C1128" s="1" t="n">
        <v>46199</v>
      </c>
      <c r="D1128" t="inlineStr">
        <is>
          <t>VÄSTERNORRLANDS LÄN</t>
        </is>
      </c>
      <c r="E1128" t="inlineStr">
        <is>
          <t>SOLLEFTEÅ</t>
        </is>
      </c>
      <c r="F1128" t="inlineStr">
        <is>
          <t>SCA</t>
        </is>
      </c>
      <c r="G1128" t="n">
        <v>15.3</v>
      </c>
      <c r="H1128" t="n">
        <v>0</v>
      </c>
      <c r="I1128" t="n">
        <v>0</v>
      </c>
      <c r="J1128" t="n">
        <v>0</v>
      </c>
      <c r="K1128" t="n">
        <v>0</v>
      </c>
      <c r="L1128" t="n">
        <v>0</v>
      </c>
      <c r="M1128" t="n">
        <v>0</v>
      </c>
      <c r="N1128" t="n">
        <v>0</v>
      </c>
      <c r="O1128" t="n">
        <v>0</v>
      </c>
      <c r="P1128" t="n">
        <v>0</v>
      </c>
      <c r="Q1128" t="n">
        <v>0</v>
      </c>
      <c r="R1128" s="2" t="inlineStr"/>
    </row>
    <row r="1129" ht="15" customHeight="1">
      <c r="A1129" t="inlineStr">
        <is>
          <t>A 50843-2025</t>
        </is>
      </c>
      <c r="B1129" s="1" t="n">
        <v>45946</v>
      </c>
      <c r="C1129" s="1" t="n">
        <v>46199</v>
      </c>
      <c r="D1129" t="inlineStr">
        <is>
          <t>VÄSTERNORRLANDS LÄN</t>
        </is>
      </c>
      <c r="E1129" t="inlineStr">
        <is>
          <t>SOLLEFTEÅ</t>
        </is>
      </c>
      <c r="F1129" t="inlineStr">
        <is>
          <t>SCA</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127-2026</t>
        </is>
      </c>
      <c r="B1130" s="1" t="n">
        <v>46020</v>
      </c>
      <c r="C1130" s="1" t="n">
        <v>46199</v>
      </c>
      <c r="D1130" t="inlineStr">
        <is>
          <t>VÄSTERNORRLANDS LÄN</t>
        </is>
      </c>
      <c r="E1130" t="inlineStr">
        <is>
          <t>SOLLEFTEÅ</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34051-2025</t>
        </is>
      </c>
      <c r="B1131" s="1" t="n">
        <v>45845</v>
      </c>
      <c r="C1131" s="1" t="n">
        <v>46199</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50555-2025</t>
        </is>
      </c>
      <c r="B1132" s="1" t="n">
        <v>45945</v>
      </c>
      <c r="C1132" s="1" t="n">
        <v>46199</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34476-2025</t>
        </is>
      </c>
      <c r="B1133" s="1" t="n">
        <v>45847</v>
      </c>
      <c r="C1133" s="1" t="n">
        <v>46199</v>
      </c>
      <c r="D1133" t="inlineStr">
        <is>
          <t>VÄSTERNORRLANDS LÄN</t>
        </is>
      </c>
      <c r="E1133" t="inlineStr">
        <is>
          <t>SOLLEFTEÅ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50522-2025</t>
        </is>
      </c>
      <c r="B1134" s="1" t="n">
        <v>45945</v>
      </c>
      <c r="C1134" s="1" t="n">
        <v>46199</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51321-2025</t>
        </is>
      </c>
      <c r="B1135" s="1" t="n">
        <v>45950</v>
      </c>
      <c r="C1135" s="1" t="n">
        <v>46199</v>
      </c>
      <c r="D1135" t="inlineStr">
        <is>
          <t>VÄSTERNORRLANDS LÄN</t>
        </is>
      </c>
      <c r="E1135" t="inlineStr">
        <is>
          <t>SOLLEFTEÅ</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47329-2023</t>
        </is>
      </c>
      <c r="B1136" s="1" t="n">
        <v>45196</v>
      </c>
      <c r="C1136" s="1" t="n">
        <v>46199</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20461-2023</t>
        </is>
      </c>
      <c r="B1137" s="1" t="n">
        <v>45056</v>
      </c>
      <c r="C1137" s="1" t="n">
        <v>46199</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51102-2025</t>
        </is>
      </c>
      <c r="B1138" s="1" t="n">
        <v>45947</v>
      </c>
      <c r="C1138" s="1" t="n">
        <v>46199</v>
      </c>
      <c r="D1138" t="inlineStr">
        <is>
          <t>VÄSTERNORRLANDS LÄN</t>
        </is>
      </c>
      <c r="E1138" t="inlineStr">
        <is>
          <t>SOLLEFTEÅ</t>
        </is>
      </c>
      <c r="F1138" t="inlineStr">
        <is>
          <t>SCA</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42983-2024</t>
        </is>
      </c>
      <c r="B1139" s="1" t="n">
        <v>45567</v>
      </c>
      <c r="C1139" s="1" t="n">
        <v>46199</v>
      </c>
      <c r="D1139" t="inlineStr">
        <is>
          <t>VÄSTERNORRLANDS LÄN</t>
        </is>
      </c>
      <c r="E1139" t="inlineStr">
        <is>
          <t>SOLLEFTEÅ</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42984-2024</t>
        </is>
      </c>
      <c r="B1140" s="1" t="n">
        <v>45567</v>
      </c>
      <c r="C1140" s="1" t="n">
        <v>46199</v>
      </c>
      <c r="D1140" t="inlineStr">
        <is>
          <t>VÄSTERNORRLANDS LÄN</t>
        </is>
      </c>
      <c r="E1140" t="inlineStr">
        <is>
          <t>SOLLEFTEÅ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42985-2024</t>
        </is>
      </c>
      <c r="B1141" s="1" t="n">
        <v>45567</v>
      </c>
      <c r="C1141" s="1" t="n">
        <v>46199</v>
      </c>
      <c r="D1141" t="inlineStr">
        <is>
          <t>VÄSTERNORRLANDS LÄN</t>
        </is>
      </c>
      <c r="E1141" t="inlineStr">
        <is>
          <t>SOLLEFTEÅ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34459-2025</t>
        </is>
      </c>
      <c r="B1142" s="1" t="n">
        <v>45847</v>
      </c>
      <c r="C1142" s="1" t="n">
        <v>46199</v>
      </c>
      <c r="D1142" t="inlineStr">
        <is>
          <t>VÄSTERNORRLANDS LÄN</t>
        </is>
      </c>
      <c r="E1142" t="inlineStr">
        <is>
          <t>SOLLEFTEÅ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51036-2025</t>
        </is>
      </c>
      <c r="B1143" s="1" t="n">
        <v>45947</v>
      </c>
      <c r="C1143" s="1" t="n">
        <v>46199</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51118-2025</t>
        </is>
      </c>
      <c r="B1144" s="1" t="n">
        <v>45947</v>
      </c>
      <c r="C1144" s="1" t="n">
        <v>46199</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58357-2024</t>
        </is>
      </c>
      <c r="B1145" s="1" t="n">
        <v>45632</v>
      </c>
      <c r="C1145" s="1" t="n">
        <v>46199</v>
      </c>
      <c r="D1145" t="inlineStr">
        <is>
          <t>VÄSTERNORRLANDS LÄN</t>
        </is>
      </c>
      <c r="E1145" t="inlineStr">
        <is>
          <t>SOLLEFTEÅ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58360-2024</t>
        </is>
      </c>
      <c r="B1146" s="1" t="n">
        <v>45632</v>
      </c>
      <c r="C1146" s="1" t="n">
        <v>46199</v>
      </c>
      <c r="D1146" t="inlineStr">
        <is>
          <t>VÄSTERNORRLANDS LÄN</t>
        </is>
      </c>
      <c r="E1146" t="inlineStr">
        <is>
          <t>SOLLEFTEÅ</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34462-2025</t>
        </is>
      </c>
      <c r="B1147" s="1" t="n">
        <v>45847</v>
      </c>
      <c r="C1147" s="1" t="n">
        <v>46199</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51087-2025</t>
        </is>
      </c>
      <c r="B1148" s="1" t="n">
        <v>45947</v>
      </c>
      <c r="C1148" s="1" t="n">
        <v>46199</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34473-2025</t>
        </is>
      </c>
      <c r="B1149" s="1" t="n">
        <v>45847</v>
      </c>
      <c r="C1149" s="1" t="n">
        <v>46199</v>
      </c>
      <c r="D1149" t="inlineStr">
        <is>
          <t>VÄSTERNORRLANDS LÄN</t>
        </is>
      </c>
      <c r="E1149" t="inlineStr">
        <is>
          <t>SOLLEFTEÅ</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51226-2025</t>
        </is>
      </c>
      <c r="B1150" s="1" t="n">
        <v>45947</v>
      </c>
      <c r="C1150" s="1" t="n">
        <v>46199</v>
      </c>
      <c r="D1150" t="inlineStr">
        <is>
          <t>VÄSTERNORRLANDS LÄN</t>
        </is>
      </c>
      <c r="E1150" t="inlineStr">
        <is>
          <t>SOLLEFTEÅ</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49251-2025</t>
        </is>
      </c>
      <c r="B1151" s="1" t="n">
        <v>45938</v>
      </c>
      <c r="C1151" s="1" t="n">
        <v>46199</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35041-2025</t>
        </is>
      </c>
      <c r="B1152" s="1" t="n">
        <v>45852</v>
      </c>
      <c r="C1152" s="1" t="n">
        <v>46199</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7009-2023</t>
        </is>
      </c>
      <c r="B1153" s="1" t="n">
        <v>44967</v>
      </c>
      <c r="C1153" s="1" t="n">
        <v>46199</v>
      </c>
      <c r="D1153" t="inlineStr">
        <is>
          <t>VÄSTERNORRLANDS LÄN</t>
        </is>
      </c>
      <c r="E1153" t="inlineStr">
        <is>
          <t>SOLLEFTEÅ</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35086-2025</t>
        </is>
      </c>
      <c r="B1154" s="1" t="n">
        <v>45852</v>
      </c>
      <c r="C1154" s="1" t="n">
        <v>46199</v>
      </c>
      <c r="D1154" t="inlineStr">
        <is>
          <t>VÄSTERNORRLANDS LÄN</t>
        </is>
      </c>
      <c r="E1154" t="inlineStr">
        <is>
          <t>SOLLEFTEÅ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51261-2025</t>
        </is>
      </c>
      <c r="B1155" s="1" t="n">
        <v>45949</v>
      </c>
      <c r="C1155" s="1" t="n">
        <v>46199</v>
      </c>
      <c r="D1155" t="inlineStr">
        <is>
          <t>VÄSTERNORRLANDS LÄN</t>
        </is>
      </c>
      <c r="E1155" t="inlineStr">
        <is>
          <t>SOLLEFTEÅ</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51259-2025</t>
        </is>
      </c>
      <c r="B1156" s="1" t="n">
        <v>45949</v>
      </c>
      <c r="C1156" s="1" t="n">
        <v>46199</v>
      </c>
      <c r="D1156" t="inlineStr">
        <is>
          <t>VÄSTERNORRLANDS LÄN</t>
        </is>
      </c>
      <c r="E1156" t="inlineStr">
        <is>
          <t>SOLLEFTEÅ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51918-2025</t>
        </is>
      </c>
      <c r="B1157" s="1" t="n">
        <v>45952</v>
      </c>
      <c r="C1157" s="1" t="n">
        <v>46199</v>
      </c>
      <c r="D1157" t="inlineStr">
        <is>
          <t>VÄSTERNORRLANDS LÄN</t>
        </is>
      </c>
      <c r="E1157" t="inlineStr">
        <is>
          <t>SOLLEFTEÅ</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51770-2025</t>
        </is>
      </c>
      <c r="B1158" s="1" t="n">
        <v>45951</v>
      </c>
      <c r="C1158" s="1" t="n">
        <v>46199</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51617-2025</t>
        </is>
      </c>
      <c r="B1159" s="1" t="n">
        <v>45951</v>
      </c>
      <c r="C1159" s="1" t="n">
        <v>46199</v>
      </c>
      <c r="D1159" t="inlineStr">
        <is>
          <t>VÄSTERNORRLANDS LÄN</t>
        </is>
      </c>
      <c r="E1159" t="inlineStr">
        <is>
          <t>SOLLEFTEÅ</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51792-2025</t>
        </is>
      </c>
      <c r="B1160" s="1" t="n">
        <v>45951</v>
      </c>
      <c r="C1160" s="1" t="n">
        <v>46199</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12379-2025</t>
        </is>
      </c>
      <c r="B1161" s="1" t="n">
        <v>45730</v>
      </c>
      <c r="C1161" s="1" t="n">
        <v>46199</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51609-2025</t>
        </is>
      </c>
      <c r="B1162" s="1" t="n">
        <v>45951</v>
      </c>
      <c r="C1162" s="1" t="n">
        <v>46199</v>
      </c>
      <c r="D1162" t="inlineStr">
        <is>
          <t>VÄSTERNORRLANDS LÄN</t>
        </is>
      </c>
      <c r="E1162" t="inlineStr">
        <is>
          <t>SOLLEFTEÅ</t>
        </is>
      </c>
      <c r="F1162" t="inlineStr">
        <is>
          <t>Holmen skog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35286-2025</t>
        </is>
      </c>
      <c r="B1163" s="1" t="n">
        <v>45854</v>
      </c>
      <c r="C1163" s="1" t="n">
        <v>46199</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35572-2025</t>
        </is>
      </c>
      <c r="B1164" s="1" t="n">
        <v>45856</v>
      </c>
      <c r="C1164" s="1" t="n">
        <v>46199</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51559-2025</t>
        </is>
      </c>
      <c r="B1165" s="1" t="n">
        <v>45950</v>
      </c>
      <c r="C1165" s="1" t="n">
        <v>46199</v>
      </c>
      <c r="D1165" t="inlineStr">
        <is>
          <t>VÄSTERNORRLANDS LÄN</t>
        </is>
      </c>
      <c r="E1165" t="inlineStr">
        <is>
          <t>SOLLEFTEÅ</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35506-2025</t>
        </is>
      </c>
      <c r="B1166" s="1" t="n">
        <v>45856</v>
      </c>
      <c r="C1166" s="1" t="n">
        <v>46199</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35513-2025</t>
        </is>
      </c>
      <c r="B1167" s="1" t="n">
        <v>45856</v>
      </c>
      <c r="C1167" s="1" t="n">
        <v>46199</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4623-2023</t>
        </is>
      </c>
      <c r="B1168" s="1" t="n">
        <v>44956</v>
      </c>
      <c r="C1168" s="1" t="n">
        <v>46199</v>
      </c>
      <c r="D1168" t="inlineStr">
        <is>
          <t>VÄSTERNORRLANDS LÄN</t>
        </is>
      </c>
      <c r="E1168" t="inlineStr">
        <is>
          <t>SOLLEFTEÅ</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49156-2024</t>
        </is>
      </c>
      <c r="B1169" s="1" t="n">
        <v>45594</v>
      </c>
      <c r="C1169" s="1" t="n">
        <v>46199</v>
      </c>
      <c r="D1169" t="inlineStr">
        <is>
          <t>VÄSTERNORRLANDS LÄN</t>
        </is>
      </c>
      <c r="E1169" t="inlineStr">
        <is>
          <t>SOLLEFTEÅ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7721-2023</t>
        </is>
      </c>
      <c r="B1170" s="1" t="n">
        <v>44972</v>
      </c>
      <c r="C1170" s="1" t="n">
        <v>46199</v>
      </c>
      <c r="D1170" t="inlineStr">
        <is>
          <t>VÄSTERNORRLANDS LÄN</t>
        </is>
      </c>
      <c r="E1170" t="inlineStr">
        <is>
          <t>SOLLEFTEÅ</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51899-2025</t>
        </is>
      </c>
      <c r="B1171" s="1" t="n">
        <v>45952</v>
      </c>
      <c r="C1171" s="1" t="n">
        <v>46199</v>
      </c>
      <c r="D1171" t="inlineStr">
        <is>
          <t>VÄSTERNORRLANDS LÄN</t>
        </is>
      </c>
      <c r="E1171" t="inlineStr">
        <is>
          <t>SOLLEFTEÅ</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6063-2024</t>
        </is>
      </c>
      <c r="B1172" s="1" t="n">
        <v>45336</v>
      </c>
      <c r="C1172" s="1" t="n">
        <v>46199</v>
      </c>
      <c r="D1172" t="inlineStr">
        <is>
          <t>VÄSTERNORRLANDS LÄN</t>
        </is>
      </c>
      <c r="E1172" t="inlineStr">
        <is>
          <t>SOLLEFTEÅ</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35703-2025</t>
        </is>
      </c>
      <c r="B1173" s="1" t="n">
        <v>45860</v>
      </c>
      <c r="C1173" s="1" t="n">
        <v>46199</v>
      </c>
      <c r="D1173" t="inlineStr">
        <is>
          <t>VÄSTERNORRLANDS LÄN</t>
        </is>
      </c>
      <c r="E1173" t="inlineStr">
        <is>
          <t>SOLLEFTEÅ</t>
        </is>
      </c>
      <c r="F1173" t="inlineStr">
        <is>
          <t>SCA</t>
        </is>
      </c>
      <c r="G1173" t="n">
        <v>16.5</v>
      </c>
      <c r="H1173" t="n">
        <v>0</v>
      </c>
      <c r="I1173" t="n">
        <v>0</v>
      </c>
      <c r="J1173" t="n">
        <v>0</v>
      </c>
      <c r="K1173" t="n">
        <v>0</v>
      </c>
      <c r="L1173" t="n">
        <v>0</v>
      </c>
      <c r="M1173" t="n">
        <v>0</v>
      </c>
      <c r="N1173" t="n">
        <v>0</v>
      </c>
      <c r="O1173" t="n">
        <v>0</v>
      </c>
      <c r="P1173" t="n">
        <v>0</v>
      </c>
      <c r="Q1173" t="n">
        <v>0</v>
      </c>
      <c r="R1173" s="2" t="inlineStr"/>
    </row>
    <row r="1174" ht="15" customHeight="1">
      <c r="A1174" t="inlineStr">
        <is>
          <t>A 35704-2025</t>
        </is>
      </c>
      <c r="B1174" s="1" t="n">
        <v>45860</v>
      </c>
      <c r="C1174" s="1" t="n">
        <v>46199</v>
      </c>
      <c r="D1174" t="inlineStr">
        <is>
          <t>VÄSTERNORRLANDS LÄN</t>
        </is>
      </c>
      <c r="E1174" t="inlineStr">
        <is>
          <t>SOLLEFTEÅ</t>
        </is>
      </c>
      <c r="F1174" t="inlineStr">
        <is>
          <t>SCA</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52236-2025</t>
        </is>
      </c>
      <c r="B1175" s="1" t="n">
        <v>45953</v>
      </c>
      <c r="C1175" s="1" t="n">
        <v>46199</v>
      </c>
      <c r="D1175" t="inlineStr">
        <is>
          <t>VÄSTERNORRLANDS LÄN</t>
        </is>
      </c>
      <c r="E1175" t="inlineStr">
        <is>
          <t>SOLLEFTEÅ</t>
        </is>
      </c>
      <c r="F1175" t="inlineStr">
        <is>
          <t>Holmen skog AB</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53269-2025</t>
        </is>
      </c>
      <c r="B1176" s="1" t="n">
        <v>45958</v>
      </c>
      <c r="C1176" s="1" t="n">
        <v>46199</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21089-2025</t>
        </is>
      </c>
      <c r="B1177" s="1" t="n">
        <v>45777</v>
      </c>
      <c r="C1177" s="1" t="n">
        <v>46199</v>
      </c>
      <c r="D1177" t="inlineStr">
        <is>
          <t>VÄSTERNORRLANDS LÄN</t>
        </is>
      </c>
      <c r="E1177" t="inlineStr">
        <is>
          <t>SOLLEFTEÅ</t>
        </is>
      </c>
      <c r="F1177" t="inlineStr">
        <is>
          <t>SCA</t>
        </is>
      </c>
      <c r="G1177" t="n">
        <v>19.9</v>
      </c>
      <c r="H1177" t="n">
        <v>0</v>
      </c>
      <c r="I1177" t="n">
        <v>0</v>
      </c>
      <c r="J1177" t="n">
        <v>0</v>
      </c>
      <c r="K1177" t="n">
        <v>0</v>
      </c>
      <c r="L1177" t="n">
        <v>0</v>
      </c>
      <c r="M1177" t="n">
        <v>0</v>
      </c>
      <c r="N1177" t="n">
        <v>0</v>
      </c>
      <c r="O1177" t="n">
        <v>0</v>
      </c>
      <c r="P1177" t="n">
        <v>0</v>
      </c>
      <c r="Q1177" t="n">
        <v>0</v>
      </c>
      <c r="R1177" s="2" t="inlineStr"/>
    </row>
    <row r="1178" ht="15" customHeight="1">
      <c r="A1178" t="inlineStr">
        <is>
          <t>A 738-2026</t>
        </is>
      </c>
      <c r="B1178" s="1" t="n">
        <v>46029</v>
      </c>
      <c r="C1178" s="1" t="n">
        <v>46199</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10725-2025</t>
        </is>
      </c>
      <c r="B1179" s="1" t="n">
        <v>45722</v>
      </c>
      <c r="C1179" s="1" t="n">
        <v>46199</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10737-2025</t>
        </is>
      </c>
      <c r="B1180" s="1" t="n">
        <v>45722</v>
      </c>
      <c r="C1180" s="1" t="n">
        <v>46199</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896-2026</t>
        </is>
      </c>
      <c r="B1181" s="1" t="n">
        <v>46030</v>
      </c>
      <c r="C1181" s="1" t="n">
        <v>46199</v>
      </c>
      <c r="D1181" t="inlineStr">
        <is>
          <t>VÄSTERNORRLANDS LÄN</t>
        </is>
      </c>
      <c r="E1181" t="inlineStr">
        <is>
          <t>SOLLEFTEÅ</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1066-2026</t>
        </is>
      </c>
      <c r="B1182" s="1" t="n">
        <v>46030</v>
      </c>
      <c r="C1182" s="1" t="n">
        <v>46199</v>
      </c>
      <c r="D1182" t="inlineStr">
        <is>
          <t>VÄSTERNORRLANDS LÄN</t>
        </is>
      </c>
      <c r="E1182" t="inlineStr">
        <is>
          <t>SOLLEFTEÅ</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35924-2025</t>
        </is>
      </c>
      <c r="B1183" s="1" t="n">
        <v>45862</v>
      </c>
      <c r="C1183" s="1" t="n">
        <v>46199</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53030-2025</t>
        </is>
      </c>
      <c r="B1184" s="1" t="n">
        <v>45958</v>
      </c>
      <c r="C1184" s="1" t="n">
        <v>46199</v>
      </c>
      <c r="D1184" t="inlineStr">
        <is>
          <t>VÄSTERNORRLANDS LÄN</t>
        </is>
      </c>
      <c r="E1184" t="inlineStr">
        <is>
          <t>SOLLEFTEÅ</t>
        </is>
      </c>
      <c r="F1184" t="inlineStr">
        <is>
          <t>SCA</t>
        </is>
      </c>
      <c r="G1184" t="n">
        <v>11.7</v>
      </c>
      <c r="H1184" t="n">
        <v>0</v>
      </c>
      <c r="I1184" t="n">
        <v>0</v>
      </c>
      <c r="J1184" t="n">
        <v>0</v>
      </c>
      <c r="K1184" t="n">
        <v>0</v>
      </c>
      <c r="L1184" t="n">
        <v>0</v>
      </c>
      <c r="M1184" t="n">
        <v>0</v>
      </c>
      <c r="N1184" t="n">
        <v>0</v>
      </c>
      <c r="O1184" t="n">
        <v>0</v>
      </c>
      <c r="P1184" t="n">
        <v>0</v>
      </c>
      <c r="Q1184" t="n">
        <v>0</v>
      </c>
      <c r="R1184" s="2" t="inlineStr"/>
    </row>
    <row r="1185" ht="15" customHeight="1">
      <c r="A1185" t="inlineStr">
        <is>
          <t>A 52780-2025</t>
        </is>
      </c>
      <c r="B1185" s="1" t="n">
        <v>45957</v>
      </c>
      <c r="C1185" s="1" t="n">
        <v>46199</v>
      </c>
      <c r="D1185" t="inlineStr">
        <is>
          <t>VÄSTERNORRLANDS LÄN</t>
        </is>
      </c>
      <c r="E1185" t="inlineStr">
        <is>
          <t>SOLLEFTEÅ</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31451-2025</t>
        </is>
      </c>
      <c r="B1186" s="1" t="n">
        <v>45833</v>
      </c>
      <c r="C1186" s="1" t="n">
        <v>46199</v>
      </c>
      <c r="D1186" t="inlineStr">
        <is>
          <t>VÄSTERNORRLANDS LÄN</t>
        </is>
      </c>
      <c r="E1186" t="inlineStr">
        <is>
          <t>SOLLEFTEÅ</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35807-2025</t>
        </is>
      </c>
      <c r="B1187" s="1" t="n">
        <v>45861</v>
      </c>
      <c r="C1187" s="1" t="n">
        <v>46199</v>
      </c>
      <c r="D1187" t="inlineStr">
        <is>
          <t>VÄSTERNORRLANDS LÄN</t>
        </is>
      </c>
      <c r="E1187" t="inlineStr">
        <is>
          <t>SOLLEFTEÅ</t>
        </is>
      </c>
      <c r="F1187" t="inlineStr">
        <is>
          <t>SCA</t>
        </is>
      </c>
      <c r="G1187" t="n">
        <v>16.7</v>
      </c>
      <c r="H1187" t="n">
        <v>0</v>
      </c>
      <c r="I1187" t="n">
        <v>0</v>
      </c>
      <c r="J1187" t="n">
        <v>0</v>
      </c>
      <c r="K1187" t="n">
        <v>0</v>
      </c>
      <c r="L1187" t="n">
        <v>0</v>
      </c>
      <c r="M1187" t="n">
        <v>0</v>
      </c>
      <c r="N1187" t="n">
        <v>0</v>
      </c>
      <c r="O1187" t="n">
        <v>0</v>
      </c>
      <c r="P1187" t="n">
        <v>0</v>
      </c>
      <c r="Q1187" t="n">
        <v>0</v>
      </c>
      <c r="R1187" s="2" t="inlineStr"/>
    </row>
    <row r="1188" ht="15" customHeight="1">
      <c r="A1188" t="inlineStr">
        <is>
          <t>A 14730-2025</t>
        </is>
      </c>
      <c r="B1188" s="1" t="n">
        <v>45742</v>
      </c>
      <c r="C1188" s="1" t="n">
        <v>46199</v>
      </c>
      <c r="D1188" t="inlineStr">
        <is>
          <t>VÄSTERNORRLANDS LÄN</t>
        </is>
      </c>
      <c r="E1188" t="inlineStr">
        <is>
          <t>SOLLEFTEÅ</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33495-2025</t>
        </is>
      </c>
      <c r="B1189" s="1" t="n">
        <v>45841</v>
      </c>
      <c r="C1189" s="1" t="n">
        <v>46199</v>
      </c>
      <c r="D1189" t="inlineStr">
        <is>
          <t>VÄSTERNORRLANDS LÄN</t>
        </is>
      </c>
      <c r="E1189" t="inlineStr">
        <is>
          <t>SOLLEFTEÅ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36068-2025</t>
        </is>
      </c>
      <c r="B1190" s="1" t="n">
        <v>45866</v>
      </c>
      <c r="C1190" s="1" t="n">
        <v>46199</v>
      </c>
      <c r="D1190" t="inlineStr">
        <is>
          <t>VÄSTERNORRLANDS LÄN</t>
        </is>
      </c>
      <c r="E1190" t="inlineStr">
        <is>
          <t>SOLLEFTEÅ</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33496-2025</t>
        </is>
      </c>
      <c r="B1191" s="1" t="n">
        <v>45841</v>
      </c>
      <c r="C1191" s="1" t="n">
        <v>46199</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36135-2025</t>
        </is>
      </c>
      <c r="B1192" s="1" t="n">
        <v>45866</v>
      </c>
      <c r="C1192" s="1" t="n">
        <v>46199</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46759-2024</t>
        </is>
      </c>
      <c r="B1193" s="1" t="n">
        <v>45583</v>
      </c>
      <c r="C1193" s="1" t="n">
        <v>46199</v>
      </c>
      <c r="D1193" t="inlineStr">
        <is>
          <t>VÄSTERNORRLANDS LÄN</t>
        </is>
      </c>
      <c r="E1193" t="inlineStr">
        <is>
          <t>SOLLEFTEÅ</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47631-2024</t>
        </is>
      </c>
      <c r="B1194" s="1" t="n">
        <v>45588</v>
      </c>
      <c r="C1194" s="1" t="n">
        <v>46199</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53240-2025</t>
        </is>
      </c>
      <c r="B1195" s="1" t="n">
        <v>45958</v>
      </c>
      <c r="C1195" s="1" t="n">
        <v>46199</v>
      </c>
      <c r="D1195" t="inlineStr">
        <is>
          <t>VÄSTERNORRLANDS LÄN</t>
        </is>
      </c>
      <c r="E1195" t="inlineStr">
        <is>
          <t>SOLLEFTEÅ</t>
        </is>
      </c>
      <c r="F1195" t="inlineStr">
        <is>
          <t>SCA</t>
        </is>
      </c>
      <c r="G1195" t="n">
        <v>36.2</v>
      </c>
      <c r="H1195" t="n">
        <v>0</v>
      </c>
      <c r="I1195" t="n">
        <v>0</v>
      </c>
      <c r="J1195" t="n">
        <v>0</v>
      </c>
      <c r="K1195" t="n">
        <v>0</v>
      </c>
      <c r="L1195" t="n">
        <v>0</v>
      </c>
      <c r="M1195" t="n">
        <v>0</v>
      </c>
      <c r="N1195" t="n">
        <v>0</v>
      </c>
      <c r="O1195" t="n">
        <v>0</v>
      </c>
      <c r="P1195" t="n">
        <v>0</v>
      </c>
      <c r="Q1195" t="n">
        <v>0</v>
      </c>
      <c r="R1195" s="2" t="inlineStr"/>
    </row>
    <row r="1196" ht="15" customHeight="1">
      <c r="A1196" t="inlineStr">
        <is>
          <t>A 53097-2025</t>
        </is>
      </c>
      <c r="B1196" s="1" t="n">
        <v>45958</v>
      </c>
      <c r="C1196" s="1" t="n">
        <v>46199</v>
      </c>
      <c r="D1196" t="inlineStr">
        <is>
          <t>VÄSTERNORRLANDS LÄN</t>
        </is>
      </c>
      <c r="E1196" t="inlineStr">
        <is>
          <t>SOLLEFTEÅ</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53098-2025</t>
        </is>
      </c>
      <c r="B1197" s="1" t="n">
        <v>45958</v>
      </c>
      <c r="C1197" s="1" t="n">
        <v>46199</v>
      </c>
      <c r="D1197" t="inlineStr">
        <is>
          <t>VÄSTERNORRLANDS LÄN</t>
        </is>
      </c>
      <c r="E1197" t="inlineStr">
        <is>
          <t>SOLLEFTEÅ</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52767-2025</t>
        </is>
      </c>
      <c r="B1198" s="1" t="n">
        <v>45957</v>
      </c>
      <c r="C1198" s="1" t="n">
        <v>46199</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52974-2025</t>
        </is>
      </c>
      <c r="B1199" s="1" t="n">
        <v>45957</v>
      </c>
      <c r="C1199" s="1" t="n">
        <v>46199</v>
      </c>
      <c r="D1199" t="inlineStr">
        <is>
          <t>VÄSTERNORRLANDS LÄN</t>
        </is>
      </c>
      <c r="E1199" t="inlineStr">
        <is>
          <t>SOLLEFTEÅ</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29125-2025</t>
        </is>
      </c>
      <c r="B1200" s="1" t="n">
        <v>45821</v>
      </c>
      <c r="C1200" s="1" t="n">
        <v>46199</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36063-2025</t>
        </is>
      </c>
      <c r="B1201" s="1" t="n">
        <v>45866</v>
      </c>
      <c r="C1201" s="1" t="n">
        <v>46199</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36064-2025</t>
        </is>
      </c>
      <c r="B1202" s="1" t="n">
        <v>45866</v>
      </c>
      <c r="C1202" s="1" t="n">
        <v>46199</v>
      </c>
      <c r="D1202" t="inlineStr">
        <is>
          <t>VÄSTERNORRLANDS LÄN</t>
        </is>
      </c>
      <c r="E1202" t="inlineStr">
        <is>
          <t>SOLLEFTEÅ</t>
        </is>
      </c>
      <c r="F1202" t="inlineStr">
        <is>
          <t>SCA</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49789-2025</t>
        </is>
      </c>
      <c r="B1203" s="1" t="n">
        <v>45940</v>
      </c>
      <c r="C1203" s="1" t="n">
        <v>46199</v>
      </c>
      <c r="D1203" t="inlineStr">
        <is>
          <t>VÄSTERNORRLANDS LÄN</t>
        </is>
      </c>
      <c r="E1203" t="inlineStr">
        <is>
          <t>SOLLEFTEÅ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36373-2025</t>
        </is>
      </c>
      <c r="B1204" s="1" t="n">
        <v>45868</v>
      </c>
      <c r="C1204" s="1" t="n">
        <v>46199</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36324-2025</t>
        </is>
      </c>
      <c r="B1205" s="1" t="n">
        <v>45868</v>
      </c>
      <c r="C1205" s="1" t="n">
        <v>46199</v>
      </c>
      <c r="D1205" t="inlineStr">
        <is>
          <t>VÄSTERNORRLANDS LÄN</t>
        </is>
      </c>
      <c r="E1205" t="inlineStr">
        <is>
          <t>SOLLEFTEÅ</t>
        </is>
      </c>
      <c r="F1205" t="inlineStr">
        <is>
          <t>SCA</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2074-2026</t>
        </is>
      </c>
      <c r="B1206" s="1" t="n">
        <v>46036</v>
      </c>
      <c r="C1206" s="1" t="n">
        <v>46199</v>
      </c>
      <c r="D1206" t="inlineStr">
        <is>
          <t>VÄSTERNORRLANDS LÄN</t>
        </is>
      </c>
      <c r="E1206" t="inlineStr">
        <is>
          <t>SOLLEFTEÅ</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36312-2025</t>
        </is>
      </c>
      <c r="B1207" s="1" t="n">
        <v>45868</v>
      </c>
      <c r="C1207" s="1" t="n">
        <v>46199</v>
      </c>
      <c r="D1207" t="inlineStr">
        <is>
          <t>VÄSTERNORRLANDS LÄN</t>
        </is>
      </c>
      <c r="E1207" t="inlineStr">
        <is>
          <t>SOLLEFTEÅ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2459-2026</t>
        </is>
      </c>
      <c r="B1208" s="1" t="n">
        <v>46035</v>
      </c>
      <c r="C1208" s="1" t="n">
        <v>46199</v>
      </c>
      <c r="D1208" t="inlineStr">
        <is>
          <t>VÄSTERNORRLANDS LÄN</t>
        </is>
      </c>
      <c r="E1208" t="inlineStr">
        <is>
          <t>SOLLEFTEÅ</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2834-2026</t>
        </is>
      </c>
      <c r="B1209" s="1" t="n">
        <v>46036</v>
      </c>
      <c r="C1209" s="1" t="n">
        <v>46199</v>
      </c>
      <c r="D1209" t="inlineStr">
        <is>
          <t>VÄSTERNORRLANDS LÄN</t>
        </is>
      </c>
      <c r="E1209" t="inlineStr">
        <is>
          <t>SOLLEFTEÅ</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2376-2026</t>
        </is>
      </c>
      <c r="B1210" s="1" t="n">
        <v>46036</v>
      </c>
      <c r="C1210" s="1" t="n">
        <v>46199</v>
      </c>
      <c r="D1210" t="inlineStr">
        <is>
          <t>VÄSTERNORRLANDS LÄN</t>
        </is>
      </c>
      <c r="E1210" t="inlineStr">
        <is>
          <t>SOLLEFTEÅ</t>
        </is>
      </c>
      <c r="F1210" t="inlineStr">
        <is>
          <t>SCA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7261-2024</t>
        </is>
      </c>
      <c r="B1211" s="1" t="n">
        <v>45344</v>
      </c>
      <c r="C1211" s="1" t="n">
        <v>46199</v>
      </c>
      <c r="D1211" t="inlineStr">
        <is>
          <t>VÄSTERNORRLANDS LÄN</t>
        </is>
      </c>
      <c r="E1211" t="inlineStr">
        <is>
          <t>SOLLEFTEÅ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11026-2025</t>
        </is>
      </c>
      <c r="B1212" s="1" t="n">
        <v>45723</v>
      </c>
      <c r="C1212" s="1" t="n">
        <v>46199</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53530-2025</t>
        </is>
      </c>
      <c r="B1213" s="1" t="n">
        <v>45960</v>
      </c>
      <c r="C1213" s="1" t="n">
        <v>46199</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36561-2025</t>
        </is>
      </c>
      <c r="B1214" s="1" t="n">
        <v>45870</v>
      </c>
      <c r="C1214" s="1" t="n">
        <v>46199</v>
      </c>
      <c r="D1214" t="inlineStr">
        <is>
          <t>VÄSTERNORRLANDS LÄN</t>
        </is>
      </c>
      <c r="E1214" t="inlineStr">
        <is>
          <t>SOLLEFTEÅ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36571-2025</t>
        </is>
      </c>
      <c r="B1215" s="1" t="n">
        <v>45870</v>
      </c>
      <c r="C1215" s="1" t="n">
        <v>46199</v>
      </c>
      <c r="D1215" t="inlineStr">
        <is>
          <t>VÄSTERNORRLANDS LÄN</t>
        </is>
      </c>
      <c r="E1215" t="inlineStr">
        <is>
          <t>SOLLEFTEÅ</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36545-2025</t>
        </is>
      </c>
      <c r="B1216" s="1" t="n">
        <v>45869</v>
      </c>
      <c r="C1216" s="1" t="n">
        <v>46199</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3689-2023</t>
        </is>
      </c>
      <c r="B1217" s="1" t="n">
        <v>44950</v>
      </c>
      <c r="C1217" s="1" t="n">
        <v>46199</v>
      </c>
      <c r="D1217" t="inlineStr">
        <is>
          <t>VÄSTERNORRLANDS LÄN</t>
        </is>
      </c>
      <c r="E1217" t="inlineStr">
        <is>
          <t>SOLLEFTEÅ</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1999-2026</t>
        </is>
      </c>
      <c r="B1218" s="1" t="n">
        <v>46035</v>
      </c>
      <c r="C1218" s="1" t="n">
        <v>46199</v>
      </c>
      <c r="D1218" t="inlineStr">
        <is>
          <t>VÄSTERNORRLANDS LÄN</t>
        </is>
      </c>
      <c r="E1218" t="inlineStr">
        <is>
          <t>SOLLEFTEÅ</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49791-2025</t>
        </is>
      </c>
      <c r="B1219" s="1" t="n">
        <v>45940</v>
      </c>
      <c r="C1219" s="1" t="n">
        <v>46199</v>
      </c>
      <c r="D1219" t="inlineStr">
        <is>
          <t>VÄSTERNORRLANDS LÄN</t>
        </is>
      </c>
      <c r="E1219" t="inlineStr">
        <is>
          <t>SOLLEFTEÅ</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31555-2024</t>
        </is>
      </c>
      <c r="B1220" s="1" t="n">
        <v>45505</v>
      </c>
      <c r="C1220" s="1" t="n">
        <v>46199</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2076-2026</t>
        </is>
      </c>
      <c r="B1221" s="1" t="n">
        <v>46036</v>
      </c>
      <c r="C1221" s="1" t="n">
        <v>46199</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2080-2026</t>
        </is>
      </c>
      <c r="B1222" s="1" t="n">
        <v>46036</v>
      </c>
      <c r="C1222" s="1" t="n">
        <v>46199</v>
      </c>
      <c r="D1222" t="inlineStr">
        <is>
          <t>VÄSTERNORRLANDS LÄN</t>
        </is>
      </c>
      <c r="E1222" t="inlineStr">
        <is>
          <t>SOLLEFTEÅ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2836-2026</t>
        </is>
      </c>
      <c r="B1223" s="1" t="n">
        <v>46036</v>
      </c>
      <c r="C1223" s="1" t="n">
        <v>46199</v>
      </c>
      <c r="D1223" t="inlineStr">
        <is>
          <t>VÄSTERNORRLANDS LÄN</t>
        </is>
      </c>
      <c r="E1223" t="inlineStr">
        <is>
          <t>SOLLEFTEÅ</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53468-2025</t>
        </is>
      </c>
      <c r="B1224" s="1" t="n">
        <v>45959</v>
      </c>
      <c r="C1224" s="1" t="n">
        <v>46199</v>
      </c>
      <c r="D1224" t="inlineStr">
        <is>
          <t>VÄSTERNORRLANDS LÄN</t>
        </is>
      </c>
      <c r="E1224" t="inlineStr">
        <is>
          <t>SOLLEFTEÅ</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2263-2026</t>
        </is>
      </c>
      <c r="B1225" s="1" t="n">
        <v>46036</v>
      </c>
      <c r="C1225" s="1" t="n">
        <v>46199</v>
      </c>
      <c r="D1225" t="inlineStr">
        <is>
          <t>VÄSTERNORRLANDS LÄN</t>
        </is>
      </c>
      <c r="E1225" t="inlineStr">
        <is>
          <t>SOLLEFTEÅ</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1812-2026</t>
        </is>
      </c>
      <c r="B1226" s="1" t="n">
        <v>46035</v>
      </c>
      <c r="C1226" s="1" t="n">
        <v>46199</v>
      </c>
      <c r="D1226" t="inlineStr">
        <is>
          <t>VÄSTERNORRLANDS LÄN</t>
        </is>
      </c>
      <c r="E1226" t="inlineStr">
        <is>
          <t>SOLLEFTEÅ</t>
        </is>
      </c>
      <c r="F1226" t="inlineStr">
        <is>
          <t>SCA</t>
        </is>
      </c>
      <c r="G1226" t="n">
        <v>25.8</v>
      </c>
      <c r="H1226" t="n">
        <v>0</v>
      </c>
      <c r="I1226" t="n">
        <v>0</v>
      </c>
      <c r="J1226" t="n">
        <v>0</v>
      </c>
      <c r="K1226" t="n">
        <v>0</v>
      </c>
      <c r="L1226" t="n">
        <v>0</v>
      </c>
      <c r="M1226" t="n">
        <v>0</v>
      </c>
      <c r="N1226" t="n">
        <v>0</v>
      </c>
      <c r="O1226" t="n">
        <v>0</v>
      </c>
      <c r="P1226" t="n">
        <v>0</v>
      </c>
      <c r="Q1226" t="n">
        <v>0</v>
      </c>
      <c r="R1226" s="2" t="inlineStr"/>
    </row>
    <row r="1227" ht="15" customHeight="1">
      <c r="A1227" t="inlineStr">
        <is>
          <t>A 2391-2026</t>
        </is>
      </c>
      <c r="B1227" s="1" t="n">
        <v>46035</v>
      </c>
      <c r="C1227" s="1" t="n">
        <v>46199</v>
      </c>
      <c r="D1227" t="inlineStr">
        <is>
          <t>VÄSTERNORRLANDS LÄN</t>
        </is>
      </c>
      <c r="E1227" t="inlineStr">
        <is>
          <t>SOLLEFTEÅ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53639-2025</t>
        </is>
      </c>
      <c r="B1228" s="1" t="n">
        <v>45960</v>
      </c>
      <c r="C1228" s="1" t="n">
        <v>46199</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2027-2026</t>
        </is>
      </c>
      <c r="B1229" s="1" t="n">
        <v>46035</v>
      </c>
      <c r="C1229" s="1" t="n">
        <v>46199</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36139-2024</t>
        </is>
      </c>
      <c r="B1230" s="1" t="n">
        <v>45534</v>
      </c>
      <c r="C1230" s="1" t="n">
        <v>46199</v>
      </c>
      <c r="D1230" t="inlineStr">
        <is>
          <t>VÄSTERNORRLANDS LÄN</t>
        </is>
      </c>
      <c r="E1230" t="inlineStr">
        <is>
          <t>SOLLEFTEÅ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36144-2024</t>
        </is>
      </c>
      <c r="B1231" s="1" t="n">
        <v>45534</v>
      </c>
      <c r="C1231" s="1" t="n">
        <v>46199</v>
      </c>
      <c r="D1231" t="inlineStr">
        <is>
          <t>VÄSTERNORRLANDS LÄN</t>
        </is>
      </c>
      <c r="E1231" t="inlineStr">
        <is>
          <t>SOLLEFTEÅ</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53382-2025</t>
        </is>
      </c>
      <c r="B1232" s="1" t="n">
        <v>45959</v>
      </c>
      <c r="C1232" s="1" t="n">
        <v>46199</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31395-2025</t>
        </is>
      </c>
      <c r="B1233" s="1" t="n">
        <v>45833</v>
      </c>
      <c r="C1233" s="1" t="n">
        <v>46199</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22468-2024</t>
        </is>
      </c>
      <c r="B1234" s="1" t="n">
        <v>45446</v>
      </c>
      <c r="C1234" s="1" t="n">
        <v>46199</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53974-2025</t>
        </is>
      </c>
      <c r="B1235" s="1" t="n">
        <v>45961</v>
      </c>
      <c r="C1235" s="1" t="n">
        <v>46199</v>
      </c>
      <c r="D1235" t="inlineStr">
        <is>
          <t>VÄSTERNORRLANDS LÄN</t>
        </is>
      </c>
      <c r="E1235" t="inlineStr">
        <is>
          <t>SOLLEFTEÅ</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54272-2025</t>
        </is>
      </c>
      <c r="B1236" s="1" t="n">
        <v>45964</v>
      </c>
      <c r="C1236" s="1" t="n">
        <v>46199</v>
      </c>
      <c r="D1236" t="inlineStr">
        <is>
          <t>VÄSTERNORRLANDS LÄN</t>
        </is>
      </c>
      <c r="E1236" t="inlineStr">
        <is>
          <t>SOLLEFTEÅ</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10077-2023</t>
        </is>
      </c>
      <c r="B1237" s="1" t="n">
        <v>44985</v>
      </c>
      <c r="C1237" s="1" t="n">
        <v>46199</v>
      </c>
      <c r="D1237" t="inlineStr">
        <is>
          <t>VÄSTERNORRLANDS LÄN</t>
        </is>
      </c>
      <c r="E1237" t="inlineStr">
        <is>
          <t>SOLLEFTEÅ</t>
        </is>
      </c>
      <c r="F1237" t="inlineStr">
        <is>
          <t>SCA</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2453-2026</t>
        </is>
      </c>
      <c r="B1238" s="1" t="n">
        <v>46037</v>
      </c>
      <c r="C1238" s="1" t="n">
        <v>46199</v>
      </c>
      <c r="D1238" t="inlineStr">
        <is>
          <t>VÄSTERNORRLANDS LÄN</t>
        </is>
      </c>
      <c r="E1238" t="inlineStr">
        <is>
          <t>SOLLEFTEÅ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36967-2025</t>
        </is>
      </c>
      <c r="B1239" s="1" t="n">
        <v>45874</v>
      </c>
      <c r="C1239" s="1" t="n">
        <v>46199</v>
      </c>
      <c r="D1239" t="inlineStr">
        <is>
          <t>VÄSTERNORRLANDS LÄN</t>
        </is>
      </c>
      <c r="E1239" t="inlineStr">
        <is>
          <t>SOLLEFTEÅ</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2987-2026</t>
        </is>
      </c>
      <c r="B1240" s="1" t="n">
        <v>46038</v>
      </c>
      <c r="C1240" s="1" t="n">
        <v>46199</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54330-2023</t>
        </is>
      </c>
      <c r="B1241" s="1" t="n">
        <v>45232</v>
      </c>
      <c r="C1241" s="1" t="n">
        <v>46199</v>
      </c>
      <c r="D1241" t="inlineStr">
        <is>
          <t>VÄSTERNORRLANDS LÄN</t>
        </is>
      </c>
      <c r="E1241" t="inlineStr">
        <is>
          <t>SOLLEFTEÅ</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3425-2026</t>
        </is>
      </c>
      <c r="B1242" s="1" t="n">
        <v>46042</v>
      </c>
      <c r="C1242" s="1" t="n">
        <v>46199</v>
      </c>
      <c r="D1242" t="inlineStr">
        <is>
          <t>VÄSTERNORRLANDS LÄN</t>
        </is>
      </c>
      <c r="E1242" t="inlineStr">
        <is>
          <t>SOLLEFTEÅ</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54256-2025</t>
        </is>
      </c>
      <c r="B1243" s="1" t="n">
        <v>45964</v>
      </c>
      <c r="C1243" s="1" t="n">
        <v>46199</v>
      </c>
      <c r="D1243" t="inlineStr">
        <is>
          <t>VÄSTERNORRLANDS LÄN</t>
        </is>
      </c>
      <c r="E1243" t="inlineStr">
        <is>
          <t>SOLLEFTEÅ</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36065-2025</t>
        </is>
      </c>
      <c r="B1244" s="1" t="n">
        <v>45866</v>
      </c>
      <c r="C1244" s="1" t="n">
        <v>46199</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3495-2026</t>
        </is>
      </c>
      <c r="B1245" s="1" t="n">
        <v>46042</v>
      </c>
      <c r="C1245" s="1" t="n">
        <v>46199</v>
      </c>
      <c r="D1245" t="inlineStr">
        <is>
          <t>VÄSTERNORRLANDS LÄN</t>
        </is>
      </c>
      <c r="E1245" t="inlineStr">
        <is>
          <t>SOLLEFTEÅ</t>
        </is>
      </c>
      <c r="F1245" t="inlineStr">
        <is>
          <t>Kyrkan</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36927-2025</t>
        </is>
      </c>
      <c r="B1246" s="1" t="n">
        <v>45874</v>
      </c>
      <c r="C1246" s="1" t="n">
        <v>46199</v>
      </c>
      <c r="D1246" t="inlineStr">
        <is>
          <t>VÄSTERNORRLANDS LÄN</t>
        </is>
      </c>
      <c r="E1246" t="inlineStr">
        <is>
          <t>SOLLEFTEÅ</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6284-2025</t>
        </is>
      </c>
      <c r="B1247" s="1" t="n">
        <v>45698</v>
      </c>
      <c r="C1247" s="1" t="n">
        <v>46199</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62357-2023</t>
        </is>
      </c>
      <c r="B1248" s="1" t="n">
        <v>45267</v>
      </c>
      <c r="C1248" s="1" t="n">
        <v>46199</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3179-2026</t>
        </is>
      </c>
      <c r="B1249" s="1" t="n">
        <v>46041</v>
      </c>
      <c r="C1249" s="1" t="n">
        <v>46199</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36850-2025</t>
        </is>
      </c>
      <c r="B1250" s="1" t="n">
        <v>45874</v>
      </c>
      <c r="C1250" s="1" t="n">
        <v>46199</v>
      </c>
      <c r="D1250" t="inlineStr">
        <is>
          <t>VÄSTERNORRLANDS LÄN</t>
        </is>
      </c>
      <c r="E1250" t="inlineStr">
        <is>
          <t>SOLLEFTEÅ</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3584-2026</t>
        </is>
      </c>
      <c r="B1251" s="1" t="n">
        <v>46042</v>
      </c>
      <c r="C1251" s="1" t="n">
        <v>46199</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36968-2025</t>
        </is>
      </c>
      <c r="B1252" s="1" t="n">
        <v>45874</v>
      </c>
      <c r="C1252" s="1" t="n">
        <v>46199</v>
      </c>
      <c r="D1252" t="inlineStr">
        <is>
          <t>VÄSTERNORRLANDS LÄN</t>
        </is>
      </c>
      <c r="E1252" t="inlineStr">
        <is>
          <t>SOLLEFTEÅ</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54271-2025</t>
        </is>
      </c>
      <c r="B1253" s="1" t="n">
        <v>45964</v>
      </c>
      <c r="C1253" s="1" t="n">
        <v>46199</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54255-2025</t>
        </is>
      </c>
      <c r="B1254" s="1" t="n">
        <v>45964</v>
      </c>
      <c r="C1254" s="1" t="n">
        <v>46199</v>
      </c>
      <c r="D1254" t="inlineStr">
        <is>
          <t>VÄSTERNORRLANDS LÄN</t>
        </is>
      </c>
      <c r="E1254" t="inlineStr">
        <is>
          <t>SOLLEFTEÅ</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3229-2026</t>
        </is>
      </c>
      <c r="B1255" s="1" t="n">
        <v>46041</v>
      </c>
      <c r="C1255" s="1" t="n">
        <v>46199</v>
      </c>
      <c r="D1255" t="inlineStr">
        <is>
          <t>VÄSTERNORRLANDS LÄN</t>
        </is>
      </c>
      <c r="E1255" t="inlineStr">
        <is>
          <t>SOLLEFTEÅ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3320-2026</t>
        </is>
      </c>
      <c r="B1256" s="1" t="n">
        <v>46041</v>
      </c>
      <c r="C1256" s="1" t="n">
        <v>46199</v>
      </c>
      <c r="D1256" t="inlineStr">
        <is>
          <t>VÄSTERNORRLANDS LÄN</t>
        </is>
      </c>
      <c r="E1256" t="inlineStr">
        <is>
          <t>SOLLEFTEÅ</t>
        </is>
      </c>
      <c r="F1256" t="inlineStr">
        <is>
          <t>Övriga statliga verk och myndigheter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3210-2026</t>
        </is>
      </c>
      <c r="B1257" s="1" t="n">
        <v>46041</v>
      </c>
      <c r="C1257" s="1" t="n">
        <v>46199</v>
      </c>
      <c r="D1257" t="inlineStr">
        <is>
          <t>VÄSTERNORRLANDS LÄN</t>
        </is>
      </c>
      <c r="E1257" t="inlineStr">
        <is>
          <t>SOLLEFTEÅ</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53867-2025</t>
        </is>
      </c>
      <c r="B1258" s="1" t="n">
        <v>45961</v>
      </c>
      <c r="C1258" s="1" t="n">
        <v>46199</v>
      </c>
      <c r="D1258" t="inlineStr">
        <is>
          <t>VÄSTERNORRLANDS LÄN</t>
        </is>
      </c>
      <c r="E1258" t="inlineStr">
        <is>
          <t>SOLLEFTEÅ</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53833-2025</t>
        </is>
      </c>
      <c r="B1259" s="1" t="n">
        <v>45961</v>
      </c>
      <c r="C1259" s="1" t="n">
        <v>46199</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54194-2025</t>
        </is>
      </c>
      <c r="B1260" s="1" t="n">
        <v>45964</v>
      </c>
      <c r="C1260" s="1" t="n">
        <v>46199</v>
      </c>
      <c r="D1260" t="inlineStr">
        <is>
          <t>VÄSTERNORRLANDS LÄN</t>
        </is>
      </c>
      <c r="E1260" t="inlineStr">
        <is>
          <t>SOLLEFTEÅ</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3052-2026</t>
        </is>
      </c>
      <c r="B1261" s="1" t="n">
        <v>46039</v>
      </c>
      <c r="C1261" s="1" t="n">
        <v>46199</v>
      </c>
      <c r="D1261" t="inlineStr">
        <is>
          <t>VÄSTERNORRLANDS LÄN</t>
        </is>
      </c>
      <c r="E1261" t="inlineStr">
        <is>
          <t>SOLLEFTEÅ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36928-2025</t>
        </is>
      </c>
      <c r="B1262" s="1" t="n">
        <v>45874</v>
      </c>
      <c r="C1262" s="1" t="n">
        <v>46199</v>
      </c>
      <c r="D1262" t="inlineStr">
        <is>
          <t>VÄSTERNORRLANDS LÄN</t>
        </is>
      </c>
      <c r="E1262" t="inlineStr">
        <is>
          <t>SOLLEFTEÅ</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4058-2026</t>
        </is>
      </c>
      <c r="B1263" s="1" t="n">
        <v>46044</v>
      </c>
      <c r="C1263" s="1" t="n">
        <v>46199</v>
      </c>
      <c r="D1263" t="inlineStr">
        <is>
          <t>VÄSTERNORRLANDS LÄN</t>
        </is>
      </c>
      <c r="E1263" t="inlineStr">
        <is>
          <t>SOLLEFTEÅ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4149-2026</t>
        </is>
      </c>
      <c r="B1264" s="1" t="n">
        <v>46044</v>
      </c>
      <c r="C1264" s="1" t="n">
        <v>46199</v>
      </c>
      <c r="D1264" t="inlineStr">
        <is>
          <t>VÄSTERNORRLANDS LÄN</t>
        </is>
      </c>
      <c r="E1264" t="inlineStr">
        <is>
          <t>SOLLEFTEÅ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54472-2025</t>
        </is>
      </c>
      <c r="B1265" s="1" t="n">
        <v>45965</v>
      </c>
      <c r="C1265" s="1" t="n">
        <v>46199</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54471-2025</t>
        </is>
      </c>
      <c r="B1266" s="1" t="n">
        <v>45965</v>
      </c>
      <c r="C1266" s="1" t="n">
        <v>46199</v>
      </c>
      <c r="D1266" t="inlineStr">
        <is>
          <t>VÄSTERNORRLANDS LÄN</t>
        </is>
      </c>
      <c r="E1266" t="inlineStr">
        <is>
          <t>SOLLEFTEÅ</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54486-2025</t>
        </is>
      </c>
      <c r="B1267" s="1" t="n">
        <v>45965</v>
      </c>
      <c r="C1267" s="1" t="n">
        <v>46199</v>
      </c>
      <c r="D1267" t="inlineStr">
        <is>
          <t>VÄSTERNORRLANDS LÄN</t>
        </is>
      </c>
      <c r="E1267" t="inlineStr">
        <is>
          <t>SOLLEFTEÅ</t>
        </is>
      </c>
      <c r="F1267" t="inlineStr">
        <is>
          <t>SCA</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54487-2025</t>
        </is>
      </c>
      <c r="B1268" s="1" t="n">
        <v>45965</v>
      </c>
      <c r="C1268" s="1" t="n">
        <v>46199</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4052-2026</t>
        </is>
      </c>
      <c r="B1269" s="1" t="n">
        <v>46044</v>
      </c>
      <c r="C1269" s="1" t="n">
        <v>46199</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37019-2025</t>
        </is>
      </c>
      <c r="B1270" s="1" t="n">
        <v>45874</v>
      </c>
      <c r="C1270" s="1" t="n">
        <v>46199</v>
      </c>
      <c r="D1270" t="inlineStr">
        <is>
          <t>VÄSTERNORRLANDS LÄN</t>
        </is>
      </c>
      <c r="E1270" t="inlineStr">
        <is>
          <t>SOLLEFTEÅ</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45435-2024</t>
        </is>
      </c>
      <c r="B1271" s="1" t="n">
        <v>45576</v>
      </c>
      <c r="C1271" s="1" t="n">
        <v>46199</v>
      </c>
      <c r="D1271" t="inlineStr">
        <is>
          <t>VÄSTERNORRLANDS LÄN</t>
        </is>
      </c>
      <c r="E1271" t="inlineStr">
        <is>
          <t>SOLLEFTEÅ</t>
        </is>
      </c>
      <c r="F1271" t="inlineStr">
        <is>
          <t>SCA</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37242-2025</t>
        </is>
      </c>
      <c r="B1272" s="1" t="n">
        <v>45876</v>
      </c>
      <c r="C1272" s="1" t="n">
        <v>46199</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43585-2024</t>
        </is>
      </c>
      <c r="B1273" s="1" t="n">
        <v>45569</v>
      </c>
      <c r="C1273" s="1" t="n">
        <v>46199</v>
      </c>
      <c r="D1273" t="inlineStr">
        <is>
          <t>VÄSTERNORRLANDS LÄN</t>
        </is>
      </c>
      <c r="E1273" t="inlineStr">
        <is>
          <t>SOLLEFTEÅ</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37278-2025</t>
        </is>
      </c>
      <c r="B1274" s="1" t="n">
        <v>45876</v>
      </c>
      <c r="C1274" s="1" t="n">
        <v>46199</v>
      </c>
      <c r="D1274" t="inlineStr">
        <is>
          <t>VÄSTERNORRLANDS LÄN</t>
        </is>
      </c>
      <c r="E1274" t="inlineStr">
        <is>
          <t>SOLLEFTEÅ</t>
        </is>
      </c>
      <c r="F1274" t="inlineStr">
        <is>
          <t>SCA</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37304-2025</t>
        </is>
      </c>
      <c r="B1275" s="1" t="n">
        <v>45876</v>
      </c>
      <c r="C1275" s="1" t="n">
        <v>46199</v>
      </c>
      <c r="D1275" t="inlineStr">
        <is>
          <t>VÄSTERNORRLANDS LÄN</t>
        </is>
      </c>
      <c r="E1275" t="inlineStr">
        <is>
          <t>SOLLEFTEÅ</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52438-2024</t>
        </is>
      </c>
      <c r="B1276" s="1" t="n">
        <v>45609</v>
      </c>
      <c r="C1276" s="1" t="n">
        <v>46199</v>
      </c>
      <c r="D1276" t="inlineStr">
        <is>
          <t>VÄSTERNORRLANDS LÄN</t>
        </is>
      </c>
      <c r="E1276" t="inlineStr">
        <is>
          <t>SOLLEFTEÅ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12311-2023</t>
        </is>
      </c>
      <c r="B1277" s="1" t="n">
        <v>44995</v>
      </c>
      <c r="C1277" s="1" t="n">
        <v>46199</v>
      </c>
      <c r="D1277" t="inlineStr">
        <is>
          <t>VÄSTERNORRLANDS LÄN</t>
        </is>
      </c>
      <c r="E1277" t="inlineStr">
        <is>
          <t>SOLLEFTEÅ</t>
        </is>
      </c>
      <c r="G1277" t="n">
        <v>16.8</v>
      </c>
      <c r="H1277" t="n">
        <v>0</v>
      </c>
      <c r="I1277" t="n">
        <v>0</v>
      </c>
      <c r="J1277" t="n">
        <v>0</v>
      </c>
      <c r="K1277" t="n">
        <v>0</v>
      </c>
      <c r="L1277" t="n">
        <v>0</v>
      </c>
      <c r="M1277" t="n">
        <v>0</v>
      </c>
      <c r="N1277" t="n">
        <v>0</v>
      </c>
      <c r="O1277" t="n">
        <v>0</v>
      </c>
      <c r="P1277" t="n">
        <v>0</v>
      </c>
      <c r="Q1277" t="n">
        <v>0</v>
      </c>
      <c r="R1277" s="2" t="inlineStr"/>
    </row>
    <row r="1278" ht="15" customHeight="1">
      <c r="A1278" t="inlineStr">
        <is>
          <t>A 37325-2025</t>
        </is>
      </c>
      <c r="B1278" s="1" t="n">
        <v>45876</v>
      </c>
      <c r="C1278" s="1" t="n">
        <v>46199</v>
      </c>
      <c r="D1278" t="inlineStr">
        <is>
          <t>VÄSTERNORRLANDS LÄN</t>
        </is>
      </c>
      <c r="E1278" t="inlineStr">
        <is>
          <t>SOLLEFTEÅ</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12764-2022</t>
        </is>
      </c>
      <c r="B1279" s="1" t="n">
        <v>44641</v>
      </c>
      <c r="C1279" s="1" t="n">
        <v>46199</v>
      </c>
      <c r="D1279" t="inlineStr">
        <is>
          <t>VÄSTERNORRLANDS LÄN</t>
        </is>
      </c>
      <c r="E1279" t="inlineStr">
        <is>
          <t>SOLLEFTEÅ</t>
        </is>
      </c>
      <c r="F1279" t="inlineStr">
        <is>
          <t>SCA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37065-2025</t>
        </is>
      </c>
      <c r="B1280" s="1" t="n">
        <v>45875</v>
      </c>
      <c r="C1280" s="1" t="n">
        <v>46199</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50008-2024</t>
        </is>
      </c>
      <c r="B1281" s="1" t="n">
        <v>45598</v>
      </c>
      <c r="C1281" s="1" t="n">
        <v>46199</v>
      </c>
      <c r="D1281" t="inlineStr">
        <is>
          <t>VÄSTERNORRLANDS LÄN</t>
        </is>
      </c>
      <c r="E1281" t="inlineStr">
        <is>
          <t>SOLLEFTEÅ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3812-2026</t>
        </is>
      </c>
      <c r="B1282" s="1" t="n">
        <v>46043</v>
      </c>
      <c r="C1282" s="1" t="n">
        <v>46199</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37073-2025</t>
        </is>
      </c>
      <c r="B1283" s="1" t="n">
        <v>45875</v>
      </c>
      <c r="C1283" s="1" t="n">
        <v>46199</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54397-2025</t>
        </is>
      </c>
      <c r="B1284" s="1" t="n">
        <v>45965</v>
      </c>
      <c r="C1284" s="1" t="n">
        <v>46199</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3805-2026</t>
        </is>
      </c>
      <c r="B1285" s="1" t="n">
        <v>46043</v>
      </c>
      <c r="C1285" s="1" t="n">
        <v>46199</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4064-2026</t>
        </is>
      </c>
      <c r="B1286" s="1" t="n">
        <v>46044</v>
      </c>
      <c r="C1286" s="1" t="n">
        <v>46199</v>
      </c>
      <c r="D1286" t="inlineStr">
        <is>
          <t>VÄSTERNORRLANDS LÄN</t>
        </is>
      </c>
      <c r="E1286" t="inlineStr">
        <is>
          <t>SOLLEFTEÅ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54947-2025</t>
        </is>
      </c>
      <c r="B1287" s="1" t="n">
        <v>45967</v>
      </c>
      <c r="C1287" s="1" t="n">
        <v>46199</v>
      </c>
      <c r="D1287" t="inlineStr">
        <is>
          <t>VÄSTERNORRLANDS LÄN</t>
        </is>
      </c>
      <c r="E1287" t="inlineStr">
        <is>
          <t>SOLLEFTEÅ</t>
        </is>
      </c>
      <c r="F1287" t="inlineStr">
        <is>
          <t>SCA</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14274-2025</t>
        </is>
      </c>
      <c r="B1288" s="1" t="n">
        <v>45740</v>
      </c>
      <c r="C1288" s="1" t="n">
        <v>46199</v>
      </c>
      <c r="D1288" t="inlineStr">
        <is>
          <t>VÄSTERNORRLANDS LÄN</t>
        </is>
      </c>
      <c r="E1288" t="inlineStr">
        <is>
          <t>SOLLEFTEÅ</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54903-2025</t>
        </is>
      </c>
      <c r="B1289" s="1" t="n">
        <v>45967</v>
      </c>
      <c r="C1289" s="1" t="n">
        <v>46199</v>
      </c>
      <c r="D1289" t="inlineStr">
        <is>
          <t>VÄSTERNORRLANDS LÄN</t>
        </is>
      </c>
      <c r="E1289" t="inlineStr">
        <is>
          <t>SOLLEFTEÅ</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55115-2025</t>
        </is>
      </c>
      <c r="B1290" s="1" t="n">
        <v>45968</v>
      </c>
      <c r="C1290" s="1" t="n">
        <v>46199</v>
      </c>
      <c r="D1290" t="inlineStr">
        <is>
          <t>VÄSTERNORRLANDS LÄN</t>
        </is>
      </c>
      <c r="E1290" t="inlineStr">
        <is>
          <t>SOLLEFTEÅ</t>
        </is>
      </c>
      <c r="F1290" t="inlineStr">
        <is>
          <t>SCA</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55094-2025</t>
        </is>
      </c>
      <c r="B1291" s="1" t="n">
        <v>45968</v>
      </c>
      <c r="C1291" s="1" t="n">
        <v>46199</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55116-2025</t>
        </is>
      </c>
      <c r="B1292" s="1" t="n">
        <v>45968</v>
      </c>
      <c r="C1292" s="1" t="n">
        <v>46199</v>
      </c>
      <c r="D1292" t="inlineStr">
        <is>
          <t>VÄSTERNORRLANDS LÄN</t>
        </is>
      </c>
      <c r="E1292" t="inlineStr">
        <is>
          <t>SOLLEFTEÅ</t>
        </is>
      </c>
      <c r="F1292" t="inlineStr">
        <is>
          <t>SCA</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32969-2022</t>
        </is>
      </c>
      <c r="B1293" s="1" t="n">
        <v>44784</v>
      </c>
      <c r="C1293" s="1" t="n">
        <v>46199</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14448-2022</t>
        </is>
      </c>
      <c r="B1294" s="1" t="n">
        <v>44652</v>
      </c>
      <c r="C1294" s="1" t="n">
        <v>46199</v>
      </c>
      <c r="D1294" t="inlineStr">
        <is>
          <t>VÄSTERNORRLANDS LÄN</t>
        </is>
      </c>
      <c r="E1294" t="inlineStr">
        <is>
          <t>SOLLEFTEÅ</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54946-2025</t>
        </is>
      </c>
      <c r="B1295" s="1" t="n">
        <v>45967</v>
      </c>
      <c r="C1295" s="1" t="n">
        <v>46199</v>
      </c>
      <c r="D1295" t="inlineStr">
        <is>
          <t>VÄSTERNORRLANDS LÄN</t>
        </is>
      </c>
      <c r="E1295" t="inlineStr">
        <is>
          <t>SOLLEFTEÅ</t>
        </is>
      </c>
      <c r="F1295" t="inlineStr">
        <is>
          <t>Kyrkan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54934-2025</t>
        </is>
      </c>
      <c r="B1296" s="1" t="n">
        <v>45967</v>
      </c>
      <c r="C1296" s="1" t="n">
        <v>46199</v>
      </c>
      <c r="D1296" t="inlineStr">
        <is>
          <t>VÄSTERNORRLANDS LÄN</t>
        </is>
      </c>
      <c r="E1296" t="inlineStr">
        <is>
          <t>SOLLEFTEÅ</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54950-2025</t>
        </is>
      </c>
      <c r="B1297" s="1" t="n">
        <v>45967</v>
      </c>
      <c r="C1297" s="1" t="n">
        <v>46199</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41041-2024</t>
        </is>
      </c>
      <c r="B1298" s="1" t="n">
        <v>45558</v>
      </c>
      <c r="C1298" s="1" t="n">
        <v>46199</v>
      </c>
      <c r="D1298" t="inlineStr">
        <is>
          <t>VÄSTERNORRLANDS LÄN</t>
        </is>
      </c>
      <c r="E1298" t="inlineStr">
        <is>
          <t>SOLLEFTEÅ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54935-2025</t>
        </is>
      </c>
      <c r="B1299" s="1" t="n">
        <v>45967</v>
      </c>
      <c r="C1299" s="1" t="n">
        <v>46199</v>
      </c>
      <c r="D1299" t="inlineStr">
        <is>
          <t>VÄSTERNORRLANDS LÄN</t>
        </is>
      </c>
      <c r="E1299" t="inlineStr">
        <is>
          <t>SOLLEFTEÅ</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54951-2025</t>
        </is>
      </c>
      <c r="B1300" s="1" t="n">
        <v>45967</v>
      </c>
      <c r="C1300" s="1" t="n">
        <v>46199</v>
      </c>
      <c r="D1300" t="inlineStr">
        <is>
          <t>VÄSTERNORRLANDS LÄN</t>
        </is>
      </c>
      <c r="E1300" t="inlineStr">
        <is>
          <t>SOLLEFTEÅ</t>
        </is>
      </c>
      <c r="F1300" t="inlineStr">
        <is>
          <t>Kyrkan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54956-2025</t>
        </is>
      </c>
      <c r="B1301" s="1" t="n">
        <v>45967</v>
      </c>
      <c r="C1301" s="1" t="n">
        <v>46199</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55013-2025</t>
        </is>
      </c>
      <c r="B1302" s="1" t="n">
        <v>45967</v>
      </c>
      <c r="C1302" s="1" t="n">
        <v>46199</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37607-2025</t>
        </is>
      </c>
      <c r="B1303" s="1" t="n">
        <v>45880</v>
      </c>
      <c r="C1303" s="1" t="n">
        <v>46199</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37581-2025</t>
        </is>
      </c>
      <c r="B1304" s="1" t="n">
        <v>45880</v>
      </c>
      <c r="C1304" s="1" t="n">
        <v>46199</v>
      </c>
      <c r="D1304" t="inlineStr">
        <is>
          <t>VÄSTERNORRLANDS LÄN</t>
        </is>
      </c>
      <c r="E1304" t="inlineStr">
        <is>
          <t>SOLLEFTEÅ</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55136-2025</t>
        </is>
      </c>
      <c r="B1305" s="1" t="n">
        <v>45968</v>
      </c>
      <c r="C1305" s="1" t="n">
        <v>46199</v>
      </c>
      <c r="D1305" t="inlineStr">
        <is>
          <t>VÄSTERNORRLANDS LÄN</t>
        </is>
      </c>
      <c r="E1305" t="inlineStr">
        <is>
          <t>SOLLEFTEÅ</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29956-2023</t>
        </is>
      </c>
      <c r="B1306" s="1" t="n">
        <v>45107</v>
      </c>
      <c r="C1306" s="1" t="n">
        <v>46199</v>
      </c>
      <c r="D1306" t="inlineStr">
        <is>
          <t>VÄSTERNORRLANDS LÄN</t>
        </is>
      </c>
      <c r="E1306" t="inlineStr">
        <is>
          <t>SOLLEFTEÅ</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39799-2024</t>
        </is>
      </c>
      <c r="B1307" s="1" t="n">
        <v>45553</v>
      </c>
      <c r="C1307" s="1" t="n">
        <v>46199</v>
      </c>
      <c r="D1307" t="inlineStr">
        <is>
          <t>VÄSTERNORRLANDS LÄN</t>
        </is>
      </c>
      <c r="E1307" t="inlineStr">
        <is>
          <t>SOLLEFTEÅ</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2408-2023</t>
        </is>
      </c>
      <c r="B1308" s="1" t="n">
        <v>44942</v>
      </c>
      <c r="C1308" s="1" t="n">
        <v>46199</v>
      </c>
      <c r="D1308" t="inlineStr">
        <is>
          <t>VÄSTERNORRLANDS LÄN</t>
        </is>
      </c>
      <c r="E1308" t="inlineStr">
        <is>
          <t>SOLLEFTEÅ</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55137-2025</t>
        </is>
      </c>
      <c r="B1309" s="1" t="n">
        <v>45968</v>
      </c>
      <c r="C1309" s="1" t="n">
        <v>46199</v>
      </c>
      <c r="D1309" t="inlineStr">
        <is>
          <t>VÄSTERNORRLANDS LÄN</t>
        </is>
      </c>
      <c r="E1309" t="inlineStr">
        <is>
          <t>SOLLEFTEÅ</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37801-2025</t>
        </is>
      </c>
      <c r="B1310" s="1" t="n">
        <v>45881</v>
      </c>
      <c r="C1310" s="1" t="n">
        <v>46199</v>
      </c>
      <c r="D1310" t="inlineStr">
        <is>
          <t>VÄSTERNORRLANDS LÄN</t>
        </is>
      </c>
      <c r="E1310" t="inlineStr">
        <is>
          <t>SOLLEFTEÅ</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55096-2025</t>
        </is>
      </c>
      <c r="B1311" s="1" t="n">
        <v>45968</v>
      </c>
      <c r="C1311" s="1" t="n">
        <v>46199</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55168-2025</t>
        </is>
      </c>
      <c r="B1312" s="1" t="n">
        <v>45968</v>
      </c>
      <c r="C1312" s="1" t="n">
        <v>46199</v>
      </c>
      <c r="D1312" t="inlineStr">
        <is>
          <t>VÄSTERNORRLANDS LÄN</t>
        </is>
      </c>
      <c r="E1312" t="inlineStr">
        <is>
          <t>SOLLEFTEÅ</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55586-2025</t>
        </is>
      </c>
      <c r="B1313" s="1" t="n">
        <v>45971</v>
      </c>
      <c r="C1313" s="1" t="n">
        <v>46199</v>
      </c>
      <c r="D1313" t="inlineStr">
        <is>
          <t>VÄSTERNORRLANDS LÄN</t>
        </is>
      </c>
      <c r="E1313" t="inlineStr">
        <is>
          <t>SOLLEFTEÅ</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25356-2024</t>
        </is>
      </c>
      <c r="B1314" s="1" t="n">
        <v>45462</v>
      </c>
      <c r="C1314" s="1" t="n">
        <v>46199</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55725-2025</t>
        </is>
      </c>
      <c r="B1315" s="1" t="n">
        <v>45972</v>
      </c>
      <c r="C1315" s="1" t="n">
        <v>46199</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37921-2025</t>
        </is>
      </c>
      <c r="B1316" s="1" t="n">
        <v>45881</v>
      </c>
      <c r="C1316" s="1" t="n">
        <v>46199</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1031-2026</t>
        </is>
      </c>
      <c r="B1317" s="1" t="n">
        <v>46030</v>
      </c>
      <c r="C1317" s="1" t="n">
        <v>46199</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55583-2025</t>
        </is>
      </c>
      <c r="B1318" s="1" t="n">
        <v>45971</v>
      </c>
      <c r="C1318" s="1" t="n">
        <v>46199</v>
      </c>
      <c r="D1318" t="inlineStr">
        <is>
          <t>VÄSTERNORRLANDS LÄN</t>
        </is>
      </c>
      <c r="E1318" t="inlineStr">
        <is>
          <t>SOLLEFTEÅ</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55582-2025</t>
        </is>
      </c>
      <c r="B1319" s="1" t="n">
        <v>45971</v>
      </c>
      <c r="C1319" s="1" t="n">
        <v>46199</v>
      </c>
      <c r="D1319" t="inlineStr">
        <is>
          <t>VÄSTERNORRLANDS LÄN</t>
        </is>
      </c>
      <c r="E1319" t="inlineStr">
        <is>
          <t>SOLLEFTEÅ</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4461-2026</t>
        </is>
      </c>
      <c r="B1320" s="1" t="n">
        <v>46045</v>
      </c>
      <c r="C1320" s="1" t="n">
        <v>46199</v>
      </c>
      <c r="D1320" t="inlineStr">
        <is>
          <t>VÄSTERNORRLANDS LÄN</t>
        </is>
      </c>
      <c r="E1320" t="inlineStr">
        <is>
          <t>SOLLEFTEÅ</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5390-2026</t>
        </is>
      </c>
      <c r="B1321" s="1" t="n">
        <v>46050</v>
      </c>
      <c r="C1321" s="1" t="n">
        <v>46199</v>
      </c>
      <c r="D1321" t="inlineStr">
        <is>
          <t>VÄSTERNORRLANDS LÄN</t>
        </is>
      </c>
      <c r="E1321" t="inlineStr">
        <is>
          <t>SOLLEFTEÅ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5159-2026</t>
        </is>
      </c>
      <c r="B1322" s="1" t="n">
        <v>46049</v>
      </c>
      <c r="C1322" s="1" t="n">
        <v>46199</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5511-2026</t>
        </is>
      </c>
      <c r="B1323" s="1" t="n">
        <v>46050</v>
      </c>
      <c r="C1323" s="1" t="n">
        <v>46199</v>
      </c>
      <c r="D1323" t="inlineStr">
        <is>
          <t>VÄSTERNORRLANDS LÄN</t>
        </is>
      </c>
      <c r="E1323" t="inlineStr">
        <is>
          <t>SOLLEFTEÅ</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5158-2026</t>
        </is>
      </c>
      <c r="B1324" s="1" t="n">
        <v>46049</v>
      </c>
      <c r="C1324" s="1" t="n">
        <v>46199</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5059-2026</t>
        </is>
      </c>
      <c r="B1325" s="1" t="n">
        <v>46049</v>
      </c>
      <c r="C1325" s="1" t="n">
        <v>46199</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5842-2026</t>
        </is>
      </c>
      <c r="B1326" s="1" t="n">
        <v>46052</v>
      </c>
      <c r="C1326" s="1" t="n">
        <v>46199</v>
      </c>
      <c r="D1326" t="inlineStr">
        <is>
          <t>VÄSTERNORRLANDS LÄN</t>
        </is>
      </c>
      <c r="E1326" t="inlineStr">
        <is>
          <t>SOLLEFTEÅ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5646-2026</t>
        </is>
      </c>
      <c r="B1327" s="1" t="n">
        <v>46051</v>
      </c>
      <c r="C1327" s="1" t="n">
        <v>46199</v>
      </c>
      <c r="D1327" t="inlineStr">
        <is>
          <t>VÄSTERNORRLANDS LÄN</t>
        </is>
      </c>
      <c r="E1327" t="inlineStr">
        <is>
          <t>SOLLEFTEÅ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14055-2022</t>
        </is>
      </c>
      <c r="B1328" s="1" t="n">
        <v>44650</v>
      </c>
      <c r="C1328" s="1" t="n">
        <v>46199</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7234-2024</t>
        </is>
      </c>
      <c r="B1329" s="1" t="n">
        <v>45344</v>
      </c>
      <c r="C1329" s="1" t="n">
        <v>46199</v>
      </c>
      <c r="D1329" t="inlineStr">
        <is>
          <t>VÄSTERNORRLANDS LÄN</t>
        </is>
      </c>
      <c r="E1329" t="inlineStr">
        <is>
          <t>SOLLEFTEÅ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17512-2024</t>
        </is>
      </c>
      <c r="B1330" s="1" t="n">
        <v>45415</v>
      </c>
      <c r="C1330" s="1" t="n">
        <v>46199</v>
      </c>
      <c r="D1330" t="inlineStr">
        <is>
          <t>VÄSTERNORRLANDS LÄN</t>
        </is>
      </c>
      <c r="E1330" t="inlineStr">
        <is>
          <t>SOLLEFTEÅ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56393-2025</t>
        </is>
      </c>
      <c r="B1331" s="1" t="n">
        <v>45974</v>
      </c>
      <c r="C1331" s="1" t="n">
        <v>46199</v>
      </c>
      <c r="D1331" t="inlineStr">
        <is>
          <t>VÄSTERNORRLANDS LÄN</t>
        </is>
      </c>
      <c r="E1331" t="inlineStr">
        <is>
          <t>SOLLEFTEÅ</t>
        </is>
      </c>
      <c r="F1331" t="inlineStr">
        <is>
          <t>Holmen skog AB</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55686-2025</t>
        </is>
      </c>
      <c r="B1332" s="1" t="n">
        <v>45972</v>
      </c>
      <c r="C1332" s="1" t="n">
        <v>46199</v>
      </c>
      <c r="D1332" t="inlineStr">
        <is>
          <t>VÄSTERNORRLANDS LÄN</t>
        </is>
      </c>
      <c r="E1332" t="inlineStr">
        <is>
          <t>SOLLEFTEÅ</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20204-2025</t>
        </is>
      </c>
      <c r="B1333" s="1" t="n">
        <v>45772</v>
      </c>
      <c r="C1333" s="1" t="n">
        <v>46199</v>
      </c>
      <c r="D1333" t="inlineStr">
        <is>
          <t>VÄSTERNORRLANDS LÄN</t>
        </is>
      </c>
      <c r="E1333" t="inlineStr">
        <is>
          <t>SOLLEFTEÅ</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56074-2025</t>
        </is>
      </c>
      <c r="B1334" s="1" t="n">
        <v>45973</v>
      </c>
      <c r="C1334" s="1" t="n">
        <v>46199</v>
      </c>
      <c r="D1334" t="inlineStr">
        <is>
          <t>VÄSTERNORRLANDS LÄN</t>
        </is>
      </c>
      <c r="E1334" t="inlineStr">
        <is>
          <t>SOLLEFTEÅ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6725-2026</t>
        </is>
      </c>
      <c r="B1335" s="1" t="n">
        <v>46056</v>
      </c>
      <c r="C1335" s="1" t="n">
        <v>46199</v>
      </c>
      <c r="D1335" t="inlineStr">
        <is>
          <t>VÄSTERNORRLANDS LÄN</t>
        </is>
      </c>
      <c r="E1335" t="inlineStr">
        <is>
          <t>SOLLEFTEÅ</t>
        </is>
      </c>
      <c r="F1335" t="inlineStr">
        <is>
          <t>SCA</t>
        </is>
      </c>
      <c r="G1335" t="n">
        <v>27.7</v>
      </c>
      <c r="H1335" t="n">
        <v>0</v>
      </c>
      <c r="I1335" t="n">
        <v>0</v>
      </c>
      <c r="J1335" t="n">
        <v>0</v>
      </c>
      <c r="K1335" t="n">
        <v>0</v>
      </c>
      <c r="L1335" t="n">
        <v>0</v>
      </c>
      <c r="M1335" t="n">
        <v>0</v>
      </c>
      <c r="N1335" t="n">
        <v>0</v>
      </c>
      <c r="O1335" t="n">
        <v>0</v>
      </c>
      <c r="P1335" t="n">
        <v>0</v>
      </c>
      <c r="Q1335" t="n">
        <v>0</v>
      </c>
      <c r="R1335" s="2" t="inlineStr"/>
    </row>
    <row r="1336" ht="15" customHeight="1">
      <c r="A1336" t="inlineStr">
        <is>
          <t>A 31559-2024</t>
        </is>
      </c>
      <c r="B1336" s="1" t="n">
        <v>45505</v>
      </c>
      <c r="C1336" s="1" t="n">
        <v>46199</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56076-2025</t>
        </is>
      </c>
      <c r="B1337" s="1" t="n">
        <v>45973</v>
      </c>
      <c r="C1337" s="1" t="n">
        <v>46199</v>
      </c>
      <c r="D1337" t="inlineStr">
        <is>
          <t>VÄSTERNORRLANDS LÄN</t>
        </is>
      </c>
      <c r="E1337" t="inlineStr">
        <is>
          <t>SOLLEFTEÅ</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55950-2025</t>
        </is>
      </c>
      <c r="B1338" s="1" t="n">
        <v>45973</v>
      </c>
      <c r="C1338" s="1" t="n">
        <v>46199</v>
      </c>
      <c r="D1338" t="inlineStr">
        <is>
          <t>VÄSTERNORRLANDS LÄN</t>
        </is>
      </c>
      <c r="E1338" t="inlineStr">
        <is>
          <t>SOLLEFTEÅ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6615-2026</t>
        </is>
      </c>
      <c r="B1339" s="1" t="n">
        <v>46056</v>
      </c>
      <c r="C1339" s="1" t="n">
        <v>46199</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14718-2023</t>
        </is>
      </c>
      <c r="B1340" s="1" t="n">
        <v>45012</v>
      </c>
      <c r="C1340" s="1" t="n">
        <v>46199</v>
      </c>
      <c r="D1340" t="inlineStr">
        <is>
          <t>VÄSTERNORRLANDS LÄN</t>
        </is>
      </c>
      <c r="E1340" t="inlineStr">
        <is>
          <t>SOLLEFTEÅ</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38493-2025</t>
        </is>
      </c>
      <c r="B1341" s="1" t="n">
        <v>45884</v>
      </c>
      <c r="C1341" s="1" t="n">
        <v>46199</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56631-2025</t>
        </is>
      </c>
      <c r="B1342" s="1" t="n">
        <v>45975</v>
      </c>
      <c r="C1342" s="1" t="n">
        <v>46199</v>
      </c>
      <c r="D1342" t="inlineStr">
        <is>
          <t>VÄSTERNORRLANDS LÄN</t>
        </is>
      </c>
      <c r="E1342" t="inlineStr">
        <is>
          <t>SOLLEFTEÅ</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56434-2025</t>
        </is>
      </c>
      <c r="B1343" s="1" t="n">
        <v>45975</v>
      </c>
      <c r="C1343" s="1" t="n">
        <v>46199</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56443-2025</t>
        </is>
      </c>
      <c r="B1344" s="1" t="n">
        <v>45975</v>
      </c>
      <c r="C1344" s="1" t="n">
        <v>46199</v>
      </c>
      <c r="D1344" t="inlineStr">
        <is>
          <t>VÄSTERNORRLANDS LÄN</t>
        </is>
      </c>
      <c r="E1344" t="inlineStr">
        <is>
          <t>SOLLEFTEÅ</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7154-2026</t>
        </is>
      </c>
      <c r="B1345" s="1" t="n">
        <v>46058</v>
      </c>
      <c r="C1345" s="1" t="n">
        <v>46199</v>
      </c>
      <c r="D1345" t="inlineStr">
        <is>
          <t>VÄSTERNORRLANDS LÄN</t>
        </is>
      </c>
      <c r="E1345" t="inlineStr">
        <is>
          <t>SOLLEFTEÅ</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7161-2026</t>
        </is>
      </c>
      <c r="B1346" s="1" t="n">
        <v>46058</v>
      </c>
      <c r="C1346" s="1" t="n">
        <v>46199</v>
      </c>
      <c r="D1346" t="inlineStr">
        <is>
          <t>VÄSTERNORRLANDS LÄN</t>
        </is>
      </c>
      <c r="E1346" t="inlineStr">
        <is>
          <t>SOLLEFTEÅ</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7304-2026</t>
        </is>
      </c>
      <c r="B1347" s="1" t="n">
        <v>46058</v>
      </c>
      <c r="C1347" s="1" t="n">
        <v>46199</v>
      </c>
      <c r="D1347" t="inlineStr">
        <is>
          <t>VÄSTERNORRLANDS LÄN</t>
        </is>
      </c>
      <c r="E1347" t="inlineStr">
        <is>
          <t>SOLLEFTEÅ</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7397-2026</t>
        </is>
      </c>
      <c r="B1348" s="1" t="n">
        <v>46059</v>
      </c>
      <c r="C1348" s="1" t="n">
        <v>46199</v>
      </c>
      <c r="D1348" t="inlineStr">
        <is>
          <t>VÄSTERNORRLANDS LÄN</t>
        </is>
      </c>
      <c r="E1348" t="inlineStr">
        <is>
          <t>SOLLEFTEÅ</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28580-2024</t>
        </is>
      </c>
      <c r="B1349" s="1" t="n">
        <v>45478</v>
      </c>
      <c r="C1349" s="1" t="n">
        <v>46199</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7386-2026</t>
        </is>
      </c>
      <c r="B1350" s="1" t="n">
        <v>46059</v>
      </c>
      <c r="C1350" s="1" t="n">
        <v>46199</v>
      </c>
      <c r="D1350" t="inlineStr">
        <is>
          <t>VÄSTERNORRLANDS LÄN</t>
        </is>
      </c>
      <c r="E1350" t="inlineStr">
        <is>
          <t>SOLLEFTEÅ</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7387-2026</t>
        </is>
      </c>
      <c r="B1351" s="1" t="n">
        <v>46059</v>
      </c>
      <c r="C1351" s="1" t="n">
        <v>46199</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55710-2024</t>
        </is>
      </c>
      <c r="B1352" s="1" t="n">
        <v>45622</v>
      </c>
      <c r="C1352" s="1" t="n">
        <v>46199</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55726-2024</t>
        </is>
      </c>
      <c r="B1353" s="1" t="n">
        <v>45622</v>
      </c>
      <c r="C1353" s="1" t="n">
        <v>46199</v>
      </c>
      <c r="D1353" t="inlineStr">
        <is>
          <t>VÄSTERNORRLANDS LÄN</t>
        </is>
      </c>
      <c r="E1353" t="inlineStr">
        <is>
          <t>SOLLEFTEÅ</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55756-2024</t>
        </is>
      </c>
      <c r="B1354" s="1" t="n">
        <v>45623</v>
      </c>
      <c r="C1354" s="1" t="n">
        <v>46199</v>
      </c>
      <c r="D1354" t="inlineStr">
        <is>
          <t>VÄSTERNORRLANDS LÄN</t>
        </is>
      </c>
      <c r="E1354" t="inlineStr">
        <is>
          <t>SOLLEFTEÅ</t>
        </is>
      </c>
      <c r="F1354" t="inlineStr">
        <is>
          <t>Holmen skog AB</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55769-2024</t>
        </is>
      </c>
      <c r="B1355" s="1" t="n">
        <v>45623</v>
      </c>
      <c r="C1355" s="1" t="n">
        <v>46199</v>
      </c>
      <c r="D1355" t="inlineStr">
        <is>
          <t>VÄSTERNORRLANDS LÄN</t>
        </is>
      </c>
      <c r="E1355" t="inlineStr">
        <is>
          <t>SOLLEFTEÅ</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8028-2026</t>
        </is>
      </c>
      <c r="B1356" s="1" t="n">
        <v>46063</v>
      </c>
      <c r="C1356" s="1" t="n">
        <v>46199</v>
      </c>
      <c r="D1356" t="inlineStr">
        <is>
          <t>VÄSTERNORRLANDS LÄN</t>
        </is>
      </c>
      <c r="E1356" t="inlineStr">
        <is>
          <t>SOLLEFTEÅ</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5519-2023</t>
        </is>
      </c>
      <c r="B1357" s="1" t="n">
        <v>44960</v>
      </c>
      <c r="C1357" s="1" t="n">
        <v>46199</v>
      </c>
      <c r="D1357" t="inlineStr">
        <is>
          <t>VÄSTERNORRLANDS LÄN</t>
        </is>
      </c>
      <c r="E1357" t="inlineStr">
        <is>
          <t>SOLLEFTEÅ</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55824-2024</t>
        </is>
      </c>
      <c r="B1358" s="1" t="n">
        <v>45623</v>
      </c>
      <c r="C1358" s="1" t="n">
        <v>46199</v>
      </c>
      <c r="D1358" t="inlineStr">
        <is>
          <t>VÄSTERNORRLANDS LÄN</t>
        </is>
      </c>
      <c r="E1358" t="inlineStr">
        <is>
          <t>SOLLEFTEÅ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62406-2022</t>
        </is>
      </c>
      <c r="B1359" s="1" t="n">
        <v>44923</v>
      </c>
      <c r="C1359" s="1" t="n">
        <v>46199</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38271-2025</t>
        </is>
      </c>
      <c r="B1360" s="1" t="n">
        <v>45883</v>
      </c>
      <c r="C1360" s="1" t="n">
        <v>46199</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8084-2026</t>
        </is>
      </c>
      <c r="B1361" s="1" t="n">
        <v>46063</v>
      </c>
      <c r="C1361" s="1" t="n">
        <v>46199</v>
      </c>
      <c r="D1361" t="inlineStr">
        <is>
          <t>VÄSTERNORRLANDS LÄN</t>
        </is>
      </c>
      <c r="E1361" t="inlineStr">
        <is>
          <t>SOLLEFTEÅ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8088-2026</t>
        </is>
      </c>
      <c r="B1362" s="1" t="n">
        <v>46063</v>
      </c>
      <c r="C1362" s="1" t="n">
        <v>46199</v>
      </c>
      <c r="D1362" t="inlineStr">
        <is>
          <t>VÄSTERNORRLANDS LÄN</t>
        </is>
      </c>
      <c r="E1362" t="inlineStr">
        <is>
          <t>SOLLEFTEÅ</t>
        </is>
      </c>
      <c r="F1362" t="inlineStr">
        <is>
          <t>Kyrkan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22207-2025</t>
        </is>
      </c>
      <c r="B1363" s="1" t="n">
        <v>45785</v>
      </c>
      <c r="C1363" s="1" t="n">
        <v>46199</v>
      </c>
      <c r="D1363" t="inlineStr">
        <is>
          <t>VÄSTERNORRLANDS LÄN</t>
        </is>
      </c>
      <c r="E1363" t="inlineStr">
        <is>
          <t>SOLLEFTEÅ</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54806-2024</t>
        </is>
      </c>
      <c r="B1364" s="1" t="n">
        <v>45618</v>
      </c>
      <c r="C1364" s="1" t="n">
        <v>46199</v>
      </c>
      <c r="D1364" t="inlineStr">
        <is>
          <t>VÄSTERNORRLANDS LÄN</t>
        </is>
      </c>
      <c r="E1364" t="inlineStr">
        <is>
          <t>SOLLEFTEÅ</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8206-2026</t>
        </is>
      </c>
      <c r="B1365" s="1" t="n">
        <v>46064</v>
      </c>
      <c r="C1365" s="1" t="n">
        <v>46199</v>
      </c>
      <c r="D1365" t="inlineStr">
        <is>
          <t>VÄSTERNORRLANDS LÄN</t>
        </is>
      </c>
      <c r="E1365" t="inlineStr">
        <is>
          <t>SOLLEFTEÅ</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8207-2026</t>
        </is>
      </c>
      <c r="B1366" s="1" t="n">
        <v>46064</v>
      </c>
      <c r="C1366" s="1" t="n">
        <v>46199</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8647-2026</t>
        </is>
      </c>
      <c r="B1367" s="1" t="n">
        <v>46065</v>
      </c>
      <c r="C1367" s="1" t="n">
        <v>46199</v>
      </c>
      <c r="D1367" t="inlineStr">
        <is>
          <t>VÄSTERNORRLANDS LÄN</t>
        </is>
      </c>
      <c r="E1367" t="inlineStr">
        <is>
          <t>SOLLEFTEÅ</t>
        </is>
      </c>
      <c r="F1367" t="inlineStr">
        <is>
          <t>Övriga Aktiebolag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8666-2026</t>
        </is>
      </c>
      <c r="B1368" s="1" t="n">
        <v>46066</v>
      </c>
      <c r="C1368" s="1" t="n">
        <v>46199</v>
      </c>
      <c r="D1368" t="inlineStr">
        <is>
          <t>VÄSTERNORRLANDS LÄN</t>
        </is>
      </c>
      <c r="E1368" t="inlineStr">
        <is>
          <t>SOLLEFTEÅ</t>
        </is>
      </c>
      <c r="F1368" t="inlineStr">
        <is>
          <t>SCA</t>
        </is>
      </c>
      <c r="G1368" t="n">
        <v>27.7</v>
      </c>
      <c r="H1368" t="n">
        <v>0</v>
      </c>
      <c r="I1368" t="n">
        <v>0</v>
      </c>
      <c r="J1368" t="n">
        <v>0</v>
      </c>
      <c r="K1368" t="n">
        <v>0</v>
      </c>
      <c r="L1368" t="n">
        <v>0</v>
      </c>
      <c r="M1368" t="n">
        <v>0</v>
      </c>
      <c r="N1368" t="n">
        <v>0</v>
      </c>
      <c r="O1368" t="n">
        <v>0</v>
      </c>
      <c r="P1368" t="n">
        <v>0</v>
      </c>
      <c r="Q1368" t="n">
        <v>0</v>
      </c>
      <c r="R1368" s="2" t="inlineStr"/>
    </row>
    <row r="1369" ht="15" customHeight="1">
      <c r="A1369" t="inlineStr">
        <is>
          <t>A 8834-2026</t>
        </is>
      </c>
      <c r="B1369" s="1" t="n">
        <v>46066</v>
      </c>
      <c r="C1369" s="1" t="n">
        <v>46199</v>
      </c>
      <c r="D1369" t="inlineStr">
        <is>
          <t>VÄSTERNORRLANDS LÄN</t>
        </is>
      </c>
      <c r="E1369" t="inlineStr">
        <is>
          <t>SOLLEFTEÅ</t>
        </is>
      </c>
      <c r="F1369" t="inlineStr">
        <is>
          <t>SCA</t>
        </is>
      </c>
      <c r="G1369" t="n">
        <v>28.4</v>
      </c>
      <c r="H1369" t="n">
        <v>0</v>
      </c>
      <c r="I1369" t="n">
        <v>0</v>
      </c>
      <c r="J1369" t="n">
        <v>0</v>
      </c>
      <c r="K1369" t="n">
        <v>0</v>
      </c>
      <c r="L1369" t="n">
        <v>0</v>
      </c>
      <c r="M1369" t="n">
        <v>0</v>
      </c>
      <c r="N1369" t="n">
        <v>0</v>
      </c>
      <c r="O1369" t="n">
        <v>0</v>
      </c>
      <c r="P1369" t="n">
        <v>0</v>
      </c>
      <c r="Q1369" t="n">
        <v>0</v>
      </c>
      <c r="R1369" s="2" t="inlineStr"/>
    </row>
    <row r="1370" ht="15" customHeight="1">
      <c r="A1370" t="inlineStr">
        <is>
          <t>A 8692-2026</t>
        </is>
      </c>
      <c r="B1370" s="1" t="n">
        <v>46066</v>
      </c>
      <c r="C1370" s="1" t="n">
        <v>46199</v>
      </c>
      <c r="D1370" t="inlineStr">
        <is>
          <t>VÄSTERNORRLANDS LÄN</t>
        </is>
      </c>
      <c r="E1370" t="inlineStr">
        <is>
          <t>SOLLEFTEÅ</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21582-2022</t>
        </is>
      </c>
      <c r="B1371" s="1" t="n">
        <v>44706</v>
      </c>
      <c r="C1371" s="1" t="n">
        <v>46199</v>
      </c>
      <c r="D1371" t="inlineStr">
        <is>
          <t>VÄSTERNORRLANDS LÄN</t>
        </is>
      </c>
      <c r="E1371" t="inlineStr">
        <is>
          <t>SOLLEFTEÅ</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38240-2025</t>
        </is>
      </c>
      <c r="B1372" s="1" t="n">
        <v>45883</v>
      </c>
      <c r="C1372" s="1" t="n">
        <v>46199</v>
      </c>
      <c r="D1372" t="inlineStr">
        <is>
          <t>VÄSTERNORRLANDS LÄN</t>
        </is>
      </c>
      <c r="E1372" t="inlineStr">
        <is>
          <t>SOLLEFTEÅ</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8667-2026</t>
        </is>
      </c>
      <c r="B1373" s="1" t="n">
        <v>46066</v>
      </c>
      <c r="C1373" s="1" t="n">
        <v>46199</v>
      </c>
      <c r="D1373" t="inlineStr">
        <is>
          <t>VÄSTERNORRLANDS LÄN</t>
        </is>
      </c>
      <c r="E1373" t="inlineStr">
        <is>
          <t>SOLLEFTEÅ</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8855-2026</t>
        </is>
      </c>
      <c r="B1374" s="1" t="n">
        <v>46066</v>
      </c>
      <c r="C1374" s="1" t="n">
        <v>46199</v>
      </c>
      <c r="D1374" t="inlineStr">
        <is>
          <t>VÄSTERNORRLANDS LÄN</t>
        </is>
      </c>
      <c r="E1374" t="inlineStr">
        <is>
          <t>SOLLEFTEÅ</t>
        </is>
      </c>
      <c r="F1374" t="inlineStr">
        <is>
          <t>SCA</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8724-2026</t>
        </is>
      </c>
      <c r="B1375" s="1" t="n">
        <v>46066</v>
      </c>
      <c r="C1375" s="1" t="n">
        <v>46199</v>
      </c>
      <c r="D1375" t="inlineStr">
        <is>
          <t>VÄSTERNORRLANDS LÄN</t>
        </is>
      </c>
      <c r="E1375" t="inlineStr">
        <is>
          <t>SOLLEFTEÅ</t>
        </is>
      </c>
      <c r="F1375" t="inlineStr">
        <is>
          <t>SCA</t>
        </is>
      </c>
      <c r="G1375" t="n">
        <v>9.9</v>
      </c>
      <c r="H1375" t="n">
        <v>0</v>
      </c>
      <c r="I1375" t="n">
        <v>0</v>
      </c>
      <c r="J1375" t="n">
        <v>0</v>
      </c>
      <c r="K1375" t="n">
        <v>0</v>
      </c>
      <c r="L1375" t="n">
        <v>0</v>
      </c>
      <c r="M1375" t="n">
        <v>0</v>
      </c>
      <c r="N1375" t="n">
        <v>0</v>
      </c>
      <c r="O1375" t="n">
        <v>0</v>
      </c>
      <c r="P1375" t="n">
        <v>0</v>
      </c>
      <c r="Q1375" t="n">
        <v>0</v>
      </c>
      <c r="R1375" s="2" t="inlineStr"/>
    </row>
    <row r="1376" ht="15" customHeight="1">
      <c r="A1376" t="inlineStr">
        <is>
          <t>A 43627-2024</t>
        </is>
      </c>
      <c r="B1376" s="1" t="n">
        <v>45569</v>
      </c>
      <c r="C1376" s="1" t="n">
        <v>46199</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8739-2026</t>
        </is>
      </c>
      <c r="B1377" s="1" t="n">
        <v>46066</v>
      </c>
      <c r="C1377" s="1" t="n">
        <v>46199</v>
      </c>
      <c r="D1377" t="inlineStr">
        <is>
          <t>VÄSTERNORRLANDS LÄN</t>
        </is>
      </c>
      <c r="E1377" t="inlineStr">
        <is>
          <t>SOLLEFTEÅ</t>
        </is>
      </c>
      <c r="F1377" t="inlineStr">
        <is>
          <t>Kyrkan</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12734-2023</t>
        </is>
      </c>
      <c r="B1378" s="1" t="n">
        <v>45000</v>
      </c>
      <c r="C1378" s="1" t="n">
        <v>46199</v>
      </c>
      <c r="D1378" t="inlineStr">
        <is>
          <t>VÄSTERNORRLANDS LÄN</t>
        </is>
      </c>
      <c r="E1378" t="inlineStr">
        <is>
          <t>SOLLEFTEÅ</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12820-2023</t>
        </is>
      </c>
      <c r="B1379" s="1" t="n">
        <v>45000</v>
      </c>
      <c r="C1379" s="1" t="n">
        <v>46199</v>
      </c>
      <c r="D1379" t="inlineStr">
        <is>
          <t>VÄSTERNORRLANDS LÄN</t>
        </is>
      </c>
      <c r="E1379" t="inlineStr">
        <is>
          <t>SOLLEFTEÅ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20599-2023</t>
        </is>
      </c>
      <c r="B1380" s="1" t="n">
        <v>45057</v>
      </c>
      <c r="C1380" s="1" t="n">
        <v>46199</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8546-2026</t>
        </is>
      </c>
      <c r="B1381" s="1" t="n">
        <v>46065</v>
      </c>
      <c r="C1381" s="1" t="n">
        <v>46199</v>
      </c>
      <c r="D1381" t="inlineStr">
        <is>
          <t>VÄSTERNORRLANDS LÄN</t>
        </is>
      </c>
      <c r="E1381" t="inlineStr">
        <is>
          <t>SOLLEFTEÅ</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11039-2023</t>
        </is>
      </c>
      <c r="B1382" s="1" t="n">
        <v>44991</v>
      </c>
      <c r="C1382" s="1" t="n">
        <v>46199</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26962-2024</t>
        </is>
      </c>
      <c r="B1383" s="1" t="n">
        <v>45470</v>
      </c>
      <c r="C1383" s="1" t="n">
        <v>46199</v>
      </c>
      <c r="D1383" t="inlineStr">
        <is>
          <t>VÄSTERNORRLANDS LÄN</t>
        </is>
      </c>
      <c r="E1383" t="inlineStr">
        <is>
          <t>SOLLEFTEÅ</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9156-2026</t>
        </is>
      </c>
      <c r="B1384" s="1" t="n">
        <v>46070</v>
      </c>
      <c r="C1384" s="1" t="n">
        <v>46199</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61201-2024</t>
        </is>
      </c>
      <c r="B1385" s="1" t="n">
        <v>45645</v>
      </c>
      <c r="C1385" s="1" t="n">
        <v>46199</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11125-2022</t>
        </is>
      </c>
      <c r="B1386" s="1" t="n">
        <v>44628</v>
      </c>
      <c r="C1386" s="1" t="n">
        <v>46199</v>
      </c>
      <c r="D1386" t="inlineStr">
        <is>
          <t>VÄSTERNORRLANDS LÄN</t>
        </is>
      </c>
      <c r="E1386" t="inlineStr">
        <is>
          <t>SOLLEFTEÅ</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19205-2025</t>
        </is>
      </c>
      <c r="B1387" s="1" t="n">
        <v>45769</v>
      </c>
      <c r="C1387" s="1" t="n">
        <v>46199</v>
      </c>
      <c r="D1387" t="inlineStr">
        <is>
          <t>VÄSTERNORRLANDS LÄN</t>
        </is>
      </c>
      <c r="E1387" t="inlineStr">
        <is>
          <t>SOLLEFTEÅ</t>
        </is>
      </c>
      <c r="F1387" t="inlineStr">
        <is>
          <t>SCA</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9120-2024</t>
        </is>
      </c>
      <c r="B1388" s="1" t="n">
        <v>45358</v>
      </c>
      <c r="C1388" s="1" t="n">
        <v>46199</v>
      </c>
      <c r="D1388" t="inlineStr">
        <is>
          <t>VÄSTERNORRLANDS LÄN</t>
        </is>
      </c>
      <c r="E1388" t="inlineStr">
        <is>
          <t>SOLLEFTEÅ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9122-2024</t>
        </is>
      </c>
      <c r="B1389" s="1" t="n">
        <v>45358</v>
      </c>
      <c r="C1389" s="1" t="n">
        <v>46199</v>
      </c>
      <c r="D1389" t="inlineStr">
        <is>
          <t>VÄSTERNORRLANDS LÄN</t>
        </is>
      </c>
      <c r="E1389" t="inlineStr">
        <is>
          <t>SOLLEFTEÅ</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9739-2026</t>
        </is>
      </c>
      <c r="B1390" s="1" t="n">
        <v>46072</v>
      </c>
      <c r="C1390" s="1" t="n">
        <v>46199</v>
      </c>
      <c r="D1390" t="inlineStr">
        <is>
          <t>VÄSTERNORRLANDS LÄN</t>
        </is>
      </c>
      <c r="E1390" t="inlineStr">
        <is>
          <t>SOLLEFTEÅ</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9773-2026</t>
        </is>
      </c>
      <c r="B1391" s="1" t="n">
        <v>46072</v>
      </c>
      <c r="C1391" s="1" t="n">
        <v>46199</v>
      </c>
      <c r="D1391" t="inlineStr">
        <is>
          <t>VÄSTERNORRLANDS LÄN</t>
        </is>
      </c>
      <c r="E1391" t="inlineStr">
        <is>
          <t>SOLLEFTEÅ</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60827-2024</t>
        </is>
      </c>
      <c r="B1392" s="1" t="n">
        <v>45644</v>
      </c>
      <c r="C1392" s="1" t="n">
        <v>46199</v>
      </c>
      <c r="D1392" t="inlineStr">
        <is>
          <t>VÄSTERNORRLANDS LÄN</t>
        </is>
      </c>
      <c r="E1392" t="inlineStr">
        <is>
          <t>SOLLEFTEÅ</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20738-2022</t>
        </is>
      </c>
      <c r="B1393" s="1" t="n">
        <v>44700</v>
      </c>
      <c r="C1393" s="1" t="n">
        <v>46199</v>
      </c>
      <c r="D1393" t="inlineStr">
        <is>
          <t>VÄSTERNORRLANDS LÄN</t>
        </is>
      </c>
      <c r="E1393" t="inlineStr">
        <is>
          <t>SOLLEFTEÅ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9706-2026</t>
        </is>
      </c>
      <c r="B1394" s="1" t="n">
        <v>46072</v>
      </c>
      <c r="C1394" s="1" t="n">
        <v>46199</v>
      </c>
      <c r="D1394" t="inlineStr">
        <is>
          <t>VÄSTERNORRLANDS LÄN</t>
        </is>
      </c>
      <c r="E1394" t="inlineStr">
        <is>
          <t>SOLLEFTEÅ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4212-2026</t>
        </is>
      </c>
      <c r="B1395" s="1" t="n">
        <v>46044</v>
      </c>
      <c r="C1395" s="1" t="n">
        <v>46199</v>
      </c>
      <c r="D1395" t="inlineStr">
        <is>
          <t>VÄSTERNORRLANDS LÄN</t>
        </is>
      </c>
      <c r="E1395" t="inlineStr">
        <is>
          <t>SOLLEFTEÅ</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9578-2026</t>
        </is>
      </c>
      <c r="B1396" s="1" t="n">
        <v>46071</v>
      </c>
      <c r="C1396" s="1" t="n">
        <v>46199</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10053-2026</t>
        </is>
      </c>
      <c r="B1397" s="1" t="n">
        <v>46073</v>
      </c>
      <c r="C1397" s="1" t="n">
        <v>46199</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10089-2026</t>
        </is>
      </c>
      <c r="B1398" s="1" t="n">
        <v>46073</v>
      </c>
      <c r="C1398" s="1" t="n">
        <v>46199</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10408-2026</t>
        </is>
      </c>
      <c r="B1399" s="1" t="n">
        <v>46077</v>
      </c>
      <c r="C1399" s="1" t="n">
        <v>46199</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10422-2026</t>
        </is>
      </c>
      <c r="B1400" s="1" t="n">
        <v>46077</v>
      </c>
      <c r="C1400" s="1" t="n">
        <v>46199</v>
      </c>
      <c r="D1400" t="inlineStr">
        <is>
          <t>VÄSTERNORRLANDS LÄN</t>
        </is>
      </c>
      <c r="E1400" t="inlineStr">
        <is>
          <t>SOLLEFTEÅ</t>
        </is>
      </c>
      <c r="F1400" t="inlineStr">
        <is>
          <t>SCA</t>
        </is>
      </c>
      <c r="G1400" t="n">
        <v>37.6</v>
      </c>
      <c r="H1400" t="n">
        <v>0</v>
      </c>
      <c r="I1400" t="n">
        <v>0</v>
      </c>
      <c r="J1400" t="n">
        <v>0</v>
      </c>
      <c r="K1400" t="n">
        <v>0</v>
      </c>
      <c r="L1400" t="n">
        <v>0</v>
      </c>
      <c r="M1400" t="n">
        <v>0</v>
      </c>
      <c r="N1400" t="n">
        <v>0</v>
      </c>
      <c r="O1400" t="n">
        <v>0</v>
      </c>
      <c r="P1400" t="n">
        <v>0</v>
      </c>
      <c r="Q1400" t="n">
        <v>0</v>
      </c>
      <c r="R1400" s="2" t="inlineStr"/>
    </row>
    <row r="1401" ht="15" customHeight="1">
      <c r="A1401" t="inlineStr">
        <is>
          <t>A 10433-2026</t>
        </is>
      </c>
      <c r="B1401" s="1" t="n">
        <v>46077</v>
      </c>
      <c r="C1401" s="1" t="n">
        <v>46199</v>
      </c>
      <c r="D1401" t="inlineStr">
        <is>
          <t>VÄSTERNORRLANDS LÄN</t>
        </is>
      </c>
      <c r="E1401" t="inlineStr">
        <is>
          <t>SOLLEFTEÅ</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21095-2024</t>
        </is>
      </c>
      <c r="B1402" s="1" t="n">
        <v>45439</v>
      </c>
      <c r="C1402" s="1" t="n">
        <v>46199</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8959-2023</t>
        </is>
      </c>
      <c r="B1403" s="1" t="n">
        <v>44974</v>
      </c>
      <c r="C1403" s="1" t="n">
        <v>46199</v>
      </c>
      <c r="D1403" t="inlineStr">
        <is>
          <t>VÄSTERNORRLANDS LÄN</t>
        </is>
      </c>
      <c r="E1403" t="inlineStr">
        <is>
          <t>SOLLEFTEÅ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12539-2023</t>
        </is>
      </c>
      <c r="B1404" s="1" t="n">
        <v>45000</v>
      </c>
      <c r="C1404" s="1" t="n">
        <v>46199</v>
      </c>
      <c r="D1404" t="inlineStr">
        <is>
          <t>VÄSTERNORRLANDS LÄN</t>
        </is>
      </c>
      <c r="E1404" t="inlineStr">
        <is>
          <t>SOLLEFTEÅ</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2481-2025</t>
        </is>
      </c>
      <c r="B1405" s="1" t="n">
        <v>45674</v>
      </c>
      <c r="C1405" s="1" t="n">
        <v>46199</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10052-2026</t>
        </is>
      </c>
      <c r="B1406" s="1" t="n">
        <v>46073</v>
      </c>
      <c r="C1406" s="1" t="n">
        <v>46199</v>
      </c>
      <c r="D1406" t="inlineStr">
        <is>
          <t>VÄSTERNORRLANDS LÄN</t>
        </is>
      </c>
      <c r="E1406" t="inlineStr">
        <is>
          <t>SOLLEFTEÅ</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9924-2026</t>
        </is>
      </c>
      <c r="B1407" s="1" t="n">
        <v>46073</v>
      </c>
      <c r="C1407" s="1" t="n">
        <v>46199</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62262-2022</t>
        </is>
      </c>
      <c r="B1408" s="1" t="n">
        <v>44922</v>
      </c>
      <c r="C1408" s="1" t="n">
        <v>46199</v>
      </c>
      <c r="D1408" t="inlineStr">
        <is>
          <t>VÄSTERNORRLANDS LÄN</t>
        </is>
      </c>
      <c r="E1408" t="inlineStr">
        <is>
          <t>SOLLEFTEÅ</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10582-2026</t>
        </is>
      </c>
      <c r="B1409" s="1" t="n">
        <v>46077</v>
      </c>
      <c r="C1409" s="1" t="n">
        <v>46199</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10216-2026</t>
        </is>
      </c>
      <c r="B1410" s="1" t="n">
        <v>46076</v>
      </c>
      <c r="C1410" s="1" t="n">
        <v>46199</v>
      </c>
      <c r="D1410" t="inlineStr">
        <is>
          <t>VÄSTERNORRLANDS LÄN</t>
        </is>
      </c>
      <c r="E1410" t="inlineStr">
        <is>
          <t>SOLLEFTEÅ</t>
        </is>
      </c>
      <c r="F1410" t="inlineStr">
        <is>
          <t>SCA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10580-2026</t>
        </is>
      </c>
      <c r="B1411" s="1" t="n">
        <v>46077</v>
      </c>
      <c r="C1411" s="1" t="n">
        <v>46199</v>
      </c>
      <c r="D1411" t="inlineStr">
        <is>
          <t>VÄSTERNORRLANDS LÄN</t>
        </is>
      </c>
      <c r="E1411" t="inlineStr">
        <is>
          <t>SOLLEFTEÅ</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10188-2026</t>
        </is>
      </c>
      <c r="B1412" s="1" t="n">
        <v>46076</v>
      </c>
      <c r="C1412" s="1" t="n">
        <v>46199</v>
      </c>
      <c r="D1412" t="inlineStr">
        <is>
          <t>VÄSTERNORRLANDS LÄN</t>
        </is>
      </c>
      <c r="E1412" t="inlineStr">
        <is>
          <t>SOLLEFTEÅ</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10581-2026</t>
        </is>
      </c>
      <c r="B1413" s="1" t="n">
        <v>46077</v>
      </c>
      <c r="C1413" s="1" t="n">
        <v>46199</v>
      </c>
      <c r="D1413" t="inlineStr">
        <is>
          <t>VÄSTERNORRLANDS LÄN</t>
        </is>
      </c>
      <c r="E1413" t="inlineStr">
        <is>
          <t>SOLLEFTEÅ</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10949-2026</t>
        </is>
      </c>
      <c r="B1414" s="1" t="n">
        <v>46079</v>
      </c>
      <c r="C1414" s="1" t="n">
        <v>46199</v>
      </c>
      <c r="D1414" t="inlineStr">
        <is>
          <t>VÄSTERNORRLANDS LÄN</t>
        </is>
      </c>
      <c r="E1414" t="inlineStr">
        <is>
          <t>SOLLEFTEÅ</t>
        </is>
      </c>
      <c r="F1414" t="inlineStr">
        <is>
          <t>SCA</t>
        </is>
      </c>
      <c r="G1414" t="n">
        <v>34.7</v>
      </c>
      <c r="H1414" t="n">
        <v>0</v>
      </c>
      <c r="I1414" t="n">
        <v>0</v>
      </c>
      <c r="J1414" t="n">
        <v>0</v>
      </c>
      <c r="K1414" t="n">
        <v>0</v>
      </c>
      <c r="L1414" t="n">
        <v>0</v>
      </c>
      <c r="M1414" t="n">
        <v>0</v>
      </c>
      <c r="N1414" t="n">
        <v>0</v>
      </c>
      <c r="O1414" t="n">
        <v>0</v>
      </c>
      <c r="P1414" t="n">
        <v>0</v>
      </c>
      <c r="Q1414" t="n">
        <v>0</v>
      </c>
      <c r="R1414" s="2" t="inlineStr"/>
    </row>
    <row r="1415" ht="15" customHeight="1">
      <c r="A1415" t="inlineStr">
        <is>
          <t>A 11017-2026</t>
        </is>
      </c>
      <c r="B1415" s="1" t="n">
        <v>46079</v>
      </c>
      <c r="C1415" s="1" t="n">
        <v>46199</v>
      </c>
      <c r="D1415" t="inlineStr">
        <is>
          <t>VÄSTERNORRLANDS LÄN</t>
        </is>
      </c>
      <c r="E1415" t="inlineStr">
        <is>
          <t>SOLLEFTEÅ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10823-2026</t>
        </is>
      </c>
      <c r="B1416" s="1" t="n">
        <v>46078</v>
      </c>
      <c r="C1416" s="1" t="n">
        <v>46199</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53483-2024</t>
        </is>
      </c>
      <c r="B1417" s="1" t="n">
        <v>45611</v>
      </c>
      <c r="C1417" s="1" t="n">
        <v>46199</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11014-2026</t>
        </is>
      </c>
      <c r="B1418" s="1" t="n">
        <v>46079</v>
      </c>
      <c r="C1418" s="1" t="n">
        <v>46199</v>
      </c>
      <c r="D1418" t="inlineStr">
        <is>
          <t>VÄSTERNORRLANDS LÄN</t>
        </is>
      </c>
      <c r="E1418" t="inlineStr">
        <is>
          <t>SOLLEFTEÅ</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10814-2026</t>
        </is>
      </c>
      <c r="B1419" s="1" t="n">
        <v>46078</v>
      </c>
      <c r="C1419" s="1" t="n">
        <v>46199</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11071-2026</t>
        </is>
      </c>
      <c r="B1420" s="1" t="n">
        <v>46079</v>
      </c>
      <c r="C1420" s="1" t="n">
        <v>46199</v>
      </c>
      <c r="D1420" t="inlineStr">
        <is>
          <t>VÄSTERNORRLANDS LÄN</t>
        </is>
      </c>
      <c r="E1420" t="inlineStr">
        <is>
          <t>SOLLEFTEÅ</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12107-2023</t>
        </is>
      </c>
      <c r="B1421" s="1" t="n">
        <v>44995</v>
      </c>
      <c r="C1421" s="1" t="n">
        <v>46199</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64638-2021</t>
        </is>
      </c>
      <c r="B1422" s="1" t="n">
        <v>44511</v>
      </c>
      <c r="C1422" s="1" t="n">
        <v>46199</v>
      </c>
      <c r="D1422" t="inlineStr">
        <is>
          <t>VÄSTERNORRLANDS LÄN</t>
        </is>
      </c>
      <c r="E1422" t="inlineStr">
        <is>
          <t>SOLLEFTEÅ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10852-2026</t>
        </is>
      </c>
      <c r="B1423" s="1" t="n">
        <v>46078</v>
      </c>
      <c r="C1423" s="1" t="n">
        <v>46199</v>
      </c>
      <c r="D1423" t="inlineStr">
        <is>
          <t>VÄSTERNORRLANDS LÄN</t>
        </is>
      </c>
      <c r="E1423" t="inlineStr">
        <is>
          <t>SOLLEFTEÅ</t>
        </is>
      </c>
      <c r="F1423" t="inlineStr">
        <is>
          <t>SCA</t>
        </is>
      </c>
      <c r="G1423" t="n">
        <v>25.7</v>
      </c>
      <c r="H1423" t="n">
        <v>0</v>
      </c>
      <c r="I1423" t="n">
        <v>0</v>
      </c>
      <c r="J1423" t="n">
        <v>0</v>
      </c>
      <c r="K1423" t="n">
        <v>0</v>
      </c>
      <c r="L1423" t="n">
        <v>0</v>
      </c>
      <c r="M1423" t="n">
        <v>0</v>
      </c>
      <c r="N1423" t="n">
        <v>0</v>
      </c>
      <c r="O1423" t="n">
        <v>0</v>
      </c>
      <c r="P1423" t="n">
        <v>0</v>
      </c>
      <c r="Q1423" t="n">
        <v>0</v>
      </c>
      <c r="R1423" s="2" t="inlineStr"/>
    </row>
    <row r="1424" ht="15" customHeight="1">
      <c r="A1424" t="inlineStr">
        <is>
          <t>A 10776-2026</t>
        </is>
      </c>
      <c r="B1424" s="1" t="n">
        <v>46078</v>
      </c>
      <c r="C1424" s="1" t="n">
        <v>46199</v>
      </c>
      <c r="D1424" t="inlineStr">
        <is>
          <t>VÄSTERNORRLANDS LÄN</t>
        </is>
      </c>
      <c r="E1424" t="inlineStr">
        <is>
          <t>SOLLEFTEÅ</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54307-2023</t>
        </is>
      </c>
      <c r="B1425" s="1" t="n">
        <v>45225</v>
      </c>
      <c r="C1425" s="1" t="n">
        <v>46199</v>
      </c>
      <c r="D1425" t="inlineStr">
        <is>
          <t>VÄSTERNORRLANDS LÄN</t>
        </is>
      </c>
      <c r="E1425" t="inlineStr">
        <is>
          <t>SOLLEFTEÅ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11182-2026</t>
        </is>
      </c>
      <c r="B1426" s="1" t="n">
        <v>46080</v>
      </c>
      <c r="C1426" s="1" t="n">
        <v>46199</v>
      </c>
      <c r="D1426" t="inlineStr">
        <is>
          <t>VÄSTERNORRLANDS LÄN</t>
        </is>
      </c>
      <c r="E1426" t="inlineStr">
        <is>
          <t>SOLLEFTEÅ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11175-2026</t>
        </is>
      </c>
      <c r="B1427" s="1" t="n">
        <v>46080</v>
      </c>
      <c r="C1427" s="1" t="n">
        <v>46199</v>
      </c>
      <c r="D1427" t="inlineStr">
        <is>
          <t>VÄSTERNORRLANDS LÄN</t>
        </is>
      </c>
      <c r="E1427" t="inlineStr">
        <is>
          <t>SOLLEFTEÅ</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25079-2023</t>
        </is>
      </c>
      <c r="B1428" s="1" t="n">
        <v>45086</v>
      </c>
      <c r="C1428" s="1" t="n">
        <v>46199</v>
      </c>
      <c r="D1428" t="inlineStr">
        <is>
          <t>VÄSTERNORRLANDS LÄN</t>
        </is>
      </c>
      <c r="E1428" t="inlineStr">
        <is>
          <t>SOLLEFTEÅ</t>
        </is>
      </c>
      <c r="F1428" t="inlineStr">
        <is>
          <t>Kommuner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62171-2024</t>
        </is>
      </c>
      <c r="B1429" s="1" t="n">
        <v>45657</v>
      </c>
      <c r="C1429" s="1" t="n">
        <v>46199</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657-2025</t>
        </is>
      </c>
      <c r="B1430" s="1" t="n">
        <v>45664</v>
      </c>
      <c r="C1430" s="1" t="n">
        <v>46199</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11214-2026</t>
        </is>
      </c>
      <c r="B1431" s="1" t="n">
        <v>46080</v>
      </c>
      <c r="C1431" s="1" t="n">
        <v>46199</v>
      </c>
      <c r="D1431" t="inlineStr">
        <is>
          <t>VÄSTERNORRLANDS LÄN</t>
        </is>
      </c>
      <c r="E1431" t="inlineStr">
        <is>
          <t>SOLLEFTEÅ</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11215-2026</t>
        </is>
      </c>
      <c r="B1432" s="1" t="n">
        <v>46080</v>
      </c>
      <c r="C1432" s="1" t="n">
        <v>46199</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11281-2026</t>
        </is>
      </c>
      <c r="B1433" s="1" t="n">
        <v>46080</v>
      </c>
      <c r="C1433" s="1" t="n">
        <v>46199</v>
      </c>
      <c r="D1433" t="inlineStr">
        <is>
          <t>VÄSTERNORRLANDS LÄN</t>
        </is>
      </c>
      <c r="E1433" t="inlineStr">
        <is>
          <t>SOLLEFTEÅ</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37726-2023</t>
        </is>
      </c>
      <c r="B1434" s="1" t="n">
        <v>45156</v>
      </c>
      <c r="C1434" s="1" t="n">
        <v>46199</v>
      </c>
      <c r="D1434" t="inlineStr">
        <is>
          <t>VÄSTERNORRLANDS LÄN</t>
        </is>
      </c>
      <c r="E1434" t="inlineStr">
        <is>
          <t>SOLLEFTEÅ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11486-2026</t>
        </is>
      </c>
      <c r="B1435" s="1" t="n">
        <v>46083</v>
      </c>
      <c r="C1435" s="1" t="n">
        <v>46199</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8712-2025</t>
        </is>
      </c>
      <c r="B1436" s="1" t="n">
        <v>45712</v>
      </c>
      <c r="C1436" s="1" t="n">
        <v>46199</v>
      </c>
      <c r="D1436" t="inlineStr">
        <is>
          <t>VÄSTERNORRLANDS LÄN</t>
        </is>
      </c>
      <c r="E1436" t="inlineStr">
        <is>
          <t>SOLLEFTEÅ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11916-2026</t>
        </is>
      </c>
      <c r="B1437" s="1" t="n">
        <v>46085</v>
      </c>
      <c r="C1437" s="1" t="n">
        <v>46199</v>
      </c>
      <c r="D1437" t="inlineStr">
        <is>
          <t>VÄSTERNORRLANDS LÄN</t>
        </is>
      </c>
      <c r="E1437" t="inlineStr">
        <is>
          <t>SOLLEFTEÅ</t>
        </is>
      </c>
      <c r="G1437" t="n">
        <v>25.5</v>
      </c>
      <c r="H1437" t="n">
        <v>0</v>
      </c>
      <c r="I1437" t="n">
        <v>0</v>
      </c>
      <c r="J1437" t="n">
        <v>0</v>
      </c>
      <c r="K1437" t="n">
        <v>0</v>
      </c>
      <c r="L1437" t="n">
        <v>0</v>
      </c>
      <c r="M1437" t="n">
        <v>0</v>
      </c>
      <c r="N1437" t="n">
        <v>0</v>
      </c>
      <c r="O1437" t="n">
        <v>0</v>
      </c>
      <c r="P1437" t="n">
        <v>0</v>
      </c>
      <c r="Q1437" t="n">
        <v>0</v>
      </c>
      <c r="R1437" s="2" t="inlineStr"/>
    </row>
    <row r="1438" ht="15" customHeight="1">
      <c r="A1438" t="inlineStr">
        <is>
          <t>A 11747-2026</t>
        </is>
      </c>
      <c r="B1438" s="1" t="n">
        <v>46084</v>
      </c>
      <c r="C1438" s="1" t="n">
        <v>46199</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11556-2026</t>
        </is>
      </c>
      <c r="B1439" s="1" t="n">
        <v>46084</v>
      </c>
      <c r="C1439" s="1" t="n">
        <v>46199</v>
      </c>
      <c r="D1439" t="inlineStr">
        <is>
          <t>VÄSTERNORRLANDS LÄN</t>
        </is>
      </c>
      <c r="E1439" t="inlineStr">
        <is>
          <t>SOLLEFTEÅ</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9072-2025</t>
        </is>
      </c>
      <c r="B1440" s="1" t="n">
        <v>45713</v>
      </c>
      <c r="C1440" s="1" t="n">
        <v>46199</v>
      </c>
      <c r="D1440" t="inlineStr">
        <is>
          <t>VÄSTERNORRLANDS LÄN</t>
        </is>
      </c>
      <c r="E1440" t="inlineStr">
        <is>
          <t>SOLLEFTEÅ</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34309-2023</t>
        </is>
      </c>
      <c r="B1441" s="1" t="n">
        <v>45138</v>
      </c>
      <c r="C1441" s="1" t="n">
        <v>46199</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34330-2023</t>
        </is>
      </c>
      <c r="B1442" s="1" t="n">
        <v>45138</v>
      </c>
      <c r="C1442" s="1" t="n">
        <v>46199</v>
      </c>
      <c r="D1442" t="inlineStr">
        <is>
          <t>VÄSTERNORRLANDS LÄN</t>
        </is>
      </c>
      <c r="E1442" t="inlineStr">
        <is>
          <t>SOLLEFTEÅ</t>
        </is>
      </c>
      <c r="F1442" t="inlineStr">
        <is>
          <t>SCA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11655-2026</t>
        </is>
      </c>
      <c r="B1443" s="1" t="n">
        <v>46084</v>
      </c>
      <c r="C1443" s="1" t="n">
        <v>46199</v>
      </c>
      <c r="D1443" t="inlineStr">
        <is>
          <t>VÄSTERNORRLANDS LÄN</t>
        </is>
      </c>
      <c r="E1443" t="inlineStr">
        <is>
          <t>SOLLEFTEÅ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12164-2026</t>
        </is>
      </c>
      <c r="B1444" s="1" t="n">
        <v>46084</v>
      </c>
      <c r="C1444" s="1" t="n">
        <v>46199</v>
      </c>
      <c r="D1444" t="inlineStr">
        <is>
          <t>VÄSTERNORRLANDS LÄN</t>
        </is>
      </c>
      <c r="E1444" t="inlineStr">
        <is>
          <t>SOLLEFTEÅ</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774-2025</t>
        </is>
      </c>
      <c r="B1445" s="1" t="n">
        <v>45659</v>
      </c>
      <c r="C1445" s="1" t="n">
        <v>46199</v>
      </c>
      <c r="D1445" t="inlineStr">
        <is>
          <t>VÄSTERNORRLANDS LÄN</t>
        </is>
      </c>
      <c r="E1445" t="inlineStr">
        <is>
          <t>SOLLEFTEÅ</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775-2025</t>
        </is>
      </c>
      <c r="B1446" s="1" t="n">
        <v>45659</v>
      </c>
      <c r="C1446" s="1" t="n">
        <v>46199</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31177-2023</t>
        </is>
      </c>
      <c r="B1447" s="1" t="n">
        <v>45113</v>
      </c>
      <c r="C1447" s="1" t="n">
        <v>46199</v>
      </c>
      <c r="D1447" t="inlineStr">
        <is>
          <t>VÄSTERNORRLANDS LÄN</t>
        </is>
      </c>
      <c r="E1447" t="inlineStr">
        <is>
          <t>SOLLEFTEÅ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11766-2026</t>
        </is>
      </c>
      <c r="B1448" s="1" t="n">
        <v>46084</v>
      </c>
      <c r="C1448" s="1" t="n">
        <v>46199</v>
      </c>
      <c r="D1448" t="inlineStr">
        <is>
          <t>VÄSTERNORRLANDS LÄN</t>
        </is>
      </c>
      <c r="E1448" t="inlineStr">
        <is>
          <t>SOLLEFTEÅ</t>
        </is>
      </c>
      <c r="F1448" t="inlineStr">
        <is>
          <t>Holmen skog AB</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11796-2026</t>
        </is>
      </c>
      <c r="B1449" s="1" t="n">
        <v>46084</v>
      </c>
      <c r="C1449" s="1" t="n">
        <v>46199</v>
      </c>
      <c r="D1449" t="inlineStr">
        <is>
          <t>VÄSTERNORRLANDS LÄN</t>
        </is>
      </c>
      <c r="E1449" t="inlineStr">
        <is>
          <t>SOLLEFTEÅ</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5040-2024</t>
        </is>
      </c>
      <c r="B1450" s="1" t="n">
        <v>45329</v>
      </c>
      <c r="C1450" s="1" t="n">
        <v>46199</v>
      </c>
      <c r="D1450" t="inlineStr">
        <is>
          <t>VÄSTERNORRLANDS LÄN</t>
        </is>
      </c>
      <c r="E1450" t="inlineStr">
        <is>
          <t>SOLLEFTEÅ</t>
        </is>
      </c>
      <c r="F1450" t="inlineStr">
        <is>
          <t>Övriga Aktiebolag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62099-2023</t>
        </is>
      </c>
      <c r="B1451" s="1" t="n">
        <v>45266</v>
      </c>
      <c r="C1451" s="1" t="n">
        <v>46199</v>
      </c>
      <c r="D1451" t="inlineStr">
        <is>
          <t>VÄSTERNORRLANDS LÄN</t>
        </is>
      </c>
      <c r="E1451" t="inlineStr">
        <is>
          <t>SOLLEFTEÅ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13539-2024</t>
        </is>
      </c>
      <c r="B1452" s="1" t="n">
        <v>45387</v>
      </c>
      <c r="C1452" s="1" t="n">
        <v>46199</v>
      </c>
      <c r="D1452" t="inlineStr">
        <is>
          <t>VÄSTERNORRLANDS LÄN</t>
        </is>
      </c>
      <c r="E1452" t="inlineStr">
        <is>
          <t>SOLLEFTEÅ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11792-2026</t>
        </is>
      </c>
      <c r="B1453" s="1" t="n">
        <v>46084</v>
      </c>
      <c r="C1453" s="1" t="n">
        <v>46199</v>
      </c>
      <c r="D1453" t="inlineStr">
        <is>
          <t>VÄSTERNORRLANDS LÄN</t>
        </is>
      </c>
      <c r="E1453" t="inlineStr">
        <is>
          <t>SOLLEFTEÅ</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12210-2026</t>
        </is>
      </c>
      <c r="B1454" s="1" t="n">
        <v>46087</v>
      </c>
      <c r="C1454" s="1" t="n">
        <v>46199</v>
      </c>
      <c r="D1454" t="inlineStr">
        <is>
          <t>VÄSTERNORRLANDS LÄN</t>
        </is>
      </c>
      <c r="E1454" t="inlineStr">
        <is>
          <t>SOLLEFTEÅ</t>
        </is>
      </c>
      <c r="F1454" t="inlineStr">
        <is>
          <t>Kyrkan</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57846-2024</t>
        </is>
      </c>
      <c r="B1455" s="1" t="n">
        <v>45631</v>
      </c>
      <c r="C1455" s="1" t="n">
        <v>46199</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12288-2026</t>
        </is>
      </c>
      <c r="B1456" s="1" t="n">
        <v>46087</v>
      </c>
      <c r="C1456" s="1" t="n">
        <v>46199</v>
      </c>
      <c r="D1456" t="inlineStr">
        <is>
          <t>VÄSTERNORRLANDS LÄN</t>
        </is>
      </c>
      <c r="E1456" t="inlineStr">
        <is>
          <t>SOLLEFTEÅ</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3750-2025</t>
        </is>
      </c>
      <c r="B1457" s="1" t="n">
        <v>45681</v>
      </c>
      <c r="C1457" s="1" t="n">
        <v>46199</v>
      </c>
      <c r="D1457" t="inlineStr">
        <is>
          <t>VÄSTERNORRLANDS LÄN</t>
        </is>
      </c>
      <c r="E1457" t="inlineStr">
        <is>
          <t>SOLLEFTEÅ</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12209-2026</t>
        </is>
      </c>
      <c r="B1458" s="1" t="n">
        <v>46087</v>
      </c>
      <c r="C1458" s="1" t="n">
        <v>46199</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12212-2026</t>
        </is>
      </c>
      <c r="B1459" s="1" t="n">
        <v>46087</v>
      </c>
      <c r="C1459" s="1" t="n">
        <v>46199</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12249-2026</t>
        </is>
      </c>
      <c r="B1460" s="1" t="n">
        <v>46087</v>
      </c>
      <c r="C1460" s="1" t="n">
        <v>46199</v>
      </c>
      <c r="D1460" t="inlineStr">
        <is>
          <t>VÄSTERNORRLANDS LÄN</t>
        </is>
      </c>
      <c r="E1460" t="inlineStr">
        <is>
          <t>SOLLEFTEÅ</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12333-2026</t>
        </is>
      </c>
      <c r="B1461" s="1" t="n">
        <v>46087</v>
      </c>
      <c r="C1461" s="1" t="n">
        <v>46199</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12376-2026</t>
        </is>
      </c>
      <c r="B1462" s="1" t="n">
        <v>46090</v>
      </c>
      <c r="C1462" s="1" t="n">
        <v>46199</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43531-2023</t>
        </is>
      </c>
      <c r="B1463" s="1" t="n">
        <v>45184</v>
      </c>
      <c r="C1463" s="1" t="n">
        <v>46199</v>
      </c>
      <c r="D1463" t="inlineStr">
        <is>
          <t>VÄSTERNORRLANDS LÄN</t>
        </is>
      </c>
      <c r="E1463" t="inlineStr">
        <is>
          <t>SOLLEFTEÅ</t>
        </is>
      </c>
      <c r="F1463" t="inlineStr">
        <is>
          <t>Holmen skog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12583-2026</t>
        </is>
      </c>
      <c r="B1464" s="1" t="n">
        <v>46090</v>
      </c>
      <c r="C1464" s="1" t="n">
        <v>46199</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23527-2023</t>
        </is>
      </c>
      <c r="B1465" s="1" t="n">
        <v>45076</v>
      </c>
      <c r="C1465" s="1" t="n">
        <v>46199</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12568-2026</t>
        </is>
      </c>
      <c r="B1466" s="1" t="n">
        <v>46090</v>
      </c>
      <c r="C1466" s="1" t="n">
        <v>46199</v>
      </c>
      <c r="D1466" t="inlineStr">
        <is>
          <t>VÄSTERNORRLANDS LÄN</t>
        </is>
      </c>
      <c r="E1466" t="inlineStr">
        <is>
          <t>SOLLEFTEÅ</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3435-2026</t>
        </is>
      </c>
      <c r="B1467" s="1" t="n">
        <v>46042</v>
      </c>
      <c r="C1467" s="1" t="n">
        <v>46199</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33591-2023</t>
        </is>
      </c>
      <c r="B1468" s="1" t="n">
        <v>45131</v>
      </c>
      <c r="C1468" s="1" t="n">
        <v>46199</v>
      </c>
      <c r="D1468" t="inlineStr">
        <is>
          <t>VÄSTERNORRLANDS LÄN</t>
        </is>
      </c>
      <c r="E1468" t="inlineStr">
        <is>
          <t>SOLLEFTEÅ</t>
        </is>
      </c>
      <c r="F1468" t="inlineStr">
        <is>
          <t>SCA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47185-2023</t>
        </is>
      </c>
      <c r="B1469" s="1" t="n">
        <v>45201</v>
      </c>
      <c r="C1469" s="1" t="n">
        <v>46199</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49324-2023</t>
        </is>
      </c>
      <c r="B1470" s="1" t="n">
        <v>45210</v>
      </c>
      <c r="C1470" s="1" t="n">
        <v>46199</v>
      </c>
      <c r="D1470" t="inlineStr">
        <is>
          <t>VÄSTERNORRLANDS LÄN</t>
        </is>
      </c>
      <c r="E1470" t="inlineStr">
        <is>
          <t>SOLLEFTEÅ</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44410-2023</t>
        </is>
      </c>
      <c r="B1471" s="1" t="n">
        <v>45188</v>
      </c>
      <c r="C1471" s="1" t="n">
        <v>46199</v>
      </c>
      <c r="D1471" t="inlineStr">
        <is>
          <t>VÄSTERNORRLANDS LÄN</t>
        </is>
      </c>
      <c r="E1471" t="inlineStr">
        <is>
          <t>SOLLEFTEÅ</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12762-2026</t>
        </is>
      </c>
      <c r="B1472" s="1" t="n">
        <v>46091</v>
      </c>
      <c r="C1472" s="1" t="n">
        <v>46199</v>
      </c>
      <c r="D1472" t="inlineStr">
        <is>
          <t>VÄSTERNORRLANDS LÄN</t>
        </is>
      </c>
      <c r="E1472" t="inlineStr">
        <is>
          <t>SOLLEFTEÅ</t>
        </is>
      </c>
      <c r="F1472" t="inlineStr">
        <is>
          <t>SCA</t>
        </is>
      </c>
      <c r="G1472" t="n">
        <v>36.8</v>
      </c>
      <c r="H1472" t="n">
        <v>0</v>
      </c>
      <c r="I1472" t="n">
        <v>0</v>
      </c>
      <c r="J1472" t="n">
        <v>0</v>
      </c>
      <c r="K1472" t="n">
        <v>0</v>
      </c>
      <c r="L1472" t="n">
        <v>0</v>
      </c>
      <c r="M1472" t="n">
        <v>0</v>
      </c>
      <c r="N1472" t="n">
        <v>0</v>
      </c>
      <c r="O1472" t="n">
        <v>0</v>
      </c>
      <c r="P1472" t="n">
        <v>0</v>
      </c>
      <c r="Q1472" t="n">
        <v>0</v>
      </c>
      <c r="R1472" s="2" t="inlineStr"/>
    </row>
    <row r="1473" ht="15" customHeight="1">
      <c r="A1473" t="inlineStr">
        <is>
          <t>A 47580-2022</t>
        </is>
      </c>
      <c r="B1473" s="1" t="n">
        <v>44853</v>
      </c>
      <c r="C1473" s="1" t="n">
        <v>46199</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12837-2026</t>
        </is>
      </c>
      <c r="B1474" s="1" t="n">
        <v>46092</v>
      </c>
      <c r="C1474" s="1" t="n">
        <v>46199</v>
      </c>
      <c r="D1474" t="inlineStr">
        <is>
          <t>VÄSTERNORRLANDS LÄN</t>
        </is>
      </c>
      <c r="E1474" t="inlineStr">
        <is>
          <t>SOLLEFTEÅ</t>
        </is>
      </c>
      <c r="F1474" t="inlineStr">
        <is>
          <t>SCA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13251-2026</t>
        </is>
      </c>
      <c r="B1475" s="1" t="n">
        <v>46093</v>
      </c>
      <c r="C1475" s="1" t="n">
        <v>46199</v>
      </c>
      <c r="D1475" t="inlineStr">
        <is>
          <t>VÄSTERNORRLANDS LÄN</t>
        </is>
      </c>
      <c r="E1475" t="inlineStr">
        <is>
          <t>SOLLEFTEÅ</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12835-2026</t>
        </is>
      </c>
      <c r="B1476" s="1" t="n">
        <v>46092</v>
      </c>
      <c r="C1476" s="1" t="n">
        <v>46199</v>
      </c>
      <c r="D1476" t="inlineStr">
        <is>
          <t>VÄSTERNORRLANDS LÄN</t>
        </is>
      </c>
      <c r="E1476" t="inlineStr">
        <is>
          <t>SOLLEFTEÅ</t>
        </is>
      </c>
      <c r="F1476" t="inlineStr">
        <is>
          <t>SCA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13095-2026</t>
        </is>
      </c>
      <c r="B1477" s="1" t="n">
        <v>46093</v>
      </c>
      <c r="C1477" s="1" t="n">
        <v>46199</v>
      </c>
      <c r="D1477" t="inlineStr">
        <is>
          <t>VÄSTERNORRLANDS LÄN</t>
        </is>
      </c>
      <c r="E1477" t="inlineStr">
        <is>
          <t>SOLLEFTEÅ</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60583-2024</t>
        </is>
      </c>
      <c r="B1478" s="1" t="n">
        <v>45644</v>
      </c>
      <c r="C1478" s="1" t="n">
        <v>46199</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61616-2024</t>
        </is>
      </c>
      <c r="B1479" s="1" t="n">
        <v>45645</v>
      </c>
      <c r="C1479" s="1" t="n">
        <v>46199</v>
      </c>
      <c r="D1479" t="inlineStr">
        <is>
          <t>VÄSTERNORRLANDS LÄN</t>
        </is>
      </c>
      <c r="E1479" t="inlineStr">
        <is>
          <t>SOLLEFTEÅ</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23488-2023</t>
        </is>
      </c>
      <c r="B1480" s="1" t="n">
        <v>45072</v>
      </c>
      <c r="C1480" s="1" t="n">
        <v>46199</v>
      </c>
      <c r="D1480" t="inlineStr">
        <is>
          <t>VÄSTERNORRLANDS LÄN</t>
        </is>
      </c>
      <c r="E1480" t="inlineStr">
        <is>
          <t>SOLLEFTEÅ</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13635-2026</t>
        </is>
      </c>
      <c r="B1481" s="1" t="n">
        <v>46097</v>
      </c>
      <c r="C1481" s="1" t="n">
        <v>46199</v>
      </c>
      <c r="D1481" t="inlineStr">
        <is>
          <t>VÄSTERNORRLANDS LÄN</t>
        </is>
      </c>
      <c r="E1481" t="inlineStr">
        <is>
          <t>SOLLEFTEÅ</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13312-2026</t>
        </is>
      </c>
      <c r="B1482" s="1" t="n">
        <v>46094</v>
      </c>
      <c r="C1482" s="1" t="n">
        <v>46199</v>
      </c>
      <c r="D1482" t="inlineStr">
        <is>
          <t>VÄSTERNORRLANDS LÄN</t>
        </is>
      </c>
      <c r="E1482" t="inlineStr">
        <is>
          <t>SOLLEFTEÅ</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13313-2026</t>
        </is>
      </c>
      <c r="B1483" s="1" t="n">
        <v>46094</v>
      </c>
      <c r="C1483" s="1" t="n">
        <v>46199</v>
      </c>
      <c r="D1483" t="inlineStr">
        <is>
          <t>VÄSTERNORRLANDS LÄN</t>
        </is>
      </c>
      <c r="E1483" t="inlineStr">
        <is>
          <t>SOLLEFTEÅ</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44533-2023</t>
        </is>
      </c>
      <c r="B1484" s="1" t="n">
        <v>45183</v>
      </c>
      <c r="C1484" s="1" t="n">
        <v>46199</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10726-2025</t>
        </is>
      </c>
      <c r="B1485" s="1" t="n">
        <v>45722</v>
      </c>
      <c r="C1485" s="1" t="n">
        <v>46199</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46804-2023</t>
        </is>
      </c>
      <c r="B1486" s="1" t="n">
        <v>45198</v>
      </c>
      <c r="C1486" s="1" t="n">
        <v>46199</v>
      </c>
      <c r="D1486" t="inlineStr">
        <is>
          <t>VÄSTERNORRLANDS LÄN</t>
        </is>
      </c>
      <c r="E1486" t="inlineStr">
        <is>
          <t>SOLLEFTEÅ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58588-2024</t>
        </is>
      </c>
      <c r="B1487" s="1" t="n">
        <v>45635</v>
      </c>
      <c r="C1487" s="1" t="n">
        <v>46199</v>
      </c>
      <c r="D1487" t="inlineStr">
        <is>
          <t>VÄSTERNORRLANDS LÄN</t>
        </is>
      </c>
      <c r="E1487" t="inlineStr">
        <is>
          <t>SOLLEFTEÅ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38054-2024</t>
        </is>
      </c>
      <c r="B1488" s="1" t="n">
        <v>45544</v>
      </c>
      <c r="C1488" s="1" t="n">
        <v>46199</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8124-2025</t>
        </is>
      </c>
      <c r="B1489" s="1" t="n">
        <v>45707</v>
      </c>
      <c r="C1489" s="1" t="n">
        <v>46199</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13936-2026</t>
        </is>
      </c>
      <c r="B1490" s="1" t="n">
        <v>46098</v>
      </c>
      <c r="C1490" s="1" t="n">
        <v>46199</v>
      </c>
      <c r="D1490" t="inlineStr">
        <is>
          <t>VÄSTERNORRLANDS LÄN</t>
        </is>
      </c>
      <c r="E1490" t="inlineStr">
        <is>
          <t>SOLLEFTEÅ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10865-2025</t>
        </is>
      </c>
      <c r="B1491" s="1" t="n">
        <v>45722</v>
      </c>
      <c r="C1491" s="1" t="n">
        <v>46199</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14683-2026</t>
        </is>
      </c>
      <c r="B1492" s="1" t="n">
        <v>46101</v>
      </c>
      <c r="C1492" s="1" t="n">
        <v>46199</v>
      </c>
      <c r="D1492" t="inlineStr">
        <is>
          <t>VÄSTERNORRLANDS LÄN</t>
        </is>
      </c>
      <c r="E1492" t="inlineStr">
        <is>
          <t>SOLLEFTEÅ</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56356-2023</t>
        </is>
      </c>
      <c r="B1493" s="1" t="n">
        <v>45236</v>
      </c>
      <c r="C1493" s="1" t="n">
        <v>46199</v>
      </c>
      <c r="D1493" t="inlineStr">
        <is>
          <t>VÄSTERNORRLANDS LÄN</t>
        </is>
      </c>
      <c r="E1493" t="inlineStr">
        <is>
          <t>SOLLEFTEÅ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14364-2026</t>
        </is>
      </c>
      <c r="B1494" s="1" t="n">
        <v>46100</v>
      </c>
      <c r="C1494" s="1" t="n">
        <v>46199</v>
      </c>
      <c r="D1494" t="inlineStr">
        <is>
          <t>VÄSTERNORRLANDS LÄN</t>
        </is>
      </c>
      <c r="E1494" t="inlineStr">
        <is>
          <t>SOLLEFTEÅ</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35217-2024</t>
        </is>
      </c>
      <c r="B1495" s="1" t="n">
        <v>45530</v>
      </c>
      <c r="C1495" s="1" t="n">
        <v>46199</v>
      </c>
      <c r="D1495" t="inlineStr">
        <is>
          <t>VÄSTERNORRLANDS LÄN</t>
        </is>
      </c>
      <c r="E1495" t="inlineStr">
        <is>
          <t>SOLLEFTEÅ</t>
        </is>
      </c>
      <c r="F1495" t="inlineStr">
        <is>
          <t>Kommuner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16633-2025</t>
        </is>
      </c>
      <c r="B1496" s="1" t="n">
        <v>45754</v>
      </c>
      <c r="C1496" s="1" t="n">
        <v>46199</v>
      </c>
      <c r="D1496" t="inlineStr">
        <is>
          <t>VÄSTERNORRLANDS LÄN</t>
        </is>
      </c>
      <c r="E1496" t="inlineStr">
        <is>
          <t>SOLLEFTEÅ</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3424-2025</t>
        </is>
      </c>
      <c r="B1497" s="1" t="n">
        <v>45680</v>
      </c>
      <c r="C1497" s="1" t="n">
        <v>46199</v>
      </c>
      <c r="D1497" t="inlineStr">
        <is>
          <t>VÄSTERNORRLANDS LÄN</t>
        </is>
      </c>
      <c r="E1497" t="inlineStr">
        <is>
          <t>SOLLEFTEÅ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14673-2026</t>
        </is>
      </c>
      <c r="B1498" s="1" t="n">
        <v>46101</v>
      </c>
      <c r="C1498" s="1" t="n">
        <v>46199</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14367-2026</t>
        </is>
      </c>
      <c r="B1499" s="1" t="n">
        <v>46100</v>
      </c>
      <c r="C1499" s="1" t="n">
        <v>46199</v>
      </c>
      <c r="D1499" t="inlineStr">
        <is>
          <t>VÄSTERNORRLANDS LÄN</t>
        </is>
      </c>
      <c r="E1499" t="inlineStr">
        <is>
          <t>SOLLEFTEÅ</t>
        </is>
      </c>
      <c r="F1499" t="inlineStr">
        <is>
          <t>SCA</t>
        </is>
      </c>
      <c r="G1499" t="n">
        <v>20.9</v>
      </c>
      <c r="H1499" t="n">
        <v>0</v>
      </c>
      <c r="I1499" t="n">
        <v>0</v>
      </c>
      <c r="J1499" t="n">
        <v>0</v>
      </c>
      <c r="K1499" t="n">
        <v>0</v>
      </c>
      <c r="L1499" t="n">
        <v>0</v>
      </c>
      <c r="M1499" t="n">
        <v>0</v>
      </c>
      <c r="N1499" t="n">
        <v>0</v>
      </c>
      <c r="O1499" t="n">
        <v>0</v>
      </c>
      <c r="P1499" t="n">
        <v>0</v>
      </c>
      <c r="Q1499" t="n">
        <v>0</v>
      </c>
      <c r="R1499" s="2" t="inlineStr"/>
    </row>
    <row r="1500" ht="15" customHeight="1">
      <c r="A1500" t="inlineStr">
        <is>
          <t>A 15308-2026</t>
        </is>
      </c>
      <c r="B1500" s="1" t="n">
        <v>46105</v>
      </c>
      <c r="C1500" s="1" t="n">
        <v>46199</v>
      </c>
      <c r="D1500" t="inlineStr">
        <is>
          <t>VÄSTERNORRLANDS LÄN</t>
        </is>
      </c>
      <c r="E1500" t="inlineStr">
        <is>
          <t>SOLLEFTEÅ</t>
        </is>
      </c>
      <c r="G1500" t="n">
        <v>12.8</v>
      </c>
      <c r="H1500" t="n">
        <v>0</v>
      </c>
      <c r="I1500" t="n">
        <v>0</v>
      </c>
      <c r="J1500" t="n">
        <v>0</v>
      </c>
      <c r="K1500" t="n">
        <v>0</v>
      </c>
      <c r="L1500" t="n">
        <v>0</v>
      </c>
      <c r="M1500" t="n">
        <v>0</v>
      </c>
      <c r="N1500" t="n">
        <v>0</v>
      </c>
      <c r="O1500" t="n">
        <v>0</v>
      </c>
      <c r="P1500" t="n">
        <v>0</v>
      </c>
      <c r="Q1500" t="n">
        <v>0</v>
      </c>
      <c r="R1500" s="2" t="inlineStr"/>
    </row>
    <row r="1501" ht="15" customHeight="1">
      <c r="A1501" t="inlineStr">
        <is>
          <t>A 15244-2026</t>
        </is>
      </c>
      <c r="B1501" s="1" t="n">
        <v>46105</v>
      </c>
      <c r="C1501" s="1" t="n">
        <v>46199</v>
      </c>
      <c r="D1501" t="inlineStr">
        <is>
          <t>VÄSTERNORRLANDS LÄN</t>
        </is>
      </c>
      <c r="E1501" t="inlineStr">
        <is>
          <t>SOLLEFTEÅ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34543-2022</t>
        </is>
      </c>
      <c r="B1502" s="1" t="n">
        <v>44793</v>
      </c>
      <c r="C1502" s="1" t="n">
        <v>46199</v>
      </c>
      <c r="D1502" t="inlineStr">
        <is>
          <t>VÄSTERNORRLANDS LÄN</t>
        </is>
      </c>
      <c r="E1502" t="inlineStr">
        <is>
          <t>SOLLEFTEÅ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30068-2024</t>
        </is>
      </c>
      <c r="B1503" s="1" t="n">
        <v>45488</v>
      </c>
      <c r="C1503" s="1" t="n">
        <v>46199</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2939-2025</t>
        </is>
      </c>
      <c r="B1504" s="1" t="n">
        <v>45678</v>
      </c>
      <c r="C1504" s="1" t="n">
        <v>46199</v>
      </c>
      <c r="D1504" t="inlineStr">
        <is>
          <t>VÄSTERNORRLANDS LÄN</t>
        </is>
      </c>
      <c r="E1504" t="inlineStr">
        <is>
          <t>SOLLEFTEÅ</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3368-2025</t>
        </is>
      </c>
      <c r="B1505" s="1" t="n">
        <v>45679</v>
      </c>
      <c r="C1505" s="1" t="n">
        <v>46199</v>
      </c>
      <c r="D1505" t="inlineStr">
        <is>
          <t>VÄSTERNORRLANDS LÄN</t>
        </is>
      </c>
      <c r="E1505" t="inlineStr">
        <is>
          <t>SOLLEFTEÅ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14828-2026</t>
        </is>
      </c>
      <c r="B1506" s="1" t="n">
        <v>46104</v>
      </c>
      <c r="C1506" s="1" t="n">
        <v>46199</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39504-2021</t>
        </is>
      </c>
      <c r="B1507" s="1" t="n">
        <v>44414</v>
      </c>
      <c r="C1507" s="1" t="n">
        <v>46199</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15888-2026</t>
        </is>
      </c>
      <c r="B1508" s="1" t="n">
        <v>46107</v>
      </c>
      <c r="C1508" s="1" t="n">
        <v>46199</v>
      </c>
      <c r="D1508" t="inlineStr">
        <is>
          <t>VÄSTERNORRLANDS LÄN</t>
        </is>
      </c>
      <c r="E1508" t="inlineStr">
        <is>
          <t>SOLLEFTEÅ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8894-2025</t>
        </is>
      </c>
      <c r="B1509" s="1" t="n">
        <v>45713</v>
      </c>
      <c r="C1509" s="1" t="n">
        <v>46199</v>
      </c>
      <c r="D1509" t="inlineStr">
        <is>
          <t>VÄSTERNORRLANDS LÄN</t>
        </is>
      </c>
      <c r="E1509" t="inlineStr">
        <is>
          <t>SOLLEFTEÅ</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54574-2024</t>
        </is>
      </c>
      <c r="B1510" s="1" t="n">
        <v>45617</v>
      </c>
      <c r="C1510" s="1" t="n">
        <v>46199</v>
      </c>
      <c r="D1510" t="inlineStr">
        <is>
          <t>VÄSTERNORRLANDS LÄN</t>
        </is>
      </c>
      <c r="E1510" t="inlineStr">
        <is>
          <t>SOLLEFTEÅ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326-2025</t>
        </is>
      </c>
      <c r="B1511" s="1" t="n">
        <v>45660</v>
      </c>
      <c r="C1511" s="1" t="n">
        <v>46199</v>
      </c>
      <c r="D1511" t="inlineStr">
        <is>
          <t>VÄSTERNORRLANDS LÄN</t>
        </is>
      </c>
      <c r="E1511" t="inlineStr">
        <is>
          <t>SOLLEFTEÅ</t>
        </is>
      </c>
      <c r="F1511" t="inlineStr">
        <is>
          <t>SCA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34473-2021</t>
        </is>
      </c>
      <c r="B1512" s="1" t="n">
        <v>44381</v>
      </c>
      <c r="C1512" s="1" t="n">
        <v>46199</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15944-2026</t>
        </is>
      </c>
      <c r="B1513" s="1" t="n">
        <v>46107</v>
      </c>
      <c r="C1513" s="1" t="n">
        <v>46199</v>
      </c>
      <c r="D1513" t="inlineStr">
        <is>
          <t>VÄSTERNORRLANDS LÄN</t>
        </is>
      </c>
      <c r="E1513" t="inlineStr">
        <is>
          <t>SOLLEFTEÅ</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45120-2022</t>
        </is>
      </c>
      <c r="B1514" s="1" t="n">
        <v>44843</v>
      </c>
      <c r="C1514" s="1" t="n">
        <v>46199</v>
      </c>
      <c r="D1514" t="inlineStr">
        <is>
          <t>VÄSTERNORRLANDS LÄN</t>
        </is>
      </c>
      <c r="E1514" t="inlineStr">
        <is>
          <t>SOLLEFTEÅ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15785-2026</t>
        </is>
      </c>
      <c r="B1515" s="1" t="n">
        <v>46107</v>
      </c>
      <c r="C1515" s="1" t="n">
        <v>46199</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34395-2021</t>
        </is>
      </c>
      <c r="B1516" s="1" t="n">
        <v>44379</v>
      </c>
      <c r="C1516" s="1" t="n">
        <v>46199</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15444-2026</t>
        </is>
      </c>
      <c r="B1517" s="1" t="n">
        <v>46106</v>
      </c>
      <c r="C1517" s="1" t="n">
        <v>46199</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44762-2022</t>
        </is>
      </c>
      <c r="B1518" s="1" t="n">
        <v>44840</v>
      </c>
      <c r="C1518" s="1" t="n">
        <v>46199</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16427-2026</t>
        </is>
      </c>
      <c r="B1519" s="1" t="n">
        <v>46111</v>
      </c>
      <c r="C1519" s="1" t="n">
        <v>46199</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45973-2023</t>
        </is>
      </c>
      <c r="B1520" s="1" t="n">
        <v>45195</v>
      </c>
      <c r="C1520" s="1" t="n">
        <v>46199</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16021-2026</t>
        </is>
      </c>
      <c r="B1521" s="1" t="n">
        <v>46108</v>
      </c>
      <c r="C1521" s="1" t="n">
        <v>46199</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16196-2026</t>
        </is>
      </c>
      <c r="B1522" s="1" t="n">
        <v>46111</v>
      </c>
      <c r="C1522" s="1" t="n">
        <v>46199</v>
      </c>
      <c r="D1522" t="inlineStr">
        <is>
          <t>VÄSTERNORRLANDS LÄN</t>
        </is>
      </c>
      <c r="E1522" t="inlineStr">
        <is>
          <t>SOLLEFTEÅ</t>
        </is>
      </c>
      <c r="F1522" t="inlineStr">
        <is>
          <t>SCA</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16445-2026</t>
        </is>
      </c>
      <c r="B1523" s="1" t="n">
        <v>46111</v>
      </c>
      <c r="C1523" s="1" t="n">
        <v>46199</v>
      </c>
      <c r="D1523" t="inlineStr">
        <is>
          <t>VÄSTERNORRLANDS LÄN</t>
        </is>
      </c>
      <c r="E1523" t="inlineStr">
        <is>
          <t>SOLLEFTEÅ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31477-2024</t>
        </is>
      </c>
      <c r="B1524" s="1" t="n">
        <v>45505</v>
      </c>
      <c r="C1524" s="1" t="n">
        <v>46199</v>
      </c>
      <c r="D1524" t="inlineStr">
        <is>
          <t>VÄSTERNORRLANDS LÄN</t>
        </is>
      </c>
      <c r="E1524" t="inlineStr">
        <is>
          <t>SOLLEFTEÅ</t>
        </is>
      </c>
      <c r="F1524" t="inlineStr">
        <is>
          <t>SCA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18761-2023</t>
        </is>
      </c>
      <c r="B1525" s="1" t="n">
        <v>45043</v>
      </c>
      <c r="C1525" s="1" t="n">
        <v>46199</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18762-2023</t>
        </is>
      </c>
      <c r="B1526" s="1" t="n">
        <v>45043</v>
      </c>
      <c r="C1526" s="1" t="n">
        <v>46199</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16805-2026</t>
        </is>
      </c>
      <c r="B1527" s="1" t="n">
        <v>46113</v>
      </c>
      <c r="C1527" s="1" t="n">
        <v>46199</v>
      </c>
      <c r="D1527" t="inlineStr">
        <is>
          <t>VÄSTERNORRLANDS LÄN</t>
        </is>
      </c>
      <c r="E1527" t="inlineStr">
        <is>
          <t>SOLLEFTEÅ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16925-2026</t>
        </is>
      </c>
      <c r="B1528" s="1" t="n">
        <v>46113</v>
      </c>
      <c r="C1528" s="1" t="n">
        <v>46199</v>
      </c>
      <c r="D1528" t="inlineStr">
        <is>
          <t>VÄSTERNORRLANDS LÄN</t>
        </is>
      </c>
      <c r="E1528" t="inlineStr">
        <is>
          <t>SOLLEFTEÅ</t>
        </is>
      </c>
      <c r="F1528" t="inlineStr">
        <is>
          <t>SCA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16510-2026</t>
        </is>
      </c>
      <c r="B1529" s="1" t="n">
        <v>46112</v>
      </c>
      <c r="C1529" s="1" t="n">
        <v>46199</v>
      </c>
      <c r="D1529" t="inlineStr">
        <is>
          <t>VÄSTERNORRLANDS LÄN</t>
        </is>
      </c>
      <c r="E1529" t="inlineStr">
        <is>
          <t>SOLLEFTEÅ</t>
        </is>
      </c>
      <c r="F1529" t="inlineStr">
        <is>
          <t>SCA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16525-2026</t>
        </is>
      </c>
      <c r="B1530" s="1" t="n">
        <v>46112</v>
      </c>
      <c r="C1530" s="1" t="n">
        <v>46199</v>
      </c>
      <c r="D1530" t="inlineStr">
        <is>
          <t>VÄSTERNORRLANDS LÄN</t>
        </is>
      </c>
      <c r="E1530" t="inlineStr">
        <is>
          <t>SOLLEFTEÅ</t>
        </is>
      </c>
      <c r="F1530" t="inlineStr">
        <is>
          <t>SCA</t>
        </is>
      </c>
      <c r="G1530" t="n">
        <v>32.9</v>
      </c>
      <c r="H1530" t="n">
        <v>0</v>
      </c>
      <c r="I1530" t="n">
        <v>0</v>
      </c>
      <c r="J1530" t="n">
        <v>0</v>
      </c>
      <c r="K1530" t="n">
        <v>0</v>
      </c>
      <c r="L1530" t="n">
        <v>0</v>
      </c>
      <c r="M1530" t="n">
        <v>0</v>
      </c>
      <c r="N1530" t="n">
        <v>0</v>
      </c>
      <c r="O1530" t="n">
        <v>0</v>
      </c>
      <c r="P1530" t="n">
        <v>0</v>
      </c>
      <c r="Q1530" t="n">
        <v>0</v>
      </c>
      <c r="R1530" s="2" t="inlineStr"/>
    </row>
    <row r="1531" ht="15" customHeight="1">
      <c r="A1531" t="inlineStr">
        <is>
          <t>A 16889-2026</t>
        </is>
      </c>
      <c r="B1531" s="1" t="n">
        <v>46113</v>
      </c>
      <c r="C1531" s="1" t="n">
        <v>46199</v>
      </c>
      <c r="D1531" t="inlineStr">
        <is>
          <t>VÄSTERNORRLANDS LÄN</t>
        </is>
      </c>
      <c r="E1531" t="inlineStr">
        <is>
          <t>SOLLEFTEÅ</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16961-2026</t>
        </is>
      </c>
      <c r="B1532" s="1" t="n">
        <v>46114</v>
      </c>
      <c r="C1532" s="1" t="n">
        <v>46199</v>
      </c>
      <c r="D1532" t="inlineStr">
        <is>
          <t>VÄSTERNORRLANDS LÄN</t>
        </is>
      </c>
      <c r="E1532" t="inlineStr">
        <is>
          <t>SOLLEFTEÅ</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22781-2026</t>
        </is>
      </c>
      <c r="B1533" s="1" t="n">
        <v>46157</v>
      </c>
      <c r="C1533" s="1" t="n">
        <v>46199</v>
      </c>
      <c r="D1533" t="inlineStr">
        <is>
          <t>VÄSTERNORRLANDS LÄN</t>
        </is>
      </c>
      <c r="E1533" t="inlineStr">
        <is>
          <t>SOLLEFTEÅ</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66178-2021</t>
        </is>
      </c>
      <c r="B1534" s="1" t="n">
        <v>44517</v>
      </c>
      <c r="C1534" s="1" t="n">
        <v>46199</v>
      </c>
      <c r="D1534" t="inlineStr">
        <is>
          <t>VÄSTERNORRLANDS LÄN</t>
        </is>
      </c>
      <c r="E1534" t="inlineStr">
        <is>
          <t>SOLLEFTEÅ</t>
        </is>
      </c>
      <c r="F1534" t="inlineStr">
        <is>
          <t>SCA</t>
        </is>
      </c>
      <c r="G1534" t="n">
        <v>31.7</v>
      </c>
      <c r="H1534" t="n">
        <v>0</v>
      </c>
      <c r="I1534" t="n">
        <v>0</v>
      </c>
      <c r="J1534" t="n">
        <v>0</v>
      </c>
      <c r="K1534" t="n">
        <v>0</v>
      </c>
      <c r="L1534" t="n">
        <v>0</v>
      </c>
      <c r="M1534" t="n">
        <v>0</v>
      </c>
      <c r="N1534" t="n">
        <v>0</v>
      </c>
      <c r="O1534" t="n">
        <v>0</v>
      </c>
      <c r="P1534" t="n">
        <v>0</v>
      </c>
      <c r="Q1534" t="n">
        <v>0</v>
      </c>
      <c r="R1534" s="2" t="inlineStr"/>
    </row>
    <row r="1535" ht="15" customHeight="1">
      <c r="A1535" t="inlineStr">
        <is>
          <t>A 62260-2022</t>
        </is>
      </c>
      <c r="B1535" s="1" t="n">
        <v>44922</v>
      </c>
      <c r="C1535" s="1" t="n">
        <v>46199</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17033-2026</t>
        </is>
      </c>
      <c r="B1536" s="1" t="n">
        <v>46114</v>
      </c>
      <c r="C1536" s="1" t="n">
        <v>46199</v>
      </c>
      <c r="D1536" t="inlineStr">
        <is>
          <t>VÄSTERNORRLANDS LÄN</t>
        </is>
      </c>
      <c r="E1536" t="inlineStr">
        <is>
          <t>SOLLEFTEÅ</t>
        </is>
      </c>
      <c r="F1536" t="inlineStr">
        <is>
          <t>SCA</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17116-2026</t>
        </is>
      </c>
      <c r="B1537" s="1" t="n">
        <v>46114</v>
      </c>
      <c r="C1537" s="1" t="n">
        <v>46199</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22734-2026</t>
        </is>
      </c>
      <c r="B1538" s="1" t="n">
        <v>46157</v>
      </c>
      <c r="C1538" s="1" t="n">
        <v>46199</v>
      </c>
      <c r="D1538" t="inlineStr">
        <is>
          <t>VÄSTERNORRLANDS LÄN</t>
        </is>
      </c>
      <c r="E1538" t="inlineStr">
        <is>
          <t>SOLLEFTEÅ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48296-2022</t>
        </is>
      </c>
      <c r="B1539" s="1" t="n">
        <v>44858</v>
      </c>
      <c r="C1539" s="1" t="n">
        <v>46199</v>
      </c>
      <c r="D1539" t="inlineStr">
        <is>
          <t>VÄSTERNORRLANDS LÄN</t>
        </is>
      </c>
      <c r="E1539" t="inlineStr">
        <is>
          <t>SOLLEFTEÅ</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17348-2026</t>
        </is>
      </c>
      <c r="B1540" s="1" t="n">
        <v>46119</v>
      </c>
      <c r="C1540" s="1" t="n">
        <v>46199</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22840-2026</t>
        </is>
      </c>
      <c r="B1541" s="1" t="n">
        <v>46160</v>
      </c>
      <c r="C1541" s="1" t="n">
        <v>46199</v>
      </c>
      <c r="D1541" t="inlineStr">
        <is>
          <t>VÄSTERNORRLANDS LÄN</t>
        </is>
      </c>
      <c r="E1541" t="inlineStr">
        <is>
          <t>SOLLEFTEÅ</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11746-2025</t>
        </is>
      </c>
      <c r="B1542" s="1" t="n">
        <v>45727</v>
      </c>
      <c r="C1542" s="1" t="n">
        <v>46199</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19936-2025</t>
        </is>
      </c>
      <c r="B1543" s="1" t="n">
        <v>45771</v>
      </c>
      <c r="C1543" s="1" t="n">
        <v>46199</v>
      </c>
      <c r="D1543" t="inlineStr">
        <is>
          <t>VÄSTERNORRLANDS LÄN</t>
        </is>
      </c>
      <c r="E1543" t="inlineStr">
        <is>
          <t>SOLLEFTEÅ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19949-2025</t>
        </is>
      </c>
      <c r="B1544" s="1" t="n">
        <v>45771</v>
      </c>
      <c r="C1544" s="1" t="n">
        <v>46199</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23166-2026</t>
        </is>
      </c>
      <c r="B1545" s="1" t="n">
        <v>46161</v>
      </c>
      <c r="C1545" s="1" t="n">
        <v>46199</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22995-2026</t>
        </is>
      </c>
      <c r="B1546" s="1" t="n">
        <v>46160</v>
      </c>
      <c r="C1546" s="1" t="n">
        <v>46199</v>
      </c>
      <c r="D1546" t="inlineStr">
        <is>
          <t>VÄSTERNORRLANDS LÄN</t>
        </is>
      </c>
      <c r="E1546" t="inlineStr">
        <is>
          <t>SOLLEFTEÅ</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5108-2022</t>
        </is>
      </c>
      <c r="B1547" s="1" t="n">
        <v>44593</v>
      </c>
      <c r="C1547" s="1" t="n">
        <v>46199</v>
      </c>
      <c r="D1547" t="inlineStr">
        <is>
          <t>VÄSTERNORRLANDS LÄN</t>
        </is>
      </c>
      <c r="E1547" t="inlineStr">
        <is>
          <t>SOLLEFTEÅ</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22885-2026</t>
        </is>
      </c>
      <c r="B1548" s="1" t="n">
        <v>46160</v>
      </c>
      <c r="C1548" s="1" t="n">
        <v>46199</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23028-2026</t>
        </is>
      </c>
      <c r="B1549" s="1" t="n">
        <v>46161</v>
      </c>
      <c r="C1549" s="1" t="n">
        <v>46199</v>
      </c>
      <c r="D1549" t="inlineStr">
        <is>
          <t>VÄSTERNORRLANDS LÄN</t>
        </is>
      </c>
      <c r="E1549" t="inlineStr">
        <is>
          <t>SOLLEFTEÅ</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22902-2026</t>
        </is>
      </c>
      <c r="B1550" s="1" t="n">
        <v>46160</v>
      </c>
      <c r="C1550" s="1" t="n">
        <v>46199</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22976-2026</t>
        </is>
      </c>
      <c r="B1551" s="1" t="n">
        <v>46160</v>
      </c>
      <c r="C1551" s="1" t="n">
        <v>46199</v>
      </c>
      <c r="D1551" t="inlineStr">
        <is>
          <t>VÄSTERNORRLANDS LÄN</t>
        </is>
      </c>
      <c r="E1551" t="inlineStr">
        <is>
          <t>SOLLEFTEÅ</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22994-2026</t>
        </is>
      </c>
      <c r="B1552" s="1" t="n">
        <v>46160</v>
      </c>
      <c r="C1552" s="1" t="n">
        <v>46199</v>
      </c>
      <c r="D1552" t="inlineStr">
        <is>
          <t>VÄSTERNORRLANDS LÄN</t>
        </is>
      </c>
      <c r="E1552" t="inlineStr">
        <is>
          <t>SOLLEFTEÅ</t>
        </is>
      </c>
      <c r="F1552" t="inlineStr">
        <is>
          <t>SCA</t>
        </is>
      </c>
      <c r="G1552" t="n">
        <v>15.5</v>
      </c>
      <c r="H1552" t="n">
        <v>0</v>
      </c>
      <c r="I1552" t="n">
        <v>0</v>
      </c>
      <c r="J1552" t="n">
        <v>0</v>
      </c>
      <c r="K1552" t="n">
        <v>0</v>
      </c>
      <c r="L1552" t="n">
        <v>0</v>
      </c>
      <c r="M1552" t="n">
        <v>0</v>
      </c>
      <c r="N1552" t="n">
        <v>0</v>
      </c>
      <c r="O1552" t="n">
        <v>0</v>
      </c>
      <c r="P1552" t="n">
        <v>0</v>
      </c>
      <c r="Q1552" t="n">
        <v>0</v>
      </c>
      <c r="R1552" s="2" t="inlineStr"/>
    </row>
    <row r="1553" ht="15" customHeight="1">
      <c r="A1553" t="inlineStr">
        <is>
          <t>A 17172-2024</t>
        </is>
      </c>
      <c r="B1553" s="1" t="n">
        <v>45412</v>
      </c>
      <c r="C1553" s="1" t="n">
        <v>46199</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22977-2026</t>
        </is>
      </c>
      <c r="B1554" s="1" t="n">
        <v>46160</v>
      </c>
      <c r="C1554" s="1" t="n">
        <v>46199</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22919-2026</t>
        </is>
      </c>
      <c r="B1555" s="1" t="n">
        <v>46160</v>
      </c>
      <c r="C1555" s="1" t="n">
        <v>46199</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22993-2026</t>
        </is>
      </c>
      <c r="B1556" s="1" t="n">
        <v>46160</v>
      </c>
      <c r="C1556" s="1" t="n">
        <v>46199</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22988-2026</t>
        </is>
      </c>
      <c r="B1557" s="1" t="n">
        <v>46160</v>
      </c>
      <c r="C1557" s="1" t="n">
        <v>46199</v>
      </c>
      <c r="D1557" t="inlineStr">
        <is>
          <t>VÄSTERNORRLANDS LÄN</t>
        </is>
      </c>
      <c r="E1557" t="inlineStr">
        <is>
          <t>SOLLEFTEÅ</t>
        </is>
      </c>
      <c r="F1557" t="inlineStr">
        <is>
          <t>SCA</t>
        </is>
      </c>
      <c r="G1557" t="n">
        <v>14.7</v>
      </c>
      <c r="H1557" t="n">
        <v>0</v>
      </c>
      <c r="I1557" t="n">
        <v>0</v>
      </c>
      <c r="J1557" t="n">
        <v>0</v>
      </c>
      <c r="K1557" t="n">
        <v>0</v>
      </c>
      <c r="L1557" t="n">
        <v>0</v>
      </c>
      <c r="M1557" t="n">
        <v>0</v>
      </c>
      <c r="N1557" t="n">
        <v>0</v>
      </c>
      <c r="O1557" t="n">
        <v>0</v>
      </c>
      <c r="P1557" t="n">
        <v>0</v>
      </c>
      <c r="Q1557" t="n">
        <v>0</v>
      </c>
      <c r="R1557" s="2" t="inlineStr"/>
    </row>
    <row r="1558" ht="15" customHeight="1">
      <c r="A1558" t="inlineStr">
        <is>
          <t>A 6735-2025</t>
        </is>
      </c>
      <c r="B1558" s="1" t="n">
        <v>45700</v>
      </c>
      <c r="C1558" s="1" t="n">
        <v>46199</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6737-2025</t>
        </is>
      </c>
      <c r="B1559" s="1" t="n">
        <v>45700</v>
      </c>
      <c r="C1559" s="1" t="n">
        <v>46199</v>
      </c>
      <c r="D1559" t="inlineStr">
        <is>
          <t>VÄSTERNORRLANDS LÄN</t>
        </is>
      </c>
      <c r="E1559" t="inlineStr">
        <is>
          <t>SOLLEFTEÅ</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19207-2025</t>
        </is>
      </c>
      <c r="B1560" s="1" t="n">
        <v>45769</v>
      </c>
      <c r="C1560" s="1" t="n">
        <v>46199</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17691-2026</t>
        </is>
      </c>
      <c r="B1561" s="1" t="n">
        <v>46121</v>
      </c>
      <c r="C1561" s="1" t="n">
        <v>46199</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23552-2026</t>
        </is>
      </c>
      <c r="B1562" s="1" t="n">
        <v>46163</v>
      </c>
      <c r="C1562" s="1" t="n">
        <v>46199</v>
      </c>
      <c r="D1562" t="inlineStr">
        <is>
          <t>VÄSTERNORRLANDS LÄN</t>
        </is>
      </c>
      <c r="E1562" t="inlineStr">
        <is>
          <t>SOLLEFTEÅ</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23418-2026</t>
        </is>
      </c>
      <c r="B1563" s="1" t="n">
        <v>46163</v>
      </c>
      <c r="C1563" s="1" t="n">
        <v>46199</v>
      </c>
      <c r="D1563" t="inlineStr">
        <is>
          <t>VÄSTERNORRLANDS LÄN</t>
        </is>
      </c>
      <c r="E1563" t="inlineStr">
        <is>
          <t>SOLLEFTEÅ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42512-2023</t>
        </is>
      </c>
      <c r="B1564" s="1" t="n">
        <v>45180</v>
      </c>
      <c r="C1564" s="1" t="n">
        <v>46199</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20437-2025</t>
        </is>
      </c>
      <c r="B1565" s="1" t="n">
        <v>45775</v>
      </c>
      <c r="C1565" s="1" t="n">
        <v>46199</v>
      </c>
      <c r="D1565" t="inlineStr">
        <is>
          <t>VÄSTERNORRLANDS LÄN</t>
        </is>
      </c>
      <c r="E1565" t="inlineStr">
        <is>
          <t>SOLLEFTEÅ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17034-2025</t>
        </is>
      </c>
      <c r="B1566" s="1" t="n">
        <v>45755</v>
      </c>
      <c r="C1566" s="1" t="n">
        <v>46199</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42229-2021</t>
        </is>
      </c>
      <c r="B1567" s="1" t="n">
        <v>44426</v>
      </c>
      <c r="C1567" s="1" t="n">
        <v>46199</v>
      </c>
      <c r="D1567" t="inlineStr">
        <is>
          <t>VÄSTERNORRLANDS LÄN</t>
        </is>
      </c>
      <c r="E1567" t="inlineStr">
        <is>
          <t>SOLLEFTEÅ</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20183-2025</t>
        </is>
      </c>
      <c r="B1568" s="1" t="n">
        <v>45772</v>
      </c>
      <c r="C1568" s="1" t="n">
        <v>46199</v>
      </c>
      <c r="D1568" t="inlineStr">
        <is>
          <t>VÄSTERNORRLANDS LÄN</t>
        </is>
      </c>
      <c r="E1568" t="inlineStr">
        <is>
          <t>SOLLEFTEÅ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17588-2026</t>
        </is>
      </c>
      <c r="B1569" s="1" t="n">
        <v>46121</v>
      </c>
      <c r="C1569" s="1" t="n">
        <v>46199</v>
      </c>
      <c r="D1569" t="inlineStr">
        <is>
          <t>VÄSTERNORRLANDS LÄN</t>
        </is>
      </c>
      <c r="E1569" t="inlineStr">
        <is>
          <t>SOLLEFTEÅ</t>
        </is>
      </c>
      <c r="G1569" t="n">
        <v>23.1</v>
      </c>
      <c r="H1569" t="n">
        <v>0</v>
      </c>
      <c r="I1569" t="n">
        <v>0</v>
      </c>
      <c r="J1569" t="n">
        <v>0</v>
      </c>
      <c r="K1569" t="n">
        <v>0</v>
      </c>
      <c r="L1569" t="n">
        <v>0</v>
      </c>
      <c r="M1569" t="n">
        <v>0</v>
      </c>
      <c r="N1569" t="n">
        <v>0</v>
      </c>
      <c r="O1569" t="n">
        <v>0</v>
      </c>
      <c r="P1569" t="n">
        <v>0</v>
      </c>
      <c r="Q1569" t="n">
        <v>0</v>
      </c>
      <c r="R1569" s="2" t="inlineStr"/>
    </row>
    <row r="1570" ht="15" customHeight="1">
      <c r="A1570" t="inlineStr">
        <is>
          <t>A 23306-2026</t>
        </is>
      </c>
      <c r="B1570" s="1" t="n">
        <v>46162</v>
      </c>
      <c r="C1570" s="1" t="n">
        <v>46199</v>
      </c>
      <c r="D1570" t="inlineStr">
        <is>
          <t>VÄSTERNORRLANDS LÄN</t>
        </is>
      </c>
      <c r="E1570" t="inlineStr">
        <is>
          <t>SOLLEFTEÅ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23355-2026</t>
        </is>
      </c>
      <c r="B1571" s="1" t="n">
        <v>46162</v>
      </c>
      <c r="C1571" s="1" t="n">
        <v>46199</v>
      </c>
      <c r="D1571" t="inlineStr">
        <is>
          <t>VÄSTERNORRLANDS LÄN</t>
        </is>
      </c>
      <c r="E1571" t="inlineStr">
        <is>
          <t>SOLLEFTEÅ</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17496-2026</t>
        </is>
      </c>
      <c r="B1572" s="1" t="n">
        <v>46120</v>
      </c>
      <c r="C1572" s="1" t="n">
        <v>46199</v>
      </c>
      <c r="D1572" t="inlineStr">
        <is>
          <t>VÄSTERNORRLANDS LÄN</t>
        </is>
      </c>
      <c r="E1572" t="inlineStr">
        <is>
          <t>SOLLEFTEÅ</t>
        </is>
      </c>
      <c r="F1572" t="inlineStr">
        <is>
          <t>SCA</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56685-2023</t>
        </is>
      </c>
      <c r="B1573" s="1" t="n">
        <v>45243</v>
      </c>
      <c r="C1573" s="1" t="n">
        <v>46199</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54607-2023</t>
        </is>
      </c>
      <c r="B1574" s="1" t="n">
        <v>45233</v>
      </c>
      <c r="C1574" s="1" t="n">
        <v>46199</v>
      </c>
      <c r="D1574" t="inlineStr">
        <is>
          <t>VÄSTERNORRLANDS LÄN</t>
        </is>
      </c>
      <c r="E1574" t="inlineStr">
        <is>
          <t>SOLLEFTEÅ</t>
        </is>
      </c>
      <c r="F1574" t="inlineStr">
        <is>
          <t>SCA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23420-2026</t>
        </is>
      </c>
      <c r="B1575" s="1" t="n">
        <v>46163</v>
      </c>
      <c r="C1575" s="1" t="n">
        <v>46199</v>
      </c>
      <c r="D1575" t="inlineStr">
        <is>
          <t>VÄSTERNORRLANDS LÄN</t>
        </is>
      </c>
      <c r="E1575" t="inlineStr">
        <is>
          <t>SOLLEFTEÅ</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17587-2026</t>
        </is>
      </c>
      <c r="B1576" s="1" t="n">
        <v>46121</v>
      </c>
      <c r="C1576" s="1" t="n">
        <v>46199</v>
      </c>
      <c r="D1576" t="inlineStr">
        <is>
          <t>VÄSTERNORRLANDS LÄN</t>
        </is>
      </c>
      <c r="E1576" t="inlineStr">
        <is>
          <t>SOLLEFTEÅ</t>
        </is>
      </c>
      <c r="G1576" t="n">
        <v>21.2</v>
      </c>
      <c r="H1576" t="n">
        <v>0</v>
      </c>
      <c r="I1576" t="n">
        <v>0</v>
      </c>
      <c r="J1576" t="n">
        <v>0</v>
      </c>
      <c r="K1576" t="n">
        <v>0</v>
      </c>
      <c r="L1576" t="n">
        <v>0</v>
      </c>
      <c r="M1576" t="n">
        <v>0</v>
      </c>
      <c r="N1576" t="n">
        <v>0</v>
      </c>
      <c r="O1576" t="n">
        <v>0</v>
      </c>
      <c r="P1576" t="n">
        <v>0</v>
      </c>
      <c r="Q1576" t="n">
        <v>0</v>
      </c>
      <c r="R1576" s="2" t="inlineStr"/>
    </row>
    <row r="1577" ht="15" customHeight="1">
      <c r="A1577" t="inlineStr">
        <is>
          <t>A 47741-2023</t>
        </is>
      </c>
      <c r="B1577" s="1" t="n">
        <v>45198</v>
      </c>
      <c r="C1577" s="1" t="n">
        <v>46199</v>
      </c>
      <c r="D1577" t="inlineStr">
        <is>
          <t>VÄSTERNORRLANDS LÄN</t>
        </is>
      </c>
      <c r="E1577" t="inlineStr">
        <is>
          <t>SOLLEFTEÅ</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21349-2023</t>
        </is>
      </c>
      <c r="B1578" s="1" t="n">
        <v>45062</v>
      </c>
      <c r="C1578" s="1" t="n">
        <v>46199</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23417-2026</t>
        </is>
      </c>
      <c r="B1579" s="1" t="n">
        <v>46163</v>
      </c>
      <c r="C1579" s="1" t="n">
        <v>46199</v>
      </c>
      <c r="D1579" t="inlineStr">
        <is>
          <t>VÄSTERNORRLANDS LÄN</t>
        </is>
      </c>
      <c r="E1579" t="inlineStr">
        <is>
          <t>SOLLEFTEÅ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25986-2023</t>
        </is>
      </c>
      <c r="B1580" s="1" t="n">
        <v>45090</v>
      </c>
      <c r="C1580" s="1" t="n">
        <v>46199</v>
      </c>
      <c r="D1580" t="inlineStr">
        <is>
          <t>VÄSTERNORRLANDS LÄN</t>
        </is>
      </c>
      <c r="E1580" t="inlineStr">
        <is>
          <t>SOLLEFTEÅ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57273-2022</t>
        </is>
      </c>
      <c r="B1581" s="1" t="n">
        <v>44895</v>
      </c>
      <c r="C1581" s="1" t="n">
        <v>46199</v>
      </c>
      <c r="D1581" t="inlineStr">
        <is>
          <t>VÄSTERNORRLANDS LÄN</t>
        </is>
      </c>
      <c r="E1581" t="inlineStr">
        <is>
          <t>SOLLEFTEÅ</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17771-2026</t>
        </is>
      </c>
      <c r="B1582" s="1" t="n">
        <v>46122</v>
      </c>
      <c r="C1582" s="1" t="n">
        <v>46199</v>
      </c>
      <c r="D1582" t="inlineStr">
        <is>
          <t>VÄSTERNORRLANDS LÄN</t>
        </is>
      </c>
      <c r="E1582" t="inlineStr">
        <is>
          <t>SOLLEFTEÅ</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37354-2024</t>
        </is>
      </c>
      <c r="B1583" s="1" t="n">
        <v>45540</v>
      </c>
      <c r="C1583" s="1" t="n">
        <v>46199</v>
      </c>
      <c r="D1583" t="inlineStr">
        <is>
          <t>VÄSTERNORRLANDS LÄN</t>
        </is>
      </c>
      <c r="E1583" t="inlineStr">
        <is>
          <t>SOLLEFTEÅ</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17936-2026</t>
        </is>
      </c>
      <c r="B1584" s="1" t="n">
        <v>46122</v>
      </c>
      <c r="C1584" s="1" t="n">
        <v>46199</v>
      </c>
      <c r="D1584" t="inlineStr">
        <is>
          <t>VÄSTERNORRLANDS LÄN</t>
        </is>
      </c>
      <c r="E1584" t="inlineStr">
        <is>
          <t>SOLLEFTEÅ</t>
        </is>
      </c>
      <c r="F1584" t="inlineStr">
        <is>
          <t>SCA</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23656-2026</t>
        </is>
      </c>
      <c r="B1585" s="1" t="n">
        <v>46164</v>
      </c>
      <c r="C1585" s="1" t="n">
        <v>46199</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38283-2021</t>
        </is>
      </c>
      <c r="B1586" s="1" t="n">
        <v>44405</v>
      </c>
      <c r="C1586" s="1" t="n">
        <v>46199</v>
      </c>
      <c r="D1586" t="inlineStr">
        <is>
          <t>VÄSTERNORRLANDS LÄN</t>
        </is>
      </c>
      <c r="E1586" t="inlineStr">
        <is>
          <t>SOLLEFTEÅ</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62662-2022</t>
        </is>
      </c>
      <c r="B1587" s="1" t="n">
        <v>44917</v>
      </c>
      <c r="C1587" s="1" t="n">
        <v>46199</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19929-2025</t>
        </is>
      </c>
      <c r="B1588" s="1" t="n">
        <v>45771</v>
      </c>
      <c r="C1588" s="1" t="n">
        <v>46199</v>
      </c>
      <c r="D1588" t="inlineStr">
        <is>
          <t>VÄSTERNORRLANDS LÄN</t>
        </is>
      </c>
      <c r="E1588" t="inlineStr">
        <is>
          <t>SOLLEFTEÅ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19932-2025</t>
        </is>
      </c>
      <c r="B1589" s="1" t="n">
        <v>45771</v>
      </c>
      <c r="C1589" s="1" t="n">
        <v>46199</v>
      </c>
      <c r="D1589" t="inlineStr">
        <is>
          <t>VÄSTERNORRLANDS LÄN</t>
        </is>
      </c>
      <c r="E1589" t="inlineStr">
        <is>
          <t>SOLLEFTEÅ</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24010-2026</t>
        </is>
      </c>
      <c r="B1590" s="1" t="n">
        <v>46167</v>
      </c>
      <c r="C1590" s="1" t="n">
        <v>46199</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23782-2026</t>
        </is>
      </c>
      <c r="B1591" s="1" t="n">
        <v>46164</v>
      </c>
      <c r="C1591" s="1" t="n">
        <v>46199</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36685-2024</t>
        </is>
      </c>
      <c r="B1592" s="1" t="n">
        <v>45537</v>
      </c>
      <c r="C1592" s="1" t="n">
        <v>46199</v>
      </c>
      <c r="D1592" t="inlineStr">
        <is>
          <t>VÄSTERNORRLANDS LÄN</t>
        </is>
      </c>
      <c r="E1592" t="inlineStr">
        <is>
          <t>SOLLEFTEÅ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23838-2026</t>
        </is>
      </c>
      <c r="B1593" s="1" t="n">
        <v>46167</v>
      </c>
      <c r="C1593" s="1" t="n">
        <v>46199</v>
      </c>
      <c r="D1593" t="inlineStr">
        <is>
          <t>VÄSTERNORRLANDS LÄN</t>
        </is>
      </c>
      <c r="E1593" t="inlineStr">
        <is>
          <t>SOLLEFTEÅ</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18168-2026</t>
        </is>
      </c>
      <c r="B1594" s="1" t="n">
        <v>46125</v>
      </c>
      <c r="C1594" s="1" t="n">
        <v>46199</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18169-2026</t>
        </is>
      </c>
      <c r="B1595" s="1" t="n">
        <v>46125</v>
      </c>
      <c r="C1595" s="1" t="n">
        <v>46199</v>
      </c>
      <c r="D1595" t="inlineStr">
        <is>
          <t>VÄSTERNORRLANDS LÄN</t>
        </is>
      </c>
      <c r="E1595" t="inlineStr">
        <is>
          <t>SOLLEFTEÅ</t>
        </is>
      </c>
      <c r="F1595" t="inlineStr">
        <is>
          <t>SCA</t>
        </is>
      </c>
      <c r="G1595" t="n">
        <v>13.4</v>
      </c>
      <c r="H1595" t="n">
        <v>0</v>
      </c>
      <c r="I1595" t="n">
        <v>0</v>
      </c>
      <c r="J1595" t="n">
        <v>0</v>
      </c>
      <c r="K1595" t="n">
        <v>0</v>
      </c>
      <c r="L1595" t="n">
        <v>0</v>
      </c>
      <c r="M1595" t="n">
        <v>0</v>
      </c>
      <c r="N1595" t="n">
        <v>0</v>
      </c>
      <c r="O1595" t="n">
        <v>0</v>
      </c>
      <c r="P1595" t="n">
        <v>0</v>
      </c>
      <c r="Q1595" t="n">
        <v>0</v>
      </c>
      <c r="R1595" s="2" t="inlineStr"/>
    </row>
    <row r="1596" ht="15" customHeight="1">
      <c r="A1596" t="inlineStr">
        <is>
          <t>A 35975-2023</t>
        </is>
      </c>
      <c r="B1596" s="1" t="n">
        <v>45148</v>
      </c>
      <c r="C1596" s="1" t="n">
        <v>46199</v>
      </c>
      <c r="D1596" t="inlineStr">
        <is>
          <t>VÄSTERNORRLANDS LÄN</t>
        </is>
      </c>
      <c r="E1596" t="inlineStr">
        <is>
          <t>SOLLEFTEÅ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18167-2026</t>
        </is>
      </c>
      <c r="B1597" s="1" t="n">
        <v>46125</v>
      </c>
      <c r="C1597" s="1" t="n">
        <v>46199</v>
      </c>
      <c r="D1597" t="inlineStr">
        <is>
          <t>VÄSTERNORRLANDS LÄN</t>
        </is>
      </c>
      <c r="E1597" t="inlineStr">
        <is>
          <t>SOLLEFTEÅ</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18155-2026</t>
        </is>
      </c>
      <c r="B1598" s="1" t="n">
        <v>46125</v>
      </c>
      <c r="C1598" s="1" t="n">
        <v>46199</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37042-2021</t>
        </is>
      </c>
      <c r="B1599" s="1" t="n">
        <v>44393</v>
      </c>
      <c r="C1599" s="1" t="n">
        <v>46199</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23840-2026</t>
        </is>
      </c>
      <c r="B1600" s="1" t="n">
        <v>46167</v>
      </c>
      <c r="C1600" s="1" t="n">
        <v>46199</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23797-2026</t>
        </is>
      </c>
      <c r="B1601" s="1" t="n">
        <v>46164</v>
      </c>
      <c r="C1601" s="1" t="n">
        <v>46199</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61391-2022</t>
        </is>
      </c>
      <c r="B1602" s="1" t="n">
        <v>44915</v>
      </c>
      <c r="C1602" s="1" t="n">
        <v>46199</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48767-2023</t>
        </is>
      </c>
      <c r="B1603" s="1" t="n">
        <v>45208</v>
      </c>
      <c r="C1603" s="1" t="n">
        <v>46199</v>
      </c>
      <c r="D1603" t="inlineStr">
        <is>
          <t>VÄSTERNORRLANDS LÄN</t>
        </is>
      </c>
      <c r="E1603" t="inlineStr">
        <is>
          <t>SOLLEFTEÅ</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24075-2026</t>
        </is>
      </c>
      <c r="B1604" s="1" t="n">
        <v>46168</v>
      </c>
      <c r="C1604" s="1" t="n">
        <v>46199</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24219-2026</t>
        </is>
      </c>
      <c r="B1605" s="1" t="n">
        <v>46168</v>
      </c>
      <c r="C1605" s="1" t="n">
        <v>46199</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25259-2023</t>
        </is>
      </c>
      <c r="B1606" s="1" t="n">
        <v>45079</v>
      </c>
      <c r="C1606" s="1" t="n">
        <v>46199</v>
      </c>
      <c r="D1606" t="inlineStr">
        <is>
          <t>VÄSTERNORRLANDS LÄN</t>
        </is>
      </c>
      <c r="E1606" t="inlineStr">
        <is>
          <t>SOLLEFTEÅ</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24216-2026</t>
        </is>
      </c>
      <c r="B1607" s="1" t="n">
        <v>46168</v>
      </c>
      <c r="C1607" s="1" t="n">
        <v>46199</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24218-2026</t>
        </is>
      </c>
      <c r="B1608" s="1" t="n">
        <v>46168</v>
      </c>
      <c r="C1608" s="1" t="n">
        <v>46199</v>
      </c>
      <c r="D1608" t="inlineStr">
        <is>
          <t>VÄSTERNORRLANDS LÄN</t>
        </is>
      </c>
      <c r="E1608" t="inlineStr">
        <is>
          <t>SOLLEFTEÅ</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59473-2024</t>
        </is>
      </c>
      <c r="B1609" s="1" t="n">
        <v>45638</v>
      </c>
      <c r="C1609" s="1" t="n">
        <v>46199</v>
      </c>
      <c r="D1609" t="inlineStr">
        <is>
          <t>VÄSTERNORRLANDS LÄN</t>
        </is>
      </c>
      <c r="E1609" t="inlineStr">
        <is>
          <t>SOLLEFTEÅ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18293-2026</t>
        </is>
      </c>
      <c r="B1610" s="1" t="n">
        <v>46126</v>
      </c>
      <c r="C1610" s="1" t="n">
        <v>46199</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29197-2023</t>
        </is>
      </c>
      <c r="B1611" s="1" t="n">
        <v>45097</v>
      </c>
      <c r="C1611" s="1" t="n">
        <v>46199</v>
      </c>
      <c r="D1611" t="inlineStr">
        <is>
          <t>VÄSTERNORRLANDS LÄN</t>
        </is>
      </c>
      <c r="E1611" t="inlineStr">
        <is>
          <t>SOLLEFTEÅ</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29210-2023</t>
        </is>
      </c>
      <c r="B1612" s="1" t="n">
        <v>45097</v>
      </c>
      <c r="C1612" s="1" t="n">
        <v>46199</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18452-2026</t>
        </is>
      </c>
      <c r="B1613" s="1" t="n">
        <v>46127</v>
      </c>
      <c r="C1613" s="1" t="n">
        <v>46199</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24346-2026</t>
        </is>
      </c>
      <c r="B1614" s="1" t="n">
        <v>46169</v>
      </c>
      <c r="C1614" s="1" t="n">
        <v>46199</v>
      </c>
      <c r="D1614" t="inlineStr">
        <is>
          <t>VÄSTERNORRLANDS LÄN</t>
        </is>
      </c>
      <c r="E1614" t="inlineStr">
        <is>
          <t>SOLLEFTEÅ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63652-2023</t>
        </is>
      </c>
      <c r="B1615" s="1" t="n">
        <v>45275</v>
      </c>
      <c r="C1615" s="1" t="n">
        <v>46199</v>
      </c>
      <c r="D1615" t="inlineStr">
        <is>
          <t>VÄSTERNORRLANDS LÄN</t>
        </is>
      </c>
      <c r="E1615" t="inlineStr">
        <is>
          <t>SOLLEFTEÅ</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18255-2026</t>
        </is>
      </c>
      <c r="B1616" s="1" t="n">
        <v>46126</v>
      </c>
      <c r="C1616" s="1" t="n">
        <v>46199</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24103-2026</t>
        </is>
      </c>
      <c r="B1617" s="1" t="n">
        <v>46168</v>
      </c>
      <c r="C1617" s="1" t="n">
        <v>46199</v>
      </c>
      <c r="D1617" t="inlineStr">
        <is>
          <t>VÄSTERNORRLANDS LÄN</t>
        </is>
      </c>
      <c r="E1617" t="inlineStr">
        <is>
          <t>SOLLEFTEÅ</t>
        </is>
      </c>
      <c r="F1617" t="inlineStr">
        <is>
          <t>SCA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29070-2023</t>
        </is>
      </c>
      <c r="B1618" s="1" t="n">
        <v>45104</v>
      </c>
      <c r="C1618" s="1" t="n">
        <v>46199</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18453-2026</t>
        </is>
      </c>
      <c r="B1619" s="1" t="n">
        <v>46127</v>
      </c>
      <c r="C1619" s="1" t="n">
        <v>46199</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43469-2022</t>
        </is>
      </c>
      <c r="B1620" s="1" t="n">
        <v>44836</v>
      </c>
      <c r="C1620" s="1" t="n">
        <v>46199</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18287-2026</t>
        </is>
      </c>
      <c r="B1621" s="1" t="n">
        <v>46126</v>
      </c>
      <c r="C1621" s="1" t="n">
        <v>46199</v>
      </c>
      <c r="D1621" t="inlineStr">
        <is>
          <t>VÄSTERNORRLANDS LÄN</t>
        </is>
      </c>
      <c r="E1621" t="inlineStr">
        <is>
          <t>SOLLEFTEÅ</t>
        </is>
      </c>
      <c r="F1621" t="inlineStr">
        <is>
          <t>SCA</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18296-2026</t>
        </is>
      </c>
      <c r="B1622" s="1" t="n">
        <v>46126</v>
      </c>
      <c r="C1622" s="1" t="n">
        <v>46199</v>
      </c>
      <c r="D1622" t="inlineStr">
        <is>
          <t>VÄSTERNORRLANDS LÄN</t>
        </is>
      </c>
      <c r="E1622" t="inlineStr">
        <is>
          <t>SOLLEFTEÅ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24197-2026</t>
        </is>
      </c>
      <c r="B1623" s="1" t="n">
        <v>46168</v>
      </c>
      <c r="C1623" s="1" t="n">
        <v>46199</v>
      </c>
      <c r="D1623" t="inlineStr">
        <is>
          <t>VÄSTERNORRLANDS LÄN</t>
        </is>
      </c>
      <c r="E1623" t="inlineStr">
        <is>
          <t>SOLLEFTEÅ</t>
        </is>
      </c>
      <c r="F1623" t="inlineStr">
        <is>
          <t>SCA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24165-2026</t>
        </is>
      </c>
      <c r="B1624" s="1" t="n">
        <v>46168</v>
      </c>
      <c r="C1624" s="1" t="n">
        <v>46199</v>
      </c>
      <c r="D1624" t="inlineStr">
        <is>
          <t>VÄSTERNORRLANDS LÄN</t>
        </is>
      </c>
      <c r="E1624" t="inlineStr">
        <is>
          <t>SOLLEFTEÅ</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18333-2026</t>
        </is>
      </c>
      <c r="B1625" s="1" t="n">
        <v>46126</v>
      </c>
      <c r="C1625" s="1" t="n">
        <v>46199</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18435-2026</t>
        </is>
      </c>
      <c r="B1626" s="1" t="n">
        <v>46127</v>
      </c>
      <c r="C1626" s="1" t="n">
        <v>46199</v>
      </c>
      <c r="D1626" t="inlineStr">
        <is>
          <t>VÄSTERNORRLANDS LÄN</t>
        </is>
      </c>
      <c r="E1626" t="inlineStr">
        <is>
          <t>SOLLEFTEÅ</t>
        </is>
      </c>
      <c r="F1626" t="inlineStr">
        <is>
          <t>SCA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24230-2026</t>
        </is>
      </c>
      <c r="B1627" s="1" t="n">
        <v>46168</v>
      </c>
      <c r="C1627" s="1" t="n">
        <v>46199</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41532-2024</t>
        </is>
      </c>
      <c r="B1628" s="1" t="n">
        <v>45560</v>
      </c>
      <c r="C1628" s="1" t="n">
        <v>46199</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24074-2026</t>
        </is>
      </c>
      <c r="B1629" s="1" t="n">
        <v>46168</v>
      </c>
      <c r="C1629" s="1" t="n">
        <v>46199</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71580-2021</t>
        </is>
      </c>
      <c r="B1630" s="1" t="n">
        <v>44540</v>
      </c>
      <c r="C1630" s="1" t="n">
        <v>46199</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25131-2024</t>
        </is>
      </c>
      <c r="B1631" s="1" t="n">
        <v>45462</v>
      </c>
      <c r="C1631" s="1" t="n">
        <v>46199</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24979-2026</t>
        </is>
      </c>
      <c r="B1632" s="1" t="n">
        <v>46174</v>
      </c>
      <c r="C1632" s="1" t="n">
        <v>46199</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22462-2024</t>
        </is>
      </c>
      <c r="B1633" s="1" t="n">
        <v>45446</v>
      </c>
      <c r="C1633" s="1" t="n">
        <v>46199</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3323-2025</t>
        </is>
      </c>
      <c r="B1634" s="1" t="n">
        <v>45679</v>
      </c>
      <c r="C1634" s="1" t="n">
        <v>46199</v>
      </c>
      <c r="D1634" t="inlineStr">
        <is>
          <t>VÄSTERNORRLANDS LÄN</t>
        </is>
      </c>
      <c r="E1634" t="inlineStr">
        <is>
          <t>SOLLEFTEÅ</t>
        </is>
      </c>
      <c r="F1634" t="inlineStr">
        <is>
          <t>SCA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18681-2026</t>
        </is>
      </c>
      <c r="B1635" s="1" t="n">
        <v>46128</v>
      </c>
      <c r="C1635" s="1" t="n">
        <v>46199</v>
      </c>
      <c r="D1635" t="inlineStr">
        <is>
          <t>VÄSTERNORRLANDS LÄN</t>
        </is>
      </c>
      <c r="E1635" t="inlineStr">
        <is>
          <t>SOLLEFTEÅ</t>
        </is>
      </c>
      <c r="F1635" t="inlineStr">
        <is>
          <t>SCA</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18682-2026</t>
        </is>
      </c>
      <c r="B1636" s="1" t="n">
        <v>46128</v>
      </c>
      <c r="C1636" s="1" t="n">
        <v>46199</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16511-2025</t>
        </is>
      </c>
      <c r="B1637" s="1" t="n">
        <v>45751</v>
      </c>
      <c r="C1637" s="1" t="n">
        <v>46199</v>
      </c>
      <c r="D1637" t="inlineStr">
        <is>
          <t>VÄSTERNORRLANDS LÄN</t>
        </is>
      </c>
      <c r="E1637" t="inlineStr">
        <is>
          <t>SOLLEFTEÅ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22853-2026</t>
        </is>
      </c>
      <c r="B1638" s="1" t="n">
        <v>46160</v>
      </c>
      <c r="C1638" s="1" t="n">
        <v>46199</v>
      </c>
      <c r="D1638" t="inlineStr">
        <is>
          <t>VÄSTERNORRLANDS LÄN</t>
        </is>
      </c>
      <c r="E1638" t="inlineStr">
        <is>
          <t>SOLLEFTEÅ</t>
        </is>
      </c>
      <c r="F1638" t="inlineStr">
        <is>
          <t>Kyrkan</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18824-2026</t>
        </is>
      </c>
      <c r="B1639" s="1" t="n">
        <v>46128</v>
      </c>
      <c r="C1639" s="1" t="n">
        <v>46199</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48235-2024</t>
        </is>
      </c>
      <c r="B1640" s="1" t="n">
        <v>45590</v>
      </c>
      <c r="C1640" s="1" t="n">
        <v>46199</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6067-2024</t>
        </is>
      </c>
      <c r="B1641" s="1" t="n">
        <v>45336</v>
      </c>
      <c r="C1641" s="1" t="n">
        <v>46199</v>
      </c>
      <c r="D1641" t="inlineStr">
        <is>
          <t>VÄSTERNORRLANDS LÄN</t>
        </is>
      </c>
      <c r="E1641" t="inlineStr">
        <is>
          <t>SOLLEFTEÅ</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19047-2026</t>
        </is>
      </c>
      <c r="B1642" s="1" t="n">
        <v>46132</v>
      </c>
      <c r="C1642" s="1" t="n">
        <v>46199</v>
      </c>
      <c r="D1642" t="inlineStr">
        <is>
          <t>VÄSTERNORRLANDS LÄN</t>
        </is>
      </c>
      <c r="E1642" t="inlineStr">
        <is>
          <t>SOLLEFTEÅ</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19181-2026</t>
        </is>
      </c>
      <c r="B1643" s="1" t="n">
        <v>46132</v>
      </c>
      <c r="C1643" s="1" t="n">
        <v>46199</v>
      </c>
      <c r="D1643" t="inlineStr">
        <is>
          <t>VÄSTERNORRLANDS LÄN</t>
        </is>
      </c>
      <c r="E1643" t="inlineStr">
        <is>
          <t>SOLLEFTEÅ</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18649-2026</t>
        </is>
      </c>
      <c r="B1644" s="1" t="n">
        <v>46128</v>
      </c>
      <c r="C1644" s="1" t="n">
        <v>46199</v>
      </c>
      <c r="D1644" t="inlineStr">
        <is>
          <t>VÄSTERNORRLANDS LÄN</t>
        </is>
      </c>
      <c r="E1644" t="inlineStr">
        <is>
          <t>SOLLEFTEÅ</t>
        </is>
      </c>
      <c r="F1644" t="inlineStr">
        <is>
          <t>SCA</t>
        </is>
      </c>
      <c r="G1644" t="n">
        <v>8.699999999999999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62507-2022</t>
        </is>
      </c>
      <c r="B1645" s="1" t="n">
        <v>44924</v>
      </c>
      <c r="C1645" s="1" t="n">
        <v>46199</v>
      </c>
      <c r="D1645" t="inlineStr">
        <is>
          <t>VÄSTERNORRLANDS LÄN</t>
        </is>
      </c>
      <c r="E1645" t="inlineStr">
        <is>
          <t>SOLLEFTEÅ</t>
        </is>
      </c>
      <c r="F1645" t="inlineStr">
        <is>
          <t>Holmen skog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22854-2026</t>
        </is>
      </c>
      <c r="B1646" s="1" t="n">
        <v>46160</v>
      </c>
      <c r="C1646" s="1" t="n">
        <v>46199</v>
      </c>
      <c r="D1646" t="inlineStr">
        <is>
          <t>VÄSTERNORRLANDS LÄN</t>
        </is>
      </c>
      <c r="E1646" t="inlineStr">
        <is>
          <t>SOLLEFTEÅ</t>
        </is>
      </c>
      <c r="F1646" t="inlineStr">
        <is>
          <t>Kyrkan</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25003-2026</t>
        </is>
      </c>
      <c r="B1647" s="1" t="n">
        <v>46174</v>
      </c>
      <c r="C1647" s="1" t="n">
        <v>46199</v>
      </c>
      <c r="D1647" t="inlineStr">
        <is>
          <t>VÄSTERNORRLANDS LÄN</t>
        </is>
      </c>
      <c r="E1647" t="inlineStr">
        <is>
          <t>SOLLEFTEÅ</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19814-2022</t>
        </is>
      </c>
      <c r="B1648" s="1" t="n">
        <v>44694</v>
      </c>
      <c r="C1648" s="1" t="n">
        <v>46199</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25002-2026</t>
        </is>
      </c>
      <c r="B1649" s="1" t="n">
        <v>46174</v>
      </c>
      <c r="C1649" s="1" t="n">
        <v>46199</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5001-2023</t>
        </is>
      </c>
      <c r="B1650" s="1" t="n">
        <v>44956</v>
      </c>
      <c r="C1650" s="1" t="n">
        <v>46199</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18887-2026</t>
        </is>
      </c>
      <c r="B1651" s="1" t="n">
        <v>46129</v>
      </c>
      <c r="C1651" s="1" t="n">
        <v>46199</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19596-2026</t>
        </is>
      </c>
      <c r="B1652" s="1" t="n">
        <v>46132</v>
      </c>
      <c r="C1652" s="1" t="n">
        <v>46199</v>
      </c>
      <c r="D1652" t="inlineStr">
        <is>
          <t>VÄSTERNORRLANDS LÄN</t>
        </is>
      </c>
      <c r="E1652" t="inlineStr">
        <is>
          <t>SOLLEFTEÅ</t>
        </is>
      </c>
      <c r="F1652" t="inlineStr">
        <is>
          <t>Kommuner</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24871-2026</t>
        </is>
      </c>
      <c r="B1653" s="1" t="n">
        <v>46174</v>
      </c>
      <c r="C1653" s="1" t="n">
        <v>46199</v>
      </c>
      <c r="D1653" t="inlineStr">
        <is>
          <t>VÄSTERNORRLANDS LÄN</t>
        </is>
      </c>
      <c r="E1653" t="inlineStr">
        <is>
          <t>SOLLEFTEÅ</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24564-2026</t>
        </is>
      </c>
      <c r="B1654" s="1" t="n">
        <v>46170</v>
      </c>
      <c r="C1654" s="1" t="n">
        <v>46199</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41434-2024</t>
        </is>
      </c>
      <c r="B1655" s="1" t="n">
        <v>45560</v>
      </c>
      <c r="C1655" s="1" t="n">
        <v>46199</v>
      </c>
      <c r="D1655" t="inlineStr">
        <is>
          <t>VÄSTERNORRLANDS LÄN</t>
        </is>
      </c>
      <c r="E1655" t="inlineStr">
        <is>
          <t>SOLLEFTEÅ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16253-2024</t>
        </is>
      </c>
      <c r="B1656" s="1" t="n">
        <v>45407</v>
      </c>
      <c r="C1656" s="1" t="n">
        <v>46199</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6474-2023</t>
        </is>
      </c>
      <c r="B1657" s="1" t="n">
        <v>44965</v>
      </c>
      <c r="C1657" s="1" t="n">
        <v>46199</v>
      </c>
      <c r="D1657" t="inlineStr">
        <is>
          <t>VÄSTERNORRLANDS LÄN</t>
        </is>
      </c>
      <c r="E1657" t="inlineStr">
        <is>
          <t>SOLLEFTEÅ</t>
        </is>
      </c>
      <c r="F1657" t="inlineStr">
        <is>
          <t>SCA</t>
        </is>
      </c>
      <c r="G1657" t="n">
        <v>47.3</v>
      </c>
      <c r="H1657" t="n">
        <v>0</v>
      </c>
      <c r="I1657" t="n">
        <v>0</v>
      </c>
      <c r="J1657" t="n">
        <v>0</v>
      </c>
      <c r="K1657" t="n">
        <v>0</v>
      </c>
      <c r="L1657" t="n">
        <v>0</v>
      </c>
      <c r="M1657" t="n">
        <v>0</v>
      </c>
      <c r="N1657" t="n">
        <v>0</v>
      </c>
      <c r="O1657" t="n">
        <v>0</v>
      </c>
      <c r="P1657" t="n">
        <v>0</v>
      </c>
      <c r="Q1657" t="n">
        <v>0</v>
      </c>
      <c r="R1657" s="2" t="inlineStr"/>
    </row>
    <row r="1658" ht="15" customHeight="1">
      <c r="A1658" t="inlineStr">
        <is>
          <t>A 8652-2024</t>
        </is>
      </c>
      <c r="B1658" s="1" t="n">
        <v>45356</v>
      </c>
      <c r="C1658" s="1" t="n">
        <v>46199</v>
      </c>
      <c r="D1658" t="inlineStr">
        <is>
          <t>VÄSTERNORRLANDS LÄN</t>
        </is>
      </c>
      <c r="E1658" t="inlineStr">
        <is>
          <t>SOLLEFTEÅ</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50615-2023</t>
        </is>
      </c>
      <c r="B1659" s="1" t="n">
        <v>45217</v>
      </c>
      <c r="C1659" s="1" t="n">
        <v>46199</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53939-2023</t>
        </is>
      </c>
      <c r="B1660" s="1" t="n">
        <v>45224</v>
      </c>
      <c r="C1660" s="1" t="n">
        <v>46199</v>
      </c>
      <c r="D1660" t="inlineStr">
        <is>
          <t>VÄSTERNORRLANDS LÄN</t>
        </is>
      </c>
      <c r="E1660" t="inlineStr">
        <is>
          <t>SOLLEFTEÅ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52471-2024</t>
        </is>
      </c>
      <c r="B1661" s="1" t="n">
        <v>45609</v>
      </c>
      <c r="C1661" s="1" t="n">
        <v>46199</v>
      </c>
      <c r="D1661" t="inlineStr">
        <is>
          <t>VÄSTERNORRLANDS LÄN</t>
        </is>
      </c>
      <c r="E1661" t="inlineStr">
        <is>
          <t>SOLLEFTEÅ</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24828-2026</t>
        </is>
      </c>
      <c r="B1662" s="1" t="n">
        <v>46174</v>
      </c>
      <c r="C1662" s="1" t="n">
        <v>46199</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19179-2026</t>
        </is>
      </c>
      <c r="B1663" s="1" t="n">
        <v>46132</v>
      </c>
      <c r="C1663" s="1" t="n">
        <v>46199</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8414-2024</t>
        </is>
      </c>
      <c r="B1664" s="1" t="n">
        <v>45352</v>
      </c>
      <c r="C1664" s="1" t="n">
        <v>46199</v>
      </c>
      <c r="D1664" t="inlineStr">
        <is>
          <t>VÄSTERNORRLANDS LÄN</t>
        </is>
      </c>
      <c r="E1664" t="inlineStr">
        <is>
          <t>SOLLEFTEÅ</t>
        </is>
      </c>
      <c r="F1664" t="inlineStr">
        <is>
          <t>SCA</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19048-2026</t>
        </is>
      </c>
      <c r="B1665" s="1" t="n">
        <v>46132</v>
      </c>
      <c r="C1665" s="1" t="n">
        <v>46199</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18729-2026</t>
        </is>
      </c>
      <c r="B1666" s="1" t="n">
        <v>46128</v>
      </c>
      <c r="C1666" s="1" t="n">
        <v>46199</v>
      </c>
      <c r="D1666" t="inlineStr">
        <is>
          <t>VÄSTERNORRLANDS LÄN</t>
        </is>
      </c>
      <c r="E1666" t="inlineStr">
        <is>
          <t>SOLLEFTEÅ</t>
        </is>
      </c>
      <c r="F1666" t="inlineStr">
        <is>
          <t>SCA</t>
        </is>
      </c>
      <c r="G1666" t="n">
        <v>21.2</v>
      </c>
      <c r="H1666" t="n">
        <v>0</v>
      </c>
      <c r="I1666" t="n">
        <v>0</v>
      </c>
      <c r="J1666" t="n">
        <v>0</v>
      </c>
      <c r="K1666" t="n">
        <v>0</v>
      </c>
      <c r="L1666" t="n">
        <v>0</v>
      </c>
      <c r="M1666" t="n">
        <v>0</v>
      </c>
      <c r="N1666" t="n">
        <v>0</v>
      </c>
      <c r="O1666" t="n">
        <v>0</v>
      </c>
      <c r="P1666" t="n">
        <v>0</v>
      </c>
      <c r="Q1666" t="n">
        <v>0</v>
      </c>
      <c r="R1666" s="2" t="inlineStr"/>
    </row>
    <row r="1667" ht="15" customHeight="1">
      <c r="A1667" t="inlineStr">
        <is>
          <t>A 18888-2026</t>
        </is>
      </c>
      <c r="B1667" s="1" t="n">
        <v>46129</v>
      </c>
      <c r="C1667" s="1" t="n">
        <v>46199</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19615-2026</t>
        </is>
      </c>
      <c r="B1668" s="1" t="n">
        <v>46134</v>
      </c>
      <c r="C1668" s="1" t="n">
        <v>46199</v>
      </c>
      <c r="D1668" t="inlineStr">
        <is>
          <t>VÄSTERNORRLANDS LÄN</t>
        </is>
      </c>
      <c r="E1668" t="inlineStr">
        <is>
          <t>SOLLEFTEÅ</t>
        </is>
      </c>
      <c r="F1668" t="inlineStr">
        <is>
          <t>SCA</t>
        </is>
      </c>
      <c r="G1668" t="n">
        <v>13.7</v>
      </c>
      <c r="H1668" t="n">
        <v>0</v>
      </c>
      <c r="I1668" t="n">
        <v>0</v>
      </c>
      <c r="J1668" t="n">
        <v>0</v>
      </c>
      <c r="K1668" t="n">
        <v>0</v>
      </c>
      <c r="L1668" t="n">
        <v>0</v>
      </c>
      <c r="M1668" t="n">
        <v>0</v>
      </c>
      <c r="N1668" t="n">
        <v>0</v>
      </c>
      <c r="O1668" t="n">
        <v>0</v>
      </c>
      <c r="P1668" t="n">
        <v>0</v>
      </c>
      <c r="Q1668" t="n">
        <v>0</v>
      </c>
      <c r="R1668" s="2" t="inlineStr"/>
    </row>
    <row r="1669" ht="15" customHeight="1">
      <c r="A1669" t="inlineStr">
        <is>
          <t>A 19749-2025</t>
        </is>
      </c>
      <c r="B1669" s="1" t="n">
        <v>45771</v>
      </c>
      <c r="C1669" s="1" t="n">
        <v>46199</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19334-2026</t>
        </is>
      </c>
      <c r="B1670" s="1" t="n">
        <v>46133</v>
      </c>
      <c r="C1670" s="1" t="n">
        <v>46199</v>
      </c>
      <c r="D1670" t="inlineStr">
        <is>
          <t>VÄSTERNORRLANDS LÄN</t>
        </is>
      </c>
      <c r="E1670" t="inlineStr">
        <is>
          <t>SOLLEFTEÅ</t>
        </is>
      </c>
      <c r="G1670" t="n">
        <v>26.3</v>
      </c>
      <c r="H1670" t="n">
        <v>0</v>
      </c>
      <c r="I1670" t="n">
        <v>0</v>
      </c>
      <c r="J1670" t="n">
        <v>0</v>
      </c>
      <c r="K1670" t="n">
        <v>0</v>
      </c>
      <c r="L1670" t="n">
        <v>0</v>
      </c>
      <c r="M1670" t="n">
        <v>0</v>
      </c>
      <c r="N1670" t="n">
        <v>0</v>
      </c>
      <c r="O1670" t="n">
        <v>0</v>
      </c>
      <c r="P1670" t="n">
        <v>0</v>
      </c>
      <c r="Q1670" t="n">
        <v>0</v>
      </c>
      <c r="R1670" s="2" t="inlineStr"/>
    </row>
    <row r="1671" ht="15" customHeight="1">
      <c r="A1671" t="inlineStr">
        <is>
          <t>A 62827-2023</t>
        </is>
      </c>
      <c r="B1671" s="1" t="n">
        <v>45271</v>
      </c>
      <c r="C1671" s="1" t="n">
        <v>46199</v>
      </c>
      <c r="D1671" t="inlineStr">
        <is>
          <t>VÄSTERNORRLANDS LÄN</t>
        </is>
      </c>
      <c r="E1671" t="inlineStr">
        <is>
          <t>SOLLEFTEÅ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5036-2024</t>
        </is>
      </c>
      <c r="B1672" s="1" t="n">
        <v>45329</v>
      </c>
      <c r="C1672" s="1" t="n">
        <v>46199</v>
      </c>
      <c r="D1672" t="inlineStr">
        <is>
          <t>VÄSTERNORRLANDS LÄN</t>
        </is>
      </c>
      <c r="E1672" t="inlineStr">
        <is>
          <t>SOLLEFTEÅ</t>
        </is>
      </c>
      <c r="F1672" t="inlineStr">
        <is>
          <t>Övriga Aktiebolag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59583-2023</t>
        </is>
      </c>
      <c r="B1673" s="1" t="n">
        <v>45254</v>
      </c>
      <c r="C1673" s="1" t="n">
        <v>46199</v>
      </c>
      <c r="D1673" t="inlineStr">
        <is>
          <t>VÄSTERNORRLANDS LÄN</t>
        </is>
      </c>
      <c r="E1673" t="inlineStr">
        <is>
          <t>SOLLEFTEÅ</t>
        </is>
      </c>
      <c r="F1673" t="inlineStr">
        <is>
          <t>Holmen skog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33628-2024</t>
        </is>
      </c>
      <c r="B1674" s="1" t="n">
        <v>45520</v>
      </c>
      <c r="C1674" s="1" t="n">
        <v>46199</v>
      </c>
      <c r="D1674" t="inlineStr">
        <is>
          <t>VÄSTERNORRLANDS LÄN</t>
        </is>
      </c>
      <c r="E1674" t="inlineStr">
        <is>
          <t>SOLLEFTEÅ</t>
        </is>
      </c>
      <c r="F1674" t="inlineStr">
        <is>
          <t>Holmen skog AB</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25174-2026</t>
        </is>
      </c>
      <c r="B1675" s="1" t="n">
        <v>46175</v>
      </c>
      <c r="C1675" s="1" t="n">
        <v>46199</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4857-2024</t>
        </is>
      </c>
      <c r="B1676" s="1" t="n">
        <v>45329</v>
      </c>
      <c r="C1676" s="1" t="n">
        <v>46199</v>
      </c>
      <c r="D1676" t="inlineStr">
        <is>
          <t>VÄSTERNORRLANDS LÄN</t>
        </is>
      </c>
      <c r="E1676" t="inlineStr">
        <is>
          <t>SOLLEFTEÅ</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25101-2026</t>
        </is>
      </c>
      <c r="B1677" s="1" t="n">
        <v>46175</v>
      </c>
      <c r="C1677" s="1" t="n">
        <v>46199</v>
      </c>
      <c r="D1677" t="inlineStr">
        <is>
          <t>VÄSTERNORRLANDS LÄN</t>
        </is>
      </c>
      <c r="E1677" t="inlineStr">
        <is>
          <t>SOLLEFTEÅ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25245-2026</t>
        </is>
      </c>
      <c r="B1678" s="1" t="n">
        <v>46175</v>
      </c>
      <c r="C1678" s="1" t="n">
        <v>46199</v>
      </c>
      <c r="D1678" t="inlineStr">
        <is>
          <t>VÄSTERNORRLANDS LÄN</t>
        </is>
      </c>
      <c r="E1678" t="inlineStr">
        <is>
          <t>SOLLEFTEÅ</t>
        </is>
      </c>
      <c r="F1678" t="inlineStr">
        <is>
          <t>SCA</t>
        </is>
      </c>
      <c r="G1678" t="n">
        <v>21.7</v>
      </c>
      <c r="H1678" t="n">
        <v>0</v>
      </c>
      <c r="I1678" t="n">
        <v>0</v>
      </c>
      <c r="J1678" t="n">
        <v>0</v>
      </c>
      <c r="K1678" t="n">
        <v>0</v>
      </c>
      <c r="L1678" t="n">
        <v>0</v>
      </c>
      <c r="M1678" t="n">
        <v>0</v>
      </c>
      <c r="N1678" t="n">
        <v>0</v>
      </c>
      <c r="O1678" t="n">
        <v>0</v>
      </c>
      <c r="P1678" t="n">
        <v>0</v>
      </c>
      <c r="Q1678" t="n">
        <v>0</v>
      </c>
      <c r="R1678" s="2" t="inlineStr"/>
    </row>
    <row r="1679" ht="15" customHeight="1">
      <c r="A1679" t="inlineStr">
        <is>
          <t>A 24980-2026</t>
        </is>
      </c>
      <c r="B1679" s="1" t="n">
        <v>46174</v>
      </c>
      <c r="C1679" s="1" t="n">
        <v>46199</v>
      </c>
      <c r="D1679" t="inlineStr">
        <is>
          <t>VÄSTERNORRLANDS LÄN</t>
        </is>
      </c>
      <c r="E1679" t="inlineStr">
        <is>
          <t>SOLLEFTEÅ</t>
        </is>
      </c>
      <c r="F1679" t="inlineStr">
        <is>
          <t>SCA</t>
        </is>
      </c>
      <c r="G1679" t="n">
        <v>21.9</v>
      </c>
      <c r="H1679" t="n">
        <v>0</v>
      </c>
      <c r="I1679" t="n">
        <v>0</v>
      </c>
      <c r="J1679" t="n">
        <v>0</v>
      </c>
      <c r="K1679" t="n">
        <v>0</v>
      </c>
      <c r="L1679" t="n">
        <v>0</v>
      </c>
      <c r="M1679" t="n">
        <v>0</v>
      </c>
      <c r="N1679" t="n">
        <v>0</v>
      </c>
      <c r="O1679" t="n">
        <v>0</v>
      </c>
      <c r="P1679" t="n">
        <v>0</v>
      </c>
      <c r="Q1679" t="n">
        <v>0</v>
      </c>
      <c r="R1679" s="2" t="inlineStr"/>
    </row>
    <row r="1680" ht="15" customHeight="1">
      <c r="A1680" t="inlineStr">
        <is>
          <t>A 19308-2026</t>
        </is>
      </c>
      <c r="B1680" s="1" t="n">
        <v>46133</v>
      </c>
      <c r="C1680" s="1" t="n">
        <v>46199</v>
      </c>
      <c r="D1680" t="inlineStr">
        <is>
          <t>VÄSTERNORRLANDS LÄN</t>
        </is>
      </c>
      <c r="E1680" t="inlineStr">
        <is>
          <t>SOLLEFTEÅ</t>
        </is>
      </c>
      <c r="F1680" t="inlineStr">
        <is>
          <t>SCA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19407-2025</t>
        </is>
      </c>
      <c r="B1681" s="1" t="n">
        <v>45769</v>
      </c>
      <c r="C1681" s="1" t="n">
        <v>46199</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19429-2026</t>
        </is>
      </c>
      <c r="B1682" s="1" t="n">
        <v>46133</v>
      </c>
      <c r="C1682" s="1" t="n">
        <v>46199</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51006-2022</t>
        </is>
      </c>
      <c r="B1683" s="1" t="n">
        <v>44867</v>
      </c>
      <c r="C1683" s="1" t="n">
        <v>46199</v>
      </c>
      <c r="D1683" t="inlineStr">
        <is>
          <t>VÄSTERNORRLANDS LÄN</t>
        </is>
      </c>
      <c r="E1683" t="inlineStr">
        <is>
          <t>SOLLEFTEÅ</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19332-2026</t>
        </is>
      </c>
      <c r="B1684" s="1" t="n">
        <v>46133</v>
      </c>
      <c r="C1684" s="1" t="n">
        <v>46199</v>
      </c>
      <c r="D1684" t="inlineStr">
        <is>
          <t>VÄSTERNORRLANDS LÄN</t>
        </is>
      </c>
      <c r="E1684" t="inlineStr">
        <is>
          <t>SOLLEFTEÅ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13252-2023</t>
        </is>
      </c>
      <c r="B1685" s="1" t="n">
        <v>45002</v>
      </c>
      <c r="C1685" s="1" t="n">
        <v>46199</v>
      </c>
      <c r="D1685" t="inlineStr">
        <is>
          <t>VÄSTERNORRLANDS LÄN</t>
        </is>
      </c>
      <c r="E1685" t="inlineStr">
        <is>
          <t>SOLLEFTEÅ</t>
        </is>
      </c>
      <c r="F1685" t="inlineStr">
        <is>
          <t>SCA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2816-2024</t>
        </is>
      </c>
      <c r="B1686" s="1" t="n">
        <v>45314</v>
      </c>
      <c r="C1686" s="1" t="n">
        <v>46199</v>
      </c>
      <c r="D1686" t="inlineStr">
        <is>
          <t>VÄSTERNORRLANDS LÄN</t>
        </is>
      </c>
      <c r="E1686" t="inlineStr">
        <is>
          <t>SOLLEFTEÅ</t>
        </is>
      </c>
      <c r="F1686" t="inlineStr">
        <is>
          <t>Holmen skog AB</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25385-2026</t>
        </is>
      </c>
      <c r="B1687" s="1" t="n">
        <v>46176</v>
      </c>
      <c r="C1687" s="1" t="n">
        <v>46199</v>
      </c>
      <c r="D1687" t="inlineStr">
        <is>
          <t>VÄSTERNORRLANDS LÄN</t>
        </is>
      </c>
      <c r="E1687" t="inlineStr">
        <is>
          <t>SOLLEFTEÅ</t>
        </is>
      </c>
      <c r="F1687" t="inlineStr">
        <is>
          <t>SCA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25363-2026</t>
        </is>
      </c>
      <c r="B1688" s="1" t="n">
        <v>46176</v>
      </c>
      <c r="C1688" s="1" t="n">
        <v>46199</v>
      </c>
      <c r="D1688" t="inlineStr">
        <is>
          <t>VÄSTERNORRLANDS LÄN</t>
        </is>
      </c>
      <c r="E1688" t="inlineStr">
        <is>
          <t>SOLLEFTEÅ</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13567-2023</t>
        </is>
      </c>
      <c r="B1689" s="1" t="n">
        <v>45005</v>
      </c>
      <c r="C1689" s="1" t="n">
        <v>46199</v>
      </c>
      <c r="D1689" t="inlineStr">
        <is>
          <t>VÄSTERNORRLANDS LÄN</t>
        </is>
      </c>
      <c r="E1689" t="inlineStr">
        <is>
          <t>SOLLEFTEÅ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13570-2023</t>
        </is>
      </c>
      <c r="B1690" s="1" t="n">
        <v>45005</v>
      </c>
      <c r="C1690" s="1" t="n">
        <v>46199</v>
      </c>
      <c r="D1690" t="inlineStr">
        <is>
          <t>VÄSTERNORRLANDS LÄN</t>
        </is>
      </c>
      <c r="E1690" t="inlineStr">
        <is>
          <t>SOLLEFTEÅ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13942-2024</t>
        </is>
      </c>
      <c r="B1691" s="1" t="n">
        <v>45391</v>
      </c>
      <c r="C1691" s="1" t="n">
        <v>46199</v>
      </c>
      <c r="D1691" t="inlineStr">
        <is>
          <t>VÄSTERNORRLANDS LÄN</t>
        </is>
      </c>
      <c r="E1691" t="inlineStr">
        <is>
          <t>SOLLEFTEÅ</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19649-2026</t>
        </is>
      </c>
      <c r="B1692" s="1" t="n">
        <v>46134</v>
      </c>
      <c r="C1692" s="1" t="n">
        <v>46199</v>
      </c>
      <c r="D1692" t="inlineStr">
        <is>
          <t>VÄSTERNORRLANDS LÄN</t>
        </is>
      </c>
      <c r="E1692" t="inlineStr">
        <is>
          <t>SOLLEFTEÅ</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25374-2026</t>
        </is>
      </c>
      <c r="B1693" s="1" t="n">
        <v>46176</v>
      </c>
      <c r="C1693" s="1" t="n">
        <v>46199</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36211-2023</t>
        </is>
      </c>
      <c r="B1694" s="1" t="n">
        <v>45149</v>
      </c>
      <c r="C1694" s="1" t="n">
        <v>46199</v>
      </c>
      <c r="D1694" t="inlineStr">
        <is>
          <t>VÄSTERNORRLANDS LÄN</t>
        </is>
      </c>
      <c r="E1694" t="inlineStr">
        <is>
          <t>SOLLEFTEÅ</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52011-2025</t>
        </is>
      </c>
      <c r="B1695" s="1" t="n">
        <v>45952</v>
      </c>
      <c r="C1695" s="1" t="n">
        <v>46199</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12590-2024</t>
        </is>
      </c>
      <c r="B1696" s="1" t="n">
        <v>45379</v>
      </c>
      <c r="C1696" s="1" t="n">
        <v>46199</v>
      </c>
      <c r="D1696" t="inlineStr">
        <is>
          <t>VÄSTERNORRLANDS LÄN</t>
        </is>
      </c>
      <c r="E1696" t="inlineStr">
        <is>
          <t>SOLLEFTEÅ</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25564-2026</t>
        </is>
      </c>
      <c r="B1697" s="1" t="n">
        <v>46177</v>
      </c>
      <c r="C1697" s="1" t="n">
        <v>46199</v>
      </c>
      <c r="D1697" t="inlineStr">
        <is>
          <t>VÄSTERNORRLANDS LÄN</t>
        </is>
      </c>
      <c r="E1697" t="inlineStr">
        <is>
          <t>SOLLEFTEÅ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50720-2024</t>
        </is>
      </c>
      <c r="B1698" s="1" t="n">
        <v>45602</v>
      </c>
      <c r="C1698" s="1" t="n">
        <v>46199</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30774-2025</t>
        </is>
      </c>
      <c r="B1699" s="1" t="n">
        <v>45831</v>
      </c>
      <c r="C1699" s="1" t="n">
        <v>46199</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24228-2026</t>
        </is>
      </c>
      <c r="B1700" s="1" t="n">
        <v>46168</v>
      </c>
      <c r="C1700" s="1" t="n">
        <v>46199</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16562-2023</t>
        </is>
      </c>
      <c r="B1701" s="1" t="n">
        <v>45029</v>
      </c>
      <c r="C1701" s="1" t="n">
        <v>46199</v>
      </c>
      <c r="D1701" t="inlineStr">
        <is>
          <t>VÄSTERNORRLANDS LÄN</t>
        </is>
      </c>
      <c r="E1701" t="inlineStr">
        <is>
          <t>SOLLEFTEÅ</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59339-2023</t>
        </is>
      </c>
      <c r="B1702" s="1" t="n">
        <v>45253</v>
      </c>
      <c r="C1702" s="1" t="n">
        <v>46199</v>
      </c>
      <c r="D1702" t="inlineStr">
        <is>
          <t>VÄSTERNORRLANDS LÄN</t>
        </is>
      </c>
      <c r="E1702" t="inlineStr">
        <is>
          <t>SOLLEFTEÅ</t>
        </is>
      </c>
      <c r="F1702" t="inlineStr">
        <is>
          <t>Holmen skog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40569-2024</t>
        </is>
      </c>
      <c r="B1703" s="1" t="n">
        <v>45555</v>
      </c>
      <c r="C1703" s="1" t="n">
        <v>46199</v>
      </c>
      <c r="D1703" t="inlineStr">
        <is>
          <t>VÄSTERNORRLANDS LÄN</t>
        </is>
      </c>
      <c r="E1703" t="inlineStr">
        <is>
          <t>SOLLEFTEÅ</t>
        </is>
      </c>
      <c r="F1703" t="inlineStr">
        <is>
          <t>SCA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44554-2024</t>
        </is>
      </c>
      <c r="B1704" s="1" t="n">
        <v>45574</v>
      </c>
      <c r="C1704" s="1" t="n">
        <v>46199</v>
      </c>
      <c r="D1704" t="inlineStr">
        <is>
          <t>VÄSTERNORRLANDS LÄN</t>
        </is>
      </c>
      <c r="E1704" t="inlineStr">
        <is>
          <t>SOLLEFTEÅ</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44591-2024</t>
        </is>
      </c>
      <c r="B1705" s="1" t="n">
        <v>45574</v>
      </c>
      <c r="C1705" s="1" t="n">
        <v>46199</v>
      </c>
      <c r="D1705" t="inlineStr">
        <is>
          <t>VÄSTERNORRLANDS LÄN</t>
        </is>
      </c>
      <c r="E1705" t="inlineStr">
        <is>
          <t>SOLLEFTEÅ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25637-2026</t>
        </is>
      </c>
      <c r="B1706" s="1" t="n">
        <v>46175</v>
      </c>
      <c r="C1706" s="1" t="n">
        <v>46199</v>
      </c>
      <c r="D1706" t="inlineStr">
        <is>
          <t>VÄSTERNORRLANDS LÄN</t>
        </is>
      </c>
      <c r="E1706" t="inlineStr">
        <is>
          <t>SOLLEFTEÅ</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20117-2026</t>
        </is>
      </c>
      <c r="B1707" s="1" t="n">
        <v>46136</v>
      </c>
      <c r="C1707" s="1" t="n">
        <v>46199</v>
      </c>
      <c r="D1707" t="inlineStr">
        <is>
          <t>VÄSTERNORRLANDS LÄN</t>
        </is>
      </c>
      <c r="E1707" t="inlineStr">
        <is>
          <t>SOLLEFTEÅ</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23542-2024</t>
        </is>
      </c>
      <c r="B1708" s="1" t="n">
        <v>45453</v>
      </c>
      <c r="C1708" s="1" t="n">
        <v>46199</v>
      </c>
      <c r="D1708" t="inlineStr">
        <is>
          <t>VÄSTERNORRLANDS LÄN</t>
        </is>
      </c>
      <c r="E1708" t="inlineStr">
        <is>
          <t>SOLLEFTEÅ</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35673-2024</t>
        </is>
      </c>
      <c r="B1709" s="1" t="n">
        <v>45532</v>
      </c>
      <c r="C1709" s="1" t="n">
        <v>46199</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32069-2025</t>
        </is>
      </c>
      <c r="B1710" s="1" t="n">
        <v>45835</v>
      </c>
      <c r="C1710" s="1" t="n">
        <v>46199</v>
      </c>
      <c r="D1710" t="inlineStr">
        <is>
          <t>VÄSTERNORRLANDS LÄN</t>
        </is>
      </c>
      <c r="E1710" t="inlineStr">
        <is>
          <t>SOLLEFTEÅ</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20010-2026</t>
        </is>
      </c>
      <c r="B1711" s="1" t="n">
        <v>46136</v>
      </c>
      <c r="C1711" s="1" t="n">
        <v>46199</v>
      </c>
      <c r="D1711" t="inlineStr">
        <is>
          <t>VÄSTERNORRLANDS LÄN</t>
        </is>
      </c>
      <c r="E1711" t="inlineStr">
        <is>
          <t>SOLLEFTEÅ</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25762-2026</t>
        </is>
      </c>
      <c r="B1712" s="1" t="n">
        <v>46178</v>
      </c>
      <c r="C1712" s="1" t="n">
        <v>46199</v>
      </c>
      <c r="D1712" t="inlineStr">
        <is>
          <t>VÄSTERNORRLANDS LÄN</t>
        </is>
      </c>
      <c r="E1712" t="inlineStr">
        <is>
          <t>SOLLEFTEÅ</t>
        </is>
      </c>
      <c r="F1712" t="inlineStr">
        <is>
          <t>SCA</t>
        </is>
      </c>
      <c r="G1712" t="n">
        <v>32.5</v>
      </c>
      <c r="H1712" t="n">
        <v>0</v>
      </c>
      <c r="I1712" t="n">
        <v>0</v>
      </c>
      <c r="J1712" t="n">
        <v>0</v>
      </c>
      <c r="K1712" t="n">
        <v>0</v>
      </c>
      <c r="L1712" t="n">
        <v>0</v>
      </c>
      <c r="M1712" t="n">
        <v>0</v>
      </c>
      <c r="N1712" t="n">
        <v>0</v>
      </c>
      <c r="O1712" t="n">
        <v>0</v>
      </c>
      <c r="P1712" t="n">
        <v>0</v>
      </c>
      <c r="Q1712" t="n">
        <v>0</v>
      </c>
      <c r="R1712" s="2" t="inlineStr"/>
    </row>
    <row r="1713" ht="15" customHeight="1">
      <c r="A1713" t="inlineStr">
        <is>
          <t>A 19846-2026</t>
        </is>
      </c>
      <c r="B1713" s="1" t="n">
        <v>46135</v>
      </c>
      <c r="C1713" s="1" t="n">
        <v>46199</v>
      </c>
      <c r="D1713" t="inlineStr">
        <is>
          <t>VÄSTERNORRLANDS LÄN</t>
        </is>
      </c>
      <c r="E1713" t="inlineStr">
        <is>
          <t>SOLLEFTEÅ</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25504-2026</t>
        </is>
      </c>
      <c r="B1714" s="1" t="n">
        <v>46177</v>
      </c>
      <c r="C1714" s="1" t="n">
        <v>46199</v>
      </c>
      <c r="D1714" t="inlineStr">
        <is>
          <t>VÄSTERNORRLANDS LÄN</t>
        </is>
      </c>
      <c r="E1714" t="inlineStr">
        <is>
          <t>SOLLEFTEÅ</t>
        </is>
      </c>
      <c r="F1714" t="inlineStr">
        <is>
          <t>Övriga statliga verk och myndigheter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42963-2024</t>
        </is>
      </c>
      <c r="B1715" s="1" t="n">
        <v>45567</v>
      </c>
      <c r="C1715" s="1" t="n">
        <v>46199</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25636-2026</t>
        </is>
      </c>
      <c r="B1716" s="1" t="n">
        <v>46175</v>
      </c>
      <c r="C1716" s="1" t="n">
        <v>46199</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20105-2026</t>
        </is>
      </c>
      <c r="B1717" s="1" t="n">
        <v>46136</v>
      </c>
      <c r="C1717" s="1" t="n">
        <v>46199</v>
      </c>
      <c r="D1717" t="inlineStr">
        <is>
          <t>VÄSTERNORRLANDS LÄN</t>
        </is>
      </c>
      <c r="E1717" t="inlineStr">
        <is>
          <t>SOLLEFTEÅ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20124-2026</t>
        </is>
      </c>
      <c r="B1718" s="1" t="n">
        <v>46136</v>
      </c>
      <c r="C1718" s="1" t="n">
        <v>46199</v>
      </c>
      <c r="D1718" t="inlineStr">
        <is>
          <t>VÄSTERNORRLANDS LÄN</t>
        </is>
      </c>
      <c r="E1718" t="inlineStr">
        <is>
          <t>SOLLEFTEÅ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19915-2026</t>
        </is>
      </c>
      <c r="B1719" s="1" t="n">
        <v>46136</v>
      </c>
      <c r="C1719" s="1" t="n">
        <v>46199</v>
      </c>
      <c r="D1719" t="inlineStr">
        <is>
          <t>VÄSTERNORRLANDS LÄN</t>
        </is>
      </c>
      <c r="E1719" t="inlineStr">
        <is>
          <t>SOLLEFTEÅ</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10549-2023</t>
        </is>
      </c>
      <c r="B1720" s="1" t="n">
        <v>44987</v>
      </c>
      <c r="C1720" s="1" t="n">
        <v>46199</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8851-2025</t>
        </is>
      </c>
      <c r="B1721" s="1" t="n">
        <v>45713</v>
      </c>
      <c r="C1721" s="1" t="n">
        <v>46199</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17258-2025</t>
        </is>
      </c>
      <c r="B1722" s="1" t="n">
        <v>45756</v>
      </c>
      <c r="C1722" s="1" t="n">
        <v>46199</v>
      </c>
      <c r="D1722" t="inlineStr">
        <is>
          <t>VÄSTERNORRLANDS LÄN</t>
        </is>
      </c>
      <c r="E1722" t="inlineStr">
        <is>
          <t>SOLLEFTEÅ</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55859-2023</t>
        </is>
      </c>
      <c r="B1723" s="1" t="n">
        <v>45239</v>
      </c>
      <c r="C1723" s="1" t="n">
        <v>46199</v>
      </c>
      <c r="D1723" t="inlineStr">
        <is>
          <t>VÄSTERNORRLANDS LÄN</t>
        </is>
      </c>
      <c r="E1723" t="inlineStr">
        <is>
          <t>SOLLEFTEÅ</t>
        </is>
      </c>
      <c r="F1723" t="inlineStr">
        <is>
          <t>Kommuner</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25485-2026</t>
        </is>
      </c>
      <c r="B1724" s="1" t="n">
        <v>46177</v>
      </c>
      <c r="C1724" s="1" t="n">
        <v>46199</v>
      </c>
      <c r="D1724" t="inlineStr">
        <is>
          <t>VÄSTERNORRLANDS LÄN</t>
        </is>
      </c>
      <c r="E1724" t="inlineStr">
        <is>
          <t>SOLLEFTEÅ</t>
        </is>
      </c>
      <c r="F1724" t="inlineStr">
        <is>
          <t>Övriga statliga verk och myndigheter</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25505-2026</t>
        </is>
      </c>
      <c r="B1725" s="1" t="n">
        <v>46177</v>
      </c>
      <c r="C1725" s="1" t="n">
        <v>46199</v>
      </c>
      <c r="D1725" t="inlineStr">
        <is>
          <t>VÄSTERNORRLANDS LÄN</t>
        </is>
      </c>
      <c r="E1725" t="inlineStr">
        <is>
          <t>SOLLEFTEÅ</t>
        </is>
      </c>
      <c r="F1725" t="inlineStr">
        <is>
          <t>Övriga statliga verk och myndigheter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24698-2026</t>
        </is>
      </c>
      <c r="B1726" s="1" t="n">
        <v>46171</v>
      </c>
      <c r="C1726" s="1" t="n">
        <v>46199</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25585-2026</t>
        </is>
      </c>
      <c r="B1727" s="1" t="n">
        <v>46177</v>
      </c>
      <c r="C1727" s="1" t="n">
        <v>46199</v>
      </c>
      <c r="D1727" t="inlineStr">
        <is>
          <t>VÄSTERNORRLANDS LÄN</t>
        </is>
      </c>
      <c r="E1727" t="inlineStr">
        <is>
          <t>SOLLEFTEÅ</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14134-2023</t>
        </is>
      </c>
      <c r="B1728" s="1" t="n">
        <v>45008</v>
      </c>
      <c r="C1728" s="1" t="n">
        <v>46199</v>
      </c>
      <c r="D1728" t="inlineStr">
        <is>
          <t>VÄSTERNORRLANDS LÄN</t>
        </is>
      </c>
      <c r="E1728" t="inlineStr">
        <is>
          <t>SOLLEFTEÅ</t>
        </is>
      </c>
      <c r="F1728" t="inlineStr">
        <is>
          <t>Övriga Aktiebolag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54235-2024</t>
        </is>
      </c>
      <c r="B1729" s="1" t="n">
        <v>45616</v>
      </c>
      <c r="C1729" s="1" t="n">
        <v>46199</v>
      </c>
      <c r="D1729" t="inlineStr">
        <is>
          <t>VÄSTERNORRLANDS LÄN</t>
        </is>
      </c>
      <c r="E1729" t="inlineStr">
        <is>
          <t>SOLLEFTEÅ</t>
        </is>
      </c>
      <c r="F1729" t="inlineStr">
        <is>
          <t>SCA</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7257-2024</t>
        </is>
      </c>
      <c r="B1730" s="1" t="n">
        <v>45344</v>
      </c>
      <c r="C1730" s="1" t="n">
        <v>46199</v>
      </c>
      <c r="D1730" t="inlineStr">
        <is>
          <t>VÄSTERNORRLANDS LÄN</t>
        </is>
      </c>
      <c r="E1730" t="inlineStr">
        <is>
          <t>SOLLEFTEÅ</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40136-2025</t>
        </is>
      </c>
      <c r="B1731" s="1" t="n">
        <v>45894</v>
      </c>
      <c r="C1731" s="1" t="n">
        <v>46199</v>
      </c>
      <c r="D1731" t="inlineStr">
        <is>
          <t>VÄSTERNORRLANDS LÄN</t>
        </is>
      </c>
      <c r="E1731" t="inlineStr">
        <is>
          <t>SOLLEFTEÅ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15978-2023</t>
        </is>
      </c>
      <c r="B1732" s="1" t="n">
        <v>45022</v>
      </c>
      <c r="C1732" s="1" t="n">
        <v>46199</v>
      </c>
      <c r="D1732" t="inlineStr">
        <is>
          <t>VÄSTERNORRLANDS LÄN</t>
        </is>
      </c>
      <c r="E1732" t="inlineStr">
        <is>
          <t>SOLLEFTEÅ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20094-2026</t>
        </is>
      </c>
      <c r="B1733" s="1" t="n">
        <v>46136</v>
      </c>
      <c r="C1733" s="1" t="n">
        <v>46199</v>
      </c>
      <c r="D1733" t="inlineStr">
        <is>
          <t>VÄSTERNORRLANDS LÄN</t>
        </is>
      </c>
      <c r="E1733" t="inlineStr">
        <is>
          <t>SOLLEFTEÅ</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25578-2026</t>
        </is>
      </c>
      <c r="B1734" s="1" t="n">
        <v>46177</v>
      </c>
      <c r="C1734" s="1" t="n">
        <v>46199</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9966-2025</t>
        </is>
      </c>
      <c r="B1735" s="1" t="n">
        <v>45719</v>
      </c>
      <c r="C1735" s="1" t="n">
        <v>46199</v>
      </c>
      <c r="D1735" t="inlineStr">
        <is>
          <t>VÄSTERNORRLANDS LÄN</t>
        </is>
      </c>
      <c r="E1735" t="inlineStr">
        <is>
          <t>SOLLEFTEÅ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41655-2023</t>
        </is>
      </c>
      <c r="B1736" s="1" t="n">
        <v>45175</v>
      </c>
      <c r="C1736" s="1" t="n">
        <v>46199</v>
      </c>
      <c r="D1736" t="inlineStr">
        <is>
          <t>VÄSTERNORRLANDS LÄN</t>
        </is>
      </c>
      <c r="E1736" t="inlineStr">
        <is>
          <t>SOLLEFTEÅ</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19556-2024</t>
        </is>
      </c>
      <c r="B1737" s="1" t="n">
        <v>45429</v>
      </c>
      <c r="C1737" s="1" t="n">
        <v>46199</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8221-2022</t>
        </is>
      </c>
      <c r="B1738" s="1" t="n">
        <v>44609</v>
      </c>
      <c r="C1738" s="1" t="n">
        <v>46199</v>
      </c>
      <c r="D1738" t="inlineStr">
        <is>
          <t>VÄSTERNORRLANDS LÄN</t>
        </is>
      </c>
      <c r="E1738" t="inlineStr">
        <is>
          <t>SOLLEFTEÅ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33709-2023</t>
        </is>
      </c>
      <c r="B1739" s="1" t="n">
        <v>45132</v>
      </c>
      <c r="C1739" s="1" t="n">
        <v>46199</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47179-2024</t>
        </is>
      </c>
      <c r="B1740" s="1" t="n">
        <v>45586</v>
      </c>
      <c r="C1740" s="1" t="n">
        <v>46199</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31547-2024</t>
        </is>
      </c>
      <c r="B1741" s="1" t="n">
        <v>45505</v>
      </c>
      <c r="C1741" s="1" t="n">
        <v>46199</v>
      </c>
      <c r="D1741" t="inlineStr">
        <is>
          <t>VÄSTERNORRLANDS LÄN</t>
        </is>
      </c>
      <c r="E1741" t="inlineStr">
        <is>
          <t>SOLLEFTEÅ</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31562-2024</t>
        </is>
      </c>
      <c r="B1742" s="1" t="n">
        <v>45505</v>
      </c>
      <c r="C1742" s="1" t="n">
        <v>46199</v>
      </c>
      <c r="D1742" t="inlineStr">
        <is>
          <t>VÄSTERNORRLANDS LÄN</t>
        </is>
      </c>
      <c r="E1742" t="inlineStr">
        <is>
          <t>SOLLEFTEÅ</t>
        </is>
      </c>
      <c r="F1742" t="inlineStr">
        <is>
          <t>SCA</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60177-2024</t>
        </is>
      </c>
      <c r="B1743" s="1" t="n">
        <v>45642</v>
      </c>
      <c r="C1743" s="1" t="n">
        <v>46199</v>
      </c>
      <c r="D1743" t="inlineStr">
        <is>
          <t>VÄSTERNORRLANDS LÄN</t>
        </is>
      </c>
      <c r="E1743" t="inlineStr">
        <is>
          <t>SOLLEFTEÅ</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4261-2025</t>
        </is>
      </c>
      <c r="B1744" s="1" t="n">
        <v>45685</v>
      </c>
      <c r="C1744" s="1" t="n">
        <v>46199</v>
      </c>
      <c r="D1744" t="inlineStr">
        <is>
          <t>VÄSTERNORRLANDS LÄN</t>
        </is>
      </c>
      <c r="E1744" t="inlineStr">
        <is>
          <t>SOLLEFTEÅ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12834-2025</t>
        </is>
      </c>
      <c r="B1745" s="1" t="n">
        <v>45733</v>
      </c>
      <c r="C1745" s="1" t="n">
        <v>46199</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36771-2023</t>
        </is>
      </c>
      <c r="B1746" s="1" t="n">
        <v>45153</v>
      </c>
      <c r="C1746" s="1" t="n">
        <v>46199</v>
      </c>
      <c r="D1746" t="inlineStr">
        <is>
          <t>VÄSTERNORRLANDS LÄN</t>
        </is>
      </c>
      <c r="E1746" t="inlineStr">
        <is>
          <t>SOLLEFTEÅ</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35276-2023</t>
        </is>
      </c>
      <c r="B1747" s="1" t="n">
        <v>45145</v>
      </c>
      <c r="C1747" s="1" t="n">
        <v>46199</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10428-2023</t>
        </is>
      </c>
      <c r="B1748" s="1" t="n">
        <v>44981</v>
      </c>
      <c r="C1748" s="1" t="n">
        <v>46199</v>
      </c>
      <c r="D1748" t="inlineStr">
        <is>
          <t>VÄSTERNORRLANDS LÄN</t>
        </is>
      </c>
      <c r="E1748" t="inlineStr">
        <is>
          <t>SOLLEFTEÅ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1343-2025</t>
        </is>
      </c>
      <c r="B1749" s="1" t="n">
        <v>45667</v>
      </c>
      <c r="C1749" s="1" t="n">
        <v>46199</v>
      </c>
      <c r="D1749" t="inlineStr">
        <is>
          <t>VÄSTERNORRLANDS LÄN</t>
        </is>
      </c>
      <c r="E1749" t="inlineStr">
        <is>
          <t>SOLLEFTEÅ</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2431-2025</t>
        </is>
      </c>
      <c r="B1750" s="1" t="n">
        <v>45674</v>
      </c>
      <c r="C1750" s="1" t="n">
        <v>46199</v>
      </c>
      <c r="D1750" t="inlineStr">
        <is>
          <t>VÄSTERNORRLANDS LÄN</t>
        </is>
      </c>
      <c r="E1750" t="inlineStr">
        <is>
          <t>SOLLEFTEÅ</t>
        </is>
      </c>
      <c r="F1750" t="inlineStr">
        <is>
          <t>SCA</t>
        </is>
      </c>
      <c r="G1750" t="n">
        <v>19.2</v>
      </c>
      <c r="H1750" t="n">
        <v>0</v>
      </c>
      <c r="I1750" t="n">
        <v>0</v>
      </c>
      <c r="J1750" t="n">
        <v>0</v>
      </c>
      <c r="K1750" t="n">
        <v>0</v>
      </c>
      <c r="L1750" t="n">
        <v>0</v>
      </c>
      <c r="M1750" t="n">
        <v>0</v>
      </c>
      <c r="N1750" t="n">
        <v>0</v>
      </c>
      <c r="O1750" t="n">
        <v>0</v>
      </c>
      <c r="P1750" t="n">
        <v>0</v>
      </c>
      <c r="Q1750" t="n">
        <v>0</v>
      </c>
      <c r="R1750" s="2" t="inlineStr"/>
    </row>
    <row r="1751" ht="15" customHeight="1">
      <c r="A1751" t="inlineStr">
        <is>
          <t>A 8914-2025</t>
        </is>
      </c>
      <c r="B1751" s="1" t="n">
        <v>45713</v>
      </c>
      <c r="C1751" s="1" t="n">
        <v>46199</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37242-2022</t>
        </is>
      </c>
      <c r="B1752" s="1" t="n">
        <v>44806</v>
      </c>
      <c r="C1752" s="1" t="n">
        <v>46199</v>
      </c>
      <c r="D1752" t="inlineStr">
        <is>
          <t>VÄSTERNORRLANDS LÄN</t>
        </is>
      </c>
      <c r="E1752" t="inlineStr">
        <is>
          <t>SOLLEFTEÅ</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38231-2024</t>
        </is>
      </c>
      <c r="B1753" s="1" t="n">
        <v>45545</v>
      </c>
      <c r="C1753" s="1" t="n">
        <v>46199</v>
      </c>
      <c r="D1753" t="inlineStr">
        <is>
          <t>VÄSTERNORRLANDS LÄN</t>
        </is>
      </c>
      <c r="E1753" t="inlineStr">
        <is>
          <t>SOLLEFTEÅ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5548-2025</t>
        </is>
      </c>
      <c r="B1754" s="1" t="n">
        <v>45693</v>
      </c>
      <c r="C1754" s="1" t="n">
        <v>46199</v>
      </c>
      <c r="D1754" t="inlineStr">
        <is>
          <t>VÄSTERNORRLANDS LÄN</t>
        </is>
      </c>
      <c r="E1754" t="inlineStr">
        <is>
          <t>SOLLEFTEÅ</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5254-2024</t>
        </is>
      </c>
      <c r="B1755" s="1" t="n">
        <v>45330</v>
      </c>
      <c r="C1755" s="1" t="n">
        <v>46199</v>
      </c>
      <c r="D1755" t="inlineStr">
        <is>
          <t>VÄSTERNORRLANDS LÄN</t>
        </is>
      </c>
      <c r="E1755" t="inlineStr">
        <is>
          <t>SOLLEFTEÅ</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5255-2024</t>
        </is>
      </c>
      <c r="B1756" s="1" t="n">
        <v>45330</v>
      </c>
      <c r="C1756" s="1" t="n">
        <v>46199</v>
      </c>
      <c r="D1756" t="inlineStr">
        <is>
          <t>VÄSTERNORRLANDS LÄN</t>
        </is>
      </c>
      <c r="E1756" t="inlineStr">
        <is>
          <t>SOLLEFTEÅ</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63413-2023</t>
        </is>
      </c>
      <c r="B1757" s="1" t="n">
        <v>45274</v>
      </c>
      <c r="C1757" s="1" t="n">
        <v>46199</v>
      </c>
      <c r="D1757" t="inlineStr">
        <is>
          <t>VÄSTERNORRLANDS LÄN</t>
        </is>
      </c>
      <c r="E1757" t="inlineStr">
        <is>
          <t>SOLLEFTEÅ</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63422-2023</t>
        </is>
      </c>
      <c r="B1758" s="1" t="n">
        <v>45274</v>
      </c>
      <c r="C1758" s="1" t="n">
        <v>46199</v>
      </c>
      <c r="D1758" t="inlineStr">
        <is>
          <t>VÄSTERNORRLANDS LÄN</t>
        </is>
      </c>
      <c r="E1758" t="inlineStr">
        <is>
          <t>SOLLEFTEÅ</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35470-2023</t>
        </is>
      </c>
      <c r="B1759" s="1" t="n">
        <v>45146</v>
      </c>
      <c r="C1759" s="1" t="n">
        <v>46199</v>
      </c>
      <c r="D1759" t="inlineStr">
        <is>
          <t>VÄSTERNORRLANDS LÄN</t>
        </is>
      </c>
      <c r="E1759" t="inlineStr">
        <is>
          <t>SOLLEFTEÅ</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22235-2024</t>
        </is>
      </c>
      <c r="B1760" s="1" t="n">
        <v>45446</v>
      </c>
      <c r="C1760" s="1" t="n">
        <v>46199</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3583-2026</t>
        </is>
      </c>
      <c r="B1761" s="1" t="n">
        <v>46042</v>
      </c>
      <c r="C1761" s="1" t="n">
        <v>46199</v>
      </c>
      <c r="D1761" t="inlineStr">
        <is>
          <t>VÄSTERNORRLANDS LÄN</t>
        </is>
      </c>
      <c r="E1761" t="inlineStr">
        <is>
          <t>SOLLEFTEÅ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27592-2025</t>
        </is>
      </c>
      <c r="B1762" s="1" t="n">
        <v>45813</v>
      </c>
      <c r="C1762" s="1" t="n">
        <v>46199</v>
      </c>
      <c r="D1762" t="inlineStr">
        <is>
          <t>VÄSTERNORRLANDS LÄN</t>
        </is>
      </c>
      <c r="E1762" t="inlineStr">
        <is>
          <t>SOLLEFTEÅ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3414-2025</t>
        </is>
      </c>
      <c r="B1763" s="1" t="n">
        <v>45680</v>
      </c>
      <c r="C1763" s="1" t="n">
        <v>46199</v>
      </c>
      <c r="D1763" t="inlineStr">
        <is>
          <t>VÄSTERNORRLANDS LÄN</t>
        </is>
      </c>
      <c r="E1763" t="inlineStr">
        <is>
          <t>SOLLEFTEÅ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44285-2022</t>
        </is>
      </c>
      <c r="B1764" s="1" t="n">
        <v>44839</v>
      </c>
      <c r="C1764" s="1" t="n">
        <v>46199</v>
      </c>
      <c r="D1764" t="inlineStr">
        <is>
          <t>VÄSTERNORRLANDS LÄN</t>
        </is>
      </c>
      <c r="E1764" t="inlineStr">
        <is>
          <t>SOLLEFTEÅ</t>
        </is>
      </c>
      <c r="F1764" t="inlineStr">
        <is>
          <t>Holmen skog AB</t>
        </is>
      </c>
      <c r="G1764" t="n">
        <v>13.9</v>
      </c>
      <c r="H1764" t="n">
        <v>0</v>
      </c>
      <c r="I1764" t="n">
        <v>0</v>
      </c>
      <c r="J1764" t="n">
        <v>0</v>
      </c>
      <c r="K1764" t="n">
        <v>0</v>
      </c>
      <c r="L1764" t="n">
        <v>0</v>
      </c>
      <c r="M1764" t="n">
        <v>0</v>
      </c>
      <c r="N1764" t="n">
        <v>0</v>
      </c>
      <c r="O1764" t="n">
        <v>0</v>
      </c>
      <c r="P1764" t="n">
        <v>0</v>
      </c>
      <c r="Q1764" t="n">
        <v>0</v>
      </c>
      <c r="R1764" s="2" t="inlineStr"/>
    </row>
    <row r="1765" ht="15" customHeight="1">
      <c r="A1765" t="inlineStr">
        <is>
          <t>A 58688-2021</t>
        </is>
      </c>
      <c r="B1765" s="1" t="n">
        <v>44489</v>
      </c>
      <c r="C1765" s="1" t="n">
        <v>46199</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15080-2023</t>
        </is>
      </c>
      <c r="B1766" s="1" t="n">
        <v>45016</v>
      </c>
      <c r="C1766" s="1" t="n">
        <v>46199</v>
      </c>
      <c r="D1766" t="inlineStr">
        <is>
          <t>VÄSTERNORRLANDS LÄN</t>
        </is>
      </c>
      <c r="E1766" t="inlineStr">
        <is>
          <t>SOLLEFTEÅ</t>
        </is>
      </c>
      <c r="F1766" t="inlineStr">
        <is>
          <t>SCA</t>
        </is>
      </c>
      <c r="G1766" t="n">
        <v>33.6</v>
      </c>
      <c r="H1766" t="n">
        <v>0</v>
      </c>
      <c r="I1766" t="n">
        <v>0</v>
      </c>
      <c r="J1766" t="n">
        <v>0</v>
      </c>
      <c r="K1766" t="n">
        <v>0</v>
      </c>
      <c r="L1766" t="n">
        <v>0</v>
      </c>
      <c r="M1766" t="n">
        <v>0</v>
      </c>
      <c r="N1766" t="n">
        <v>0</v>
      </c>
      <c r="O1766" t="n">
        <v>0</v>
      </c>
      <c r="P1766" t="n">
        <v>0</v>
      </c>
      <c r="Q1766" t="n">
        <v>0</v>
      </c>
      <c r="R1766" s="2" t="inlineStr"/>
    </row>
    <row r="1767" ht="15" customHeight="1">
      <c r="A1767" t="inlineStr">
        <is>
          <t>A 50721-2024</t>
        </is>
      </c>
      <c r="B1767" s="1" t="n">
        <v>45602</v>
      </c>
      <c r="C1767" s="1" t="n">
        <v>46199</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45975-2024</t>
        </is>
      </c>
      <c r="B1768" s="1" t="n">
        <v>45580</v>
      </c>
      <c r="C1768" s="1" t="n">
        <v>46199</v>
      </c>
      <c r="D1768" t="inlineStr">
        <is>
          <t>VÄSTERNORRLANDS LÄN</t>
        </is>
      </c>
      <c r="E1768" t="inlineStr">
        <is>
          <t>SOLLEFTEÅ</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49200-2022</t>
        </is>
      </c>
      <c r="B1769" s="1" t="n">
        <v>44860</v>
      </c>
      <c r="C1769" s="1" t="n">
        <v>46199</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35905-2024</t>
        </is>
      </c>
      <c r="B1770" s="1" t="n">
        <v>45533</v>
      </c>
      <c r="C1770" s="1" t="n">
        <v>46199</v>
      </c>
      <c r="D1770" t="inlineStr">
        <is>
          <t>VÄSTERNORRLANDS LÄN</t>
        </is>
      </c>
      <c r="E1770" t="inlineStr">
        <is>
          <t>SOLLEFTEÅ</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20066-2024</t>
        </is>
      </c>
      <c r="B1771" s="1" t="n">
        <v>45434</v>
      </c>
      <c r="C1771" s="1" t="n">
        <v>46199</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42303-2022</t>
        </is>
      </c>
      <c r="B1772" s="1" t="n">
        <v>44830</v>
      </c>
      <c r="C1772" s="1" t="n">
        <v>46199</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67822-2021</t>
        </is>
      </c>
      <c r="B1773" s="1" t="n">
        <v>44525</v>
      </c>
      <c r="C1773" s="1" t="n">
        <v>46199</v>
      </c>
      <c r="D1773" t="inlineStr">
        <is>
          <t>VÄSTERNORRLANDS LÄN</t>
        </is>
      </c>
      <c r="E1773" t="inlineStr">
        <is>
          <t>SOLLEFTEÅ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20555-2026</t>
        </is>
      </c>
      <c r="B1774" s="1" t="n">
        <v>46140</v>
      </c>
      <c r="C1774" s="1" t="n">
        <v>46199</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21897-2025</t>
        </is>
      </c>
      <c r="B1775" s="1" t="n">
        <v>45784</v>
      </c>
      <c r="C1775" s="1" t="n">
        <v>46199</v>
      </c>
      <c r="D1775" t="inlineStr">
        <is>
          <t>VÄSTERNORRLANDS LÄN</t>
        </is>
      </c>
      <c r="E1775" t="inlineStr">
        <is>
          <t>SOLLEFTEÅ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21898-2025</t>
        </is>
      </c>
      <c r="B1776" s="1" t="n">
        <v>45784</v>
      </c>
      <c r="C1776" s="1" t="n">
        <v>46199</v>
      </c>
      <c r="D1776" t="inlineStr">
        <is>
          <t>VÄSTERNORRLANDS LÄN</t>
        </is>
      </c>
      <c r="E1776" t="inlineStr">
        <is>
          <t>SOLLEFTEÅ</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13639-2025</t>
        </is>
      </c>
      <c r="B1777" s="1" t="n">
        <v>45736</v>
      </c>
      <c r="C1777" s="1" t="n">
        <v>46199</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57080-2023</t>
        </is>
      </c>
      <c r="B1778" s="1" t="n">
        <v>45244</v>
      </c>
      <c r="C1778" s="1" t="n">
        <v>46199</v>
      </c>
      <c r="D1778" t="inlineStr">
        <is>
          <t>VÄSTERNORRLANDS LÄN</t>
        </is>
      </c>
      <c r="E1778" t="inlineStr">
        <is>
          <t>SOLLEFTEÅ</t>
        </is>
      </c>
      <c r="F1778" t="inlineStr">
        <is>
          <t>SCA</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29435-2025</t>
        </is>
      </c>
      <c r="B1779" s="1" t="n">
        <v>45824</v>
      </c>
      <c r="C1779" s="1" t="n">
        <v>46199</v>
      </c>
      <c r="D1779" t="inlineStr">
        <is>
          <t>VÄSTERNORRLANDS LÄN</t>
        </is>
      </c>
      <c r="E1779" t="inlineStr">
        <is>
          <t>SOLLEFTEÅ</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24552-2025</t>
        </is>
      </c>
      <c r="B1780" s="1" t="n">
        <v>45798</v>
      </c>
      <c r="C1780" s="1" t="n">
        <v>46199</v>
      </c>
      <c r="D1780" t="inlineStr">
        <is>
          <t>VÄSTERNORRLANDS LÄN</t>
        </is>
      </c>
      <c r="E1780" t="inlineStr">
        <is>
          <t>SOLLEFTEÅ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20496-2026</t>
        </is>
      </c>
      <c r="B1781" s="1" t="n">
        <v>46140</v>
      </c>
      <c r="C1781" s="1" t="n">
        <v>46199</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20554-2026</t>
        </is>
      </c>
      <c r="B1782" s="1" t="n">
        <v>46140</v>
      </c>
      <c r="C1782" s="1" t="n">
        <v>46199</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33642-2023</t>
        </is>
      </c>
      <c r="B1783" s="1" t="n">
        <v>45119</v>
      </c>
      <c r="C1783" s="1" t="n">
        <v>46199</v>
      </c>
      <c r="D1783" t="inlineStr">
        <is>
          <t>VÄSTERNORRLANDS LÄN</t>
        </is>
      </c>
      <c r="E1783" t="inlineStr">
        <is>
          <t>SOLLEFTEÅ</t>
        </is>
      </c>
      <c r="F1783" t="inlineStr">
        <is>
          <t>SCA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218-2025</t>
        </is>
      </c>
      <c r="B1784" s="1" t="n">
        <v>45660</v>
      </c>
      <c r="C1784" s="1" t="n">
        <v>46199</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8729-2024</t>
        </is>
      </c>
      <c r="B1785" s="1" t="n">
        <v>45356</v>
      </c>
      <c r="C1785" s="1" t="n">
        <v>46199</v>
      </c>
      <c r="D1785" t="inlineStr">
        <is>
          <t>VÄSTERNORRLANDS LÄN</t>
        </is>
      </c>
      <c r="E1785" t="inlineStr">
        <is>
          <t>SOLLEFTEÅ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23735-2025</t>
        </is>
      </c>
      <c r="B1786" s="1" t="n">
        <v>45793</v>
      </c>
      <c r="C1786" s="1" t="n">
        <v>46199</v>
      </c>
      <c r="D1786" t="inlineStr">
        <is>
          <t>VÄSTERNORRLANDS LÄN</t>
        </is>
      </c>
      <c r="E1786" t="inlineStr">
        <is>
          <t>SOLLEFTEÅ</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26184-2026</t>
        </is>
      </c>
      <c r="B1787" s="1" t="n">
        <v>46182</v>
      </c>
      <c r="C1787" s="1" t="n">
        <v>46199</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26054-2026</t>
        </is>
      </c>
      <c r="B1788" s="1" t="n">
        <v>46177</v>
      </c>
      <c r="C1788" s="1" t="n">
        <v>46199</v>
      </c>
      <c r="D1788" t="inlineStr">
        <is>
          <t>VÄSTERNORRLANDS LÄN</t>
        </is>
      </c>
      <c r="E1788" t="inlineStr">
        <is>
          <t>SOLLEFTEÅ</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5035-2024</t>
        </is>
      </c>
      <c r="B1789" s="1" t="n">
        <v>45329</v>
      </c>
      <c r="C1789" s="1" t="n">
        <v>46199</v>
      </c>
      <c r="D1789" t="inlineStr">
        <is>
          <t>VÄSTERNORRLANDS LÄN</t>
        </is>
      </c>
      <c r="E1789" t="inlineStr">
        <is>
          <t>SOLLEFTEÅ</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5059-2024</t>
        </is>
      </c>
      <c r="B1790" s="1" t="n">
        <v>45329</v>
      </c>
      <c r="C1790" s="1" t="n">
        <v>46199</v>
      </c>
      <c r="D1790" t="inlineStr">
        <is>
          <t>VÄSTERNORRLANDS LÄN</t>
        </is>
      </c>
      <c r="E1790" t="inlineStr">
        <is>
          <t>SOLLEFTEÅ</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18570-2022</t>
        </is>
      </c>
      <c r="B1791" s="1" t="n">
        <v>44686</v>
      </c>
      <c r="C1791" s="1" t="n">
        <v>46199</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26321-2026</t>
        </is>
      </c>
      <c r="B1792" s="1" t="n">
        <v>46182</v>
      </c>
      <c r="C1792" s="1" t="n">
        <v>46199</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33999-2025</t>
        </is>
      </c>
      <c r="B1793" s="1" t="n">
        <v>45844</v>
      </c>
      <c r="C1793" s="1" t="n">
        <v>46199</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35795-2024</t>
        </is>
      </c>
      <c r="B1794" s="1" t="n">
        <v>45532</v>
      </c>
      <c r="C1794" s="1" t="n">
        <v>46199</v>
      </c>
      <c r="D1794" t="inlineStr">
        <is>
          <t>VÄSTERNORRLANDS LÄN</t>
        </is>
      </c>
      <c r="E1794" t="inlineStr">
        <is>
          <t>SOLLEFTEÅ</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25987-2026</t>
        </is>
      </c>
      <c r="B1795" s="1" t="n">
        <v>46181</v>
      </c>
      <c r="C1795" s="1" t="n">
        <v>46199</v>
      </c>
      <c r="D1795" t="inlineStr">
        <is>
          <t>VÄSTERNORRLANDS LÄN</t>
        </is>
      </c>
      <c r="E1795" t="inlineStr">
        <is>
          <t>SOLLEFTEÅ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50674-2023</t>
        </is>
      </c>
      <c r="B1796" s="1" t="n">
        <v>45210</v>
      </c>
      <c r="C1796" s="1" t="n">
        <v>46199</v>
      </c>
      <c r="D1796" t="inlineStr">
        <is>
          <t>VÄSTERNORRLANDS LÄN</t>
        </is>
      </c>
      <c r="E1796" t="inlineStr">
        <is>
          <t>SOLLEFTEÅ</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50688-2023</t>
        </is>
      </c>
      <c r="B1797" s="1" t="n">
        <v>45210</v>
      </c>
      <c r="C1797" s="1" t="n">
        <v>46199</v>
      </c>
      <c r="D1797" t="inlineStr">
        <is>
          <t>VÄSTERNORRLANDS LÄN</t>
        </is>
      </c>
      <c r="E1797" t="inlineStr">
        <is>
          <t>SOLLEFTEÅ</t>
        </is>
      </c>
      <c r="G1797" t="n">
        <v>15.6</v>
      </c>
      <c r="H1797" t="n">
        <v>0</v>
      </c>
      <c r="I1797" t="n">
        <v>0</v>
      </c>
      <c r="J1797" t="n">
        <v>0</v>
      </c>
      <c r="K1797" t="n">
        <v>0</v>
      </c>
      <c r="L1797" t="n">
        <v>0</v>
      </c>
      <c r="M1797" t="n">
        <v>0</v>
      </c>
      <c r="N1797" t="n">
        <v>0</v>
      </c>
      <c r="O1797" t="n">
        <v>0</v>
      </c>
      <c r="P1797" t="n">
        <v>0</v>
      </c>
      <c r="Q1797" t="n">
        <v>0</v>
      </c>
      <c r="R1797" s="2" t="inlineStr"/>
    </row>
    <row r="1798" ht="15" customHeight="1">
      <c r="A1798" t="inlineStr">
        <is>
          <t>A 50745-2023</t>
        </is>
      </c>
      <c r="B1798" s="1" t="n">
        <v>45210</v>
      </c>
      <c r="C1798" s="1" t="n">
        <v>46199</v>
      </c>
      <c r="D1798" t="inlineStr">
        <is>
          <t>VÄSTERNORRLANDS LÄN</t>
        </is>
      </c>
      <c r="E1798" t="inlineStr">
        <is>
          <t>SOLLEFTEÅ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11117-2022</t>
        </is>
      </c>
      <c r="B1799" s="1" t="n">
        <v>44628</v>
      </c>
      <c r="C1799" s="1" t="n">
        <v>46199</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25979-2026</t>
        </is>
      </c>
      <c r="B1800" s="1" t="n">
        <v>46181</v>
      </c>
      <c r="C1800" s="1" t="n">
        <v>46199</v>
      </c>
      <c r="D1800" t="inlineStr">
        <is>
          <t>VÄSTERNORRLANDS LÄN</t>
        </is>
      </c>
      <c r="E1800" t="inlineStr">
        <is>
          <t>SOLLEFTEÅ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40468-2025</t>
        </is>
      </c>
      <c r="B1801" s="1" t="n">
        <v>45895</v>
      </c>
      <c r="C1801" s="1" t="n">
        <v>46199</v>
      </c>
      <c r="D1801" t="inlineStr">
        <is>
          <t>VÄSTERNORRLANDS LÄN</t>
        </is>
      </c>
      <c r="E1801" t="inlineStr">
        <is>
          <t>SOLLEFTEÅ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19326-2024</t>
        </is>
      </c>
      <c r="B1802" s="1" t="n">
        <v>45428</v>
      </c>
      <c r="C1802" s="1" t="n">
        <v>46199</v>
      </c>
      <c r="D1802" t="inlineStr">
        <is>
          <t>VÄSTERNORRLANDS LÄN</t>
        </is>
      </c>
      <c r="E1802" t="inlineStr">
        <is>
          <t>SOLLEFTEÅ</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20370-2026</t>
        </is>
      </c>
      <c r="B1803" s="1" t="n">
        <v>46139</v>
      </c>
      <c r="C1803" s="1" t="n">
        <v>46199</v>
      </c>
      <c r="D1803" t="inlineStr">
        <is>
          <t>VÄSTERNORRLANDS LÄN</t>
        </is>
      </c>
      <c r="E1803" t="inlineStr">
        <is>
          <t>SOLLEFTEÅ</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44393-2023</t>
        </is>
      </c>
      <c r="B1804" s="1" t="n">
        <v>45188</v>
      </c>
      <c r="C1804" s="1" t="n">
        <v>46199</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32157-2024</t>
        </is>
      </c>
      <c r="B1805" s="1" t="n">
        <v>45511</v>
      </c>
      <c r="C1805" s="1" t="n">
        <v>46199</v>
      </c>
      <c r="D1805" t="inlineStr">
        <is>
          <t>VÄSTERNORRLANDS LÄN</t>
        </is>
      </c>
      <c r="E1805" t="inlineStr">
        <is>
          <t>SOLLEFTEÅ</t>
        </is>
      </c>
      <c r="F1805" t="inlineStr">
        <is>
          <t>Holmen skog AB</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6282-2024</t>
        </is>
      </c>
      <c r="B1806" s="1" t="n">
        <v>45337</v>
      </c>
      <c r="C1806" s="1" t="n">
        <v>46199</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37381-2023</t>
        </is>
      </c>
      <c r="B1807" s="1" t="n">
        <v>45155</v>
      </c>
      <c r="C1807" s="1" t="n">
        <v>46199</v>
      </c>
      <c r="D1807" t="inlineStr">
        <is>
          <t>VÄSTERNORRLANDS LÄN</t>
        </is>
      </c>
      <c r="E1807" t="inlineStr">
        <is>
          <t>SOLLEFTEÅ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35509-2024</t>
        </is>
      </c>
      <c r="B1808" s="1" t="n">
        <v>45531</v>
      </c>
      <c r="C1808" s="1" t="n">
        <v>46199</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35513-2024</t>
        </is>
      </c>
      <c r="B1809" s="1" t="n">
        <v>45531</v>
      </c>
      <c r="C1809" s="1" t="n">
        <v>46199</v>
      </c>
      <c r="D1809" t="inlineStr">
        <is>
          <t>VÄSTERNORRLANDS LÄN</t>
        </is>
      </c>
      <c r="E1809" t="inlineStr">
        <is>
          <t>SOLLEFTEÅ</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25966-2026</t>
        </is>
      </c>
      <c r="B1810" s="1" t="n">
        <v>46181</v>
      </c>
      <c r="C1810" s="1" t="n">
        <v>46199</v>
      </c>
      <c r="D1810" t="inlineStr">
        <is>
          <t>VÄSTERNORRLANDS LÄN</t>
        </is>
      </c>
      <c r="E1810" t="inlineStr">
        <is>
          <t>SOLLEFTEÅ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3556-2022</t>
        </is>
      </c>
      <c r="B1811" s="1" t="n">
        <v>44585</v>
      </c>
      <c r="C1811" s="1" t="n">
        <v>46199</v>
      </c>
      <c r="D1811" t="inlineStr">
        <is>
          <t>VÄSTERNORRLANDS LÄN</t>
        </is>
      </c>
      <c r="E1811" t="inlineStr">
        <is>
          <t>SOLLEFTEÅ</t>
        </is>
      </c>
      <c r="F1811" t="inlineStr">
        <is>
          <t>SCA</t>
        </is>
      </c>
      <c r="G1811" t="n">
        <v>18.2</v>
      </c>
      <c r="H1811" t="n">
        <v>0</v>
      </c>
      <c r="I1811" t="n">
        <v>0</v>
      </c>
      <c r="J1811" t="n">
        <v>0</v>
      </c>
      <c r="K1811" t="n">
        <v>0</v>
      </c>
      <c r="L1811" t="n">
        <v>0</v>
      </c>
      <c r="M1811" t="n">
        <v>0</v>
      </c>
      <c r="N1811" t="n">
        <v>0</v>
      </c>
      <c r="O1811" t="n">
        <v>0</v>
      </c>
      <c r="P1811" t="n">
        <v>0</v>
      </c>
      <c r="Q1811" t="n">
        <v>0</v>
      </c>
      <c r="R1811" s="2" t="inlineStr"/>
    </row>
    <row r="1812" ht="15" customHeight="1">
      <c r="A1812" t="inlineStr">
        <is>
          <t>A 40921-2024</t>
        </is>
      </c>
      <c r="B1812" s="1" t="n">
        <v>45558</v>
      </c>
      <c r="C1812" s="1" t="n">
        <v>46199</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50929-2025</t>
        </is>
      </c>
      <c r="B1813" s="1" t="n">
        <v>45946</v>
      </c>
      <c r="C1813" s="1" t="n">
        <v>46199</v>
      </c>
      <c r="D1813" t="inlineStr">
        <is>
          <t>VÄSTERNORRLANDS LÄN</t>
        </is>
      </c>
      <c r="E1813" t="inlineStr">
        <is>
          <t>SOLLEFTEÅ</t>
        </is>
      </c>
      <c r="F1813" t="inlineStr">
        <is>
          <t>SCA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51527-2025</t>
        </is>
      </c>
      <c r="B1814" s="1" t="n">
        <v>45950</v>
      </c>
      <c r="C1814" s="1" t="n">
        <v>46199</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20383-2026</t>
        </is>
      </c>
      <c r="B1815" s="1" t="n">
        <v>46139</v>
      </c>
      <c r="C1815" s="1" t="n">
        <v>46199</v>
      </c>
      <c r="D1815" t="inlineStr">
        <is>
          <t>VÄSTERNORRLANDS LÄN</t>
        </is>
      </c>
      <c r="E1815" t="inlineStr">
        <is>
          <t>SOLLEFTEÅ</t>
        </is>
      </c>
      <c r="F1815" t="inlineStr">
        <is>
          <t>SCA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59563-2024</t>
        </is>
      </c>
      <c r="B1816" s="1" t="n">
        <v>45638</v>
      </c>
      <c r="C1816" s="1" t="n">
        <v>46199</v>
      </c>
      <c r="D1816" t="inlineStr">
        <is>
          <t>VÄSTERNORRLANDS LÄN</t>
        </is>
      </c>
      <c r="E1816" t="inlineStr">
        <is>
          <t>SOLLEFTEÅ</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40354-2024</t>
        </is>
      </c>
      <c r="B1817" s="1" t="n">
        <v>45555</v>
      </c>
      <c r="C1817" s="1" t="n">
        <v>46199</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59765-2025</t>
        </is>
      </c>
      <c r="B1818" s="1" t="n">
        <v>45992</v>
      </c>
      <c r="C1818" s="1" t="n">
        <v>46199</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60597-2025</t>
        </is>
      </c>
      <c r="B1819" s="1" t="n">
        <v>45996</v>
      </c>
      <c r="C1819" s="1" t="n">
        <v>46199</v>
      </c>
      <c r="D1819" t="inlineStr">
        <is>
          <t>VÄSTERNORRLANDS LÄN</t>
        </is>
      </c>
      <c r="E1819" t="inlineStr">
        <is>
          <t>SOLLEFTEÅ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49829-2024</t>
        </is>
      </c>
      <c r="B1820" s="1" t="n">
        <v>45597</v>
      </c>
      <c r="C1820" s="1" t="n">
        <v>46199</v>
      </c>
      <c r="D1820" t="inlineStr">
        <is>
          <t>VÄSTERNORRLANDS LÄN</t>
        </is>
      </c>
      <c r="E1820" t="inlineStr">
        <is>
          <t>SOLLEFTEÅ</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55692-2024</t>
        </is>
      </c>
      <c r="B1821" s="1" t="n">
        <v>45622</v>
      </c>
      <c r="C1821" s="1" t="n">
        <v>46199</v>
      </c>
      <c r="D1821" t="inlineStr">
        <is>
          <t>VÄSTERNORRLANDS LÄN</t>
        </is>
      </c>
      <c r="E1821" t="inlineStr">
        <is>
          <t>SOLLEFTEÅ</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55792-2024</t>
        </is>
      </c>
      <c r="B1822" s="1" t="n">
        <v>45623</v>
      </c>
      <c r="C1822" s="1" t="n">
        <v>46199</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3001-2022</t>
        </is>
      </c>
      <c r="B1823" s="1" t="n">
        <v>44581</v>
      </c>
      <c r="C1823" s="1" t="n">
        <v>46199</v>
      </c>
      <c r="D1823" t="inlineStr">
        <is>
          <t>VÄSTERNORRLANDS LÄN</t>
        </is>
      </c>
      <c r="E1823" t="inlineStr">
        <is>
          <t>SOLLEFTEÅ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26183-2026</t>
        </is>
      </c>
      <c r="B1824" s="1" t="n">
        <v>46182</v>
      </c>
      <c r="C1824" s="1" t="n">
        <v>46199</v>
      </c>
      <c r="D1824" t="inlineStr">
        <is>
          <t>VÄSTERNORRLANDS LÄN</t>
        </is>
      </c>
      <c r="E1824" t="inlineStr">
        <is>
          <t>SOLLEFTEÅ</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20424-2026</t>
        </is>
      </c>
      <c r="B1825" s="1" t="n">
        <v>46140</v>
      </c>
      <c r="C1825" s="1" t="n">
        <v>46199</v>
      </c>
      <c r="D1825" t="inlineStr">
        <is>
          <t>VÄSTERNORRLANDS LÄN</t>
        </is>
      </c>
      <c r="E1825" t="inlineStr">
        <is>
          <t>SOLLEFTEÅ</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24461-2024</t>
        </is>
      </c>
      <c r="B1826" s="1" t="n">
        <v>45457</v>
      </c>
      <c r="C1826" s="1" t="n">
        <v>46199</v>
      </c>
      <c r="D1826" t="inlineStr">
        <is>
          <t>VÄSTERNORRLANDS LÄN</t>
        </is>
      </c>
      <c r="E1826" t="inlineStr">
        <is>
          <t>SOLLEFTEÅ</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31670-2024</t>
        </is>
      </c>
      <c r="B1827" s="1" t="n">
        <v>45506</v>
      </c>
      <c r="C1827" s="1" t="n">
        <v>46199</v>
      </c>
      <c r="D1827" t="inlineStr">
        <is>
          <t>VÄSTERNORRLANDS LÄN</t>
        </is>
      </c>
      <c r="E1827" t="inlineStr">
        <is>
          <t>SOLLEFTEÅ</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31681-2024</t>
        </is>
      </c>
      <c r="B1828" s="1" t="n">
        <v>45506</v>
      </c>
      <c r="C1828" s="1" t="n">
        <v>46199</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20324-2026</t>
        </is>
      </c>
      <c r="B1829" s="1" t="n">
        <v>46136</v>
      </c>
      <c r="C1829" s="1" t="n">
        <v>46199</v>
      </c>
      <c r="D1829" t="inlineStr">
        <is>
          <t>VÄSTERNORRLANDS LÄN</t>
        </is>
      </c>
      <c r="E1829" t="inlineStr">
        <is>
          <t>SOLLEFTEÅ</t>
        </is>
      </c>
      <c r="F1829" t="inlineStr">
        <is>
          <t>Kommuner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57487-2024</t>
        </is>
      </c>
      <c r="B1830" s="1" t="n">
        <v>45630</v>
      </c>
      <c r="C1830" s="1" t="n">
        <v>46199</v>
      </c>
      <c r="D1830" t="inlineStr">
        <is>
          <t>VÄSTERNORRLANDS LÄN</t>
        </is>
      </c>
      <c r="E1830" t="inlineStr">
        <is>
          <t>SOLLEFTEÅ</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20338-2026</t>
        </is>
      </c>
      <c r="B1831" s="1" t="n">
        <v>46139</v>
      </c>
      <c r="C1831" s="1" t="n">
        <v>46199</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48396-2024</t>
        </is>
      </c>
      <c r="B1832" s="1" t="n">
        <v>45590</v>
      </c>
      <c r="C1832" s="1" t="n">
        <v>46199</v>
      </c>
      <c r="D1832" t="inlineStr">
        <is>
          <t>VÄSTERNORRLANDS LÄN</t>
        </is>
      </c>
      <c r="E1832" t="inlineStr">
        <is>
          <t>SOLLEFTEÅ</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10554-2022</t>
        </is>
      </c>
      <c r="B1833" s="1" t="n">
        <v>44623</v>
      </c>
      <c r="C1833" s="1" t="n">
        <v>46199</v>
      </c>
      <c r="D1833" t="inlineStr">
        <is>
          <t>VÄSTERNORRLANDS LÄN</t>
        </is>
      </c>
      <c r="E1833" t="inlineStr">
        <is>
          <t>SOLLEFTEÅ</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20365-2026</t>
        </is>
      </c>
      <c r="B1834" s="1" t="n">
        <v>46139</v>
      </c>
      <c r="C1834" s="1" t="n">
        <v>46199</v>
      </c>
      <c r="D1834" t="inlineStr">
        <is>
          <t>VÄSTERNORRLANDS LÄN</t>
        </is>
      </c>
      <c r="E1834" t="inlineStr">
        <is>
          <t>SOLLEFTEÅ</t>
        </is>
      </c>
      <c r="F1834" t="inlineStr">
        <is>
          <t>SCA</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51227-2024</t>
        </is>
      </c>
      <c r="B1835" s="1" t="n">
        <v>45603</v>
      </c>
      <c r="C1835" s="1" t="n">
        <v>46199</v>
      </c>
      <c r="D1835" t="inlineStr">
        <is>
          <t>VÄSTERNORRLANDS LÄN</t>
        </is>
      </c>
      <c r="E1835" t="inlineStr">
        <is>
          <t>SOLLEFTEÅ</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2044-2025</t>
        </is>
      </c>
      <c r="B1836" s="1" t="n">
        <v>45672</v>
      </c>
      <c r="C1836" s="1" t="n">
        <v>46199</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46212-2023</t>
        </is>
      </c>
      <c r="B1837" s="1" t="n">
        <v>45190</v>
      </c>
      <c r="C1837" s="1" t="n">
        <v>46199</v>
      </c>
      <c r="D1837" t="inlineStr">
        <is>
          <t>VÄSTERNORRLANDS LÄN</t>
        </is>
      </c>
      <c r="E1837" t="inlineStr">
        <is>
          <t>SOLLEFTEÅ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46920-2025</t>
        </is>
      </c>
      <c r="B1838" s="1" t="n">
        <v>45929</v>
      </c>
      <c r="C1838" s="1" t="n">
        <v>46199</v>
      </c>
      <c r="D1838" t="inlineStr">
        <is>
          <t>VÄSTERNORRLANDS LÄN</t>
        </is>
      </c>
      <c r="E1838" t="inlineStr">
        <is>
          <t>SOLLEFTEÅ</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29759-2025</t>
        </is>
      </c>
      <c r="B1839" s="1" t="n">
        <v>45825</v>
      </c>
      <c r="C1839" s="1" t="n">
        <v>46199</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2456-2025</t>
        </is>
      </c>
      <c r="B1840" s="1" t="n">
        <v>45673</v>
      </c>
      <c r="C1840" s="1" t="n">
        <v>46199</v>
      </c>
      <c r="D1840" t="inlineStr">
        <is>
          <t>VÄSTERNORRLANDS LÄN</t>
        </is>
      </c>
      <c r="E1840" t="inlineStr">
        <is>
          <t>SOLLEFTEÅ</t>
        </is>
      </c>
      <c r="F1840" t="inlineStr">
        <is>
          <t>Kommuner</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8656-2024</t>
        </is>
      </c>
      <c r="B1841" s="1" t="n">
        <v>45356</v>
      </c>
      <c r="C1841" s="1" t="n">
        <v>46199</v>
      </c>
      <c r="D1841" t="inlineStr">
        <is>
          <t>VÄSTERNORRLANDS LÄN</t>
        </is>
      </c>
      <c r="E1841" t="inlineStr">
        <is>
          <t>SOLLEFTEÅ</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20628-2023</t>
        </is>
      </c>
      <c r="B1842" s="1" t="n">
        <v>45057</v>
      </c>
      <c r="C1842" s="1" t="n">
        <v>46199</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19295-2022</t>
        </is>
      </c>
      <c r="B1843" s="1" t="n">
        <v>44692</v>
      </c>
      <c r="C1843" s="1" t="n">
        <v>46199</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55272-2024</t>
        </is>
      </c>
      <c r="B1844" s="1" t="n">
        <v>45621</v>
      </c>
      <c r="C1844" s="1" t="n">
        <v>46199</v>
      </c>
      <c r="D1844" t="inlineStr">
        <is>
          <t>VÄSTERNORRLANDS LÄN</t>
        </is>
      </c>
      <c r="E1844" t="inlineStr">
        <is>
          <t>SOLLEFTEÅ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20462-2026</t>
        </is>
      </c>
      <c r="B1845" s="1" t="n">
        <v>46140</v>
      </c>
      <c r="C1845" s="1" t="n">
        <v>46199</v>
      </c>
      <c r="D1845" t="inlineStr">
        <is>
          <t>VÄSTERNORRLANDS LÄN</t>
        </is>
      </c>
      <c r="E1845" t="inlineStr">
        <is>
          <t>SOLLEFTEÅ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5359-2025</t>
        </is>
      </c>
      <c r="B1846" s="1" t="n">
        <v>45692</v>
      </c>
      <c r="C1846" s="1" t="n">
        <v>46199</v>
      </c>
      <c r="D1846" t="inlineStr">
        <is>
          <t>VÄSTERNORRLANDS LÄN</t>
        </is>
      </c>
      <c r="E1846" t="inlineStr">
        <is>
          <t>SOLLEFTEÅ</t>
        </is>
      </c>
      <c r="F1846" t="inlineStr">
        <is>
          <t>Övriga statliga verk och myndigheter</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51942-2024</t>
        </is>
      </c>
      <c r="B1847" s="1" t="n">
        <v>45607</v>
      </c>
      <c r="C1847" s="1" t="n">
        <v>46199</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61832-2025</t>
        </is>
      </c>
      <c r="B1848" s="1" t="n">
        <v>46003</v>
      </c>
      <c r="C1848" s="1" t="n">
        <v>46199</v>
      </c>
      <c r="D1848" t="inlineStr">
        <is>
          <t>VÄSTERNORRLANDS LÄN</t>
        </is>
      </c>
      <c r="E1848" t="inlineStr">
        <is>
          <t>SOLLEFTEÅ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33675-2025</t>
        </is>
      </c>
      <c r="B1849" s="1" t="n">
        <v>45841</v>
      </c>
      <c r="C1849" s="1" t="n">
        <v>46199</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44871-2025</t>
        </is>
      </c>
      <c r="B1850" s="1" t="n">
        <v>45918</v>
      </c>
      <c r="C1850" s="1" t="n">
        <v>46199</v>
      </c>
      <c r="D1850" t="inlineStr">
        <is>
          <t>VÄSTERNORRLANDS LÄN</t>
        </is>
      </c>
      <c r="E1850" t="inlineStr">
        <is>
          <t>SOLLEFTEÅ</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12064-2025</t>
        </is>
      </c>
      <c r="B1851" s="1" t="n">
        <v>45728</v>
      </c>
      <c r="C1851" s="1" t="n">
        <v>46199</v>
      </c>
      <c r="D1851" t="inlineStr">
        <is>
          <t>VÄSTERNORRLANDS LÄN</t>
        </is>
      </c>
      <c r="E1851" t="inlineStr">
        <is>
          <t>SOLLEFTEÅ</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50698-2023</t>
        </is>
      </c>
      <c r="B1852" s="1" t="n">
        <v>45210</v>
      </c>
      <c r="C1852" s="1" t="n">
        <v>46199</v>
      </c>
      <c r="D1852" t="inlineStr">
        <is>
          <t>VÄSTERNORRLANDS LÄN</t>
        </is>
      </c>
      <c r="E1852" t="inlineStr">
        <is>
          <t>SOLLEFTEÅ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59424-2024</t>
        </is>
      </c>
      <c r="B1853" s="1" t="n">
        <v>45638</v>
      </c>
      <c r="C1853" s="1" t="n">
        <v>46199</v>
      </c>
      <c r="D1853" t="inlineStr">
        <is>
          <t>VÄSTERNORRLANDS LÄN</t>
        </is>
      </c>
      <c r="E1853" t="inlineStr">
        <is>
          <t>SOLLEFTEÅ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52709-2024</t>
        </is>
      </c>
      <c r="B1854" s="1" t="n">
        <v>45610</v>
      </c>
      <c r="C1854" s="1" t="n">
        <v>46199</v>
      </c>
      <c r="D1854" t="inlineStr">
        <is>
          <t>VÄSTERNORRLANDS LÄN</t>
        </is>
      </c>
      <c r="E1854" t="inlineStr">
        <is>
          <t>SOLLEFTEÅ</t>
        </is>
      </c>
      <c r="F1854" t="inlineStr">
        <is>
          <t>SCA</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36313-2025</t>
        </is>
      </c>
      <c r="B1855" s="1" t="n">
        <v>45868</v>
      </c>
      <c r="C1855" s="1" t="n">
        <v>46199</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22767-2025</t>
        </is>
      </c>
      <c r="B1856" s="1" t="n">
        <v>45789</v>
      </c>
      <c r="C1856" s="1" t="n">
        <v>46199</v>
      </c>
      <c r="D1856" t="inlineStr">
        <is>
          <t>VÄSTERNORRLANDS LÄN</t>
        </is>
      </c>
      <c r="E1856" t="inlineStr">
        <is>
          <t>SOLLEFTEÅ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52461-2024</t>
        </is>
      </c>
      <c r="B1857" s="1" t="n">
        <v>45609</v>
      </c>
      <c r="C1857" s="1" t="n">
        <v>46199</v>
      </c>
      <c r="D1857" t="inlineStr">
        <is>
          <t>VÄSTERNORRLANDS LÄN</t>
        </is>
      </c>
      <c r="E1857" t="inlineStr">
        <is>
          <t>SOLLEFTEÅ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31925-2023</t>
        </is>
      </c>
      <c r="B1858" s="1" t="n">
        <v>45118</v>
      </c>
      <c r="C1858" s="1" t="n">
        <v>46199</v>
      </c>
      <c r="D1858" t="inlineStr">
        <is>
          <t>VÄSTERNORRLANDS LÄN</t>
        </is>
      </c>
      <c r="E1858" t="inlineStr">
        <is>
          <t>SOLLEFTEÅ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4895-2025</t>
        </is>
      </c>
      <c r="B1859" s="1" t="n">
        <v>45688</v>
      </c>
      <c r="C1859" s="1" t="n">
        <v>46199</v>
      </c>
      <c r="D1859" t="inlineStr">
        <is>
          <t>VÄSTERNORRLANDS LÄN</t>
        </is>
      </c>
      <c r="E1859" t="inlineStr">
        <is>
          <t>SOLLEFTEÅ</t>
        </is>
      </c>
      <c r="F1859" t="inlineStr">
        <is>
          <t>SCA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9632-2025</t>
        </is>
      </c>
      <c r="B1860" s="1" t="n">
        <v>45715</v>
      </c>
      <c r="C1860" s="1" t="n">
        <v>46199</v>
      </c>
      <c r="D1860" t="inlineStr">
        <is>
          <t>VÄSTERNORRLANDS LÄN</t>
        </is>
      </c>
      <c r="E1860" t="inlineStr">
        <is>
          <t>SOLLEFTEÅ</t>
        </is>
      </c>
      <c r="F1860" t="inlineStr">
        <is>
          <t>SCA</t>
        </is>
      </c>
      <c r="G1860" t="n">
        <v>21.6</v>
      </c>
      <c r="H1860" t="n">
        <v>0</v>
      </c>
      <c r="I1860" t="n">
        <v>0</v>
      </c>
      <c r="J1860" t="n">
        <v>0</v>
      </c>
      <c r="K1860" t="n">
        <v>0</v>
      </c>
      <c r="L1860" t="n">
        <v>0</v>
      </c>
      <c r="M1860" t="n">
        <v>0</v>
      </c>
      <c r="N1860" t="n">
        <v>0</v>
      </c>
      <c r="O1860" t="n">
        <v>0</v>
      </c>
      <c r="P1860" t="n">
        <v>0</v>
      </c>
      <c r="Q1860" t="n">
        <v>0</v>
      </c>
      <c r="R1860" s="2" t="inlineStr"/>
    </row>
    <row r="1861" ht="15" customHeight="1">
      <c r="A1861" t="inlineStr">
        <is>
          <t>A 13138-2024</t>
        </is>
      </c>
      <c r="B1861" s="1" t="n">
        <v>45386</v>
      </c>
      <c r="C1861" s="1" t="n">
        <v>46199</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12561-2022</t>
        </is>
      </c>
      <c r="B1862" s="1" t="n">
        <v>44638</v>
      </c>
      <c r="C1862" s="1" t="n">
        <v>46199</v>
      </c>
      <c r="D1862" t="inlineStr">
        <is>
          <t>VÄSTERNORRLANDS LÄN</t>
        </is>
      </c>
      <c r="E1862" t="inlineStr">
        <is>
          <t>SOLLEFTEÅ</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13300-2022</t>
        </is>
      </c>
      <c r="B1863" s="1" t="n">
        <v>44644</v>
      </c>
      <c r="C1863" s="1" t="n">
        <v>46199</v>
      </c>
      <c r="D1863" t="inlineStr">
        <is>
          <t>VÄSTERNORRLANDS LÄN</t>
        </is>
      </c>
      <c r="E1863" t="inlineStr">
        <is>
          <t>SOLLEFTEÅ</t>
        </is>
      </c>
      <c r="F1863" t="inlineStr">
        <is>
          <t>SCA</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22750-2023</t>
        </is>
      </c>
      <c r="B1864" s="1" t="n">
        <v>45071</v>
      </c>
      <c r="C1864" s="1" t="n">
        <v>46199</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59421-2024</t>
        </is>
      </c>
      <c r="B1865" s="1" t="n">
        <v>45638</v>
      </c>
      <c r="C1865" s="1" t="n">
        <v>46199</v>
      </c>
      <c r="D1865" t="inlineStr">
        <is>
          <t>VÄSTERNORRLANDS LÄN</t>
        </is>
      </c>
      <c r="E1865" t="inlineStr">
        <is>
          <t>SOLLEFTEÅ</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48021-2024</t>
        </is>
      </c>
      <c r="B1866" s="1" t="n">
        <v>45589</v>
      </c>
      <c r="C1866" s="1" t="n">
        <v>46199</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20122-2026</t>
        </is>
      </c>
      <c r="B1867" s="1" t="n">
        <v>46136</v>
      </c>
      <c r="C1867" s="1" t="n">
        <v>46199</v>
      </c>
      <c r="D1867" t="inlineStr">
        <is>
          <t>VÄSTERNORRLANDS LÄN</t>
        </is>
      </c>
      <c r="E1867" t="inlineStr">
        <is>
          <t>SOLLEFTEÅ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54532-2024</t>
        </is>
      </c>
      <c r="B1868" s="1" t="n">
        <v>45617</v>
      </c>
      <c r="C1868" s="1" t="n">
        <v>46199</v>
      </c>
      <c r="D1868" t="inlineStr">
        <is>
          <t>VÄSTERNORRLANDS LÄN</t>
        </is>
      </c>
      <c r="E1868" t="inlineStr">
        <is>
          <t>SOLLEFTEÅ</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21348-2025</t>
        </is>
      </c>
      <c r="B1869" s="1" t="n">
        <v>45782</v>
      </c>
      <c r="C1869" s="1" t="n">
        <v>46199</v>
      </c>
      <c r="D1869" t="inlineStr">
        <is>
          <t>VÄSTERNORRLANDS LÄN</t>
        </is>
      </c>
      <c r="E1869" t="inlineStr">
        <is>
          <t>SOLLEFTEÅ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22853-2025</t>
        </is>
      </c>
      <c r="B1870" s="1" t="n">
        <v>45790</v>
      </c>
      <c r="C1870" s="1" t="n">
        <v>46199</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21092-2024</t>
        </is>
      </c>
      <c r="B1871" s="1" t="n">
        <v>45439</v>
      </c>
      <c r="C1871" s="1" t="n">
        <v>46199</v>
      </c>
      <c r="D1871" t="inlineStr">
        <is>
          <t>VÄSTERNORRLANDS LÄN</t>
        </is>
      </c>
      <c r="E1871" t="inlineStr">
        <is>
          <t>SOLLEFTEÅ</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59766-2025</t>
        </is>
      </c>
      <c r="B1872" s="1" t="n">
        <v>45992</v>
      </c>
      <c r="C1872" s="1" t="n">
        <v>46199</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25984-2026</t>
        </is>
      </c>
      <c r="B1873" s="1" t="n">
        <v>46181</v>
      </c>
      <c r="C1873" s="1" t="n">
        <v>46199</v>
      </c>
      <c r="D1873" t="inlineStr">
        <is>
          <t>VÄSTERNORRLANDS LÄN</t>
        </is>
      </c>
      <c r="E1873" t="inlineStr">
        <is>
          <t>SOLLEFTEÅ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25990-2026</t>
        </is>
      </c>
      <c r="B1874" s="1" t="n">
        <v>46181</v>
      </c>
      <c r="C1874" s="1" t="n">
        <v>46199</v>
      </c>
      <c r="D1874" t="inlineStr">
        <is>
          <t>VÄSTERNORRLANDS LÄN</t>
        </is>
      </c>
      <c r="E1874" t="inlineStr">
        <is>
          <t>SOLLEFTEÅ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2346-2025</t>
        </is>
      </c>
      <c r="B1875" s="1" t="n">
        <v>45673</v>
      </c>
      <c r="C1875" s="1" t="n">
        <v>46199</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56134-2023</t>
        </is>
      </c>
      <c r="B1876" s="1" t="n">
        <v>45240</v>
      </c>
      <c r="C1876" s="1" t="n">
        <v>46199</v>
      </c>
      <c r="D1876" t="inlineStr">
        <is>
          <t>VÄSTERNORRLANDS LÄN</t>
        </is>
      </c>
      <c r="E1876" t="inlineStr">
        <is>
          <t>SOLLEFTEÅ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56137-2023</t>
        </is>
      </c>
      <c r="B1877" s="1" t="n">
        <v>45240</v>
      </c>
      <c r="C1877" s="1" t="n">
        <v>46199</v>
      </c>
      <c r="D1877" t="inlineStr">
        <is>
          <t>VÄSTERNORRLANDS LÄN</t>
        </is>
      </c>
      <c r="E1877" t="inlineStr">
        <is>
          <t>SOLLEFTEÅ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25703-2024</t>
        </is>
      </c>
      <c r="B1878" s="1" t="n">
        <v>45463</v>
      </c>
      <c r="C1878" s="1" t="n">
        <v>46199</v>
      </c>
      <c r="D1878" t="inlineStr">
        <is>
          <t>VÄSTERNORRLANDS LÄN</t>
        </is>
      </c>
      <c r="E1878" t="inlineStr">
        <is>
          <t>SOLLEFTEÅ</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25711-2024</t>
        </is>
      </c>
      <c r="B1879" s="1" t="n">
        <v>45463</v>
      </c>
      <c r="C1879" s="1" t="n">
        <v>46199</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2583-2025</t>
        </is>
      </c>
      <c r="B1880" s="1" t="n">
        <v>45674</v>
      </c>
      <c r="C1880" s="1" t="n">
        <v>46199</v>
      </c>
      <c r="D1880" t="inlineStr">
        <is>
          <t>VÄSTERNORRLANDS LÄN</t>
        </is>
      </c>
      <c r="E1880" t="inlineStr">
        <is>
          <t>SOLLEFTEÅ</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20929-2026</t>
        </is>
      </c>
      <c r="B1881" s="1" t="n">
        <v>46142</v>
      </c>
      <c r="C1881" s="1" t="n">
        <v>46199</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56249-2023</t>
        </is>
      </c>
      <c r="B1882" s="1" t="n">
        <v>45240</v>
      </c>
      <c r="C1882" s="1" t="n">
        <v>46199</v>
      </c>
      <c r="D1882" t="inlineStr">
        <is>
          <t>VÄSTERNORRLANDS LÄN</t>
        </is>
      </c>
      <c r="E1882" t="inlineStr">
        <is>
          <t>SOLLEFTEÅ</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58994-2024</t>
        </is>
      </c>
      <c r="B1883" s="1" t="n">
        <v>45636</v>
      </c>
      <c r="C1883" s="1" t="n">
        <v>46199</v>
      </c>
      <c r="D1883" t="inlineStr">
        <is>
          <t>VÄSTERNORRLANDS LÄN</t>
        </is>
      </c>
      <c r="E1883" t="inlineStr">
        <is>
          <t>SOLLEFTEÅ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8033-2024</t>
        </is>
      </c>
      <c r="B1884" s="1" t="n">
        <v>45350</v>
      </c>
      <c r="C1884" s="1" t="n">
        <v>46199</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8038-2024</t>
        </is>
      </c>
      <c r="B1885" s="1" t="n">
        <v>45350</v>
      </c>
      <c r="C1885" s="1" t="n">
        <v>46199</v>
      </c>
      <c r="D1885" t="inlineStr">
        <is>
          <t>VÄSTERNORRLANDS LÄN</t>
        </is>
      </c>
      <c r="E1885" t="inlineStr">
        <is>
          <t>SOLLEFTEÅ</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36567-2025</t>
        </is>
      </c>
      <c r="B1886" s="1" t="n">
        <v>45870</v>
      </c>
      <c r="C1886" s="1" t="n">
        <v>46199</v>
      </c>
      <c r="D1886" t="inlineStr">
        <is>
          <t>VÄSTERNORRLANDS LÄN</t>
        </is>
      </c>
      <c r="E1886" t="inlineStr">
        <is>
          <t>SOLLEFTEÅ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26588-2026</t>
        </is>
      </c>
      <c r="B1887" s="1" t="n">
        <v>46183</v>
      </c>
      <c r="C1887" s="1" t="n">
        <v>46199</v>
      </c>
      <c r="D1887" t="inlineStr">
        <is>
          <t>VÄSTERNORRLANDS LÄN</t>
        </is>
      </c>
      <c r="E1887" t="inlineStr">
        <is>
          <t>SOLLEFTEÅ</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42164-2023</t>
        </is>
      </c>
      <c r="B1888" s="1" t="n">
        <v>45177</v>
      </c>
      <c r="C1888" s="1" t="n">
        <v>46199</v>
      </c>
      <c r="D1888" t="inlineStr">
        <is>
          <t>VÄSTERNORRLANDS LÄN</t>
        </is>
      </c>
      <c r="E1888" t="inlineStr">
        <is>
          <t>SOLLEFTEÅ</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50402-2025</t>
        </is>
      </c>
      <c r="B1889" s="1" t="n">
        <v>45944</v>
      </c>
      <c r="C1889" s="1" t="n">
        <v>46199</v>
      </c>
      <c r="D1889" t="inlineStr">
        <is>
          <t>VÄSTERNORRLANDS LÄN</t>
        </is>
      </c>
      <c r="E1889" t="inlineStr">
        <is>
          <t>SOLLEFTEÅ</t>
        </is>
      </c>
      <c r="F1889" t="inlineStr">
        <is>
          <t>SCA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48088-2023</t>
        </is>
      </c>
      <c r="B1890" s="1" t="n">
        <v>45204</v>
      </c>
      <c r="C1890" s="1" t="n">
        <v>46199</v>
      </c>
      <c r="D1890" t="inlineStr">
        <is>
          <t>VÄSTERNORRLANDS LÄN</t>
        </is>
      </c>
      <c r="E1890" t="inlineStr">
        <is>
          <t>SOLLEFTEÅ</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24596-2023</t>
        </is>
      </c>
      <c r="B1891" s="1" t="n">
        <v>45083</v>
      </c>
      <c r="C1891" s="1" t="n">
        <v>46199</v>
      </c>
      <c r="D1891" t="inlineStr">
        <is>
          <t>VÄSTERNORRLANDS LÄN</t>
        </is>
      </c>
      <c r="E1891" t="inlineStr">
        <is>
          <t>SOLLEFTEÅ</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58845-2024</t>
        </is>
      </c>
      <c r="B1892" s="1" t="n">
        <v>45636</v>
      </c>
      <c r="C1892" s="1" t="n">
        <v>46199</v>
      </c>
      <c r="D1892" t="inlineStr">
        <is>
          <t>VÄSTERNORRLANDS LÄN</t>
        </is>
      </c>
      <c r="E1892" t="inlineStr">
        <is>
          <t>SOLLEFTEÅ</t>
        </is>
      </c>
      <c r="F1892" t="inlineStr">
        <is>
          <t>SCA</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5258-2025</t>
        </is>
      </c>
      <c r="B1893" s="1" t="n">
        <v>45692</v>
      </c>
      <c r="C1893" s="1" t="n">
        <v>46199</v>
      </c>
      <c r="D1893" t="inlineStr">
        <is>
          <t>VÄSTERNORRLANDS LÄN</t>
        </is>
      </c>
      <c r="E1893" t="inlineStr">
        <is>
          <t>SOLLEFTEÅ</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26537-2026</t>
        </is>
      </c>
      <c r="B1894" s="1" t="n">
        <v>46183</v>
      </c>
      <c r="C1894" s="1" t="n">
        <v>46199</v>
      </c>
      <c r="D1894" t="inlineStr">
        <is>
          <t>VÄSTERNORRLANDS LÄN</t>
        </is>
      </c>
      <c r="E1894" t="inlineStr">
        <is>
          <t>SOLLEFTEÅ</t>
        </is>
      </c>
      <c r="F1894" t="inlineStr">
        <is>
          <t>Holmen skog AB</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17889-2025</t>
        </is>
      </c>
      <c r="B1895" s="1" t="n">
        <v>45758</v>
      </c>
      <c r="C1895" s="1" t="n">
        <v>46199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26398-2026</t>
        </is>
      </c>
      <c r="B1896" s="1" t="n">
        <v>46183</v>
      </c>
      <c r="C1896" s="1" t="n">
        <v>46199</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40608-2022</t>
        </is>
      </c>
      <c r="B1897" s="1" t="n">
        <v>44823</v>
      </c>
      <c r="C1897" s="1" t="n">
        <v>46199</v>
      </c>
      <c r="D1897" t="inlineStr">
        <is>
          <t>VÄSTERNORRLANDS LÄN</t>
        </is>
      </c>
      <c r="E1897" t="inlineStr">
        <is>
          <t>SOLLEFTEÅ</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56261-2023</t>
        </is>
      </c>
      <c r="B1898" s="1" t="n">
        <v>45240</v>
      </c>
      <c r="C1898" s="1" t="n">
        <v>46199</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20061-2022</t>
        </is>
      </c>
      <c r="B1899" s="1" t="n">
        <v>44697</v>
      </c>
      <c r="C1899" s="1" t="n">
        <v>46199</v>
      </c>
      <c r="D1899" t="inlineStr">
        <is>
          <t>VÄSTERNORRLANDS LÄN</t>
        </is>
      </c>
      <c r="E1899" t="inlineStr">
        <is>
          <t>SOLLEFTEÅ</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20551-2022</t>
        </is>
      </c>
      <c r="B1900" s="1" t="n">
        <v>44699</v>
      </c>
      <c r="C1900" s="1" t="n">
        <v>46199</v>
      </c>
      <c r="D1900" t="inlineStr">
        <is>
          <t>VÄSTERNORRLANDS LÄN</t>
        </is>
      </c>
      <c r="E1900" t="inlineStr">
        <is>
          <t>SOLLEFTEÅ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26495-2026</t>
        </is>
      </c>
      <c r="B1901" s="1" t="n">
        <v>46183</v>
      </c>
      <c r="C1901" s="1" t="n">
        <v>46199</v>
      </c>
      <c r="D1901" t="inlineStr">
        <is>
          <t>VÄSTERNORRLANDS LÄN</t>
        </is>
      </c>
      <c r="E1901" t="inlineStr">
        <is>
          <t>SOLLEFTEÅ</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20861-2026</t>
        </is>
      </c>
      <c r="B1902" s="1" t="n">
        <v>46142</v>
      </c>
      <c r="C1902" s="1" t="n">
        <v>46199</v>
      </c>
      <c r="D1902" t="inlineStr">
        <is>
          <t>VÄSTERNORRLANDS LÄN</t>
        </is>
      </c>
      <c r="E1902" t="inlineStr">
        <is>
          <t>SOLLEFTEÅ</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35556-2023</t>
        </is>
      </c>
      <c r="B1903" s="1" t="n">
        <v>45147</v>
      </c>
      <c r="C1903" s="1" t="n">
        <v>46199</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7184-2025</t>
        </is>
      </c>
      <c r="B1904" s="1" t="n">
        <v>45702</v>
      </c>
      <c r="C1904" s="1" t="n">
        <v>46199</v>
      </c>
      <c r="D1904" t="inlineStr">
        <is>
          <t>VÄSTERNORRLANDS LÄN</t>
        </is>
      </c>
      <c r="E1904" t="inlineStr">
        <is>
          <t>SOLLEFTEÅ</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30822-2023</t>
        </is>
      </c>
      <c r="B1905" s="1" t="n">
        <v>45112</v>
      </c>
      <c r="C1905" s="1" t="n">
        <v>46199</v>
      </c>
      <c r="D1905" t="inlineStr">
        <is>
          <t>VÄSTERNORRLANDS LÄN</t>
        </is>
      </c>
      <c r="E1905" t="inlineStr">
        <is>
          <t>SOLLEFTEÅ</t>
        </is>
      </c>
      <c r="F1905" t="inlineStr">
        <is>
          <t>SCA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39177-2024</t>
        </is>
      </c>
      <c r="B1906" s="1" t="n">
        <v>45548</v>
      </c>
      <c r="C1906" s="1" t="n">
        <v>46199</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4722-2025</t>
        </is>
      </c>
      <c r="B1907" s="1" t="n">
        <v>45688</v>
      </c>
      <c r="C1907" s="1" t="n">
        <v>46199</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4726-2025</t>
        </is>
      </c>
      <c r="B1908" s="1" t="n">
        <v>45688</v>
      </c>
      <c r="C1908" s="1" t="n">
        <v>46199</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57492-2024</t>
        </is>
      </c>
      <c r="B1909" s="1" t="n">
        <v>45630</v>
      </c>
      <c r="C1909" s="1" t="n">
        <v>46199</v>
      </c>
      <c r="D1909" t="inlineStr">
        <is>
          <t>VÄSTERNORRLANDS LÄN</t>
        </is>
      </c>
      <c r="E1909" t="inlineStr">
        <is>
          <t>SOLLEFTEÅ</t>
        </is>
      </c>
      <c r="F1909" t="inlineStr">
        <is>
          <t>Holmen skog AB</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58226-2024</t>
        </is>
      </c>
      <c r="B1910" s="1" t="n">
        <v>45632</v>
      </c>
      <c r="C1910" s="1" t="n">
        <v>46199</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31481-2024</t>
        </is>
      </c>
      <c r="B1911" s="1" t="n">
        <v>45505</v>
      </c>
      <c r="C1911" s="1" t="n">
        <v>46199</v>
      </c>
      <c r="D1911" t="inlineStr">
        <is>
          <t>VÄSTERNORRLANDS LÄN</t>
        </is>
      </c>
      <c r="E1911" t="inlineStr">
        <is>
          <t>SOLLEFTEÅ</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21004-2026</t>
        </is>
      </c>
      <c r="B1912" s="1" t="n">
        <v>46142</v>
      </c>
      <c r="C1912" s="1" t="n">
        <v>46199</v>
      </c>
      <c r="D1912" t="inlineStr">
        <is>
          <t>VÄSTERNORRLANDS LÄN</t>
        </is>
      </c>
      <c r="E1912" t="inlineStr">
        <is>
          <t>SOLLEFTEÅ</t>
        </is>
      </c>
      <c r="F1912" t="inlineStr">
        <is>
          <t>SCA</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48999-2023</t>
        </is>
      </c>
      <c r="B1913" s="1" t="n">
        <v>45209</v>
      </c>
      <c r="C1913" s="1" t="n">
        <v>46199</v>
      </c>
      <c r="D1913" t="inlineStr">
        <is>
          <t>VÄSTERNORRLANDS LÄN</t>
        </is>
      </c>
      <c r="E1913" t="inlineStr">
        <is>
          <t>SOLLEFTEÅ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20894-2026</t>
        </is>
      </c>
      <c r="B1914" s="1" t="n">
        <v>46142</v>
      </c>
      <c r="C1914" s="1" t="n">
        <v>46199</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7036-2025</t>
        </is>
      </c>
      <c r="B1915" s="1" t="n">
        <v>45701</v>
      </c>
      <c r="C1915" s="1" t="n">
        <v>46199</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12627-2025</t>
        </is>
      </c>
      <c r="B1916" s="1" t="n">
        <v>45733</v>
      </c>
      <c r="C1916" s="1" t="n">
        <v>46199</v>
      </c>
      <c r="D1916" t="inlineStr">
        <is>
          <t>VÄSTERNORRLANDS LÄN</t>
        </is>
      </c>
      <c r="E1916" t="inlineStr">
        <is>
          <t>SOLLEFTEÅ</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154-2025</t>
        </is>
      </c>
      <c r="B1917" s="1" t="n">
        <v>45659</v>
      </c>
      <c r="C1917" s="1" t="n">
        <v>46199</v>
      </c>
      <c r="D1917" t="inlineStr">
        <is>
          <t>VÄSTERNORRLANDS LÄN</t>
        </is>
      </c>
      <c r="E1917" t="inlineStr">
        <is>
          <t>SOLLEFTEÅ</t>
        </is>
      </c>
      <c r="F1917" t="inlineStr">
        <is>
          <t>Holmen skog AB</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1114-2025</t>
        </is>
      </c>
      <c r="B1918" s="1" t="n">
        <v>45666</v>
      </c>
      <c r="C1918" s="1" t="n">
        <v>46199</v>
      </c>
      <c r="D1918" t="inlineStr">
        <is>
          <t>VÄSTERNORRLANDS LÄN</t>
        </is>
      </c>
      <c r="E1918" t="inlineStr">
        <is>
          <t>SOLLEFTEÅ</t>
        </is>
      </c>
      <c r="F1918" t="inlineStr">
        <is>
          <t>SCA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53855-2024</t>
        </is>
      </c>
      <c r="B1919" s="1" t="n">
        <v>45615</v>
      </c>
      <c r="C1919" s="1" t="n">
        <v>46199</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12006-2022</t>
        </is>
      </c>
      <c r="B1920" s="1" t="n">
        <v>44635</v>
      </c>
      <c r="C1920" s="1" t="n">
        <v>46199</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12022-2022</t>
        </is>
      </c>
      <c r="B1921" s="1" t="n">
        <v>44635</v>
      </c>
      <c r="C1921" s="1" t="n">
        <v>46199</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46765-2024</t>
        </is>
      </c>
      <c r="B1922" s="1" t="n">
        <v>45583</v>
      </c>
      <c r="C1922" s="1" t="n">
        <v>46199</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16463-2024</t>
        </is>
      </c>
      <c r="B1923" s="1" t="n">
        <v>45408</v>
      </c>
      <c r="C1923" s="1" t="n">
        <v>46199</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20631-2026</t>
        </is>
      </c>
      <c r="B1924" s="1" t="n">
        <v>46141</v>
      </c>
      <c r="C1924" s="1" t="n">
        <v>46199</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20632-2026</t>
        </is>
      </c>
      <c r="B1925" s="1" t="n">
        <v>46141</v>
      </c>
      <c r="C1925" s="1" t="n">
        <v>46199</v>
      </c>
      <c r="D1925" t="inlineStr">
        <is>
          <t>VÄSTERNORRLANDS LÄN</t>
        </is>
      </c>
      <c r="E1925" t="inlineStr">
        <is>
          <t>SOLLEFTEÅ</t>
        </is>
      </c>
      <c r="F1925" t="inlineStr">
        <is>
          <t>SCA</t>
        </is>
      </c>
      <c r="G1925" t="n">
        <v>22.7</v>
      </c>
      <c r="H1925" t="n">
        <v>0</v>
      </c>
      <c r="I1925" t="n">
        <v>0</v>
      </c>
      <c r="J1925" t="n">
        <v>0</v>
      </c>
      <c r="K1925" t="n">
        <v>0</v>
      </c>
      <c r="L1925" t="n">
        <v>0</v>
      </c>
      <c r="M1925" t="n">
        <v>0</v>
      </c>
      <c r="N1925" t="n">
        <v>0</v>
      </c>
      <c r="O1925" t="n">
        <v>0</v>
      </c>
      <c r="P1925" t="n">
        <v>0</v>
      </c>
      <c r="Q1925" t="n">
        <v>0</v>
      </c>
      <c r="R1925" s="2" t="inlineStr"/>
    </row>
    <row r="1926" ht="15" customHeight="1">
      <c r="A1926" t="inlineStr">
        <is>
          <t>A 25017-2022</t>
        </is>
      </c>
      <c r="B1926" s="1" t="n">
        <v>44728</v>
      </c>
      <c r="C1926" s="1" t="n">
        <v>46199</v>
      </c>
      <c r="D1926" t="inlineStr">
        <is>
          <t>VÄSTERNORRLANDS LÄN</t>
        </is>
      </c>
      <c r="E1926" t="inlineStr">
        <is>
          <t>SOLLEFTEÅ</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55338-2023</t>
        </is>
      </c>
      <c r="B1927" s="1" t="n">
        <v>45237</v>
      </c>
      <c r="C1927" s="1" t="n">
        <v>46199</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4031-2025</t>
        </is>
      </c>
      <c r="B1928" s="1" t="n">
        <v>45684</v>
      </c>
      <c r="C1928" s="1" t="n">
        <v>46199</v>
      </c>
      <c r="D1928" t="inlineStr">
        <is>
          <t>VÄSTERNORRLANDS LÄN</t>
        </is>
      </c>
      <c r="E1928" t="inlineStr">
        <is>
          <t>SOLLEFTEÅ</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28749-2023</t>
        </is>
      </c>
      <c r="B1929" s="1" t="n">
        <v>45103</v>
      </c>
      <c r="C1929" s="1" t="n">
        <v>46199</v>
      </c>
      <c r="D1929" t="inlineStr">
        <is>
          <t>VÄSTERNORRLANDS LÄN</t>
        </is>
      </c>
      <c r="E1929" t="inlineStr">
        <is>
          <t>SOLLEFTEÅ</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42514-2023</t>
        </is>
      </c>
      <c r="B1930" s="1" t="n">
        <v>45180</v>
      </c>
      <c r="C1930" s="1" t="n">
        <v>46199</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20616-2026</t>
        </is>
      </c>
      <c r="B1931" s="1" t="n">
        <v>46140</v>
      </c>
      <c r="C1931" s="1" t="n">
        <v>46199</v>
      </c>
      <c r="D1931" t="inlineStr">
        <is>
          <t>VÄSTERNORRLANDS LÄN</t>
        </is>
      </c>
      <c r="E1931" t="inlineStr">
        <is>
          <t>SOLLEFTEÅ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15859-2024</t>
        </is>
      </c>
      <c r="B1932" s="1" t="n">
        <v>45404</v>
      </c>
      <c r="C1932" s="1" t="n">
        <v>46199</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17999-2022</t>
        </is>
      </c>
      <c r="B1933" s="1" t="n">
        <v>44683</v>
      </c>
      <c r="C1933" s="1" t="n">
        <v>46199</v>
      </c>
      <c r="D1933" t="inlineStr">
        <is>
          <t>VÄSTERNORRLANDS LÄN</t>
        </is>
      </c>
      <c r="E1933" t="inlineStr">
        <is>
          <t>SOLLEFTEÅ</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36513-2023</t>
        </is>
      </c>
      <c r="B1934" s="1" t="n">
        <v>45152</v>
      </c>
      <c r="C1934" s="1" t="n">
        <v>46199</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15809-2022</t>
        </is>
      </c>
      <c r="B1935" s="1" t="n">
        <v>44663</v>
      </c>
      <c r="C1935" s="1" t="n">
        <v>46199</v>
      </c>
      <c r="D1935" t="inlineStr">
        <is>
          <t>VÄSTERNORRLANDS LÄN</t>
        </is>
      </c>
      <c r="E1935" t="inlineStr">
        <is>
          <t>SOLLEFTEÅ</t>
        </is>
      </c>
      <c r="F1935" t="inlineStr">
        <is>
          <t>SCA</t>
        </is>
      </c>
      <c r="G1935" t="n">
        <v>16.3</v>
      </c>
      <c r="H1935" t="n">
        <v>0</v>
      </c>
      <c r="I1935" t="n">
        <v>0</v>
      </c>
      <c r="J1935" t="n">
        <v>0</v>
      </c>
      <c r="K1935" t="n">
        <v>0</v>
      </c>
      <c r="L1935" t="n">
        <v>0</v>
      </c>
      <c r="M1935" t="n">
        <v>0</v>
      </c>
      <c r="N1935" t="n">
        <v>0</v>
      </c>
      <c r="O1935" t="n">
        <v>0</v>
      </c>
      <c r="P1935" t="n">
        <v>0</v>
      </c>
      <c r="Q1935" t="n">
        <v>0</v>
      </c>
      <c r="R1935" s="2" t="inlineStr"/>
    </row>
    <row r="1936" ht="15" customHeight="1">
      <c r="A1936" t="inlineStr">
        <is>
          <t>A 26569-2026</t>
        </is>
      </c>
      <c r="B1936" s="1" t="n">
        <v>46183</v>
      </c>
      <c r="C1936" s="1" t="n">
        <v>46199</v>
      </c>
      <c r="D1936" t="inlineStr">
        <is>
          <t>VÄSTERNORRLANDS LÄN</t>
        </is>
      </c>
      <c r="E1936" t="inlineStr">
        <is>
          <t>SOLLEFTEÅ</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26587-2026</t>
        </is>
      </c>
      <c r="B1937" s="1" t="n">
        <v>46183</v>
      </c>
      <c r="C1937" s="1" t="n">
        <v>46199</v>
      </c>
      <c r="D1937" t="inlineStr">
        <is>
          <t>VÄSTERNORRLANDS LÄN</t>
        </is>
      </c>
      <c r="E1937" t="inlineStr">
        <is>
          <t>SOLLEFTEÅ</t>
        </is>
      </c>
      <c r="F1937" t="inlineStr">
        <is>
          <t>SCA</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26203-2026</t>
        </is>
      </c>
      <c r="B1938" s="1" t="n">
        <v>46182</v>
      </c>
      <c r="C1938" s="1" t="n">
        <v>46199</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20999-2026</t>
        </is>
      </c>
      <c r="B1939" s="1" t="n">
        <v>46142</v>
      </c>
      <c r="C1939" s="1" t="n">
        <v>46199</v>
      </c>
      <c r="D1939" t="inlineStr">
        <is>
          <t>VÄSTERNORRLANDS LÄN</t>
        </is>
      </c>
      <c r="E1939" t="inlineStr">
        <is>
          <t>SOLLEFTEÅ</t>
        </is>
      </c>
      <c r="F1939" t="inlineStr">
        <is>
          <t>SCA</t>
        </is>
      </c>
      <c r="G1939" t="n">
        <v>13.4</v>
      </c>
      <c r="H1939" t="n">
        <v>0</v>
      </c>
      <c r="I1939" t="n">
        <v>0</v>
      </c>
      <c r="J1939" t="n">
        <v>0</v>
      </c>
      <c r="K1939" t="n">
        <v>0</v>
      </c>
      <c r="L1939" t="n">
        <v>0</v>
      </c>
      <c r="M1939" t="n">
        <v>0</v>
      </c>
      <c r="N1939" t="n">
        <v>0</v>
      </c>
      <c r="O1939" t="n">
        <v>0</v>
      </c>
      <c r="P1939" t="n">
        <v>0</v>
      </c>
      <c r="Q1939" t="n">
        <v>0</v>
      </c>
      <c r="R1939" s="2" t="inlineStr"/>
      <c r="U1939">
        <f>HYPERLINK("https://klasma.github.io/Logging_2283/knärot/A 20999-2026 karta knärot.png", "A 20999-2026")</f>
        <v/>
      </c>
      <c r="V1939">
        <f>HYPERLINK("https://klasma.github.io/Logging_2283/klagomål/A 20999-2026 FSC-klagomål.docx", "A 20999-2026")</f>
        <v/>
      </c>
      <c r="W1939">
        <f>HYPERLINK("https://klasma.github.io/Logging_2283/klagomålsmail/A 20999-2026 FSC-klagomål mail.docx", "A 20999-2026")</f>
        <v/>
      </c>
      <c r="X1939">
        <f>HYPERLINK("https://klasma.github.io/Logging_2283/tillsyn/A 20999-2026 tillsynsbegäran.docx", "A 20999-2026")</f>
        <v/>
      </c>
      <c r="Y1939">
        <f>HYPERLINK("https://klasma.github.io/Logging_2283/tillsynsmail/A 20999-2026 tillsynsbegäran mail.docx", "A 20999-2026")</f>
        <v/>
      </c>
    </row>
    <row r="1940" ht="15" customHeight="1">
      <c r="A1940" t="inlineStr">
        <is>
          <t>A 23282-2022</t>
        </is>
      </c>
      <c r="B1940" s="1" t="n">
        <v>44720</v>
      </c>
      <c r="C1940" s="1" t="n">
        <v>46199</v>
      </c>
      <c r="D1940" t="inlineStr">
        <is>
          <t>VÄSTERNORRLANDS LÄN</t>
        </is>
      </c>
      <c r="E1940" t="inlineStr">
        <is>
          <t>SOLLEFTEÅ</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16492-2025</t>
        </is>
      </c>
      <c r="B1941" s="1" t="n">
        <v>45751</v>
      </c>
      <c r="C1941" s="1" t="n">
        <v>46199</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26464-2026</t>
        </is>
      </c>
      <c r="B1942" s="1" t="n">
        <v>46183</v>
      </c>
      <c r="C1942" s="1" t="n">
        <v>46199</v>
      </c>
      <c r="D1942" t="inlineStr">
        <is>
          <t>VÄSTERNORRLANDS LÄN</t>
        </is>
      </c>
      <c r="E1942" t="inlineStr">
        <is>
          <t>SOLLEFTEÅ</t>
        </is>
      </c>
      <c r="F1942" t="inlineStr">
        <is>
          <t>Holmen skog AB</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26544-2026</t>
        </is>
      </c>
      <c r="B1943" s="1" t="n">
        <v>46183</v>
      </c>
      <c r="C1943" s="1" t="n">
        <v>46199</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5862-2025</t>
        </is>
      </c>
      <c r="B1944" s="1" t="n">
        <v>45695</v>
      </c>
      <c r="C1944" s="1" t="n">
        <v>46199</v>
      </c>
      <c r="D1944" t="inlineStr">
        <is>
          <t>VÄSTERNORRLANDS LÄN</t>
        </is>
      </c>
      <c r="E1944" t="inlineStr">
        <is>
          <t>SOLLEFTEÅ</t>
        </is>
      </c>
      <c r="F1944" t="inlineStr">
        <is>
          <t>Holmen skog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12706-2025</t>
        </is>
      </c>
      <c r="B1945" s="1" t="n">
        <v>45733</v>
      </c>
      <c r="C1945" s="1" t="n">
        <v>46199</v>
      </c>
      <c r="D1945" t="inlineStr">
        <is>
          <t>VÄSTERNORRLANDS LÄN</t>
        </is>
      </c>
      <c r="E1945" t="inlineStr">
        <is>
          <t>SOLLEFTEÅ</t>
        </is>
      </c>
      <c r="F1945" t="inlineStr">
        <is>
          <t>SCA</t>
        </is>
      </c>
      <c r="G1945" t="n">
        <v>21.7</v>
      </c>
      <c r="H1945" t="n">
        <v>0</v>
      </c>
      <c r="I1945" t="n">
        <v>0</v>
      </c>
      <c r="J1945" t="n">
        <v>0</v>
      </c>
      <c r="K1945" t="n">
        <v>0</v>
      </c>
      <c r="L1945" t="n">
        <v>0</v>
      </c>
      <c r="M1945" t="n">
        <v>0</v>
      </c>
      <c r="N1945" t="n">
        <v>0</v>
      </c>
      <c r="O1945" t="n">
        <v>0</v>
      </c>
      <c r="P1945" t="n">
        <v>0</v>
      </c>
      <c r="Q1945" t="n">
        <v>0</v>
      </c>
      <c r="R1945" s="2" t="inlineStr"/>
    </row>
    <row r="1946" ht="15" customHeight="1">
      <c r="A1946" t="inlineStr">
        <is>
          <t>A 10066-2026</t>
        </is>
      </c>
      <c r="B1946" s="1" t="n">
        <v>46073</v>
      </c>
      <c r="C1946" s="1" t="n">
        <v>46199</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26812-2026</t>
        </is>
      </c>
      <c r="B1947" s="1" t="n">
        <v>46185</v>
      </c>
      <c r="C1947" s="1" t="n">
        <v>46199</v>
      </c>
      <c r="D1947" t="inlineStr">
        <is>
          <t>VÄSTERNORRLANDS LÄN</t>
        </is>
      </c>
      <c r="E1947" t="inlineStr">
        <is>
          <t>SOLLEFTEÅ</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18188-2022</t>
        </is>
      </c>
      <c r="B1948" s="1" t="n">
        <v>44684</v>
      </c>
      <c r="C1948" s="1" t="n">
        <v>46199</v>
      </c>
      <c r="D1948" t="inlineStr">
        <is>
          <t>VÄSTERNORRLANDS LÄN</t>
        </is>
      </c>
      <c r="E1948" t="inlineStr">
        <is>
          <t>SOLLEFTEÅ</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58427-2023</t>
        </is>
      </c>
      <c r="B1949" s="1" t="n">
        <v>45250</v>
      </c>
      <c r="C1949" s="1" t="n">
        <v>46199</v>
      </c>
      <c r="D1949" t="inlineStr">
        <is>
          <t>VÄSTERNORRLANDS LÄN</t>
        </is>
      </c>
      <c r="E1949" t="inlineStr">
        <is>
          <t>SOLLEFTEÅ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21122-2026</t>
        </is>
      </c>
      <c r="B1950" s="1" t="n">
        <v>46146</v>
      </c>
      <c r="C1950" s="1" t="n">
        <v>46199</v>
      </c>
      <c r="D1950" t="inlineStr">
        <is>
          <t>VÄSTERNORRLANDS LÄN</t>
        </is>
      </c>
      <c r="E1950" t="inlineStr">
        <is>
          <t>SOLLEFTEÅ</t>
        </is>
      </c>
      <c r="F1950" t="inlineStr">
        <is>
          <t>Holmen skog AB</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21160-2026</t>
        </is>
      </c>
      <c r="B1951" s="1" t="n">
        <v>46146</v>
      </c>
      <c r="C1951" s="1" t="n">
        <v>46199</v>
      </c>
      <c r="D1951" t="inlineStr">
        <is>
          <t>VÄSTERNORRLANDS LÄN</t>
        </is>
      </c>
      <c r="E1951" t="inlineStr">
        <is>
          <t>SOLLEFTEÅ</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21198-2026</t>
        </is>
      </c>
      <c r="B1952" s="1" t="n">
        <v>46146</v>
      </c>
      <c r="C1952" s="1" t="n">
        <v>46199</v>
      </c>
      <c r="D1952" t="inlineStr">
        <is>
          <t>VÄSTERNORRLANDS LÄN</t>
        </is>
      </c>
      <c r="E1952" t="inlineStr">
        <is>
          <t>SOLLEFTEÅ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59317-2024</t>
        </is>
      </c>
      <c r="B1953" s="1" t="n">
        <v>45637</v>
      </c>
      <c r="C1953" s="1" t="n">
        <v>46199</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1880-2024</t>
        </is>
      </c>
      <c r="B1954" s="1" t="n">
        <v>45307</v>
      </c>
      <c r="C1954" s="1" t="n">
        <v>46199</v>
      </c>
      <c r="D1954" t="inlineStr">
        <is>
          <t>VÄSTERNORRLANDS LÄN</t>
        </is>
      </c>
      <c r="E1954" t="inlineStr">
        <is>
          <t>SOLLEFTEÅ</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26407-2022</t>
        </is>
      </c>
      <c r="B1955" s="1" t="n">
        <v>44735</v>
      </c>
      <c r="C1955" s="1" t="n">
        <v>46199</v>
      </c>
      <c r="D1955" t="inlineStr">
        <is>
          <t>VÄSTERNORRLANDS LÄN</t>
        </is>
      </c>
      <c r="E1955" t="inlineStr">
        <is>
          <t>SOLLEFTEÅ</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8099-2025</t>
        </is>
      </c>
      <c r="B1956" s="1" t="n">
        <v>45707</v>
      </c>
      <c r="C1956" s="1" t="n">
        <v>46199</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21191-2022</t>
        </is>
      </c>
      <c r="B1957" s="1" t="n">
        <v>44704</v>
      </c>
      <c r="C1957" s="1" t="n">
        <v>46199</v>
      </c>
      <c r="D1957" t="inlineStr">
        <is>
          <t>VÄSTERNORRLANDS LÄN</t>
        </is>
      </c>
      <c r="E1957" t="inlineStr">
        <is>
          <t>SOLLEFTEÅ</t>
        </is>
      </c>
      <c r="F1957" t="inlineStr">
        <is>
          <t>SCA</t>
        </is>
      </c>
      <c r="G1957" t="n">
        <v>26.5</v>
      </c>
      <c r="H1957" t="n">
        <v>0</v>
      </c>
      <c r="I1957" t="n">
        <v>0</v>
      </c>
      <c r="J1957" t="n">
        <v>0</v>
      </c>
      <c r="K1957" t="n">
        <v>0</v>
      </c>
      <c r="L1957" t="n">
        <v>0</v>
      </c>
      <c r="M1957" t="n">
        <v>0</v>
      </c>
      <c r="N1957" t="n">
        <v>0</v>
      </c>
      <c r="O1957" t="n">
        <v>0</v>
      </c>
      <c r="P1957" t="n">
        <v>0</v>
      </c>
      <c r="Q1957" t="n">
        <v>0</v>
      </c>
      <c r="R1957" s="2" t="inlineStr"/>
    </row>
    <row r="1958" ht="15" customHeight="1">
      <c r="A1958" t="inlineStr">
        <is>
          <t>A 42664-2022</t>
        </is>
      </c>
      <c r="B1958" s="1" t="n">
        <v>44831</v>
      </c>
      <c r="C1958" s="1" t="n">
        <v>46199</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16632-2025</t>
        </is>
      </c>
      <c r="B1959" s="1" t="n">
        <v>45754</v>
      </c>
      <c r="C1959" s="1" t="n">
        <v>46199</v>
      </c>
      <c r="D1959" t="inlineStr">
        <is>
          <t>VÄSTERNORRLANDS LÄN</t>
        </is>
      </c>
      <c r="E1959" t="inlineStr">
        <is>
          <t>SOLLEFTEÅ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35019-2022</t>
        </is>
      </c>
      <c r="B1960" s="1" t="n">
        <v>44796</v>
      </c>
      <c r="C1960" s="1" t="n">
        <v>46199</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53452-2023</t>
        </is>
      </c>
      <c r="B1961" s="1" t="n">
        <v>45229</v>
      </c>
      <c r="C1961" s="1" t="n">
        <v>46199</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53453-2023</t>
        </is>
      </c>
      <c r="B1962" s="1" t="n">
        <v>45229</v>
      </c>
      <c r="C1962" s="1" t="n">
        <v>46199</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16709-2024</t>
        </is>
      </c>
      <c r="B1963" s="1" t="n">
        <v>45409</v>
      </c>
      <c r="C1963" s="1" t="n">
        <v>46199</v>
      </c>
      <c r="D1963" t="inlineStr">
        <is>
          <t>VÄSTERNORRLANDS LÄN</t>
        </is>
      </c>
      <c r="E1963" t="inlineStr">
        <is>
          <t>SOLLEFTEÅ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54618-2023</t>
        </is>
      </c>
      <c r="B1964" s="1" t="n">
        <v>45233</v>
      </c>
      <c r="C1964" s="1" t="n">
        <v>46199</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10437-2025</t>
        </is>
      </c>
      <c r="B1965" s="1" t="n">
        <v>45720</v>
      </c>
      <c r="C1965" s="1" t="n">
        <v>46199</v>
      </c>
      <c r="D1965" t="inlineStr">
        <is>
          <t>VÄSTERNORRLANDS LÄN</t>
        </is>
      </c>
      <c r="E1965" t="inlineStr">
        <is>
          <t>SOLLEFTEÅ</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60360-2024</t>
        </is>
      </c>
      <c r="B1966" s="1" t="n">
        <v>45643</v>
      </c>
      <c r="C1966" s="1" t="n">
        <v>46199</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21181-2026</t>
        </is>
      </c>
      <c r="B1967" s="1" t="n">
        <v>46146</v>
      </c>
      <c r="C1967" s="1" t="n">
        <v>46199</v>
      </c>
      <c r="D1967" t="inlineStr">
        <is>
          <t>VÄSTERNORRLANDS LÄN</t>
        </is>
      </c>
      <c r="E1967" t="inlineStr">
        <is>
          <t>SOLLEFTEÅ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26917-2026</t>
        </is>
      </c>
      <c r="B1968" s="1" t="n">
        <v>46185</v>
      </c>
      <c r="C1968" s="1" t="n">
        <v>46199</v>
      </c>
      <c r="D1968" t="inlineStr">
        <is>
          <t>VÄSTERNORRLANDS LÄN</t>
        </is>
      </c>
      <c r="E1968" t="inlineStr">
        <is>
          <t>SOLLEFTEÅ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37671-2023</t>
        </is>
      </c>
      <c r="B1969" s="1" t="n">
        <v>45156</v>
      </c>
      <c r="C1969" s="1" t="n">
        <v>46199</v>
      </c>
      <c r="D1969" t="inlineStr">
        <is>
          <t>VÄSTERNORRLANDS LÄN</t>
        </is>
      </c>
      <c r="E1969" t="inlineStr">
        <is>
          <t>SOLLEFTEÅ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27147-2026</t>
        </is>
      </c>
      <c r="B1970" s="1" t="n">
        <v>46188</v>
      </c>
      <c r="C1970" s="1" t="n">
        <v>46199</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54978-2023</t>
        </is>
      </c>
      <c r="B1971" s="1" t="n">
        <v>45236</v>
      </c>
      <c r="C1971" s="1" t="n">
        <v>46199</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11108-2025</t>
        </is>
      </c>
      <c r="B1972" s="1" t="n">
        <v>45723</v>
      </c>
      <c r="C1972" s="1" t="n">
        <v>46199</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27386-2026</t>
        </is>
      </c>
      <c r="B1973" s="1" t="n">
        <v>46189</v>
      </c>
      <c r="C1973" s="1" t="n">
        <v>46199</v>
      </c>
      <c r="D1973" t="inlineStr">
        <is>
          <t>VÄSTERNORRLANDS LÄN</t>
        </is>
      </c>
      <c r="E1973" t="inlineStr">
        <is>
          <t>SOLLEFTEÅ</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21438-2026</t>
        </is>
      </c>
      <c r="B1974" s="1" t="n">
        <v>46148</v>
      </c>
      <c r="C1974" s="1" t="n">
        <v>46199</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23422-2026</t>
        </is>
      </c>
      <c r="B1975" s="1" t="n">
        <v>46163</v>
      </c>
      <c r="C1975" s="1" t="n">
        <v>46199</v>
      </c>
      <c r="D1975" t="inlineStr">
        <is>
          <t>VÄSTERNORRLANDS LÄN</t>
        </is>
      </c>
      <c r="E1975" t="inlineStr">
        <is>
          <t>SOLLEFTEÅ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55650-2023</t>
        </is>
      </c>
      <c r="B1976" s="1" t="n">
        <v>45238</v>
      </c>
      <c r="C1976" s="1" t="n">
        <v>46199</v>
      </c>
      <c r="D1976" t="inlineStr">
        <is>
          <t>VÄSTERNORRLANDS LÄN</t>
        </is>
      </c>
      <c r="E1976" t="inlineStr">
        <is>
          <t>SOLLEFTEÅ</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53669-2023</t>
        </is>
      </c>
      <c r="B1977" s="1" t="n">
        <v>45230</v>
      </c>
      <c r="C1977" s="1" t="n">
        <v>46199</v>
      </c>
      <c r="D1977" t="inlineStr">
        <is>
          <t>VÄSTERNORRLANDS LÄN</t>
        </is>
      </c>
      <c r="E1977" t="inlineStr">
        <is>
          <t>SOLLEFTEÅ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21372-2026</t>
        </is>
      </c>
      <c r="B1978" s="1" t="n">
        <v>46147</v>
      </c>
      <c r="C1978" s="1" t="n">
        <v>46199</v>
      </c>
      <c r="D1978" t="inlineStr">
        <is>
          <t>VÄSTERNORRLANDS LÄN</t>
        </is>
      </c>
      <c r="E1978" t="inlineStr">
        <is>
          <t>SOLLEFTEÅ</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21535-2026</t>
        </is>
      </c>
      <c r="B1979" s="1" t="n">
        <v>46148</v>
      </c>
      <c r="C1979" s="1" t="n">
        <v>46199</v>
      </c>
      <c r="D1979" t="inlineStr">
        <is>
          <t>VÄSTERNORRLANDS LÄN</t>
        </is>
      </c>
      <c r="E1979" t="inlineStr">
        <is>
          <t>SOLLEFTEÅ</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53120-2024</t>
        </is>
      </c>
      <c r="B1980" s="1" t="n">
        <v>45611</v>
      </c>
      <c r="C1980" s="1" t="n">
        <v>46199</v>
      </c>
      <c r="D1980" t="inlineStr">
        <is>
          <t>VÄSTERNORRLANDS LÄN</t>
        </is>
      </c>
      <c r="E1980" t="inlineStr">
        <is>
          <t>SOLLEFTEÅ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21258-2026</t>
        </is>
      </c>
      <c r="B1981" s="1" t="n">
        <v>46147</v>
      </c>
      <c r="C1981" s="1" t="n">
        <v>46199</v>
      </c>
      <c r="D1981" t="inlineStr">
        <is>
          <t>VÄSTERNORRLANDS LÄN</t>
        </is>
      </c>
      <c r="E1981" t="inlineStr">
        <is>
          <t>SOLLEFTEÅ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27405-2026</t>
        </is>
      </c>
      <c r="B1982" s="1" t="n">
        <v>46189</v>
      </c>
      <c r="C1982" s="1" t="n">
        <v>46199</v>
      </c>
      <c r="D1982" t="inlineStr">
        <is>
          <t>VÄSTERNORRLANDS LÄN</t>
        </is>
      </c>
      <c r="E1982" t="inlineStr">
        <is>
          <t>SOLLEFTEÅ</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27547-2026</t>
        </is>
      </c>
      <c r="B1983" s="1" t="n">
        <v>46190</v>
      </c>
      <c r="C1983" s="1" t="n">
        <v>46199</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27585-2026</t>
        </is>
      </c>
      <c r="B1984" s="1" t="n">
        <v>46190</v>
      </c>
      <c r="C1984" s="1" t="n">
        <v>46199</v>
      </c>
      <c r="D1984" t="inlineStr">
        <is>
          <t>VÄSTERNORRLANDS LÄN</t>
        </is>
      </c>
      <c r="E1984" t="inlineStr">
        <is>
          <t>SOLLEFTEÅ</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12941-2025</t>
        </is>
      </c>
      <c r="B1985" s="1" t="n">
        <v>45734</v>
      </c>
      <c r="C1985" s="1" t="n">
        <v>46199</v>
      </c>
      <c r="D1985" t="inlineStr">
        <is>
          <t>VÄSTERNORRLANDS LÄN</t>
        </is>
      </c>
      <c r="E1985" t="inlineStr">
        <is>
          <t>SOLLEFTEÅ</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21494-2026</t>
        </is>
      </c>
      <c r="B1986" s="1" t="n">
        <v>46148</v>
      </c>
      <c r="C1986" s="1" t="n">
        <v>46199</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24222-2026</t>
        </is>
      </c>
      <c r="B1987" s="1" t="n">
        <v>46168</v>
      </c>
      <c r="C1987" s="1" t="n">
        <v>46199</v>
      </c>
      <c r="D1987" t="inlineStr">
        <is>
          <t>VÄSTERNORRLANDS LÄN</t>
        </is>
      </c>
      <c r="E1987" t="inlineStr">
        <is>
          <t>SOLLEFTEÅ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56311-2023</t>
        </is>
      </c>
      <c r="B1988" s="1" t="n">
        <v>45242</v>
      </c>
      <c r="C1988" s="1" t="n">
        <v>46199</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57394-2023</t>
        </is>
      </c>
      <c r="B1989" s="1" t="n">
        <v>45245</v>
      </c>
      <c r="C1989" s="1" t="n">
        <v>46199</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27418-2026</t>
        </is>
      </c>
      <c r="B1990" s="1" t="n">
        <v>46189</v>
      </c>
      <c r="C1990" s="1" t="n">
        <v>46199</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27513-2026</t>
        </is>
      </c>
      <c r="B1991" s="1" t="n">
        <v>46189</v>
      </c>
      <c r="C1991" s="1" t="n">
        <v>46199</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21358-2026</t>
        </is>
      </c>
      <c r="B1992" s="1" t="n">
        <v>46147</v>
      </c>
      <c r="C1992" s="1" t="n">
        <v>46199</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21244-2026</t>
        </is>
      </c>
      <c r="B1993" s="1" t="n">
        <v>46147</v>
      </c>
      <c r="C1993" s="1" t="n">
        <v>46199</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21281-2026</t>
        </is>
      </c>
      <c r="B1994" s="1" t="n">
        <v>46147</v>
      </c>
      <c r="C1994" s="1" t="n">
        <v>46199</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21745-2026</t>
        </is>
      </c>
      <c r="B1995" s="1" t="n">
        <v>46147</v>
      </c>
      <c r="C1995" s="1" t="n">
        <v>46199</v>
      </c>
      <c r="D1995" t="inlineStr">
        <is>
          <t>VÄSTERNORRLANDS LÄN</t>
        </is>
      </c>
      <c r="E1995" t="inlineStr">
        <is>
          <t>SOLLEFTEÅ</t>
        </is>
      </c>
      <c r="F1995" t="inlineStr">
        <is>
          <t>Övriga Aktiebolag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19145-2025</t>
        </is>
      </c>
      <c r="B1996" s="1" t="n">
        <v>45769</v>
      </c>
      <c r="C1996" s="1" t="n">
        <v>46199</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14982-2024</t>
        </is>
      </c>
      <c r="B1997" s="1" t="n">
        <v>45398</v>
      </c>
      <c r="C1997" s="1" t="n">
        <v>46199</v>
      </c>
      <c r="D1997" t="inlineStr">
        <is>
          <t>VÄSTERNORRLANDS LÄN</t>
        </is>
      </c>
      <c r="E1997" t="inlineStr">
        <is>
          <t>SOLLEFTEÅ</t>
        </is>
      </c>
      <c r="F1997" t="inlineStr">
        <is>
          <t>SCA</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27514-2026</t>
        </is>
      </c>
      <c r="B1998" s="1" t="n">
        <v>46189</v>
      </c>
      <c r="C1998" s="1" t="n">
        <v>46199</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6065-2024</t>
        </is>
      </c>
      <c r="B1999" s="1" t="n">
        <v>45336</v>
      </c>
      <c r="C1999" s="1" t="n">
        <v>46199</v>
      </c>
      <c r="D1999" t="inlineStr">
        <is>
          <t>VÄSTERNORRLANDS LÄN</t>
        </is>
      </c>
      <c r="E1999" t="inlineStr">
        <is>
          <t>SOLLEFTEÅ</t>
        </is>
      </c>
      <c r="F1999" t="inlineStr">
        <is>
          <t>Övriga Aktiebolag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27708-2026</t>
        </is>
      </c>
      <c r="B2000" s="1" t="n">
        <v>46190</v>
      </c>
      <c r="C2000" s="1" t="n">
        <v>46199</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27463-2026</t>
        </is>
      </c>
      <c r="B2001" s="1" t="n">
        <v>46189</v>
      </c>
      <c r="C2001" s="1" t="n">
        <v>46199</v>
      </c>
      <c r="D2001" t="inlineStr">
        <is>
          <t>VÄSTERNORRLANDS LÄN</t>
        </is>
      </c>
      <c r="E2001" t="inlineStr">
        <is>
          <t>SOLLEFTEÅ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27555-2026</t>
        </is>
      </c>
      <c r="B2002" s="1" t="n">
        <v>46190</v>
      </c>
      <c r="C2002" s="1" t="n">
        <v>46199</v>
      </c>
      <c r="D2002" t="inlineStr">
        <is>
          <t>VÄSTERNORRLANDS LÄN</t>
        </is>
      </c>
      <c r="E2002" t="inlineStr">
        <is>
          <t>SOLLEFTEÅ</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21743-2026</t>
        </is>
      </c>
      <c r="B2003" s="1" t="n">
        <v>46149</v>
      </c>
      <c r="C2003" s="1" t="n">
        <v>46199</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21711-2022</t>
        </is>
      </c>
      <c r="B2004" s="1" t="n">
        <v>44707</v>
      </c>
      <c r="C2004" s="1" t="n">
        <v>46199</v>
      </c>
      <c r="D2004" t="inlineStr">
        <is>
          <t>VÄSTERNORRLANDS LÄN</t>
        </is>
      </c>
      <c r="E2004" t="inlineStr">
        <is>
          <t>SOLLEFTEÅ</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63144-2023</t>
        </is>
      </c>
      <c r="B2005" s="1" t="n">
        <v>45272</v>
      </c>
      <c r="C2005" s="1" t="n">
        <v>46199</v>
      </c>
      <c r="D2005" t="inlineStr">
        <is>
          <t>VÄSTERNORRLANDS LÄN</t>
        </is>
      </c>
      <c r="E2005" t="inlineStr">
        <is>
          <t>SOLLEFTEÅ</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3211-2024</t>
        </is>
      </c>
      <c r="B2006" s="1" t="n">
        <v>45316</v>
      </c>
      <c r="C2006" s="1" t="n">
        <v>46199</v>
      </c>
      <c r="D2006" t="inlineStr">
        <is>
          <t>VÄSTERNORRLANDS LÄN</t>
        </is>
      </c>
      <c r="E2006" t="inlineStr">
        <is>
          <t>SOLLEFTEÅ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3252-2024</t>
        </is>
      </c>
      <c r="B2007" s="1" t="n">
        <v>45316</v>
      </c>
      <c r="C2007" s="1" t="n">
        <v>46199</v>
      </c>
      <c r="D2007" t="inlineStr">
        <is>
          <t>VÄSTERNORRLANDS LÄN</t>
        </is>
      </c>
      <c r="E2007" t="inlineStr">
        <is>
          <t>SOLLEFTEÅ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21804-2026</t>
        </is>
      </c>
      <c r="B2008" s="1" t="n">
        <v>46150</v>
      </c>
      <c r="C2008" s="1" t="n">
        <v>46199</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27739-2026</t>
        </is>
      </c>
      <c r="B2009" s="1" t="n">
        <v>46191</v>
      </c>
      <c r="C2009" s="1" t="n">
        <v>46199</v>
      </c>
      <c r="D2009" t="inlineStr">
        <is>
          <t>VÄSTERNORRLANDS LÄN</t>
        </is>
      </c>
      <c r="E2009" t="inlineStr">
        <is>
          <t>SOLLEFTEÅ</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21867-2026</t>
        </is>
      </c>
      <c r="B2010" s="1" t="n">
        <v>46150</v>
      </c>
      <c r="C2010" s="1" t="n">
        <v>46199</v>
      </c>
      <c r="D2010" t="inlineStr">
        <is>
          <t>VÄSTERNORRLANDS LÄN</t>
        </is>
      </c>
      <c r="E2010" t="inlineStr">
        <is>
          <t>SOLLEFTEÅ</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35277-2023</t>
        </is>
      </c>
      <c r="B2011" s="1" t="n">
        <v>45145</v>
      </c>
      <c r="C2011" s="1" t="n">
        <v>46199</v>
      </c>
      <c r="D2011" t="inlineStr">
        <is>
          <t>VÄSTERNORRLANDS LÄN</t>
        </is>
      </c>
      <c r="E2011" t="inlineStr">
        <is>
          <t>SOLLEFTEÅ</t>
        </is>
      </c>
      <c r="F2011" t="inlineStr">
        <is>
          <t>SCA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21768-2026</t>
        </is>
      </c>
      <c r="B2012" s="1" t="n">
        <v>46150</v>
      </c>
      <c r="C2012" s="1" t="n">
        <v>46199</v>
      </c>
      <c r="D2012" t="inlineStr">
        <is>
          <t>VÄSTERNORRLANDS LÄN</t>
        </is>
      </c>
      <c r="E2012" t="inlineStr">
        <is>
          <t>SOLLEFTEÅ</t>
        </is>
      </c>
      <c r="F2012" t="inlineStr">
        <is>
          <t>SCA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22062-2026</t>
        </is>
      </c>
      <c r="B2013" s="1" t="n">
        <v>46149</v>
      </c>
      <c r="C2013" s="1" t="n">
        <v>46199</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21604-2026</t>
        </is>
      </c>
      <c r="B2014" s="1" t="n">
        <v>46149</v>
      </c>
      <c r="C2014" s="1" t="n">
        <v>46199</v>
      </c>
      <c r="D2014" t="inlineStr">
        <is>
          <t>VÄSTERNORRLANDS LÄN</t>
        </is>
      </c>
      <c r="E2014" t="inlineStr">
        <is>
          <t>SOLLEFTEÅ</t>
        </is>
      </c>
      <c r="F2014" t="inlineStr">
        <is>
          <t>SCA</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13598-2022</t>
        </is>
      </c>
      <c r="B2015" s="1" t="n">
        <v>44648</v>
      </c>
      <c r="C2015" s="1" t="n">
        <v>46199</v>
      </c>
      <c r="D2015" t="inlineStr">
        <is>
          <t>VÄSTERNORRLANDS LÄN</t>
        </is>
      </c>
      <c r="E2015" t="inlineStr">
        <is>
          <t>SOLLEFTEÅ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21650-2026</t>
        </is>
      </c>
      <c r="B2016" s="1" t="n">
        <v>46149</v>
      </c>
      <c r="C2016" s="1" t="n">
        <v>46199</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8244-2024</t>
        </is>
      </c>
      <c r="B2017" s="1" t="n">
        <v>45351</v>
      </c>
      <c r="C2017" s="1" t="n">
        <v>46199</v>
      </c>
      <c r="D2017" t="inlineStr">
        <is>
          <t>VÄSTERNORRLANDS LÄN</t>
        </is>
      </c>
      <c r="E2017" t="inlineStr">
        <is>
          <t>SOLLEFTEÅ</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21914-2026</t>
        </is>
      </c>
      <c r="B2018" s="1" t="n">
        <v>46150</v>
      </c>
      <c r="C2018" s="1" t="n">
        <v>46199</v>
      </c>
      <c r="D2018" t="inlineStr">
        <is>
          <t>VÄSTERNORRLANDS LÄN</t>
        </is>
      </c>
      <c r="E2018" t="inlineStr">
        <is>
          <t>SOLLEFTEÅ</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21606-2026</t>
        </is>
      </c>
      <c r="B2019" s="1" t="n">
        <v>46149</v>
      </c>
      <c r="C2019" s="1" t="n">
        <v>46199</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21620-2026</t>
        </is>
      </c>
      <c r="B2020" s="1" t="n">
        <v>46149</v>
      </c>
      <c r="C2020" s="1" t="n">
        <v>46199</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46130-2022</t>
        </is>
      </c>
      <c r="B2021" s="1" t="n">
        <v>44844</v>
      </c>
      <c r="C2021" s="1" t="n">
        <v>46199</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4061-2024</t>
        </is>
      </c>
      <c r="B2022" s="1" t="n">
        <v>45323</v>
      </c>
      <c r="C2022" s="1" t="n">
        <v>46199</v>
      </c>
      <c r="D2022" t="inlineStr">
        <is>
          <t>VÄSTERNORRLANDS LÄN</t>
        </is>
      </c>
      <c r="E2022" t="inlineStr">
        <is>
          <t>SOLLEFTEÅ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21605-2026</t>
        </is>
      </c>
      <c r="B2023" s="1" t="n">
        <v>46149</v>
      </c>
      <c r="C2023" s="1" t="n">
        <v>46199</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27633-2024</t>
        </is>
      </c>
      <c r="B2024" s="1" t="n">
        <v>45474</v>
      </c>
      <c r="C2024" s="1" t="n">
        <v>46199</v>
      </c>
      <c r="D2024" t="inlineStr">
        <is>
          <t>VÄSTERNORRLANDS LÄN</t>
        </is>
      </c>
      <c r="E2024" t="inlineStr">
        <is>
          <t>SOLLEFTEÅ</t>
        </is>
      </c>
      <c r="F2024" t="inlineStr">
        <is>
          <t>SCA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27634-2024</t>
        </is>
      </c>
      <c r="B2025" s="1" t="n">
        <v>45474</v>
      </c>
      <c r="C2025" s="1" t="n">
        <v>46199</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21621-2026</t>
        </is>
      </c>
      <c r="B2026" s="1" t="n">
        <v>46149</v>
      </c>
      <c r="C2026" s="1" t="n">
        <v>46199</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27857-2026</t>
        </is>
      </c>
      <c r="B2027" s="1" t="n">
        <v>46191</v>
      </c>
      <c r="C2027" s="1" t="n">
        <v>46199</v>
      </c>
      <c r="D2027" t="inlineStr">
        <is>
          <t>VÄSTERNORRLANDS LÄN</t>
        </is>
      </c>
      <c r="E2027" t="inlineStr">
        <is>
          <t>SOLLEFTEÅ</t>
        </is>
      </c>
      <c r="F2027" t="inlineStr">
        <is>
          <t>SCA</t>
        </is>
      </c>
      <c r="G2027" t="n">
        <v>21.7</v>
      </c>
      <c r="H2027" t="n">
        <v>0</v>
      </c>
      <c r="I2027" t="n">
        <v>0</v>
      </c>
      <c r="J2027" t="n">
        <v>0</v>
      </c>
      <c r="K2027" t="n">
        <v>0</v>
      </c>
      <c r="L2027" t="n">
        <v>0</v>
      </c>
      <c r="M2027" t="n">
        <v>0</v>
      </c>
      <c r="N2027" t="n">
        <v>0</v>
      </c>
      <c r="O2027" t="n">
        <v>0</v>
      </c>
      <c r="P2027" t="n">
        <v>0</v>
      </c>
      <c r="Q2027" t="n">
        <v>0</v>
      </c>
      <c r="R2027" s="2" t="inlineStr"/>
    </row>
    <row r="2028" ht="15" customHeight="1">
      <c r="A2028" t="inlineStr">
        <is>
          <t>A 27641-2024</t>
        </is>
      </c>
      <c r="B2028" s="1" t="n">
        <v>45474</v>
      </c>
      <c r="C2028" s="1" t="n">
        <v>46199</v>
      </c>
      <c r="D2028" t="inlineStr">
        <is>
          <t>VÄSTERNORRLANDS LÄN</t>
        </is>
      </c>
      <c r="E2028" t="inlineStr">
        <is>
          <t>SOLLEFTEÅ</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29459-2024</t>
        </is>
      </c>
      <c r="B2029" s="1" t="n">
        <v>45483</v>
      </c>
      <c r="C2029" s="1" t="n">
        <v>46199</v>
      </c>
      <c r="D2029" t="inlineStr">
        <is>
          <t>VÄSTERNORRLANDS LÄN</t>
        </is>
      </c>
      <c r="E2029" t="inlineStr">
        <is>
          <t>SOLLEFTEÅ</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18696-2025</t>
        </is>
      </c>
      <c r="B2030" s="1" t="n">
        <v>45763</v>
      </c>
      <c r="C2030" s="1" t="n">
        <v>46199</v>
      </c>
      <c r="D2030" t="inlineStr">
        <is>
          <t>VÄSTERNORRLANDS LÄN</t>
        </is>
      </c>
      <c r="E2030" t="inlineStr">
        <is>
          <t>SOLLEFTEÅ</t>
        </is>
      </c>
      <c r="F2030" t="inlineStr">
        <is>
          <t>SCA</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21619-2026</t>
        </is>
      </c>
      <c r="B2031" s="1" t="n">
        <v>46149</v>
      </c>
      <c r="C2031" s="1" t="n">
        <v>46199</v>
      </c>
      <c r="D2031" t="inlineStr">
        <is>
          <t>VÄSTERNORRLANDS LÄN</t>
        </is>
      </c>
      <c r="E2031" t="inlineStr">
        <is>
          <t>SOLLEFTEÅ</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8880-2023</t>
        </is>
      </c>
      <c r="B2032" s="1" t="n">
        <v>44978</v>
      </c>
      <c r="C2032" s="1" t="n">
        <v>46199</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21649-2026</t>
        </is>
      </c>
      <c r="B2033" s="1" t="n">
        <v>46149</v>
      </c>
      <c r="C2033" s="1" t="n">
        <v>46199</v>
      </c>
      <c r="D2033" t="inlineStr">
        <is>
          <t>VÄSTERNORRLANDS LÄN</t>
        </is>
      </c>
      <c r="E2033" t="inlineStr">
        <is>
          <t>SOLLEFTEÅ</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8693-2026</t>
        </is>
      </c>
      <c r="B2034" s="1" t="n">
        <v>46066</v>
      </c>
      <c r="C2034" s="1" t="n">
        <v>46199</v>
      </c>
      <c r="D2034" t="inlineStr">
        <is>
          <t>VÄSTERNORRLANDS LÄN</t>
        </is>
      </c>
      <c r="E2034" t="inlineStr">
        <is>
          <t>SOLLEFTEÅ</t>
        </is>
      </c>
      <c r="F2034" t="inlineStr">
        <is>
          <t>SCA</t>
        </is>
      </c>
      <c r="G2034" t="n">
        <v>31.1</v>
      </c>
      <c r="H2034" t="n">
        <v>0</v>
      </c>
      <c r="I2034" t="n">
        <v>0</v>
      </c>
      <c r="J2034" t="n">
        <v>0</v>
      </c>
      <c r="K2034" t="n">
        <v>0</v>
      </c>
      <c r="L2034" t="n">
        <v>0</v>
      </c>
      <c r="M2034" t="n">
        <v>0</v>
      </c>
      <c r="N2034" t="n">
        <v>0</v>
      </c>
      <c r="O2034" t="n">
        <v>0</v>
      </c>
      <c r="P2034" t="n">
        <v>0</v>
      </c>
      <c r="Q2034" t="n">
        <v>0</v>
      </c>
      <c r="R2034" s="2" t="inlineStr"/>
    </row>
    <row r="2035" ht="15" customHeight="1">
      <c r="A2035" t="inlineStr">
        <is>
          <t>A 6068-2024</t>
        </is>
      </c>
      <c r="B2035" s="1" t="n">
        <v>45336</v>
      </c>
      <c r="C2035" s="1" t="n">
        <v>46199</v>
      </c>
      <c r="D2035" t="inlineStr">
        <is>
          <t>VÄSTERNORRLANDS LÄN</t>
        </is>
      </c>
      <c r="E2035" t="inlineStr">
        <is>
          <t>SOLLEFTEÅ</t>
        </is>
      </c>
      <c r="F2035" t="inlineStr">
        <is>
          <t>Övriga Aktiebolag</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51107-2023</t>
        </is>
      </c>
      <c r="B2036" s="1" t="n">
        <v>45218</v>
      </c>
      <c r="C2036" s="1" t="n">
        <v>46199</v>
      </c>
      <c r="D2036" t="inlineStr">
        <is>
          <t>VÄSTERNORRLANDS LÄN</t>
        </is>
      </c>
      <c r="E2036" t="inlineStr">
        <is>
          <t>SOLLEFTEÅ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22001-2026</t>
        </is>
      </c>
      <c r="B2037" s="1" t="n">
        <v>46153</v>
      </c>
      <c r="C2037" s="1" t="n">
        <v>46199</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22166-2026</t>
        </is>
      </c>
      <c r="B2038" s="1" t="n">
        <v>46153</v>
      </c>
      <c r="C2038" s="1" t="n">
        <v>46199</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44407-2023</t>
        </is>
      </c>
      <c r="B2039" s="1" t="n">
        <v>45188</v>
      </c>
      <c r="C2039" s="1" t="n">
        <v>46199</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44408-2023</t>
        </is>
      </c>
      <c r="B2040" s="1" t="n">
        <v>45188</v>
      </c>
      <c r="C2040" s="1" t="n">
        <v>46199</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22215-2026</t>
        </is>
      </c>
      <c r="B2041" s="1" t="n">
        <v>46153</v>
      </c>
      <c r="C2041" s="1" t="n">
        <v>46199</v>
      </c>
      <c r="D2041" t="inlineStr">
        <is>
          <t>VÄSTERNORRLANDS LÄN</t>
        </is>
      </c>
      <c r="E2041" t="inlineStr">
        <is>
          <t>SOLLEFTEÅ</t>
        </is>
      </c>
      <c r="F2041" t="inlineStr">
        <is>
          <t>SCA</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26500-2024</t>
        </is>
      </c>
      <c r="B2042" s="1" t="n">
        <v>45469</v>
      </c>
      <c r="C2042" s="1" t="n">
        <v>46199</v>
      </c>
      <c r="D2042" t="inlineStr">
        <is>
          <t>VÄSTERNORRLANDS LÄN</t>
        </is>
      </c>
      <c r="E2042" t="inlineStr">
        <is>
          <t>SOLLEFTEÅ</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27987-2026</t>
        </is>
      </c>
      <c r="B2043" s="1" t="n">
        <v>46195</v>
      </c>
      <c r="C2043" s="1" t="n">
        <v>46199</v>
      </c>
      <c r="D2043" t="inlineStr">
        <is>
          <t>VÄSTERNORRLANDS LÄN</t>
        </is>
      </c>
      <c r="E2043" t="inlineStr">
        <is>
          <t>SOLLEFTEÅ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22690-2024</t>
        </is>
      </c>
      <c r="B2044" s="1" t="n">
        <v>45448</v>
      </c>
      <c r="C2044" s="1" t="n">
        <v>46199</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31423-2025</t>
        </is>
      </c>
      <c r="B2045" s="1" t="n">
        <v>45833</v>
      </c>
      <c r="C2045" s="1" t="n">
        <v>46199</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41456-2022</t>
        </is>
      </c>
      <c r="B2046" s="1" t="n">
        <v>44826</v>
      </c>
      <c r="C2046" s="1" t="n">
        <v>46199</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30464-2024</t>
        </is>
      </c>
      <c r="B2047" s="1" t="n">
        <v>45491</v>
      </c>
      <c r="C2047" s="1" t="n">
        <v>46199</v>
      </c>
      <c r="D2047" t="inlineStr">
        <is>
          <t>VÄSTERNORRLANDS LÄN</t>
        </is>
      </c>
      <c r="E2047" t="inlineStr">
        <is>
          <t>SOLLEFTEÅ</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29914-2024</t>
        </is>
      </c>
      <c r="B2048" s="1" t="n">
        <v>45487</v>
      </c>
      <c r="C2048" s="1" t="n">
        <v>46199</v>
      </c>
      <c r="D2048" t="inlineStr">
        <is>
          <t>VÄSTERNORRLANDS LÄN</t>
        </is>
      </c>
      <c r="E2048" t="inlineStr">
        <is>
          <t>SOLLEFTEÅ</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17032-2025</t>
        </is>
      </c>
      <c r="B2049" s="1" t="n">
        <v>45755</v>
      </c>
      <c r="C2049" s="1" t="n">
        <v>46199</v>
      </c>
      <c r="D2049" t="inlineStr">
        <is>
          <t>VÄSTERNORRLANDS LÄN</t>
        </is>
      </c>
      <c r="E2049" t="inlineStr">
        <is>
          <t>SOLLEFTEÅ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22194-2026</t>
        </is>
      </c>
      <c r="B2050" s="1" t="n">
        <v>46153</v>
      </c>
      <c r="C2050" s="1" t="n">
        <v>46199</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62363-2023</t>
        </is>
      </c>
      <c r="B2051" s="1" t="n">
        <v>45267</v>
      </c>
      <c r="C2051" s="1" t="n">
        <v>46199</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52034-2022</t>
        </is>
      </c>
      <c r="B2052" s="1" t="n">
        <v>44872</v>
      </c>
      <c r="C2052" s="1" t="n">
        <v>46199</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22458-2026</t>
        </is>
      </c>
      <c r="B2053" s="1" t="n">
        <v>46153</v>
      </c>
      <c r="C2053" s="1" t="n">
        <v>46199</v>
      </c>
      <c r="D2053" t="inlineStr">
        <is>
          <t>VÄSTERNORRLANDS LÄN</t>
        </is>
      </c>
      <c r="E2053" t="inlineStr">
        <is>
          <t>SOLLEFTEÅ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63138-2023</t>
        </is>
      </c>
      <c r="B2054" s="1" t="n">
        <v>45272</v>
      </c>
      <c r="C2054" s="1" t="n">
        <v>46199</v>
      </c>
      <c r="D2054" t="inlineStr">
        <is>
          <t>VÄSTERNORRLANDS LÄN</t>
        </is>
      </c>
      <c r="E2054" t="inlineStr">
        <is>
          <t>SOLLEFTEÅ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28057-2026</t>
        </is>
      </c>
      <c r="B2055" s="1" t="n">
        <v>46195</v>
      </c>
      <c r="C2055" s="1" t="n">
        <v>46199</v>
      </c>
      <c r="D2055" t="inlineStr">
        <is>
          <t>VÄSTERNORRLANDS LÄN</t>
        </is>
      </c>
      <c r="E2055" t="inlineStr">
        <is>
          <t>SOLLEFTEÅ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22102-2026</t>
        </is>
      </c>
      <c r="B2056" s="1" t="n">
        <v>46153</v>
      </c>
      <c r="C2056" s="1" t="n">
        <v>46199</v>
      </c>
      <c r="D2056" t="inlineStr">
        <is>
          <t>VÄSTERNORRLANDS LÄN</t>
        </is>
      </c>
      <c r="E2056" t="inlineStr">
        <is>
          <t>SOLLEFTEÅ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15621-2025</t>
        </is>
      </c>
      <c r="B2057" s="1" t="n">
        <v>45748</v>
      </c>
      <c r="C2057" s="1" t="n">
        <v>46199</v>
      </c>
      <c r="D2057" t="inlineStr">
        <is>
          <t>VÄSTERNORRLANDS LÄN</t>
        </is>
      </c>
      <c r="E2057" t="inlineStr">
        <is>
          <t>SOLLEFTEÅ</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358-2026</t>
        </is>
      </c>
      <c r="B2058" s="1" t="n">
        <v>46027</v>
      </c>
      <c r="C2058" s="1" t="n">
        <v>46199</v>
      </c>
      <c r="D2058" t="inlineStr">
        <is>
          <t>VÄSTERNORRLANDS LÄN</t>
        </is>
      </c>
      <c r="E2058" t="inlineStr">
        <is>
          <t>SOLLEFTEÅ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22265-2026</t>
        </is>
      </c>
      <c r="B2059" s="1" t="n">
        <v>46154</v>
      </c>
      <c r="C2059" s="1" t="n">
        <v>46199</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25795-2023</t>
        </is>
      </c>
      <c r="B2060" s="1" t="n">
        <v>45085</v>
      </c>
      <c r="C2060" s="1" t="n">
        <v>46199</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6736-2025</t>
        </is>
      </c>
      <c r="B2061" s="1" t="n">
        <v>45700</v>
      </c>
      <c r="C2061" s="1" t="n">
        <v>46199</v>
      </c>
      <c r="D2061" t="inlineStr">
        <is>
          <t>VÄSTERNORRLANDS LÄN</t>
        </is>
      </c>
      <c r="E2061" t="inlineStr">
        <is>
          <t>SOLLEFTEÅ</t>
        </is>
      </c>
      <c r="F2061" t="inlineStr">
        <is>
          <t>SCA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3398-2026</t>
        </is>
      </c>
      <c r="B2062" s="1" t="n">
        <v>46042</v>
      </c>
      <c r="C2062" s="1" t="n">
        <v>46199</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22103-2026</t>
        </is>
      </c>
      <c r="B2063" s="1" t="n">
        <v>46153</v>
      </c>
      <c r="C2063" s="1" t="n">
        <v>46199</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22441-2026</t>
        </is>
      </c>
      <c r="B2064" s="1" t="n">
        <v>46153</v>
      </c>
      <c r="C2064" s="1" t="n">
        <v>46199</v>
      </c>
      <c r="D2064" t="inlineStr">
        <is>
          <t>VÄSTERNORRLANDS LÄN</t>
        </is>
      </c>
      <c r="E2064" t="inlineStr">
        <is>
          <t>SOLLEFTEÅ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22446-2026</t>
        </is>
      </c>
      <c r="B2065" s="1" t="n">
        <v>46153</v>
      </c>
      <c r="C2065" s="1" t="n">
        <v>46199</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22454-2026</t>
        </is>
      </c>
      <c r="B2066" s="1" t="n">
        <v>46153</v>
      </c>
      <c r="C2066" s="1" t="n">
        <v>46199</v>
      </c>
      <c r="D2066" t="inlineStr">
        <is>
          <t>VÄSTERNORRLANDS LÄN</t>
        </is>
      </c>
      <c r="E2066" t="inlineStr">
        <is>
          <t>SOLLEFTEÅ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22077-2026</t>
        </is>
      </c>
      <c r="B2067" s="1" t="n">
        <v>46153</v>
      </c>
      <c r="C2067" s="1" t="n">
        <v>46199</v>
      </c>
      <c r="D2067" t="inlineStr">
        <is>
          <t>VÄSTERNORRLANDS LÄN</t>
        </is>
      </c>
      <c r="E2067" t="inlineStr">
        <is>
          <t>SOLLEFTEÅ</t>
        </is>
      </c>
      <c r="F2067" t="inlineStr">
        <is>
          <t>Holmen skog AB</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14554-2024</t>
        </is>
      </c>
      <c r="B2068" s="1" t="n">
        <v>45394</v>
      </c>
      <c r="C2068" s="1" t="n">
        <v>46199</v>
      </c>
      <c r="D2068" t="inlineStr">
        <is>
          <t>VÄSTERNORRLANDS LÄN</t>
        </is>
      </c>
      <c r="E2068" t="inlineStr">
        <is>
          <t>SOLLEFTEÅ</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53379-2023</t>
        </is>
      </c>
      <c r="B2069" s="1" t="n">
        <v>45222</v>
      </c>
      <c r="C2069" s="1" t="n">
        <v>46199</v>
      </c>
      <c r="D2069" t="inlineStr">
        <is>
          <t>VÄSTERNORRLANDS LÄN</t>
        </is>
      </c>
      <c r="E2069" t="inlineStr">
        <is>
          <t>SOLLEFTEÅ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22450-2026</t>
        </is>
      </c>
      <c r="B2070" s="1" t="n">
        <v>46153</v>
      </c>
      <c r="C2070" s="1" t="n">
        <v>46199</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26444-2024</t>
        </is>
      </c>
      <c r="B2071" s="1" t="n">
        <v>45469</v>
      </c>
      <c r="C2071" s="1" t="n">
        <v>46199</v>
      </c>
      <c r="D2071" t="inlineStr">
        <is>
          <t>VÄSTERNORRLANDS LÄN</t>
        </is>
      </c>
      <c r="E2071" t="inlineStr">
        <is>
          <t>SOLLEFTEÅ</t>
        </is>
      </c>
      <c r="F2071" t="inlineStr">
        <is>
          <t>Holmen skog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59593-2023</t>
        </is>
      </c>
      <c r="B2072" s="1" t="n">
        <v>45254</v>
      </c>
      <c r="C2072" s="1" t="n">
        <v>46199</v>
      </c>
      <c r="D2072" t="inlineStr">
        <is>
          <t>VÄSTERNORRLANDS LÄN</t>
        </is>
      </c>
      <c r="E2072" t="inlineStr">
        <is>
          <t>SOLLEFTEÅ</t>
        </is>
      </c>
      <c r="F2072" t="inlineStr">
        <is>
          <t>Holmen skog AB</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22340-2026</t>
        </is>
      </c>
      <c r="B2073" s="1" t="n">
        <v>46154</v>
      </c>
      <c r="C2073" s="1" t="n">
        <v>46199</v>
      </c>
      <c r="D2073" t="inlineStr">
        <is>
          <t>VÄSTERNORRLANDS LÄN</t>
        </is>
      </c>
      <c r="E2073" t="inlineStr">
        <is>
          <t>SOLLEFTEÅ</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22328-2026</t>
        </is>
      </c>
      <c r="B2074" s="1" t="n">
        <v>46154</v>
      </c>
      <c r="C2074" s="1" t="n">
        <v>46199</v>
      </c>
      <c r="D2074" t="inlineStr">
        <is>
          <t>VÄSTERNORRLANDS LÄN</t>
        </is>
      </c>
      <c r="E2074" t="inlineStr">
        <is>
          <t>SOLLEFTEÅ</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18263-2025</t>
        </is>
      </c>
      <c r="B2075" s="1" t="n">
        <v>45762</v>
      </c>
      <c r="C2075" s="1" t="n">
        <v>46199</v>
      </c>
      <c r="D2075" t="inlineStr">
        <is>
          <t>VÄSTERNORRLANDS LÄN</t>
        </is>
      </c>
      <c r="E2075" t="inlineStr">
        <is>
          <t>SOLLEFTEÅ</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19577-2024</t>
        </is>
      </c>
      <c r="B2076" s="1" t="n">
        <v>45429</v>
      </c>
      <c r="C2076" s="1" t="n">
        <v>46199</v>
      </c>
      <c r="D2076" t="inlineStr">
        <is>
          <t>VÄSTERNORRLANDS LÄN</t>
        </is>
      </c>
      <c r="E2076" t="inlineStr">
        <is>
          <t>SOLLEFTEÅ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22360-2026</t>
        </is>
      </c>
      <c r="B2077" s="1" t="n">
        <v>46154</v>
      </c>
      <c r="C2077" s="1" t="n">
        <v>46199</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9070-2025</t>
        </is>
      </c>
      <c r="B2078" s="1" t="n">
        <v>45713</v>
      </c>
      <c r="C2078" s="1" t="n">
        <v>46199</v>
      </c>
      <c r="D2078" t="inlineStr">
        <is>
          <t>VÄSTERNORRLANDS LÄN</t>
        </is>
      </c>
      <c r="E2078" t="inlineStr">
        <is>
          <t>SOLLEFTEÅ</t>
        </is>
      </c>
      <c r="F2078" t="inlineStr">
        <is>
          <t>SCA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27584-2026</t>
        </is>
      </c>
      <c r="B2079" s="1" t="n">
        <v>46190</v>
      </c>
      <c r="C2079" s="1" t="n">
        <v>46199</v>
      </c>
      <c r="D2079" t="inlineStr">
        <is>
          <t>VÄSTERNORRLANDS LÄN</t>
        </is>
      </c>
      <c r="E2079" t="inlineStr">
        <is>
          <t>SOLLEFTEÅ</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22943-2026</t>
        </is>
      </c>
      <c r="B2080" s="1" t="n">
        <v>46160</v>
      </c>
      <c r="C2080" s="1" t="n">
        <v>46199</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22681-2026</t>
        </is>
      </c>
      <c r="B2081" s="1" t="n">
        <v>46156</v>
      </c>
      <c r="C2081" s="1" t="n">
        <v>46199</v>
      </c>
      <c r="D2081" t="inlineStr">
        <is>
          <t>VÄSTERNORRLANDS LÄN</t>
        </is>
      </c>
      <c r="E2081" t="inlineStr">
        <is>
          <t>SOLLEFTEÅ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5447-2025</t>
        </is>
      </c>
      <c r="B2082" s="1" t="n">
        <v>45692</v>
      </c>
      <c r="C2082" s="1" t="n">
        <v>46199</v>
      </c>
      <c r="D2082" t="inlineStr">
        <is>
          <t>VÄSTERNORRLANDS LÄN</t>
        </is>
      </c>
      <c r="E2082" t="inlineStr">
        <is>
          <t>SOLLEFTEÅ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22655-2026</t>
        </is>
      </c>
      <c r="B2083" s="1" t="n">
        <v>46155</v>
      </c>
      <c r="C2083" s="1" t="n">
        <v>46199</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22661-2026</t>
        </is>
      </c>
      <c r="B2084" s="1" t="n">
        <v>46155</v>
      </c>
      <c r="C2084" s="1" t="n">
        <v>46199</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44662-2024</t>
        </is>
      </c>
      <c r="B2085" s="1" t="n">
        <v>45574</v>
      </c>
      <c r="C2085" s="1" t="n">
        <v>46199</v>
      </c>
      <c r="D2085" t="inlineStr">
        <is>
          <t>VÄSTERNORRLANDS LÄN</t>
        </is>
      </c>
      <c r="E2085" t="inlineStr">
        <is>
          <t>SOLLEFTEÅ</t>
        </is>
      </c>
      <c r="F2085" t="inlineStr">
        <is>
          <t>SCA</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22462-2026</t>
        </is>
      </c>
      <c r="B2086" s="1" t="n">
        <v>46155</v>
      </c>
      <c r="C2086" s="1" t="n">
        <v>46199</v>
      </c>
      <c r="D2086" t="inlineStr">
        <is>
          <t>VÄSTERNORRLANDS LÄN</t>
        </is>
      </c>
      <c r="E2086" t="inlineStr">
        <is>
          <t>SOLLEFTEÅ</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1269-2024</t>
        </is>
      </c>
      <c r="B2087" s="1" t="n">
        <v>45302</v>
      </c>
      <c r="C2087" s="1" t="n">
        <v>46199</v>
      </c>
      <c r="D2087" t="inlineStr">
        <is>
          <t>VÄSTERNORRLANDS LÄN</t>
        </is>
      </c>
      <c r="E2087" t="inlineStr">
        <is>
          <t>SOLLEFTEÅ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53929-2022</t>
        </is>
      </c>
      <c r="B2088" s="1" t="n">
        <v>44880</v>
      </c>
      <c r="C2088" s="1" t="n">
        <v>46199</v>
      </c>
      <c r="D2088" t="inlineStr">
        <is>
          <t>VÄSTERNORRLANDS LÄN</t>
        </is>
      </c>
      <c r="E2088" t="inlineStr">
        <is>
          <t>SOLLEFTEÅ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53947-2022</t>
        </is>
      </c>
      <c r="B2089" s="1" t="n">
        <v>44880</v>
      </c>
      <c r="C2089" s="1" t="n">
        <v>46199</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50557-2024</t>
        </is>
      </c>
      <c r="B2090" s="1" t="n">
        <v>45601</v>
      </c>
      <c r="C2090" s="1" t="n">
        <v>46199</v>
      </c>
      <c r="D2090" t="inlineStr">
        <is>
          <t>VÄSTERNORRLANDS LÄN</t>
        </is>
      </c>
      <c r="E2090" t="inlineStr">
        <is>
          <t>SOLLEFTEÅ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46101-2024</t>
        </is>
      </c>
      <c r="B2091" s="1" t="n">
        <v>45581</v>
      </c>
      <c r="C2091" s="1" t="n">
        <v>46199</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24011-2026</t>
        </is>
      </c>
      <c r="B2092" s="1" t="n">
        <v>46167</v>
      </c>
      <c r="C2092" s="1" t="n">
        <v>46199</v>
      </c>
      <c r="D2092" t="inlineStr">
        <is>
          <t>VÄSTERNORRLANDS LÄN</t>
        </is>
      </c>
      <c r="E2092" t="inlineStr">
        <is>
          <t>SOLLEFTEÅ</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31918-2023</t>
        </is>
      </c>
      <c r="B2093" s="1" t="n">
        <v>45118</v>
      </c>
      <c r="C2093" s="1" t="n">
        <v>46199</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31922-2023</t>
        </is>
      </c>
      <c r="B2094" s="1" t="n">
        <v>45118</v>
      </c>
      <c r="C2094" s="1" t="n">
        <v>46199</v>
      </c>
      <c r="D2094" t="inlineStr">
        <is>
          <t>VÄSTERNORRLANDS LÄN</t>
        </is>
      </c>
      <c r="E2094" t="inlineStr">
        <is>
          <t>SOLLEFTEÅ</t>
        </is>
      </c>
      <c r="F2094" t="inlineStr">
        <is>
          <t>SCA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8195-2025</t>
        </is>
      </c>
      <c r="B2095" s="1" t="n">
        <v>45708</v>
      </c>
      <c r="C2095" s="1" t="n">
        <v>46199</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15875-2024</t>
        </is>
      </c>
      <c r="B2096" s="1" t="n">
        <v>45405</v>
      </c>
      <c r="C2096" s="1" t="n">
        <v>46199</v>
      </c>
      <c r="D2096" t="inlineStr">
        <is>
          <t>VÄSTERNORRLANDS LÄN</t>
        </is>
      </c>
      <c r="E2096" t="inlineStr">
        <is>
          <t>SOLLEFTEÅ</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57991-2022</t>
        </is>
      </c>
      <c r="B2097" s="1" t="n">
        <v>44900</v>
      </c>
      <c r="C2097" s="1" t="n">
        <v>46199</v>
      </c>
      <c r="D2097" t="inlineStr">
        <is>
          <t>VÄSTERNORRLANDS LÄN</t>
        </is>
      </c>
      <c r="E2097" t="inlineStr">
        <is>
          <t>SOLLEFTEÅ</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51440-2021</t>
        </is>
      </c>
      <c r="B2098" s="1" t="n">
        <v>44461</v>
      </c>
      <c r="C2098" s="1" t="n">
        <v>46199</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50007-2024</t>
        </is>
      </c>
      <c r="B2099" s="1" t="n">
        <v>45598</v>
      </c>
      <c r="C2099" s="1" t="n">
        <v>46199</v>
      </c>
      <c r="D2099" t="inlineStr">
        <is>
          <t>VÄSTERNORRLANDS LÄN</t>
        </is>
      </c>
      <c r="E2099" t="inlineStr">
        <is>
          <t>SOLLEFTEÅ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28563-2026</t>
        </is>
      </c>
      <c r="B2100" s="1" t="n">
        <v>46197</v>
      </c>
      <c r="C2100" s="1" t="n">
        <v>46199</v>
      </c>
      <c r="D2100" t="inlineStr">
        <is>
          <t>VÄSTERNORRLANDS LÄN</t>
        </is>
      </c>
      <c r="E2100" t="inlineStr">
        <is>
          <t>SOLLEFTEÅ</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28595-2026</t>
        </is>
      </c>
      <c r="B2101" s="1" t="n">
        <v>46197</v>
      </c>
      <c r="C2101" s="1" t="n">
        <v>46199</v>
      </c>
      <c r="D2101" t="inlineStr">
        <is>
          <t>VÄSTERNORRLANDS LÄN</t>
        </is>
      </c>
      <c r="E2101" t="inlineStr">
        <is>
          <t>SOLLEFTEÅ</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58172-2022</t>
        </is>
      </c>
      <c r="B2102" s="1" t="n">
        <v>44900</v>
      </c>
      <c r="C2102" s="1" t="n">
        <v>46199</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6271-2023</t>
        </is>
      </c>
      <c r="B2103" s="1" t="n">
        <v>44959</v>
      </c>
      <c r="C2103" s="1" t="n">
        <v>46199</v>
      </c>
      <c r="D2103" t="inlineStr">
        <is>
          <t>VÄSTERNORRLANDS LÄN</t>
        </is>
      </c>
      <c r="E2103" t="inlineStr">
        <is>
          <t>SOLLEFTEÅ</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394-2024</t>
        </is>
      </c>
      <c r="B2104" s="1" t="n">
        <v>45296</v>
      </c>
      <c r="C2104" s="1" t="n">
        <v>46199</v>
      </c>
      <c r="D2104" t="inlineStr">
        <is>
          <t>VÄSTERNORRLANDS LÄN</t>
        </is>
      </c>
      <c r="E2104" t="inlineStr">
        <is>
          <t>SOLLEFTEÅ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62098-2023</t>
        </is>
      </c>
      <c r="B2105" s="1" t="n">
        <v>45266</v>
      </c>
      <c r="C2105" s="1" t="n">
        <v>46199</v>
      </c>
      <c r="D2105" t="inlineStr">
        <is>
          <t>VÄSTERNORRLANDS LÄN</t>
        </is>
      </c>
      <c r="E2105" t="inlineStr">
        <is>
          <t>SOLLEFTEÅ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62100-2023</t>
        </is>
      </c>
      <c r="B2106" s="1" t="n">
        <v>45266</v>
      </c>
      <c r="C2106" s="1" t="n">
        <v>46199</v>
      </c>
      <c r="D2106" t="inlineStr">
        <is>
          <t>VÄSTERNORRLANDS LÄN</t>
        </is>
      </c>
      <c r="E2106" t="inlineStr">
        <is>
          <t>SOLLEFTEÅ</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28818-2026</t>
        </is>
      </c>
      <c r="B2107" s="1" t="n">
        <v>46198</v>
      </c>
      <c r="C2107" s="1" t="n">
        <v>46199</v>
      </c>
      <c r="D2107" t="inlineStr">
        <is>
          <t>VÄSTERNORRLANDS LÄN</t>
        </is>
      </c>
      <c r="E2107" t="inlineStr">
        <is>
          <t>SOLLEFTEÅ</t>
        </is>
      </c>
      <c r="F2107" t="inlineStr">
        <is>
          <t>SCA</t>
        </is>
      </c>
      <c r="G2107" t="n">
        <v>16.1</v>
      </c>
      <c r="H2107" t="n">
        <v>0</v>
      </c>
      <c r="I2107" t="n">
        <v>0</v>
      </c>
      <c r="J2107" t="n">
        <v>0</v>
      </c>
      <c r="K2107" t="n">
        <v>0</v>
      </c>
      <c r="L2107" t="n">
        <v>0</v>
      </c>
      <c r="M2107" t="n">
        <v>0</v>
      </c>
      <c r="N2107" t="n">
        <v>0</v>
      </c>
      <c r="O2107" t="n">
        <v>0</v>
      </c>
      <c r="P2107" t="n">
        <v>0</v>
      </c>
      <c r="Q2107" t="n">
        <v>0</v>
      </c>
      <c r="R2107" s="2" t="inlineStr"/>
    </row>
    <row r="2108" ht="15" customHeight="1">
      <c r="A2108" t="inlineStr">
        <is>
          <t>A 28846-2026</t>
        </is>
      </c>
      <c r="B2108" s="1" t="n">
        <v>46198</v>
      </c>
      <c r="C2108" s="1" t="n">
        <v>46199</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9121-2024</t>
        </is>
      </c>
      <c r="B2109" s="1" t="n">
        <v>45358</v>
      </c>
      <c r="C2109" s="1" t="n">
        <v>46199</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33739-2024</t>
        </is>
      </c>
      <c r="B2110" s="1" t="n">
        <v>45520</v>
      </c>
      <c r="C2110" s="1" t="n">
        <v>46199</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21651-2026</t>
        </is>
      </c>
      <c r="B2111" s="1" t="n">
        <v>46149</v>
      </c>
      <c r="C2111" s="1" t="n">
        <v>46199</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18364-2024</t>
        </is>
      </c>
      <c r="B2112" s="1" t="n">
        <v>45422</v>
      </c>
      <c r="C2112" s="1" t="n">
        <v>46199</v>
      </c>
      <c r="D2112" t="inlineStr">
        <is>
          <t>VÄSTERNORRLANDS LÄN</t>
        </is>
      </c>
      <c r="E2112" t="inlineStr">
        <is>
          <t>SOLLEFTEÅ</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7585-2024</t>
        </is>
      </c>
      <c r="B2113" s="1" t="n">
        <v>45348</v>
      </c>
      <c r="C2113" s="1" t="n">
        <v>46199</v>
      </c>
      <c r="D2113" t="inlineStr">
        <is>
          <t>VÄSTERNORRLANDS LÄN</t>
        </is>
      </c>
      <c r="E2113" t="inlineStr">
        <is>
          <t>SOLLEFTEÅ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22442-2026</t>
        </is>
      </c>
      <c r="B2114" s="1" t="n">
        <v>46155</v>
      </c>
      <c r="C2114" s="1" t="n">
        <v>46199</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61345-2022</t>
        </is>
      </c>
      <c r="B2115" s="1" t="n">
        <v>44915</v>
      </c>
      <c r="C2115" s="1" t="n">
        <v>46199</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37046-2024</t>
        </is>
      </c>
      <c r="B2116" s="1" t="n">
        <v>45539</v>
      </c>
      <c r="C2116" s="1" t="n">
        <v>46199</v>
      </c>
      <c r="D2116" t="inlineStr">
        <is>
          <t>VÄSTERNORRLANDS LÄN</t>
        </is>
      </c>
      <c r="E2116" t="inlineStr">
        <is>
          <t>SOLLEFTEÅ</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1402-2022</t>
        </is>
      </c>
      <c r="B2117" s="1" t="n">
        <v>44573</v>
      </c>
      <c r="C2117" s="1" t="n">
        <v>46199</v>
      </c>
      <c r="D2117" t="inlineStr">
        <is>
          <t>VÄSTERNORRLANDS LÄN</t>
        </is>
      </c>
      <c r="E2117" t="inlineStr">
        <is>
          <t>SOLLEFTEÅ</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43772-2022</t>
        </is>
      </c>
      <c r="B2118" s="1" t="n">
        <v>44837</v>
      </c>
      <c r="C2118" s="1" t="n">
        <v>46199</v>
      </c>
      <c r="D2118" t="inlineStr">
        <is>
          <t>VÄSTERNORRLANDS LÄN</t>
        </is>
      </c>
      <c r="E2118" t="inlineStr">
        <is>
          <t>SOLLEFTEÅ</t>
        </is>
      </c>
      <c r="F2118" t="inlineStr">
        <is>
          <t>Kyrkan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49160-2021</t>
        </is>
      </c>
      <c r="B2119" s="1" t="n">
        <v>44453</v>
      </c>
      <c r="C2119" s="1" t="n">
        <v>46199</v>
      </c>
      <c r="D2119" t="inlineStr">
        <is>
          <t>VÄSTERNORRLANDS LÄN</t>
        </is>
      </c>
      <c r="E2119" t="inlineStr">
        <is>
          <t>SOLLEFTEÅ</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41420-2024</t>
        </is>
      </c>
      <c r="B2120" s="1" t="n">
        <v>45560</v>
      </c>
      <c r="C2120" s="1" t="n">
        <v>46199</v>
      </c>
      <c r="D2120" t="inlineStr">
        <is>
          <t>VÄSTERNORRLANDS LÄN</t>
        </is>
      </c>
      <c r="E2120" t="inlineStr">
        <is>
          <t>SOLLEFTEÅ</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42970-2024</t>
        </is>
      </c>
      <c r="B2121" s="1" t="n">
        <v>45567</v>
      </c>
      <c r="C2121" s="1" t="n">
        <v>46199</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28366-2023</t>
        </is>
      </c>
      <c r="B2122" s="1" t="n">
        <v>45099</v>
      </c>
      <c r="C2122" s="1" t="n">
        <v>46199</v>
      </c>
      <c r="D2122" t="inlineStr">
        <is>
          <t>VÄSTERNORRLANDS LÄN</t>
        </is>
      </c>
      <c r="E2122" t="inlineStr">
        <is>
          <t>SOLLEFTEÅ</t>
        </is>
      </c>
      <c r="F2122" t="inlineStr">
        <is>
          <t>SCA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42482-2024</t>
        </is>
      </c>
      <c r="B2123" s="1" t="n">
        <v>45565</v>
      </c>
      <c r="C2123" s="1" t="n">
        <v>46199</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58478-2021</t>
        </is>
      </c>
      <c r="B2124" s="1" t="n">
        <v>44488</v>
      </c>
      <c r="C2124" s="1" t="n">
        <v>46199</v>
      </c>
      <c r="D2124" t="inlineStr">
        <is>
          <t>VÄSTERNORRLANDS LÄN</t>
        </is>
      </c>
      <c r="E2124" t="inlineStr">
        <is>
          <t>SOLLEFTEÅ</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31965-2022</t>
        </is>
      </c>
      <c r="B2125" s="1" t="n">
        <v>44777</v>
      </c>
      <c r="C2125" s="1" t="n">
        <v>46199</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5111-2022</t>
        </is>
      </c>
      <c r="B2126" s="1" t="n">
        <v>44593</v>
      </c>
      <c r="C2126" s="1" t="n">
        <v>46199</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10140-2022</t>
        </is>
      </c>
      <c r="B2127" s="1" t="n">
        <v>44621</v>
      </c>
      <c r="C2127" s="1" t="n">
        <v>46199</v>
      </c>
      <c r="D2127" t="inlineStr">
        <is>
          <t>VÄSTERNORRLANDS LÄN</t>
        </is>
      </c>
      <c r="E2127" t="inlineStr">
        <is>
          <t>SOLLEFTEÅ</t>
        </is>
      </c>
      <c r="F2127" t="inlineStr">
        <is>
          <t>SCA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32812-2024</t>
        </is>
      </c>
      <c r="B2128" s="1" t="n">
        <v>45516</v>
      </c>
      <c r="C2128" s="1" t="n">
        <v>46199</v>
      </c>
      <c r="D2128" t="inlineStr">
        <is>
          <t>VÄSTERNORRLANDS LÄN</t>
        </is>
      </c>
      <c r="E2128" t="inlineStr">
        <is>
          <t>SOLLEFTEÅ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10256-2023</t>
        </is>
      </c>
      <c r="B2129" s="1" t="n">
        <v>44980</v>
      </c>
      <c r="C2129" s="1" t="n">
        <v>46199</v>
      </c>
      <c r="D2129" t="inlineStr">
        <is>
          <t>VÄSTERNORRLANDS LÄN</t>
        </is>
      </c>
      <c r="E2129" t="inlineStr">
        <is>
          <t>SOLLEFTEÅ</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39399-2023</t>
        </is>
      </c>
      <c r="B2130" s="1" t="n">
        <v>45163</v>
      </c>
      <c r="C2130" s="1" t="n">
        <v>46199</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18304-2022</t>
        </is>
      </c>
      <c r="B2131" s="1" t="n">
        <v>44685</v>
      </c>
      <c r="C2131" s="1" t="n">
        <v>46199</v>
      </c>
      <c r="D2131" t="inlineStr">
        <is>
          <t>VÄSTERNORRLANDS LÄN</t>
        </is>
      </c>
      <c r="E2131" t="inlineStr">
        <is>
          <t>SOLLEFTEÅ</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45778-2024</t>
        </is>
      </c>
      <c r="B2132" s="1" t="n">
        <v>45579</v>
      </c>
      <c r="C2132" s="1" t="n">
        <v>46199</v>
      </c>
      <c r="D2132" t="inlineStr">
        <is>
          <t>VÄSTERNORRLANDS LÄN</t>
        </is>
      </c>
      <c r="E2132" t="inlineStr">
        <is>
          <t>SOLLEFTEÅ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45801-2024</t>
        </is>
      </c>
      <c r="B2133" s="1" t="n">
        <v>45579</v>
      </c>
      <c r="C2133" s="1" t="n">
        <v>46199</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45802-2024</t>
        </is>
      </c>
      <c r="B2134" s="1" t="n">
        <v>45579</v>
      </c>
      <c r="C2134" s="1" t="n">
        <v>46199</v>
      </c>
      <c r="D2134" t="inlineStr">
        <is>
          <t>VÄSTERNORRLANDS LÄN</t>
        </is>
      </c>
      <c r="E2134" t="inlineStr">
        <is>
          <t>SOLLEFTEÅ</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21195-2023</t>
        </is>
      </c>
      <c r="B2135" s="1" t="n">
        <v>45057</v>
      </c>
      <c r="C2135" s="1" t="n">
        <v>46199</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31537-2024</t>
        </is>
      </c>
      <c r="B2136" s="1" t="n">
        <v>45505</v>
      </c>
      <c r="C2136" s="1" t="n">
        <v>46199</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49171-2022</t>
        </is>
      </c>
      <c r="B2137" s="1" t="n">
        <v>44860</v>
      </c>
      <c r="C2137" s="1" t="n">
        <v>46199</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46199</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64013-2023</t>
        </is>
      </c>
      <c r="B2139" s="1" t="n">
        <v>45278</v>
      </c>
      <c r="C2139" s="1" t="n">
        <v>46199</v>
      </c>
      <c r="D2139" t="inlineStr">
        <is>
          <t>VÄSTERNORRLANDS LÄN</t>
        </is>
      </c>
      <c r="E2139" t="inlineStr">
        <is>
          <t>SOLLEFTEÅ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17173-2024</t>
        </is>
      </c>
      <c r="B2140" s="1" t="n">
        <v>45412</v>
      </c>
      <c r="C2140" s="1" t="n">
        <v>46199</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19051-2022</t>
        </is>
      </c>
      <c r="B2141" s="1" t="n">
        <v>44691</v>
      </c>
      <c r="C2141" s="1" t="n">
        <v>46199</v>
      </c>
      <c r="D2141" t="inlineStr">
        <is>
          <t>VÄSTERNORRLANDS LÄN</t>
        </is>
      </c>
      <c r="E2141" t="inlineStr">
        <is>
          <t>SOLLEFTEÅ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43049-2024</t>
        </is>
      </c>
      <c r="B2142" s="1" t="n">
        <v>45567</v>
      </c>
      <c r="C2142" s="1" t="n">
        <v>46199</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49403-2024</t>
        </is>
      </c>
      <c r="B2143" s="1" t="n">
        <v>45595</v>
      </c>
      <c r="C2143" s="1" t="n">
        <v>46199</v>
      </c>
      <c r="D2143" t="inlineStr">
        <is>
          <t>VÄSTERNORRLANDS LÄN</t>
        </is>
      </c>
      <c r="E2143" t="inlineStr">
        <is>
          <t>SOLLEFTEÅ</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64617-2023</t>
        </is>
      </c>
      <c r="B2144" s="1" t="n">
        <v>45281</v>
      </c>
      <c r="C2144" s="1" t="n">
        <v>46199</v>
      </c>
      <c r="D2144" t="inlineStr">
        <is>
          <t>VÄSTERNORRLANDS LÄN</t>
        </is>
      </c>
      <c r="E2144" t="inlineStr">
        <is>
          <t>SOLLEFTEÅ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19055-2022</t>
        </is>
      </c>
      <c r="B2145" s="1" t="n">
        <v>44691</v>
      </c>
      <c r="C2145" s="1" t="n">
        <v>46199</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5038-2024</t>
        </is>
      </c>
      <c r="B2146" s="1" t="n">
        <v>45329</v>
      </c>
      <c r="C2146" s="1" t="n">
        <v>46199</v>
      </c>
      <c r="D2146" t="inlineStr">
        <is>
          <t>VÄSTERNORRLANDS LÄN</t>
        </is>
      </c>
      <c r="E2146" t="inlineStr">
        <is>
          <t>SOLLEFTEÅ</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53278-2021</t>
        </is>
      </c>
      <c r="B2147" s="1" t="n">
        <v>44467</v>
      </c>
      <c r="C2147" s="1" t="n">
        <v>46199</v>
      </c>
      <c r="D2147" t="inlineStr">
        <is>
          <t>VÄSTERNORRLANDS LÄN</t>
        </is>
      </c>
      <c r="E2147" t="inlineStr">
        <is>
          <t>SOLLEFTEÅ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1848-2024</t>
        </is>
      </c>
      <c r="B2148" s="1" t="n">
        <v>45307</v>
      </c>
      <c r="C2148" s="1" t="n">
        <v>46199</v>
      </c>
      <c r="D2148" t="inlineStr">
        <is>
          <t>VÄSTERNORRLANDS LÄN</t>
        </is>
      </c>
      <c r="E2148" t="inlineStr">
        <is>
          <t>SOLLEFTEÅ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51249-2022</t>
        </is>
      </c>
      <c r="B2149" s="1" t="n">
        <v>44866</v>
      </c>
      <c r="C2149" s="1" t="n">
        <v>46199</v>
      </c>
      <c r="D2149" t="inlineStr">
        <is>
          <t>VÄSTERNORRLANDS LÄN</t>
        </is>
      </c>
      <c r="E2149" t="inlineStr">
        <is>
          <t>SOLLEFTEÅ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34281-2022</t>
        </is>
      </c>
      <c r="B2150" s="1" t="n">
        <v>44791</v>
      </c>
      <c r="C2150" s="1" t="n">
        <v>46199</v>
      </c>
      <c r="D2150" t="inlineStr">
        <is>
          <t>VÄSTERNORRLANDS LÄN</t>
        </is>
      </c>
      <c r="E2150" t="inlineStr">
        <is>
          <t>SOLLEFTEÅ</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55872-2024</t>
        </is>
      </c>
      <c r="B2151" s="1" t="n">
        <v>45623</v>
      </c>
      <c r="C2151" s="1" t="n">
        <v>46199</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13697-2023</t>
        </is>
      </c>
      <c r="B2152" s="1" t="n">
        <v>45006</v>
      </c>
      <c r="C2152" s="1" t="n">
        <v>46199</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35469-2024</t>
        </is>
      </c>
      <c r="B2153" s="1" t="n">
        <v>45531</v>
      </c>
      <c r="C2153" s="1" t="n">
        <v>46199</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44661-2024</t>
        </is>
      </c>
      <c r="B2154" s="1" t="n">
        <v>45574</v>
      </c>
      <c r="C2154" s="1" t="n">
        <v>46199</v>
      </c>
      <c r="D2154" t="inlineStr">
        <is>
          <t>VÄSTERNORRLANDS LÄN</t>
        </is>
      </c>
      <c r="E2154" t="inlineStr">
        <is>
          <t>SOLLEFTEÅ</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53545-2024</t>
        </is>
      </c>
      <c r="B2155" s="1" t="n">
        <v>45614</v>
      </c>
      <c r="C2155" s="1" t="n">
        <v>46199</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7332-2023</t>
        </is>
      </c>
      <c r="B2156" s="1" t="n">
        <v>44970</v>
      </c>
      <c r="C2156" s="1" t="n">
        <v>46199</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48606-2024</t>
        </is>
      </c>
      <c r="B2157" s="1" t="n">
        <v>45593</v>
      </c>
      <c r="C2157" s="1" t="n">
        <v>46199</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53212-2024</t>
        </is>
      </c>
      <c r="B2158" s="1" t="n">
        <v>45612</v>
      </c>
      <c r="C2158" s="1" t="n">
        <v>46199</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14308-2022</t>
        </is>
      </c>
      <c r="B2159" s="1" t="n">
        <v>44651</v>
      </c>
      <c r="C2159" s="1" t="n">
        <v>46199</v>
      </c>
      <c r="D2159" t="inlineStr">
        <is>
          <t>VÄSTERNORRLANDS LÄN</t>
        </is>
      </c>
      <c r="E2159" t="inlineStr">
        <is>
          <t>SOLLEFTEÅ</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29693-2024</t>
        </is>
      </c>
      <c r="B2160" s="1" t="n">
        <v>45484</v>
      </c>
      <c r="C2160" s="1" t="n">
        <v>46199</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32735-2023</t>
        </is>
      </c>
      <c r="B2161" s="1" t="n">
        <v>45121</v>
      </c>
      <c r="C2161" s="1" t="n">
        <v>46199</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10138-2022</t>
        </is>
      </c>
      <c r="B2162" s="1" t="n">
        <v>44621</v>
      </c>
      <c r="C2162" s="1" t="n">
        <v>46199</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49771-2024</t>
        </is>
      </c>
      <c r="B2163" s="1" t="n">
        <v>45597</v>
      </c>
      <c r="C2163" s="1" t="n">
        <v>46199</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49772-2024</t>
        </is>
      </c>
      <c r="B2164" s="1" t="n">
        <v>45597</v>
      </c>
      <c r="C2164" s="1" t="n">
        <v>46199</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12730-2023</t>
        </is>
      </c>
      <c r="B2165" s="1" t="n">
        <v>45000</v>
      </c>
      <c r="C2165" s="1" t="n">
        <v>46199</v>
      </c>
      <c r="D2165" t="inlineStr">
        <is>
          <t>VÄSTERNORRLANDS LÄN</t>
        </is>
      </c>
      <c r="E2165" t="inlineStr">
        <is>
          <t>SOLLEFTEÅ</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12733-2023</t>
        </is>
      </c>
      <c r="B2166" s="1" t="n">
        <v>45000</v>
      </c>
      <c r="C2166" s="1" t="n">
        <v>46199</v>
      </c>
      <c r="D2166" t="inlineStr">
        <is>
          <t>VÄSTERNORRLANDS LÄN</t>
        </is>
      </c>
      <c r="E2166" t="inlineStr">
        <is>
          <t>SOLLEFTEÅ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12752-2023</t>
        </is>
      </c>
      <c r="B2167" s="1" t="n">
        <v>45000</v>
      </c>
      <c r="C2167" s="1" t="n">
        <v>46199</v>
      </c>
      <c r="D2167" t="inlineStr">
        <is>
          <t>VÄSTERNORRLANDS LÄN</t>
        </is>
      </c>
      <c r="E2167" t="inlineStr">
        <is>
          <t>SOLLEFTEÅ</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18187-2022</t>
        </is>
      </c>
      <c r="B2168" s="1" t="n">
        <v>44684</v>
      </c>
      <c r="C2168" s="1" t="n">
        <v>46199</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29290-2022</t>
        </is>
      </c>
      <c r="B2169" s="1" t="n">
        <v>44750</v>
      </c>
      <c r="C2169" s="1" t="n">
        <v>46199</v>
      </c>
      <c r="D2169" t="inlineStr">
        <is>
          <t>VÄSTERNORRLANDS LÄN</t>
        </is>
      </c>
      <c r="E2169" t="inlineStr">
        <is>
          <t>SOLLEFTEÅ</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22672-2024</t>
        </is>
      </c>
      <c r="B2170" s="1" t="n">
        <v>45447</v>
      </c>
      <c r="C2170" s="1" t="n">
        <v>46199</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10925-2022</t>
        </is>
      </c>
      <c r="B2171" s="1" t="n">
        <v>44627</v>
      </c>
      <c r="C2171" s="1" t="n">
        <v>46199</v>
      </c>
      <c r="D2171" t="inlineStr">
        <is>
          <t>VÄSTERNORRLANDS LÄN</t>
        </is>
      </c>
      <c r="E2171" t="inlineStr">
        <is>
          <t>SOLLEFTEÅ</t>
        </is>
      </c>
      <c r="F2171" t="inlineStr">
        <is>
          <t>SCA</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10926-2022</t>
        </is>
      </c>
      <c r="B2172" s="1" t="n">
        <v>44627</v>
      </c>
      <c r="C2172" s="1" t="n">
        <v>46199</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47955-2024</t>
        </is>
      </c>
      <c r="B2173" s="1" t="n">
        <v>45589</v>
      </c>
      <c r="C2173" s="1" t="n">
        <v>46199</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1416-2025</t>
        </is>
      </c>
      <c r="B2174" s="1" t="n">
        <v>45668</v>
      </c>
      <c r="C2174" s="1" t="n">
        <v>46199</v>
      </c>
      <c r="D2174" t="inlineStr">
        <is>
          <t>VÄSTERNORRLANDS LÄN</t>
        </is>
      </c>
      <c r="E2174" t="inlineStr">
        <is>
          <t>SOLLEFTEÅ</t>
        </is>
      </c>
      <c r="G2174" t="n">
        <v>21.3</v>
      </c>
      <c r="H2174" t="n">
        <v>0</v>
      </c>
      <c r="I2174" t="n">
        <v>0</v>
      </c>
      <c r="J2174" t="n">
        <v>0</v>
      </c>
      <c r="K2174" t="n">
        <v>0</v>
      </c>
      <c r="L2174" t="n">
        <v>0</v>
      </c>
      <c r="M2174" t="n">
        <v>0</v>
      </c>
      <c r="N2174" t="n">
        <v>0</v>
      </c>
      <c r="O2174" t="n">
        <v>0</v>
      </c>
      <c r="P2174" t="n">
        <v>0</v>
      </c>
      <c r="Q2174" t="n">
        <v>0</v>
      </c>
      <c r="R2174" s="2" t="inlineStr"/>
    </row>
    <row r="2175" ht="15" customHeight="1">
      <c r="A2175" t="inlineStr">
        <is>
          <t>A 1082-2025</t>
        </is>
      </c>
      <c r="B2175" s="1" t="n">
        <v>45666</v>
      </c>
      <c r="C2175" s="1" t="n">
        <v>46199</v>
      </c>
      <c r="D2175" t="inlineStr">
        <is>
          <t>VÄSTERNORRLANDS LÄN</t>
        </is>
      </c>
      <c r="E2175" t="inlineStr">
        <is>
          <t>SOLLEFTEÅ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3324-2025</t>
        </is>
      </c>
      <c r="B2176" s="1" t="n">
        <v>45679</v>
      </c>
      <c r="C2176" s="1" t="n">
        <v>46199</v>
      </c>
      <c r="D2176" t="inlineStr">
        <is>
          <t>VÄSTERNORRLANDS LÄN</t>
        </is>
      </c>
      <c r="E2176" t="inlineStr">
        <is>
          <t>SOLLEFTEÅ</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37696-2023</t>
        </is>
      </c>
      <c r="B2177" s="1" t="n">
        <v>45156</v>
      </c>
      <c r="C2177" s="1" t="n">
        <v>46199</v>
      </c>
      <c r="D2177" t="inlineStr">
        <is>
          <t>VÄSTERNORRLANDS LÄN</t>
        </is>
      </c>
      <c r="E2177" t="inlineStr">
        <is>
          <t>SOLLEFTEÅ</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4253-2025</t>
        </is>
      </c>
      <c r="B2178" s="1" t="n">
        <v>45685</v>
      </c>
      <c r="C2178" s="1" t="n">
        <v>46199</v>
      </c>
      <c r="D2178" t="inlineStr">
        <is>
          <t>VÄSTERNORRLANDS LÄN</t>
        </is>
      </c>
      <c r="E2178" t="inlineStr">
        <is>
          <t>SOLLEFTEÅ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13554-2023</t>
        </is>
      </c>
      <c r="B2179" s="1" t="n">
        <v>45005</v>
      </c>
      <c r="C2179" s="1" t="n">
        <v>46199</v>
      </c>
      <c r="D2179" t="inlineStr">
        <is>
          <t>VÄSTERNORRLANDS LÄN</t>
        </is>
      </c>
      <c r="E2179" t="inlineStr">
        <is>
          <t>SOLLEFTEÅ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17481-2025</t>
        </is>
      </c>
      <c r="B2180" s="1" t="n">
        <v>45757</v>
      </c>
      <c r="C2180" s="1" t="n">
        <v>46199</v>
      </c>
      <c r="D2180" t="inlineStr">
        <is>
          <t>VÄSTERNORRLANDS LÄN</t>
        </is>
      </c>
      <c r="E2180" t="inlineStr">
        <is>
          <t>SOLLEFTEÅ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57518-2023</t>
        </is>
      </c>
      <c r="B2181" s="1" t="n">
        <v>45242</v>
      </c>
      <c r="C2181" s="1" t="n">
        <v>46199</v>
      </c>
      <c r="D2181" t="inlineStr">
        <is>
          <t>VÄSTERNORRLANDS LÄN</t>
        </is>
      </c>
      <c r="E2181" t="inlineStr">
        <is>
          <t>SOLLEFTEÅ</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53477-2024</t>
        </is>
      </c>
      <c r="B2182" s="1" t="n">
        <v>45611</v>
      </c>
      <c r="C2182" s="1" t="n">
        <v>46199</v>
      </c>
      <c r="D2182" t="inlineStr">
        <is>
          <t>VÄSTERNORRLANDS LÄN</t>
        </is>
      </c>
      <c r="E2182" t="inlineStr">
        <is>
          <t>SOLLEFTEÅ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11334-2024</t>
        </is>
      </c>
      <c r="B2183" s="1" t="n">
        <v>45372</v>
      </c>
      <c r="C2183" s="1" t="n">
        <v>46199</v>
      </c>
      <c r="D2183" t="inlineStr">
        <is>
          <t>VÄSTERNORRLANDS LÄN</t>
        </is>
      </c>
      <c r="E2183" t="inlineStr">
        <is>
          <t>SOLLEFTEÅ</t>
        </is>
      </c>
      <c r="F2183" t="inlineStr">
        <is>
          <t>SCA</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39495-2023</t>
        </is>
      </c>
      <c r="B2184" s="1" t="n">
        <v>45166</v>
      </c>
      <c r="C2184" s="1" t="n">
        <v>46199</v>
      </c>
      <c r="D2184" t="inlineStr">
        <is>
          <t>VÄSTERNORRLANDS LÄN</t>
        </is>
      </c>
      <c r="E2184" t="inlineStr">
        <is>
          <t>SOLLEFTEÅ</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6172-2022</t>
        </is>
      </c>
      <c r="B2185" s="1" t="n">
        <v>44599</v>
      </c>
      <c r="C2185" s="1" t="n">
        <v>46199</v>
      </c>
      <c r="D2185" t="inlineStr">
        <is>
          <t>VÄSTERNORRLANDS LÄN</t>
        </is>
      </c>
      <c r="E2185" t="inlineStr">
        <is>
          <t>SOLLEFTEÅ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60077-2024</t>
        </is>
      </c>
      <c r="B2186" s="1" t="n">
        <v>45642</v>
      </c>
      <c r="C2186" s="1" t="n">
        <v>46199</v>
      </c>
      <c r="D2186" t="inlineStr">
        <is>
          <t>VÄSTERNORRLANDS LÄN</t>
        </is>
      </c>
      <c r="E2186" t="inlineStr">
        <is>
          <t>SOLLEFTEÅ</t>
        </is>
      </c>
      <c r="F2186" t="inlineStr">
        <is>
          <t>SCA</t>
        </is>
      </c>
      <c r="G2186" t="n">
        <v>21.5</v>
      </c>
      <c r="H2186" t="n">
        <v>0</v>
      </c>
      <c r="I2186" t="n">
        <v>0</v>
      </c>
      <c r="J2186" t="n">
        <v>0</v>
      </c>
      <c r="K2186" t="n">
        <v>0</v>
      </c>
      <c r="L2186" t="n">
        <v>0</v>
      </c>
      <c r="M2186" t="n">
        <v>0</v>
      </c>
      <c r="N2186" t="n">
        <v>0</v>
      </c>
      <c r="O2186" t="n">
        <v>0</v>
      </c>
      <c r="P2186" t="n">
        <v>0</v>
      </c>
      <c r="Q2186" t="n">
        <v>0</v>
      </c>
      <c r="R2186" s="2" t="inlineStr"/>
    </row>
    <row r="2187" ht="15" customHeight="1">
      <c r="A2187" t="inlineStr">
        <is>
          <t>A 12135-2023</t>
        </is>
      </c>
      <c r="B2187" s="1" t="n">
        <v>44995</v>
      </c>
      <c r="C2187" s="1" t="n">
        <v>46199</v>
      </c>
      <c r="D2187" t="inlineStr">
        <is>
          <t>VÄSTERNORRLANDS LÄN</t>
        </is>
      </c>
      <c r="E2187" t="inlineStr">
        <is>
          <t>SOLLEFTEÅ</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27382-2023</t>
        </is>
      </c>
      <c r="B2188" s="1" t="n">
        <v>45096</v>
      </c>
      <c r="C2188" s="1" t="n">
        <v>46199</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27384-2023</t>
        </is>
      </c>
      <c r="B2189" s="1" t="n">
        <v>45096</v>
      </c>
      <c r="C2189" s="1" t="n">
        <v>46199</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18648-2024</t>
        </is>
      </c>
      <c r="B2190" s="1" t="n">
        <v>45425</v>
      </c>
      <c r="C2190" s="1" t="n">
        <v>46199</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27936-2024</t>
        </is>
      </c>
      <c r="B2191" s="1" t="n">
        <v>45475</v>
      </c>
      <c r="C2191" s="1" t="n">
        <v>46199</v>
      </c>
      <c r="D2191" t="inlineStr">
        <is>
          <t>VÄSTERNORRLANDS LÄN</t>
        </is>
      </c>
      <c r="E2191" t="inlineStr">
        <is>
          <t>SOLLEFTEÅ</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59564-2024</t>
        </is>
      </c>
      <c r="B2192" s="1" t="n">
        <v>45638</v>
      </c>
      <c r="C2192" s="1" t="n">
        <v>46199</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52702-2024</t>
        </is>
      </c>
      <c r="B2193" s="1" t="n">
        <v>45610</v>
      </c>
      <c r="C2193" s="1" t="n">
        <v>46199</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25364-2024</t>
        </is>
      </c>
      <c r="B2194" s="1" t="n">
        <v>45462</v>
      </c>
      <c r="C2194" s="1" t="n">
        <v>46199</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34316-2024</t>
        </is>
      </c>
      <c r="B2195" s="1" t="n">
        <v>45524</v>
      </c>
      <c r="C2195" s="1" t="n">
        <v>46199</v>
      </c>
      <c r="D2195" t="inlineStr">
        <is>
          <t>VÄSTERNORRLANDS LÄN</t>
        </is>
      </c>
      <c r="E2195" t="inlineStr">
        <is>
          <t>SOLLEFTEÅ</t>
        </is>
      </c>
      <c r="F2195" t="inlineStr">
        <is>
          <t>Övriga statliga verk och myndigheter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32754-2024</t>
        </is>
      </c>
      <c r="B2196" s="1" t="n">
        <v>45516</v>
      </c>
      <c r="C2196" s="1" t="n">
        <v>46199</v>
      </c>
      <c r="D2196" t="inlineStr">
        <is>
          <t>VÄSTERNORRLANDS LÄN</t>
        </is>
      </c>
      <c r="E2196" t="inlineStr">
        <is>
          <t>SOLLEFTEÅ</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1623-2025</t>
        </is>
      </c>
      <c r="B2197" s="1" t="n">
        <v>45670</v>
      </c>
      <c r="C2197" s="1" t="n">
        <v>46199</v>
      </c>
      <c r="D2197" t="inlineStr">
        <is>
          <t>VÄSTERNORRLANDS LÄN</t>
        </is>
      </c>
      <c r="E2197" t="inlineStr">
        <is>
          <t>SOLLEFTEÅ</t>
        </is>
      </c>
      <c r="F2197" t="inlineStr">
        <is>
          <t>SCA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1459-2024</t>
        </is>
      </c>
      <c r="B2198" s="1" t="n">
        <v>45303</v>
      </c>
      <c r="C2198" s="1" t="n">
        <v>46199</v>
      </c>
      <c r="D2198" t="inlineStr">
        <is>
          <t>VÄSTERNORRLANDS LÄN</t>
        </is>
      </c>
      <c r="E2198" t="inlineStr">
        <is>
          <t>SOLLEFTEÅ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54559-2022</t>
        </is>
      </c>
      <c r="B2199" s="1" t="n">
        <v>44882</v>
      </c>
      <c r="C2199" s="1" t="n">
        <v>46199</v>
      </c>
      <c r="D2199" t="inlineStr">
        <is>
          <t>VÄSTERNORRLANDS LÄN</t>
        </is>
      </c>
      <c r="E2199" t="inlineStr">
        <is>
          <t>SOLLEFTEÅ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49417-2023</t>
        </is>
      </c>
      <c r="B2200" s="1" t="n">
        <v>45205</v>
      </c>
      <c r="C2200" s="1" t="n">
        <v>46199</v>
      </c>
      <c r="D2200" t="inlineStr">
        <is>
          <t>VÄSTERNORRLANDS LÄN</t>
        </is>
      </c>
      <c r="E2200" t="inlineStr">
        <is>
          <t>SOLLEFTEÅ</t>
        </is>
      </c>
      <c r="F2200" t="inlineStr">
        <is>
          <t>SCA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23730-2024</t>
        </is>
      </c>
      <c r="B2201" s="1" t="n">
        <v>45454</v>
      </c>
      <c r="C2201" s="1" t="n">
        <v>46199</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36514-2023</t>
        </is>
      </c>
      <c r="B2202" s="1" t="n">
        <v>45152</v>
      </c>
      <c r="C2202" s="1" t="n">
        <v>46199</v>
      </c>
      <c r="D2202" t="inlineStr">
        <is>
          <t>VÄSTERNORRLANDS LÄN</t>
        </is>
      </c>
      <c r="E2202" t="inlineStr">
        <is>
          <t>SOLLEFTEÅ</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3276-2025</t>
        </is>
      </c>
      <c r="B2203" s="1" t="n">
        <v>45679</v>
      </c>
      <c r="C2203" s="1" t="n">
        <v>46199</v>
      </c>
      <c r="D2203" t="inlineStr">
        <is>
          <t>VÄSTERNORRLANDS LÄN</t>
        </is>
      </c>
      <c r="E2203" t="inlineStr">
        <is>
          <t>SOLLEFTEÅ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18185-2025</t>
        </is>
      </c>
      <c r="B2204" s="1" t="n">
        <v>45761</v>
      </c>
      <c r="C2204" s="1" t="n">
        <v>46199</v>
      </c>
      <c r="D2204" t="inlineStr">
        <is>
          <t>VÄSTERNORRLANDS LÄN</t>
        </is>
      </c>
      <c r="E2204" t="inlineStr">
        <is>
          <t>SOLLEFTEÅ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60168-2022</t>
        </is>
      </c>
      <c r="B2205" s="1" t="n">
        <v>44909</v>
      </c>
      <c r="C2205" s="1" t="n">
        <v>46199</v>
      </c>
      <c r="D2205" t="inlineStr">
        <is>
          <t>VÄSTERNORRLANDS LÄN</t>
        </is>
      </c>
      <c r="E2205" t="inlineStr">
        <is>
          <t>SOLLEFTEÅ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42228-2021</t>
        </is>
      </c>
      <c r="B2206" s="1" t="n">
        <v>44426</v>
      </c>
      <c r="C2206" s="1" t="n">
        <v>46199</v>
      </c>
      <c r="D2206" t="inlineStr">
        <is>
          <t>VÄSTERNORRLANDS LÄN</t>
        </is>
      </c>
      <c r="E2206" t="inlineStr">
        <is>
          <t>SOLLEFTEÅ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14365-2024</t>
        </is>
      </c>
      <c r="B2207" s="1" t="n">
        <v>45393</v>
      </c>
      <c r="C2207" s="1" t="n">
        <v>46199</v>
      </c>
      <c r="D2207" t="inlineStr">
        <is>
          <t>VÄSTERNORRLANDS LÄN</t>
        </is>
      </c>
      <c r="E2207" t="inlineStr">
        <is>
          <t>SOLLEFTEÅ</t>
        </is>
      </c>
      <c r="F2207" t="inlineStr">
        <is>
          <t>SCA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26391-2024</t>
        </is>
      </c>
      <c r="B2208" s="1" t="n">
        <v>45468</v>
      </c>
      <c r="C2208" s="1" t="n">
        <v>46199</v>
      </c>
      <c r="D2208" t="inlineStr">
        <is>
          <t>VÄSTERNORRLANDS LÄN</t>
        </is>
      </c>
      <c r="E2208" t="inlineStr">
        <is>
          <t>SOLLEFTEÅ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29337-2023</t>
        </is>
      </c>
      <c r="B2209" s="1" t="n">
        <v>45105</v>
      </c>
      <c r="C2209" s="1" t="n">
        <v>46199</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34737-2023</t>
        </is>
      </c>
      <c r="B2210" s="1" t="n">
        <v>45139</v>
      </c>
      <c r="C2210" s="1" t="n">
        <v>46199</v>
      </c>
      <c r="D2210" t="inlineStr">
        <is>
          <t>VÄSTERNORRLANDS LÄN</t>
        </is>
      </c>
      <c r="E2210" t="inlineStr">
        <is>
          <t>SOLLEFTEÅ</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40421-2023</t>
        </is>
      </c>
      <c r="B2211" s="1" t="n">
        <v>45169</v>
      </c>
      <c r="C2211" s="1" t="n">
        <v>46199</v>
      </c>
      <c r="D2211" t="inlineStr">
        <is>
          <t>VÄSTERNORRLANDS LÄN</t>
        </is>
      </c>
      <c r="E2211" t="inlineStr">
        <is>
          <t>SOLLEFTEÅ</t>
        </is>
      </c>
      <c r="F2211" t="inlineStr">
        <is>
          <t>SCA</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61778-2024</t>
        </is>
      </c>
      <c r="B2212" s="1" t="n">
        <v>45649</v>
      </c>
      <c r="C2212" s="1" t="n">
        <v>46199</v>
      </c>
      <c r="D2212" t="inlineStr">
        <is>
          <t>VÄSTERNORRLANDS LÄN</t>
        </is>
      </c>
      <c r="E2212" t="inlineStr">
        <is>
          <t>SOLLEFTEÅ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583-2025</t>
        </is>
      </c>
      <c r="B2213" s="1" t="n">
        <v>45664</v>
      </c>
      <c r="C2213" s="1" t="n">
        <v>46199</v>
      </c>
      <c r="D2213" t="inlineStr">
        <is>
          <t>VÄSTERNORRLANDS LÄN</t>
        </is>
      </c>
      <c r="E2213" t="inlineStr">
        <is>
          <t>SOLLEFTEÅ</t>
        </is>
      </c>
      <c r="G2213" t="n">
        <v>47.2</v>
      </c>
      <c r="H2213" t="n">
        <v>0</v>
      </c>
      <c r="I2213" t="n">
        <v>0</v>
      </c>
      <c r="J2213" t="n">
        <v>0</v>
      </c>
      <c r="K2213" t="n">
        <v>0</v>
      </c>
      <c r="L2213" t="n">
        <v>0</v>
      </c>
      <c r="M2213" t="n">
        <v>0</v>
      </c>
      <c r="N2213" t="n">
        <v>0</v>
      </c>
      <c r="O2213" t="n">
        <v>0</v>
      </c>
      <c r="P2213" t="n">
        <v>0</v>
      </c>
      <c r="Q2213" t="n">
        <v>0</v>
      </c>
      <c r="R2213" s="2" t="inlineStr"/>
    </row>
    <row r="2214" ht="15" customHeight="1">
      <c r="A2214" t="inlineStr">
        <is>
          <t>A 61485-2024</t>
        </is>
      </c>
      <c r="B2214" s="1" t="n">
        <v>45646</v>
      </c>
      <c r="C2214" s="1" t="n">
        <v>46199</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16468-2024</t>
        </is>
      </c>
      <c r="B2215" s="1" t="n">
        <v>45408</v>
      </c>
      <c r="C2215" s="1" t="n">
        <v>46199</v>
      </c>
      <c r="D2215" t="inlineStr">
        <is>
          <t>VÄSTERNORRLANDS LÄN</t>
        </is>
      </c>
      <c r="E2215" t="inlineStr">
        <is>
          <t>SOLLEFTEÅ</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52266-2023</t>
        </is>
      </c>
      <c r="B2216" s="1" t="n">
        <v>45217</v>
      </c>
      <c r="C2216" s="1" t="n">
        <v>46199</v>
      </c>
      <c r="D2216" t="inlineStr">
        <is>
          <t>VÄSTERNORRLANDS LÄN</t>
        </is>
      </c>
      <c r="E2216" t="inlineStr">
        <is>
          <t>SOLLEFTEÅ</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61847-2024</t>
        </is>
      </c>
      <c r="B2217" s="1" t="n">
        <v>45646</v>
      </c>
      <c r="C2217" s="1" t="n">
        <v>46199</v>
      </c>
      <c r="D2217" t="inlineStr">
        <is>
          <t>VÄSTERNORRLANDS LÄN</t>
        </is>
      </c>
      <c r="E2217" t="inlineStr">
        <is>
          <t>SOLLEFTEÅ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55622-2023</t>
        </is>
      </c>
      <c r="B2218" s="1" t="n">
        <v>45238</v>
      </c>
      <c r="C2218" s="1" t="n">
        <v>46199</v>
      </c>
      <c r="D2218" t="inlineStr">
        <is>
          <t>VÄSTERNORRLANDS LÄN</t>
        </is>
      </c>
      <c r="E2218" t="inlineStr">
        <is>
          <t>SOLLEFTEÅ</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12972-2023</t>
        </is>
      </c>
      <c r="B2219" s="1" t="n">
        <v>45001</v>
      </c>
      <c r="C2219" s="1" t="n">
        <v>46199</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46032-2022</t>
        </is>
      </c>
      <c r="B2220" s="1" t="n">
        <v>44846</v>
      </c>
      <c r="C2220" s="1" t="n">
        <v>46199</v>
      </c>
      <c r="D2220" t="inlineStr">
        <is>
          <t>VÄSTERNORRLANDS LÄN</t>
        </is>
      </c>
      <c r="E2220" t="inlineStr">
        <is>
          <t>SOLLEFTEÅ</t>
        </is>
      </c>
      <c r="F2220" t="inlineStr">
        <is>
          <t>SCA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29946-2023</t>
        </is>
      </c>
      <c r="B2221" s="1" t="n">
        <v>45107</v>
      </c>
      <c r="C2221" s="1" t="n">
        <v>46199</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38749-2024</t>
        </is>
      </c>
      <c r="B2222" s="1" t="n">
        <v>45547</v>
      </c>
      <c r="C2222" s="1" t="n">
        <v>46199</v>
      </c>
      <c r="D2222" t="inlineStr">
        <is>
          <t>VÄSTERNORRLANDS LÄN</t>
        </is>
      </c>
      <c r="E2222" t="inlineStr">
        <is>
          <t>SOLLEFTEÅ</t>
        </is>
      </c>
      <c r="F2222" t="inlineStr">
        <is>
          <t>SCA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49253-2024</t>
        </is>
      </c>
      <c r="B2223" s="1" t="n">
        <v>45595</v>
      </c>
      <c r="C2223" s="1" t="n">
        <v>46199</v>
      </c>
      <c r="D2223" t="inlineStr">
        <is>
          <t>VÄSTERNORRLANDS LÄN</t>
        </is>
      </c>
      <c r="E2223" t="inlineStr">
        <is>
          <t>SOLLEFTEÅ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39429-2024</t>
        </is>
      </c>
      <c r="B2224" s="1" t="n">
        <v>45551</v>
      </c>
      <c r="C2224" s="1" t="n">
        <v>46199</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54538-2022</t>
        </is>
      </c>
      <c r="B2225" s="1" t="n">
        <v>44882</v>
      </c>
      <c r="C2225" s="1" t="n">
        <v>46199</v>
      </c>
      <c r="D2225" t="inlineStr">
        <is>
          <t>VÄSTERNORRLANDS LÄN</t>
        </is>
      </c>
      <c r="E2225" t="inlineStr">
        <is>
          <t>SOLLEFTEÅ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8893-2025</t>
        </is>
      </c>
      <c r="B2226" s="1" t="n">
        <v>45713</v>
      </c>
      <c r="C2226" s="1" t="n">
        <v>46199</v>
      </c>
      <c r="D2226" t="inlineStr">
        <is>
          <t>VÄSTERNORRLANDS LÄN</t>
        </is>
      </c>
      <c r="E2226" t="inlineStr">
        <is>
          <t>SOLLEFTEÅ</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54238-2024</t>
        </is>
      </c>
      <c r="B2227" s="1" t="n">
        <v>45616</v>
      </c>
      <c r="C2227" s="1" t="n">
        <v>46199</v>
      </c>
      <c r="D2227" t="inlineStr">
        <is>
          <t>VÄSTERNORRLANDS LÄN</t>
        </is>
      </c>
      <c r="E2227" t="inlineStr">
        <is>
          <t>SOLLEFTEÅ</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19429-2024</t>
        </is>
      </c>
      <c r="B2228" s="1" t="n">
        <v>45429</v>
      </c>
      <c r="C2228" s="1" t="n">
        <v>46199</v>
      </c>
      <c r="D2228" t="inlineStr">
        <is>
          <t>VÄSTERNORRLANDS LÄN</t>
        </is>
      </c>
      <c r="E2228" t="inlineStr">
        <is>
          <t>SOLLEFTEÅ</t>
        </is>
      </c>
      <c r="G2228" t="n">
        <v>10.6</v>
      </c>
      <c r="H2228" t="n">
        <v>0</v>
      </c>
      <c r="I2228" t="n">
        <v>0</v>
      </c>
      <c r="J2228" t="n">
        <v>0</v>
      </c>
      <c r="K2228" t="n">
        <v>0</v>
      </c>
      <c r="L2228" t="n">
        <v>0</v>
      </c>
      <c r="M2228" t="n">
        <v>0</v>
      </c>
      <c r="N2228" t="n">
        <v>0</v>
      </c>
      <c r="O2228" t="n">
        <v>0</v>
      </c>
      <c r="P2228" t="n">
        <v>0</v>
      </c>
      <c r="Q2228" t="n">
        <v>0</v>
      </c>
      <c r="R2228" s="2" t="inlineStr"/>
    </row>
    <row r="2229" ht="15" customHeight="1">
      <c r="A2229" t="inlineStr">
        <is>
          <t>A 44392-2023</t>
        </is>
      </c>
      <c r="B2229" s="1" t="n">
        <v>45188</v>
      </c>
      <c r="C2229" s="1" t="n">
        <v>46199</v>
      </c>
      <c r="D2229" t="inlineStr">
        <is>
          <t>VÄSTERNORRLANDS LÄN</t>
        </is>
      </c>
      <c r="E2229" t="inlineStr">
        <is>
          <t>SOLLEFTEÅ</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42160-2023</t>
        </is>
      </c>
      <c r="B2230" s="1" t="n">
        <v>45177</v>
      </c>
      <c r="C2230" s="1" t="n">
        <v>46199</v>
      </c>
      <c r="D2230" t="inlineStr">
        <is>
          <t>VÄSTERNORRLANDS LÄN</t>
        </is>
      </c>
      <c r="E2230" t="inlineStr">
        <is>
          <t>SOLLEFTEÅ</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39469-2024</t>
        </is>
      </c>
      <c r="B2231" s="1" t="n">
        <v>45551</v>
      </c>
      <c r="C2231" s="1" t="n">
        <v>46199</v>
      </c>
      <c r="D2231" t="inlineStr">
        <is>
          <t>VÄSTERNORRLANDS LÄN</t>
        </is>
      </c>
      <c r="E2231" t="inlineStr">
        <is>
          <t>SOLLEFTEÅ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31646-2022</t>
        </is>
      </c>
      <c r="B2232" s="1" t="n">
        <v>44775</v>
      </c>
      <c r="C2232" s="1" t="n">
        <v>46199</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45118-2022</t>
        </is>
      </c>
      <c r="B2233" s="1" t="n">
        <v>44843</v>
      </c>
      <c r="C2233" s="1" t="n">
        <v>46199</v>
      </c>
      <c r="D2233" t="inlineStr">
        <is>
          <t>VÄSTERNORRLANDS LÄN</t>
        </is>
      </c>
      <c r="E2233" t="inlineStr">
        <is>
          <t>SOLLEFTEÅ</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54255-2022</t>
        </is>
      </c>
      <c r="B2234" s="1" t="n">
        <v>44881</v>
      </c>
      <c r="C2234" s="1" t="n">
        <v>46199</v>
      </c>
      <c r="D2234" t="inlineStr">
        <is>
          <t>VÄSTERNORRLANDS LÄN</t>
        </is>
      </c>
      <c r="E2234" t="inlineStr">
        <is>
          <t>SOLLEFTEÅ</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16670-2022</t>
        </is>
      </c>
      <c r="B2235" s="1" t="n">
        <v>44672</v>
      </c>
      <c r="C2235" s="1" t="n">
        <v>46199</v>
      </c>
      <c r="D2235" t="inlineStr">
        <is>
          <t>VÄSTERNORRLANDS LÄN</t>
        </is>
      </c>
      <c r="E2235" t="inlineStr">
        <is>
          <t>SOLLEFTEÅ</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2185-2025</t>
        </is>
      </c>
      <c r="B2236" s="1" t="n">
        <v>45673</v>
      </c>
      <c r="C2236" s="1" t="n">
        <v>46199</v>
      </c>
      <c r="D2236" t="inlineStr">
        <is>
          <t>VÄSTERNORRLANDS LÄN</t>
        </is>
      </c>
      <c r="E2236" t="inlineStr">
        <is>
          <t>SOLLEFTEÅ</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21344-2023</t>
        </is>
      </c>
      <c r="B2237" s="1" t="n">
        <v>45062</v>
      </c>
      <c r="C2237" s="1" t="n">
        <v>46199</v>
      </c>
      <c r="D2237" t="inlineStr">
        <is>
          <t>VÄSTERNORRLANDS LÄN</t>
        </is>
      </c>
      <c r="E2237" t="inlineStr">
        <is>
          <t>SOLLEFTEÅ</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48964-2023</t>
        </is>
      </c>
      <c r="B2238" s="1" t="n">
        <v>45204</v>
      </c>
      <c r="C2238" s="1" t="n">
        <v>46199</v>
      </c>
      <c r="D2238" t="inlineStr">
        <is>
          <t>VÄSTERNORRLANDS LÄN</t>
        </is>
      </c>
      <c r="E2238" t="inlineStr">
        <is>
          <t>SOLLEFTEÅ</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47177-2023</t>
        </is>
      </c>
      <c r="B2239" s="1" t="n">
        <v>45201</v>
      </c>
      <c r="C2239" s="1" t="n">
        <v>46199</v>
      </c>
      <c r="D2239" t="inlineStr">
        <is>
          <t>VÄSTERNORRLANDS LÄN</t>
        </is>
      </c>
      <c r="E2239" t="inlineStr">
        <is>
          <t>SOLLEFTEÅ</t>
        </is>
      </c>
      <c r="F2239" t="inlineStr">
        <is>
          <t>SCA</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24211-2024</t>
        </is>
      </c>
      <c r="B2240" s="1" t="n">
        <v>45456</v>
      </c>
      <c r="C2240" s="1" t="n">
        <v>46199</v>
      </c>
      <c r="D2240" t="inlineStr">
        <is>
          <t>VÄSTERNORRLANDS LÄN</t>
        </is>
      </c>
      <c r="E2240" t="inlineStr">
        <is>
          <t>SOLLEFTEÅ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43525-2021</t>
        </is>
      </c>
      <c r="B2241" s="1" t="n">
        <v>44433</v>
      </c>
      <c r="C2241" s="1" t="n">
        <v>46199</v>
      </c>
      <c r="D2241" t="inlineStr">
        <is>
          <t>VÄSTERNORRLANDS LÄN</t>
        </is>
      </c>
      <c r="E2241" t="inlineStr">
        <is>
          <t>SOLLEFTEÅ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56398-2024</t>
        </is>
      </c>
      <c r="B2242" s="1" t="n">
        <v>45625</v>
      </c>
      <c r="C2242" s="1" t="n">
        <v>46199</v>
      </c>
      <c r="D2242" t="inlineStr">
        <is>
          <t>VÄSTERNORRLANDS LÄN</t>
        </is>
      </c>
      <c r="E2242" t="inlineStr">
        <is>
          <t>SOLLEFTEÅ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37201-2024</t>
        </is>
      </c>
      <c r="B2243" s="1" t="n">
        <v>45539</v>
      </c>
      <c r="C2243" s="1" t="n">
        <v>46199</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18861-2023</t>
        </is>
      </c>
      <c r="B2244" s="1" t="n">
        <v>45042</v>
      </c>
      <c r="C2244" s="1" t="n">
        <v>46199</v>
      </c>
      <c r="D2244" t="inlineStr">
        <is>
          <t>VÄSTERNORRLANDS LÄN</t>
        </is>
      </c>
      <c r="E2244" t="inlineStr">
        <is>
          <t>SOLLEFTEÅ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54485-2024</t>
        </is>
      </c>
      <c r="B2245" s="1" t="n">
        <v>45617</v>
      </c>
      <c r="C2245" s="1" t="n">
        <v>46199</v>
      </c>
      <c r="D2245" t="inlineStr">
        <is>
          <t>VÄSTERNORRLANDS LÄN</t>
        </is>
      </c>
      <c r="E2245" t="inlineStr">
        <is>
          <t>SOLLEFTEÅ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48001-2024</t>
        </is>
      </c>
      <c r="B2246" s="1" t="n">
        <v>45589</v>
      </c>
      <c r="C2246" s="1" t="n">
        <v>46199</v>
      </c>
      <c r="D2246" t="inlineStr">
        <is>
          <t>VÄSTERNORRLANDS LÄN</t>
        </is>
      </c>
      <c r="E2246" t="inlineStr">
        <is>
          <t>SOLLEFTEÅ</t>
        </is>
      </c>
      <c r="F2246" t="inlineStr">
        <is>
          <t>SCA</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42979-2024</t>
        </is>
      </c>
      <c r="B2247" s="1" t="n">
        <v>45567</v>
      </c>
      <c r="C2247" s="1" t="n">
        <v>46199</v>
      </c>
      <c r="D2247" t="inlineStr">
        <is>
          <t>VÄSTERNORRLANDS LÄN</t>
        </is>
      </c>
      <c r="E2247" t="inlineStr">
        <is>
          <t>SOLLEFTEÅ</t>
        </is>
      </c>
      <c r="F2247" t="inlineStr">
        <is>
          <t>SCA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1840-2024</t>
        </is>
      </c>
      <c r="B2248" s="1" t="n">
        <v>45307</v>
      </c>
      <c r="C2248" s="1" t="n">
        <v>46199</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1844-2024</t>
        </is>
      </c>
      <c r="B2249" s="1" t="n">
        <v>45307</v>
      </c>
      <c r="C2249" s="1" t="n">
        <v>46199</v>
      </c>
      <c r="D2249" t="inlineStr">
        <is>
          <t>VÄSTERNORRLANDS LÄN</t>
        </is>
      </c>
      <c r="E2249" t="inlineStr">
        <is>
          <t>SOLLEFTEÅ</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9689-2024</t>
        </is>
      </c>
      <c r="B2250" s="1" t="n">
        <v>45362</v>
      </c>
      <c r="C2250" s="1" t="n">
        <v>46199</v>
      </c>
      <c r="D2250" t="inlineStr">
        <is>
          <t>VÄSTERNORRLANDS LÄN</t>
        </is>
      </c>
      <c r="E2250" t="inlineStr">
        <is>
          <t>SOLLEFTEÅ</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25139-2024</t>
        </is>
      </c>
      <c r="B2251" s="1" t="n">
        <v>45462</v>
      </c>
      <c r="C2251" s="1" t="n">
        <v>46199</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38769-2024</t>
        </is>
      </c>
      <c r="B2252" s="1" t="n">
        <v>45547</v>
      </c>
      <c r="C2252" s="1" t="n">
        <v>46199</v>
      </c>
      <c r="D2252" t="inlineStr">
        <is>
          <t>VÄSTERNORRLANDS LÄN</t>
        </is>
      </c>
      <c r="E2252" t="inlineStr">
        <is>
          <t>SOLLEFTEÅ</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769-2025</t>
        </is>
      </c>
      <c r="B2253" s="1" t="n">
        <v>45659</v>
      </c>
      <c r="C2253" s="1" t="n">
        <v>46199</v>
      </c>
      <c r="D2253" t="inlineStr">
        <is>
          <t>VÄSTERNORRLANDS LÄN</t>
        </is>
      </c>
      <c r="E2253" t="inlineStr">
        <is>
          <t>SOLLEFTEÅ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4905-2025</t>
        </is>
      </c>
      <c r="B2254" s="1" t="n">
        <v>45688</v>
      </c>
      <c r="C2254" s="1" t="n">
        <v>46199</v>
      </c>
      <c r="D2254" t="inlineStr">
        <is>
          <t>VÄSTERNORRLANDS LÄN</t>
        </is>
      </c>
      <c r="E2254" t="inlineStr">
        <is>
          <t>SOLLEFTEÅ</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6733-2025</t>
        </is>
      </c>
      <c r="B2255" s="1" t="n">
        <v>45700</v>
      </c>
      <c r="C2255" s="1" t="n">
        <v>46199</v>
      </c>
      <c r="D2255" t="inlineStr">
        <is>
          <t>VÄSTERNORRLANDS LÄN</t>
        </is>
      </c>
      <c r="E2255" t="inlineStr">
        <is>
          <t>SOLLEFTEÅ</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14036-2025</t>
        </is>
      </c>
      <c r="B2256" s="1" t="n">
        <v>45740</v>
      </c>
      <c r="C2256" s="1" t="n">
        <v>46199</v>
      </c>
      <c r="D2256" t="inlineStr">
        <is>
          <t>VÄSTERNORRLANDS LÄN</t>
        </is>
      </c>
      <c r="E2256" t="inlineStr">
        <is>
          <t>SOLLEFTEÅ</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17049-2022</t>
        </is>
      </c>
      <c r="B2257" s="1" t="n">
        <v>44676</v>
      </c>
      <c r="C2257" s="1" t="n">
        <v>46199</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c r="U2257">
        <f>HYPERLINK("https://klasma.github.io/Logging_2283/knärot/A 17049-2022 karta knärot.png", "A 17049-2022")</f>
        <v/>
      </c>
      <c r="V2257">
        <f>HYPERLINK("https://klasma.github.io/Logging_2283/klagomål/A 17049-2022 FSC-klagomål.docx", "A 17049-2022")</f>
        <v/>
      </c>
      <c r="W2257">
        <f>HYPERLINK("https://klasma.github.io/Logging_2283/klagomålsmail/A 17049-2022 FSC-klagomål mail.docx", "A 17049-2022")</f>
        <v/>
      </c>
      <c r="X2257">
        <f>HYPERLINK("https://klasma.github.io/Logging_2283/tillsyn/A 17049-2022 tillsynsbegäran.docx", "A 17049-2022")</f>
        <v/>
      </c>
      <c r="Y2257">
        <f>HYPERLINK("https://klasma.github.io/Logging_2283/tillsynsmail/A 17049-2022 tillsynsbegäran mail.docx", "A 17049-2022")</f>
        <v/>
      </c>
    </row>
    <row r="2258" ht="15" customHeight="1">
      <c r="A2258" t="inlineStr">
        <is>
          <t>A 59647-2022</t>
        </is>
      </c>
      <c r="B2258" s="1" t="n">
        <v>44907</v>
      </c>
      <c r="C2258" s="1" t="n">
        <v>46199</v>
      </c>
      <c r="D2258" t="inlineStr">
        <is>
          <t>VÄSTERNORRLANDS LÄN</t>
        </is>
      </c>
      <c r="E2258" t="inlineStr">
        <is>
          <t>SOLLEFTEÅ</t>
        </is>
      </c>
      <c r="F2258" t="inlineStr">
        <is>
          <t>SCA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20859-2023</t>
        </is>
      </c>
      <c r="B2259" s="1" t="n">
        <v>45058</v>
      </c>
      <c r="C2259" s="1" t="n">
        <v>46199</v>
      </c>
      <c r="D2259" t="inlineStr">
        <is>
          <t>VÄSTERNORRLANDS LÄN</t>
        </is>
      </c>
      <c r="E2259" t="inlineStr">
        <is>
          <t>SOLLEFTEÅ</t>
        </is>
      </c>
      <c r="F2259" t="inlineStr">
        <is>
          <t>SCA</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11094-2023</t>
        </is>
      </c>
      <c r="B2260" s="1" t="n">
        <v>44986</v>
      </c>
      <c r="C2260" s="1" t="n">
        <v>46199</v>
      </c>
      <c r="D2260" t="inlineStr">
        <is>
          <t>VÄSTERNORRLANDS LÄN</t>
        </is>
      </c>
      <c r="E2260" t="inlineStr">
        <is>
          <t>SOLLEFTEÅ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56256-2023</t>
        </is>
      </c>
      <c r="B2261" s="1" t="n">
        <v>45240</v>
      </c>
      <c r="C2261" s="1" t="n">
        <v>46199</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56262-2023</t>
        </is>
      </c>
      <c r="B2262" s="1" t="n">
        <v>45240</v>
      </c>
      <c r="C2262" s="1" t="n">
        <v>46199</v>
      </c>
      <c r="D2262" t="inlineStr">
        <is>
          <t>VÄSTERNORRLANDS LÄN</t>
        </is>
      </c>
      <c r="E2262" t="inlineStr">
        <is>
          <t>SOLLEFTEÅ</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50716-2023</t>
        </is>
      </c>
      <c r="B2263" s="1" t="n">
        <v>45210</v>
      </c>
      <c r="C2263" s="1" t="n">
        <v>46199</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50549-2024</t>
        </is>
      </c>
      <c r="B2264" s="1" t="n">
        <v>45601</v>
      </c>
      <c r="C2264" s="1" t="n">
        <v>46199</v>
      </c>
      <c r="D2264" t="inlineStr">
        <is>
          <t>VÄSTERNORRLANDS LÄN</t>
        </is>
      </c>
      <c r="E2264" t="inlineStr">
        <is>
          <t>SOLLEFTEÅ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50624-2024</t>
        </is>
      </c>
      <c r="B2265" s="1" t="n">
        <v>45601</v>
      </c>
      <c r="C2265" s="1" t="n">
        <v>46199</v>
      </c>
      <c r="D2265" t="inlineStr">
        <is>
          <t>VÄSTERNORRLANDS LÄN</t>
        </is>
      </c>
      <c r="E2265" t="inlineStr">
        <is>
          <t>SOLLEFTEÅ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34878-2024</t>
        </is>
      </c>
      <c r="B2266" s="1" t="n">
        <v>45527</v>
      </c>
      <c r="C2266" s="1" t="n">
        <v>46199</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55759-2024</t>
        </is>
      </c>
      <c r="B2267" s="1" t="n">
        <v>45623</v>
      </c>
      <c r="C2267" s="1" t="n">
        <v>46199</v>
      </c>
      <c r="D2267" t="inlineStr">
        <is>
          <t>VÄSTERNORRLANDS LÄN</t>
        </is>
      </c>
      <c r="E2267" t="inlineStr">
        <is>
          <t>SOLLEFTEÅ</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57892-2024</t>
        </is>
      </c>
      <c r="B2268" s="1" t="n">
        <v>45631</v>
      </c>
      <c r="C2268" s="1" t="n">
        <v>46199</v>
      </c>
      <c r="D2268" t="inlineStr">
        <is>
          <t>VÄSTERNORRLANDS LÄN</t>
        </is>
      </c>
      <c r="E2268" t="inlineStr">
        <is>
          <t>SOLLEFTEÅ</t>
        </is>
      </c>
      <c r="F2268" t="inlineStr">
        <is>
          <t>SCA</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20223-2024</t>
        </is>
      </c>
      <c r="B2269" s="1" t="n">
        <v>45434</v>
      </c>
      <c r="C2269" s="1" t="n">
        <v>46199</v>
      </c>
      <c r="D2269" t="inlineStr">
        <is>
          <t>VÄSTERNORRLANDS LÄN</t>
        </is>
      </c>
      <c r="E2269" t="inlineStr">
        <is>
          <t>SOLLEFTEÅ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60831-2024</t>
        </is>
      </c>
      <c r="B2270" s="1" t="n">
        <v>45644</v>
      </c>
      <c r="C2270" s="1" t="n">
        <v>46199</v>
      </c>
      <c r="D2270" t="inlineStr">
        <is>
          <t>VÄSTERNORRLANDS LÄN</t>
        </is>
      </c>
      <c r="E2270" t="inlineStr">
        <is>
          <t>SOLLEFTEÅ</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14097-2025</t>
        </is>
      </c>
      <c r="B2271" s="1" t="n">
        <v>45740</v>
      </c>
      <c r="C2271" s="1" t="n">
        <v>46199</v>
      </c>
      <c r="D2271" t="inlineStr">
        <is>
          <t>VÄSTERNORRLANDS LÄN</t>
        </is>
      </c>
      <c r="E2271" t="inlineStr">
        <is>
          <t>SOLLEFTEÅ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43487-2023</t>
        </is>
      </c>
      <c r="B2272" s="1" t="n">
        <v>45181</v>
      </c>
      <c r="C2272" s="1" t="n">
        <v>46199</v>
      </c>
      <c r="D2272" t="inlineStr">
        <is>
          <t>VÄSTERNORRLANDS LÄN</t>
        </is>
      </c>
      <c r="E2272" t="inlineStr">
        <is>
          <t>SOLLEFTEÅ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13150-2025</t>
        </is>
      </c>
      <c r="B2273" s="1" t="n">
        <v>45735</v>
      </c>
      <c r="C2273" s="1" t="n">
        <v>46199</v>
      </c>
      <c r="D2273" t="inlineStr">
        <is>
          <t>VÄSTERNORRLANDS LÄN</t>
        </is>
      </c>
      <c r="E2273" t="inlineStr">
        <is>
          <t>SOLLEFTEÅ</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8476-2025</t>
        </is>
      </c>
      <c r="B2274" s="1" t="n">
        <v>45709</v>
      </c>
      <c r="C2274" s="1" t="n">
        <v>46199</v>
      </c>
      <c r="D2274" t="inlineStr">
        <is>
          <t>VÄSTERNORRLANDS LÄN</t>
        </is>
      </c>
      <c r="E2274" t="inlineStr">
        <is>
          <t>SOLLEFTEÅ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12683-2025</t>
        </is>
      </c>
      <c r="B2275" s="1" t="n">
        <v>45733</v>
      </c>
      <c r="C2275" s="1" t="n">
        <v>46199</v>
      </c>
      <c r="D2275" t="inlineStr">
        <is>
          <t>VÄSTERNORRLANDS LÄN</t>
        </is>
      </c>
      <c r="E2275" t="inlineStr">
        <is>
          <t>SOLLEFTEÅ</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51681-2023</t>
        </is>
      </c>
      <c r="B2276" s="1" t="n">
        <v>45215</v>
      </c>
      <c r="C2276" s="1" t="n">
        <v>46199</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61845-2024</t>
        </is>
      </c>
      <c r="B2277" s="1" t="n">
        <v>45646</v>
      </c>
      <c r="C2277" s="1" t="n">
        <v>46199</v>
      </c>
      <c r="D2277" t="inlineStr">
        <is>
          <t>VÄSTERNORRLANDS LÄN</t>
        </is>
      </c>
      <c r="E2277" t="inlineStr">
        <is>
          <t>SOLLEFTEÅ</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61849-2024</t>
        </is>
      </c>
      <c r="B2278" s="1" t="n">
        <v>45646</v>
      </c>
      <c r="C2278" s="1" t="n">
        <v>46199</v>
      </c>
      <c r="D2278" t="inlineStr">
        <is>
          <t>VÄSTERNORRLANDS LÄN</t>
        </is>
      </c>
      <c r="E2278" t="inlineStr">
        <is>
          <t>SOLLEFTEÅ</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50844-2023</t>
        </is>
      </c>
      <c r="B2279" s="1" t="n">
        <v>45217</v>
      </c>
      <c r="C2279" s="1" t="n">
        <v>46199</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17664-2023</t>
        </is>
      </c>
      <c r="B2280" s="1" t="n">
        <v>45036</v>
      </c>
      <c r="C2280" s="1" t="n">
        <v>46199</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14353-2025</t>
        </is>
      </c>
      <c r="B2281" s="1" t="n">
        <v>45741</v>
      </c>
      <c r="C2281" s="1" t="n">
        <v>46199</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9608-2025</t>
        </is>
      </c>
      <c r="B2282" s="1" t="n">
        <v>45715</v>
      </c>
      <c r="C2282" s="1" t="n">
        <v>46199</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20725-2025</t>
        </is>
      </c>
      <c r="B2283" s="1" t="n">
        <v>45776</v>
      </c>
      <c r="C2283" s="1" t="n">
        <v>46199</v>
      </c>
      <c r="D2283" t="inlineStr">
        <is>
          <t>VÄSTERNORRLANDS LÄN</t>
        </is>
      </c>
      <c r="E2283" t="inlineStr">
        <is>
          <t>SOLLEFTEÅ</t>
        </is>
      </c>
      <c r="F2283" t="inlineStr">
        <is>
          <t>SCA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20793-2025</t>
        </is>
      </c>
      <c r="B2284" s="1" t="n">
        <v>45776</v>
      </c>
      <c r="C2284" s="1" t="n">
        <v>46199</v>
      </c>
      <c r="D2284" t="inlineStr">
        <is>
          <t>VÄSTERNORRLANDS LÄN</t>
        </is>
      </c>
      <c r="E2284" t="inlineStr">
        <is>
          <t>SOLLEFTEÅ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21088-2025</t>
        </is>
      </c>
      <c r="B2285" s="1" t="n">
        <v>45777</v>
      </c>
      <c r="C2285" s="1" t="n">
        <v>46199</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3990-2024</t>
        </is>
      </c>
      <c r="B2286" s="1" t="n">
        <v>45322</v>
      </c>
      <c r="C2286" s="1" t="n">
        <v>46199</v>
      </c>
      <c r="D2286" t="inlineStr">
        <is>
          <t>VÄSTERNORRLANDS LÄN</t>
        </is>
      </c>
      <c r="E2286" t="inlineStr">
        <is>
          <t>SOLLEFTEÅ</t>
        </is>
      </c>
      <c r="F2286" t="inlineStr">
        <is>
          <t>SCA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52087-2023</t>
        </is>
      </c>
      <c r="B2287" s="1" t="n">
        <v>45223</v>
      </c>
      <c r="C2287" s="1" t="n">
        <v>46199</v>
      </c>
      <c r="D2287" t="inlineStr">
        <is>
          <t>VÄSTERNORRLANDS LÄN</t>
        </is>
      </c>
      <c r="E2287" t="inlineStr">
        <is>
          <t>SOLLEFTEÅ</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21553-2025</t>
        </is>
      </c>
      <c r="B2288" s="1" t="n">
        <v>45782</v>
      </c>
      <c r="C2288" s="1" t="n">
        <v>46199</v>
      </c>
      <c r="D2288" t="inlineStr">
        <is>
          <t>VÄSTERNORRLANDS LÄN</t>
        </is>
      </c>
      <c r="E2288" t="inlineStr">
        <is>
          <t>SOLLEFTEÅ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21555-2025</t>
        </is>
      </c>
      <c r="B2289" s="1" t="n">
        <v>45782</v>
      </c>
      <c r="C2289" s="1" t="n">
        <v>46199</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21429-2025</t>
        </is>
      </c>
      <c r="B2290" s="1" t="n">
        <v>45782</v>
      </c>
      <c r="C2290" s="1" t="n">
        <v>46199</v>
      </c>
      <c r="D2290" t="inlineStr">
        <is>
          <t>VÄSTERNORRLANDS LÄN</t>
        </is>
      </c>
      <c r="E2290" t="inlineStr">
        <is>
          <t>SOLLEFTEÅ</t>
        </is>
      </c>
      <c r="F2290" t="inlineStr">
        <is>
          <t>SCA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6058-2024</t>
        </is>
      </c>
      <c r="B2291" s="1" t="n">
        <v>45336</v>
      </c>
      <c r="C2291" s="1" t="n">
        <v>46199</v>
      </c>
      <c r="D2291" t="inlineStr">
        <is>
          <t>VÄSTERNORRLANDS LÄN</t>
        </is>
      </c>
      <c r="E2291" t="inlineStr">
        <is>
          <t>SOLLEFTEÅ</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51527-2024</t>
        </is>
      </c>
      <c r="B2292" s="1" t="n">
        <v>45604</v>
      </c>
      <c r="C2292" s="1" t="n">
        <v>46199</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21481-2025</t>
        </is>
      </c>
      <c r="B2293" s="1" t="n">
        <v>45782</v>
      </c>
      <c r="C2293" s="1" t="n">
        <v>46199</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21485-2025</t>
        </is>
      </c>
      <c r="B2294" s="1" t="n">
        <v>45782</v>
      </c>
      <c r="C2294" s="1" t="n">
        <v>46199</v>
      </c>
      <c r="D2294" t="inlineStr">
        <is>
          <t>VÄSTERNORRLANDS LÄN</t>
        </is>
      </c>
      <c r="E2294" t="inlineStr">
        <is>
          <t>SOLLEFTEÅ</t>
        </is>
      </c>
      <c r="F2294" t="inlineStr">
        <is>
          <t>SCA</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21983-2025</t>
        </is>
      </c>
      <c r="B2295" s="1" t="n">
        <v>45784</v>
      </c>
      <c r="C2295" s="1" t="n">
        <v>46199</v>
      </c>
      <c r="D2295" t="inlineStr">
        <is>
          <t>VÄSTERNORRLANDS LÄN</t>
        </is>
      </c>
      <c r="E2295" t="inlineStr">
        <is>
          <t>SOLLEFTEÅ</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7107-2024</t>
        </is>
      </c>
      <c r="B2296" s="1" t="n">
        <v>45343</v>
      </c>
      <c r="C2296" s="1" t="n">
        <v>46199</v>
      </c>
      <c r="D2296" t="inlineStr">
        <is>
          <t>VÄSTERNORRLANDS LÄN</t>
        </is>
      </c>
      <c r="E2296" t="inlineStr">
        <is>
          <t>SOLLEFTEÅ</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21896-2025</t>
        </is>
      </c>
      <c r="B2297" s="1" t="n">
        <v>45784</v>
      </c>
      <c r="C2297" s="1" t="n">
        <v>46199</v>
      </c>
      <c r="D2297" t="inlineStr">
        <is>
          <t>VÄSTERNORRLANDS LÄN</t>
        </is>
      </c>
      <c r="E2297" t="inlineStr">
        <is>
          <t>SOLLEFTEÅ</t>
        </is>
      </c>
      <c r="G2297" t="n">
        <v>16.1</v>
      </c>
      <c r="H2297" t="n">
        <v>0</v>
      </c>
      <c r="I2297" t="n">
        <v>0</v>
      </c>
      <c r="J2297" t="n">
        <v>0</v>
      </c>
      <c r="K2297" t="n">
        <v>0</v>
      </c>
      <c r="L2297" t="n">
        <v>0</v>
      </c>
      <c r="M2297" t="n">
        <v>0</v>
      </c>
      <c r="N2297" t="n">
        <v>0</v>
      </c>
      <c r="O2297" t="n">
        <v>0</v>
      </c>
      <c r="P2297" t="n">
        <v>0</v>
      </c>
      <c r="Q2297" t="n">
        <v>0</v>
      </c>
      <c r="R2297" s="2" t="inlineStr"/>
    </row>
    <row r="2298" ht="15" customHeight="1">
      <c r="A2298" t="inlineStr">
        <is>
          <t>A 21863-2025</t>
        </is>
      </c>
      <c r="B2298" s="1" t="n">
        <v>45784</v>
      </c>
      <c r="C2298" s="1" t="n">
        <v>46199</v>
      </c>
      <c r="D2298" t="inlineStr">
        <is>
          <t>VÄSTERNORRLANDS LÄN</t>
        </is>
      </c>
      <c r="E2298" t="inlineStr">
        <is>
          <t>SOLLEFTEÅ</t>
        </is>
      </c>
      <c r="F2298" t="inlineStr">
        <is>
          <t>SCA</t>
        </is>
      </c>
      <c r="G2298" t="n">
        <v>1.7</v>
      </c>
      <c r="H2298" t="n">
        <v>0</v>
      </c>
      <c r="I2298" t="n">
        <v>0</v>
      </c>
      <c r="J2298" t="n">
        <v>0</v>
      </c>
      <c r="K2298" t="n">
        <v>0</v>
      </c>
      <c r="L2298" t="n">
        <v>0</v>
      </c>
      <c r="M2298" t="n">
        <v>0</v>
      </c>
      <c r="N2298" t="n">
        <v>0</v>
      </c>
      <c r="O2298" t="n">
        <v>0</v>
      </c>
      <c r="P2298" t="n">
        <v>0</v>
      </c>
      <c r="Q2298" t="n">
        <v>0</v>
      </c>
      <c r="R2298" s="2" t="inlineStr"/>
    </row>
    <row r="2299">
      <c r="A2299" t="inlineStr">
        <is>
          <t>A 21669-2025</t>
        </is>
      </c>
      <c r="B2299" s="1" t="n">
        <v>45783</v>
      </c>
      <c r="C2299" s="1" t="n">
        <v>46199</v>
      </c>
      <c r="D2299" t="inlineStr">
        <is>
          <t>VÄSTERNORRLANDS LÄN</t>
        </is>
      </c>
      <c r="E2299" t="inlineStr">
        <is>
          <t>SOLLEFTEÅ</t>
        </is>
      </c>
      <c r="F2299" t="inlineStr">
        <is>
          <t>SCA</t>
        </is>
      </c>
      <c r="G2299" t="n">
        <v>7.8</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2026-06-26T00:48:38Z</dcterms:created>
  <dcterms:modified xmlns:dcterms="http://purl.org/dc/terms/" xmlns:xsi="http://www.w3.org/2001/XMLSchema-instance" xsi:type="dcterms:W3CDTF">2026-06-26T00:48:40Z</dcterms:modified>
</cp:coreProperties>
</file>