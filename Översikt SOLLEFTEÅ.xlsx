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45583</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45583</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45583</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45583</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45583</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45583</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45583</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45583</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45583</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45583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45583</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44491-2024</t>
        </is>
      </c>
      <c r="B23" s="1" t="n">
        <v>45574</v>
      </c>
      <c r="C23" s="1" t="n">
        <v>45583</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17679-2020</t>
        </is>
      </c>
      <c r="B24" s="1" t="n">
        <v>43923</v>
      </c>
      <c r="C24" s="1" t="n">
        <v>45583</v>
      </c>
      <c r="D24" t="inlineStr">
        <is>
          <t>VÄSTERNORRLANDS LÄN</t>
        </is>
      </c>
      <c r="E24" t="inlineStr">
        <is>
          <t>SOLLEFTEÅ</t>
        </is>
      </c>
      <c r="G24" t="n">
        <v>8.9</v>
      </c>
      <c r="H24" t="n">
        <v>2</v>
      </c>
      <c r="I24" t="n">
        <v>2</v>
      </c>
      <c r="J24" t="n">
        <v>10</v>
      </c>
      <c r="K24" t="n">
        <v>3</v>
      </c>
      <c r="L24" t="n">
        <v>0</v>
      </c>
      <c r="M24" t="n">
        <v>0</v>
      </c>
      <c r="N24" t="n">
        <v>0</v>
      </c>
      <c r="O24" t="n">
        <v>13</v>
      </c>
      <c r="P24" t="n">
        <v>3</v>
      </c>
      <c r="Q24" t="n">
        <v>15</v>
      </c>
      <c r="R24" s="2" t="inlineStr">
        <is>
          <t>Knärot
Rynkskinn
Ulltickeporing
Gammelgransskål
Garnlav
Granticka
Harticka
Lunglav
Rosenticka
Tretåig hackspett
Ullticka
Violettgrå tagellav
Vitgrynig nållav
Skinnlav
Stuplav</t>
        </is>
      </c>
      <c r="S24">
        <f>HYPERLINK("https://klasma.github.io/Logging_2283/artfynd/A 17679-2020 artfynd.xlsx", "A 17679-2020")</f>
        <v/>
      </c>
      <c r="T24">
        <f>HYPERLINK("https://klasma.github.io/Logging_2283/kartor/A 17679-2020 karta.png", "A 17679-2020")</f>
        <v/>
      </c>
      <c r="U24">
        <f>HYPERLINK("https://klasma.github.io/Logging_2283/knärot/A 17679-2020 karta knärot.png", "A 17679-2020")</f>
        <v/>
      </c>
      <c r="V24">
        <f>HYPERLINK("https://klasma.github.io/Logging_2283/klagomål/A 17679-2020 FSC-klagomål.docx", "A 17679-2020")</f>
        <v/>
      </c>
      <c r="W24">
        <f>HYPERLINK("https://klasma.github.io/Logging_2283/klagomålsmail/A 17679-2020 FSC-klagomål mail.docx", "A 17679-2020")</f>
        <v/>
      </c>
      <c r="X24">
        <f>HYPERLINK("https://klasma.github.io/Logging_2283/tillsyn/A 17679-2020 tillsynsbegäran.docx", "A 17679-2020")</f>
        <v/>
      </c>
      <c r="Y24">
        <f>HYPERLINK("https://klasma.github.io/Logging_2283/tillsynsmail/A 17679-2020 tillsynsbegäran mail.docx", "A 17679-2020")</f>
        <v/>
      </c>
      <c r="Z24">
        <f>HYPERLINK("https://klasma.github.io/Logging_2283/fåglar/A 17679-2020 prioriterade fågelarter.docx", "A 17679-2020")</f>
        <v/>
      </c>
    </row>
    <row r="25" ht="15" customHeight="1">
      <c r="A25" t="inlineStr">
        <is>
          <t>A 20312-2022</t>
        </is>
      </c>
      <c r="B25" s="1" t="n">
        <v>44698</v>
      </c>
      <c r="C25" s="1" t="n">
        <v>45583</v>
      </c>
      <c r="D25" t="inlineStr">
        <is>
          <t>VÄSTERNORRLANDS LÄN</t>
        </is>
      </c>
      <c r="E25" t="inlineStr">
        <is>
          <t>SOLLEFTEÅ</t>
        </is>
      </c>
      <c r="F25" t="inlineStr">
        <is>
          <t>SCA</t>
        </is>
      </c>
      <c r="G25" t="n">
        <v>5</v>
      </c>
      <c r="H25" t="n">
        <v>8</v>
      </c>
      <c r="I25" t="n">
        <v>2</v>
      </c>
      <c r="J25" t="n">
        <v>11</v>
      </c>
      <c r="K25" t="n">
        <v>1</v>
      </c>
      <c r="L25" t="n">
        <v>0</v>
      </c>
      <c r="M25" t="n">
        <v>0</v>
      </c>
      <c r="N25" t="n">
        <v>0</v>
      </c>
      <c r="O25" t="n">
        <v>12</v>
      </c>
      <c r="P25" t="n">
        <v>1</v>
      </c>
      <c r="Q25" t="n">
        <v>15</v>
      </c>
      <c r="R25" s="2" t="inlineStr">
        <is>
          <t>Knärot
Garnlav
Granticka
Gränsticka
Järpe
Kungsörn
Lunglav
Rosenticka
Spillkråka
Talltita
Tretåig hackspett
Ullticka
Blodticka
Spindelblomster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45583</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14501-2023</t>
        </is>
      </c>
      <c r="B27" s="1" t="n">
        <v>45012</v>
      </c>
      <c r="C27" s="1" t="n">
        <v>45583</v>
      </c>
      <c r="D27" t="inlineStr">
        <is>
          <t>VÄSTERNORRLANDS LÄN</t>
        </is>
      </c>
      <c r="E27" t="inlineStr">
        <is>
          <t>SOLLEFTEÅ</t>
        </is>
      </c>
      <c r="F27" t="inlineStr">
        <is>
          <t>Kyrkan</t>
        </is>
      </c>
      <c r="G27" t="n">
        <v>43.2</v>
      </c>
      <c r="H27" t="n">
        <v>6</v>
      </c>
      <c r="I27" t="n">
        <v>4</v>
      </c>
      <c r="J27" t="n">
        <v>8</v>
      </c>
      <c r="K27" t="n">
        <v>1</v>
      </c>
      <c r="L27" t="n">
        <v>0</v>
      </c>
      <c r="M27" t="n">
        <v>0</v>
      </c>
      <c r="N27" t="n">
        <v>0</v>
      </c>
      <c r="O27" t="n">
        <v>9</v>
      </c>
      <c r="P27" t="n">
        <v>1</v>
      </c>
      <c r="Q27" t="n">
        <v>15</v>
      </c>
      <c r="R27" s="2" t="inlineStr">
        <is>
          <t>Knärot
Gammelgransskål
Garnlav
Kolflarnlav
Mörk kolflarnlav
Rosenticka
Tretåig hackspett
Ullticka
Vedskivlav
Mörk husmossa
Plattlummer
Spindelblomster
Vedticka
Vanlig padda
Fläcknycklar</t>
        </is>
      </c>
      <c r="S27">
        <f>HYPERLINK("https://klasma.github.io/Logging_2283/artfynd/A 14501-2023 artfynd.xlsx", "A 14501-2023")</f>
        <v/>
      </c>
      <c r="T27">
        <f>HYPERLINK("https://klasma.github.io/Logging_2283/kartor/A 14501-2023 karta.png", "A 14501-2023")</f>
        <v/>
      </c>
      <c r="U27">
        <f>HYPERLINK("https://klasma.github.io/Logging_2283/knärot/A 14501-2023 karta knärot.png", "A 14501-2023")</f>
        <v/>
      </c>
      <c r="V27">
        <f>HYPERLINK("https://klasma.github.io/Logging_2283/klagomål/A 14501-2023 FSC-klagomål.docx", "A 14501-2023")</f>
        <v/>
      </c>
      <c r="W27">
        <f>HYPERLINK("https://klasma.github.io/Logging_2283/klagomålsmail/A 14501-2023 FSC-klagomål mail.docx", "A 14501-2023")</f>
        <v/>
      </c>
      <c r="X27">
        <f>HYPERLINK("https://klasma.github.io/Logging_2283/tillsyn/A 14501-2023 tillsynsbegäran.docx", "A 14501-2023")</f>
        <v/>
      </c>
      <c r="Y27">
        <f>HYPERLINK("https://klasma.github.io/Logging_2283/tillsynsmail/A 14501-2023 tillsynsbegäran mail.docx", "A 14501-2023")</f>
        <v/>
      </c>
      <c r="Z27">
        <f>HYPERLINK("https://klasma.github.io/Logging_2283/fåglar/A 14501-2023 prioriterade fågelarter.docx", "A 14501-2023")</f>
        <v/>
      </c>
    </row>
    <row r="28" ht="15" customHeight="1">
      <c r="A28" t="inlineStr">
        <is>
          <t>A 8659-2024</t>
        </is>
      </c>
      <c r="B28" s="1" t="n">
        <v>45356</v>
      </c>
      <c r="C28" s="1" t="n">
        <v>45583</v>
      </c>
      <c r="D28" t="inlineStr">
        <is>
          <t>VÄSTERNORRLANDS LÄN</t>
        </is>
      </c>
      <c r="E28" t="inlineStr">
        <is>
          <t>SOLLEFTEÅ</t>
        </is>
      </c>
      <c r="G28" t="n">
        <v>15.9</v>
      </c>
      <c r="H28" t="n">
        <v>5</v>
      </c>
      <c r="I28" t="n">
        <v>2</v>
      </c>
      <c r="J28" t="n">
        <v>9</v>
      </c>
      <c r="K28" t="n">
        <v>3</v>
      </c>
      <c r="L28" t="n">
        <v>0</v>
      </c>
      <c r="M28" t="n">
        <v>0</v>
      </c>
      <c r="N28" t="n">
        <v>0</v>
      </c>
      <c r="O28" t="n">
        <v>12</v>
      </c>
      <c r="P28" t="n">
        <v>3</v>
      </c>
      <c r="Q28" t="n">
        <v>15</v>
      </c>
      <c r="R28" s="2" t="inlineStr">
        <is>
          <t>Fläckporing
Knärot
Lappticka
Gammelgransskål
Garnlav
Granticka
Gränsticka
Rosenticka
Spillkråka
Tallticka
Tretåig hackspett
Ullticka
Plattlummer
Vedticka
Revlummer</t>
        </is>
      </c>
      <c r="S28">
        <f>HYPERLINK("https://klasma.github.io/Logging_2283/artfynd/A 8659-2024 artfynd.xlsx", "A 8659-2024")</f>
        <v/>
      </c>
      <c r="T28">
        <f>HYPERLINK("https://klasma.github.io/Logging_2283/kartor/A 8659-2024 karta.png", "A 8659-2024")</f>
        <v/>
      </c>
      <c r="U28">
        <f>HYPERLINK("https://klasma.github.io/Logging_2283/knärot/A 8659-2024 karta knärot.png", "A 8659-2024")</f>
        <v/>
      </c>
      <c r="V28">
        <f>HYPERLINK("https://klasma.github.io/Logging_2283/klagomål/A 8659-2024 FSC-klagomål.docx", "A 8659-2024")</f>
        <v/>
      </c>
      <c r="W28">
        <f>HYPERLINK("https://klasma.github.io/Logging_2283/klagomålsmail/A 8659-2024 FSC-klagomål mail.docx", "A 8659-2024")</f>
        <v/>
      </c>
      <c r="X28">
        <f>HYPERLINK("https://klasma.github.io/Logging_2283/tillsyn/A 8659-2024 tillsynsbegäran.docx", "A 8659-2024")</f>
        <v/>
      </c>
      <c r="Y28">
        <f>HYPERLINK("https://klasma.github.io/Logging_2283/tillsynsmail/A 8659-2024 tillsynsbegäran mail.docx", "A 8659-2024")</f>
        <v/>
      </c>
      <c r="Z28">
        <f>HYPERLINK("https://klasma.github.io/Logging_2283/fåglar/A 8659-2024 prioriterade fågelarter.docx", "A 8659-2024")</f>
        <v/>
      </c>
    </row>
    <row r="29" ht="15" customHeight="1">
      <c r="A29" t="inlineStr">
        <is>
          <t>A 41505-2024</t>
        </is>
      </c>
      <c r="B29" s="1" t="n">
        <v>45560</v>
      </c>
      <c r="C29" s="1" t="n">
        <v>45583</v>
      </c>
      <c r="D29" t="inlineStr">
        <is>
          <t>VÄSTERNORRLANDS LÄN</t>
        </is>
      </c>
      <c r="E29" t="inlineStr">
        <is>
          <t>SOLLEFTEÅ</t>
        </is>
      </c>
      <c r="F29" t="inlineStr">
        <is>
          <t>SCA</t>
        </is>
      </c>
      <c r="G29" t="n">
        <v>13.2</v>
      </c>
      <c r="H29" t="n">
        <v>5</v>
      </c>
      <c r="I29" t="n">
        <v>1</v>
      </c>
      <c r="J29" t="n">
        <v>9</v>
      </c>
      <c r="K29" t="n">
        <v>4</v>
      </c>
      <c r="L29" t="n">
        <v>0</v>
      </c>
      <c r="M29" t="n">
        <v>0</v>
      </c>
      <c r="N29" t="n">
        <v>0</v>
      </c>
      <c r="O29" t="n">
        <v>13</v>
      </c>
      <c r="P29" t="n">
        <v>4</v>
      </c>
      <c r="Q29" t="n">
        <v>15</v>
      </c>
      <c r="R29" s="2" t="inlineStr">
        <is>
          <t>Blackticka
Knärot
Rynkskinn
Ulltickeporing
Gammelgransskål
Garnlav
Järpe
Lunglav
Rosenticka
Tallticka
Talltita
Tretåig hackspett
Ullticka
Dropptaggsvamp
Tjäder</t>
        </is>
      </c>
      <c r="S29">
        <f>HYPERLINK("https://klasma.github.io/Logging_2283/artfynd/A 41505-2024 artfynd.xlsx", "A 41505-2024")</f>
        <v/>
      </c>
      <c r="T29">
        <f>HYPERLINK("https://klasma.github.io/Logging_2283/kartor/A 41505-2024 karta.png", "A 41505-2024")</f>
        <v/>
      </c>
      <c r="U29">
        <f>HYPERLINK("https://klasma.github.io/Logging_2283/knärot/A 41505-2024 karta knärot.png", "A 41505-2024")</f>
        <v/>
      </c>
      <c r="V29">
        <f>HYPERLINK("https://klasma.github.io/Logging_2283/klagomål/A 41505-2024 FSC-klagomål.docx", "A 41505-2024")</f>
        <v/>
      </c>
      <c r="W29">
        <f>HYPERLINK("https://klasma.github.io/Logging_2283/klagomålsmail/A 41505-2024 FSC-klagomål mail.docx", "A 41505-2024")</f>
        <v/>
      </c>
      <c r="X29">
        <f>HYPERLINK("https://klasma.github.io/Logging_2283/tillsyn/A 41505-2024 tillsynsbegäran.docx", "A 41505-2024")</f>
        <v/>
      </c>
      <c r="Y29">
        <f>HYPERLINK("https://klasma.github.io/Logging_2283/tillsynsmail/A 41505-2024 tillsynsbegäran mail.docx", "A 41505-2024")</f>
        <v/>
      </c>
      <c r="Z29">
        <f>HYPERLINK("https://klasma.github.io/Logging_2283/fåglar/A 41505-2024 prioriterade fågelarter.docx", "A 41505-2024")</f>
        <v/>
      </c>
    </row>
    <row r="30" ht="15" customHeight="1">
      <c r="A30" t="inlineStr">
        <is>
          <t>A 20841-2019</t>
        </is>
      </c>
      <c r="B30" s="1" t="n">
        <v>43576</v>
      </c>
      <c r="C30" s="1" t="n">
        <v>45583</v>
      </c>
      <c r="D30" t="inlineStr">
        <is>
          <t>VÄSTERNORRLANDS LÄN</t>
        </is>
      </c>
      <c r="E30" t="inlineStr">
        <is>
          <t>SOLLEFTEÅ</t>
        </is>
      </c>
      <c r="G30" t="n">
        <v>13.6</v>
      </c>
      <c r="H30" t="n">
        <v>2</v>
      </c>
      <c r="I30" t="n">
        <v>3</v>
      </c>
      <c r="J30" t="n">
        <v>7</v>
      </c>
      <c r="K30" t="n">
        <v>4</v>
      </c>
      <c r="L30" t="n">
        <v>0</v>
      </c>
      <c r="M30" t="n">
        <v>0</v>
      </c>
      <c r="N30" t="n">
        <v>0</v>
      </c>
      <c r="O30" t="n">
        <v>11</v>
      </c>
      <c r="P30" t="n">
        <v>4</v>
      </c>
      <c r="Q30" t="n">
        <v>14</v>
      </c>
      <c r="R30" s="2" t="inlineStr">
        <is>
          <t>Fläckporing
Gräddporing
Lappticka
Rynkskinn
Garnlav
Kolflarnlav
Lunglav
Rosenticka
Spillkråka
Tretåig hackspett
Ullticka
Skinnlav
Stor aspticka
Vedticka</t>
        </is>
      </c>
      <c r="S30">
        <f>HYPERLINK("https://klasma.github.io/Logging_2283/artfynd/A 20841-2019 artfynd.xlsx", "A 20841-2019")</f>
        <v/>
      </c>
      <c r="T30">
        <f>HYPERLINK("https://klasma.github.io/Logging_2283/kartor/A 20841-2019 karta.png", "A 20841-2019")</f>
        <v/>
      </c>
      <c r="V30">
        <f>HYPERLINK("https://klasma.github.io/Logging_2283/klagomål/A 20841-2019 FSC-klagomål.docx", "A 20841-2019")</f>
        <v/>
      </c>
      <c r="W30">
        <f>HYPERLINK("https://klasma.github.io/Logging_2283/klagomålsmail/A 20841-2019 FSC-klagomål mail.docx", "A 20841-2019")</f>
        <v/>
      </c>
      <c r="X30">
        <f>HYPERLINK("https://klasma.github.io/Logging_2283/tillsyn/A 20841-2019 tillsynsbegäran.docx", "A 20841-2019")</f>
        <v/>
      </c>
      <c r="Y30">
        <f>HYPERLINK("https://klasma.github.io/Logging_2283/tillsynsmail/A 20841-2019 tillsynsbegäran mail.docx", "A 20841-2019")</f>
        <v/>
      </c>
      <c r="Z30">
        <f>HYPERLINK("https://klasma.github.io/Logging_2283/fåglar/A 20841-2019 prioriterade fågelarter.docx", "A 20841-2019")</f>
        <v/>
      </c>
    </row>
    <row r="31" ht="15" customHeight="1">
      <c r="A31" t="inlineStr">
        <is>
          <t>A 64116-2019</t>
        </is>
      </c>
      <c r="B31" s="1" t="n">
        <v>43796</v>
      </c>
      <c r="C31" s="1" t="n">
        <v>45583</v>
      </c>
      <c r="D31" t="inlineStr">
        <is>
          <t>VÄSTERNORRLANDS LÄN</t>
        </is>
      </c>
      <c r="E31" t="inlineStr">
        <is>
          <t>SOLLEFTEÅ</t>
        </is>
      </c>
      <c r="G31" t="n">
        <v>32.4</v>
      </c>
      <c r="H31" t="n">
        <v>2</v>
      </c>
      <c r="I31" t="n">
        <v>3</v>
      </c>
      <c r="J31" t="n">
        <v>7</v>
      </c>
      <c r="K31" t="n">
        <v>3</v>
      </c>
      <c r="L31" t="n">
        <v>0</v>
      </c>
      <c r="M31" t="n">
        <v>0</v>
      </c>
      <c r="N31" t="n">
        <v>0</v>
      </c>
      <c r="O31" t="n">
        <v>10</v>
      </c>
      <c r="P31" t="n">
        <v>3</v>
      </c>
      <c r="Q31" t="n">
        <v>14</v>
      </c>
      <c r="R31" s="2" t="inlineStr">
        <is>
          <t>Knärot
Lappticka
Rynkskinn
Doftskinn
Garnlav
Granticka
Gränsticka
Lunglav
Rosenticka
Ullticka
Korallblylav
Stuplav
Vedticka
Revlummer</t>
        </is>
      </c>
      <c r="S31">
        <f>HYPERLINK("https://klasma.github.io/Logging_2283/artfynd/A 64116-2019 artfynd.xlsx", "A 64116-2019")</f>
        <v/>
      </c>
      <c r="T31">
        <f>HYPERLINK("https://klasma.github.io/Logging_2283/kartor/A 64116-2019 karta.png", "A 64116-2019")</f>
        <v/>
      </c>
      <c r="U31">
        <f>HYPERLINK("https://klasma.github.io/Logging_2283/knärot/A 64116-2019 karta knärot.png", "A 64116-2019")</f>
        <v/>
      </c>
      <c r="V31">
        <f>HYPERLINK("https://klasma.github.io/Logging_2283/klagomål/A 64116-2019 FSC-klagomål.docx", "A 64116-2019")</f>
        <v/>
      </c>
      <c r="W31">
        <f>HYPERLINK("https://klasma.github.io/Logging_2283/klagomålsmail/A 64116-2019 FSC-klagomål mail.docx", "A 64116-2019")</f>
        <v/>
      </c>
      <c r="X31">
        <f>HYPERLINK("https://klasma.github.io/Logging_2283/tillsyn/A 64116-2019 tillsynsbegäran.docx", "A 64116-2019")</f>
        <v/>
      </c>
      <c r="Y31">
        <f>HYPERLINK("https://klasma.github.io/Logging_2283/tillsynsmail/A 64116-2019 tillsynsbegäran mail.docx", "A 64116-2019")</f>
        <v/>
      </c>
    </row>
    <row r="32" ht="15" customHeight="1">
      <c r="A32" t="inlineStr">
        <is>
          <t>A 9626-2021</t>
        </is>
      </c>
      <c r="B32" s="1" t="n">
        <v>44251</v>
      </c>
      <c r="C32" s="1" t="n">
        <v>45583</v>
      </c>
      <c r="D32" t="inlineStr">
        <is>
          <t>VÄSTERNORRLANDS LÄN</t>
        </is>
      </c>
      <c r="E32" t="inlineStr">
        <is>
          <t>SOLLEFTEÅ</t>
        </is>
      </c>
      <c r="F32" t="inlineStr">
        <is>
          <t>SCA</t>
        </is>
      </c>
      <c r="G32" t="n">
        <v>4.9</v>
      </c>
      <c r="H32" t="n">
        <v>3</v>
      </c>
      <c r="I32" t="n">
        <v>4</v>
      </c>
      <c r="J32" t="n">
        <v>10</v>
      </c>
      <c r="K32" t="n">
        <v>0</v>
      </c>
      <c r="L32" t="n">
        <v>0</v>
      </c>
      <c r="M32" t="n">
        <v>0</v>
      </c>
      <c r="N32" t="n">
        <v>0</v>
      </c>
      <c r="O32" t="n">
        <v>10</v>
      </c>
      <c r="P32" t="n">
        <v>0</v>
      </c>
      <c r="Q32" t="n">
        <v>14</v>
      </c>
      <c r="R32" s="2" t="inlineStr">
        <is>
          <t>Gammelgransskål
Garnlav
Granticka
Harticka
Lunglav
Rosenticka
Spillkråka
Stjärntagging
Tretåig hackspett
Ullticka
Bollvitmossa
Skinnlav
Spindelblomster
Vedticka</t>
        </is>
      </c>
      <c r="S32">
        <f>HYPERLINK("https://klasma.github.io/Logging_2283/artfynd/A 9626-2021 artfynd.xlsx", "A 9626-2021")</f>
        <v/>
      </c>
      <c r="T32">
        <f>HYPERLINK("https://klasma.github.io/Logging_2283/kartor/A 9626-2021 karta.png", "A 9626-2021")</f>
        <v/>
      </c>
      <c r="V32">
        <f>HYPERLINK("https://klasma.github.io/Logging_2283/klagomål/A 9626-2021 FSC-klagomål.docx", "A 9626-2021")</f>
        <v/>
      </c>
      <c r="W32">
        <f>HYPERLINK("https://klasma.github.io/Logging_2283/klagomålsmail/A 9626-2021 FSC-klagomål mail.docx", "A 9626-2021")</f>
        <v/>
      </c>
      <c r="X32">
        <f>HYPERLINK("https://klasma.github.io/Logging_2283/tillsyn/A 9626-2021 tillsynsbegäran.docx", "A 9626-2021")</f>
        <v/>
      </c>
      <c r="Y32">
        <f>HYPERLINK("https://klasma.github.io/Logging_2283/tillsynsmail/A 9626-2021 tillsynsbegäran mail.docx", "A 9626-2021")</f>
        <v/>
      </c>
      <c r="Z32">
        <f>HYPERLINK("https://klasma.github.io/Logging_2283/fåglar/A 9626-2021 prioriterade fågelarter.docx", "A 9626-2021")</f>
        <v/>
      </c>
    </row>
    <row r="33" ht="15" customHeight="1">
      <c r="A33" t="inlineStr">
        <is>
          <t>A 57942-2021</t>
        </is>
      </c>
      <c r="B33" s="1" t="n">
        <v>44487</v>
      </c>
      <c r="C33" s="1" t="n">
        <v>45583</v>
      </c>
      <c r="D33" t="inlineStr">
        <is>
          <t>VÄSTERNORRLANDS LÄN</t>
        </is>
      </c>
      <c r="E33" t="inlineStr">
        <is>
          <t>SOLLEFTEÅ</t>
        </is>
      </c>
      <c r="F33" t="inlineStr">
        <is>
          <t>Holmen skog AB</t>
        </is>
      </c>
      <c r="G33" t="n">
        <v>14.2</v>
      </c>
      <c r="H33" t="n">
        <v>4</v>
      </c>
      <c r="I33" t="n">
        <v>2</v>
      </c>
      <c r="J33" t="n">
        <v>10</v>
      </c>
      <c r="K33" t="n">
        <v>2</v>
      </c>
      <c r="L33" t="n">
        <v>0</v>
      </c>
      <c r="M33" t="n">
        <v>0</v>
      </c>
      <c r="N33" t="n">
        <v>0</v>
      </c>
      <c r="O33" t="n">
        <v>12</v>
      </c>
      <c r="P33" t="n">
        <v>2</v>
      </c>
      <c r="Q33" t="n">
        <v>14</v>
      </c>
      <c r="R33" s="2" t="inlineStr">
        <is>
          <t>Doftticka
Knärot
Garnlav
Granticka
Kolflarnlav
Lunglav
Rosenticka
Tallticka
Talltita
Tretåig hackspett
Ullticka
Vedflikmossa
Luddlav
Stuplav</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21686-2023</t>
        </is>
      </c>
      <c r="B34" s="1" t="n">
        <v>45063</v>
      </c>
      <c r="C34" s="1" t="n">
        <v>45583</v>
      </c>
      <c r="D34" t="inlineStr">
        <is>
          <t>VÄSTERNORRLANDS LÄN</t>
        </is>
      </c>
      <c r="E34" t="inlineStr">
        <is>
          <t>SOLLEFTEÅ</t>
        </is>
      </c>
      <c r="F34" t="inlineStr">
        <is>
          <t>SCA</t>
        </is>
      </c>
      <c r="G34" t="n">
        <v>12.6</v>
      </c>
      <c r="H34" t="n">
        <v>3</v>
      </c>
      <c r="I34" t="n">
        <v>3</v>
      </c>
      <c r="J34" t="n">
        <v>9</v>
      </c>
      <c r="K34" t="n">
        <v>2</v>
      </c>
      <c r="L34" t="n">
        <v>0</v>
      </c>
      <c r="M34" t="n">
        <v>0</v>
      </c>
      <c r="N34" t="n">
        <v>0</v>
      </c>
      <c r="O34" t="n">
        <v>11</v>
      </c>
      <c r="P34" t="n">
        <v>2</v>
      </c>
      <c r="Q34" t="n">
        <v>14</v>
      </c>
      <c r="R34" s="2" t="inlineStr">
        <is>
          <t>Knärot
Lappticka
Blå taggsvamp
Garnlav
Järpe
Kolflarnlav
Mörk kolflarnlav
Orange taggsvamp
Svart taggsvamp
Tretåig hackspett
Ullticka
Dropptaggsvamp
Skuggblåslav
Vedticka</t>
        </is>
      </c>
      <c r="S34">
        <f>HYPERLINK("https://klasma.github.io/Logging_2283/artfynd/A 21686-2023 artfynd.xlsx", "A 21686-2023")</f>
        <v/>
      </c>
      <c r="T34">
        <f>HYPERLINK("https://klasma.github.io/Logging_2283/kartor/A 21686-2023 karta.png", "A 21686-2023")</f>
        <v/>
      </c>
      <c r="U34">
        <f>HYPERLINK("https://klasma.github.io/Logging_2283/knärot/A 21686-2023 karta knärot.png", "A 21686-2023")</f>
        <v/>
      </c>
      <c r="V34">
        <f>HYPERLINK("https://klasma.github.io/Logging_2283/klagomål/A 21686-2023 FSC-klagomål.docx", "A 21686-2023")</f>
        <v/>
      </c>
      <c r="W34">
        <f>HYPERLINK("https://klasma.github.io/Logging_2283/klagomålsmail/A 21686-2023 FSC-klagomål mail.docx", "A 21686-2023")</f>
        <v/>
      </c>
      <c r="X34">
        <f>HYPERLINK("https://klasma.github.io/Logging_2283/tillsyn/A 21686-2023 tillsynsbegäran.docx", "A 21686-2023")</f>
        <v/>
      </c>
      <c r="Y34">
        <f>HYPERLINK("https://klasma.github.io/Logging_2283/tillsynsmail/A 21686-2023 tillsynsbegäran mail.docx", "A 21686-2023")</f>
        <v/>
      </c>
      <c r="Z34">
        <f>HYPERLINK("https://klasma.github.io/Logging_2283/fåglar/A 21686-2023 prioriterade fågelarter.docx", "A 21686-2023")</f>
        <v/>
      </c>
    </row>
    <row r="35" ht="15" customHeight="1">
      <c r="A35" t="inlineStr">
        <is>
          <t>A 8658-2024</t>
        </is>
      </c>
      <c r="B35" s="1" t="n">
        <v>45356</v>
      </c>
      <c r="C35" s="1" t="n">
        <v>45583</v>
      </c>
      <c r="D35" t="inlineStr">
        <is>
          <t>VÄSTERNORRLANDS LÄN</t>
        </is>
      </c>
      <c r="E35" t="inlineStr">
        <is>
          <t>SOLLEFTEÅ</t>
        </is>
      </c>
      <c r="G35" t="n">
        <v>4.2</v>
      </c>
      <c r="H35" t="n">
        <v>6</v>
      </c>
      <c r="I35" t="n">
        <v>3</v>
      </c>
      <c r="J35" t="n">
        <v>8</v>
      </c>
      <c r="K35" t="n">
        <v>1</v>
      </c>
      <c r="L35" t="n">
        <v>0</v>
      </c>
      <c r="M35" t="n">
        <v>0</v>
      </c>
      <c r="N35" t="n">
        <v>0</v>
      </c>
      <c r="O35" t="n">
        <v>9</v>
      </c>
      <c r="P35" t="n">
        <v>1</v>
      </c>
      <c r="Q35" t="n">
        <v>14</v>
      </c>
      <c r="R35" s="2" t="inlineStr">
        <is>
          <t>Knärot
Järpe
Leptoporus mollis
Lunglav
Rosenticka
Spillkråka
Tallticka
Tretåig hackspett
Ullticka
Bårdlav
Stuplav
Vedticka
Tjäder
Revlummer</t>
        </is>
      </c>
      <c r="S35">
        <f>HYPERLINK("https://klasma.github.io/Logging_2283/artfynd/A 8658-2024 artfynd.xlsx", "A 8658-2024")</f>
        <v/>
      </c>
      <c r="T35">
        <f>HYPERLINK("https://klasma.github.io/Logging_2283/kartor/A 8658-2024 karta.png", "A 8658-2024")</f>
        <v/>
      </c>
      <c r="U35">
        <f>HYPERLINK("https://klasma.github.io/Logging_2283/knärot/A 8658-2024 karta knärot.png", "A 8658-2024")</f>
        <v/>
      </c>
      <c r="V35">
        <f>HYPERLINK("https://klasma.github.io/Logging_2283/klagomål/A 8658-2024 FSC-klagomål.docx", "A 8658-2024")</f>
        <v/>
      </c>
      <c r="W35">
        <f>HYPERLINK("https://klasma.github.io/Logging_2283/klagomålsmail/A 8658-2024 FSC-klagomål mail.docx", "A 8658-2024")</f>
        <v/>
      </c>
      <c r="X35">
        <f>HYPERLINK("https://klasma.github.io/Logging_2283/tillsyn/A 8658-2024 tillsynsbegäran.docx", "A 8658-2024")</f>
        <v/>
      </c>
      <c r="Y35">
        <f>HYPERLINK("https://klasma.github.io/Logging_2283/tillsynsmail/A 8658-2024 tillsynsbegäran mail.docx", "A 8658-2024")</f>
        <v/>
      </c>
      <c r="Z35">
        <f>HYPERLINK("https://klasma.github.io/Logging_2283/fåglar/A 8658-2024 prioriterade fågelarter.docx", "A 8658-2024")</f>
        <v/>
      </c>
    </row>
    <row r="36" ht="15" customHeight="1">
      <c r="A36" t="inlineStr">
        <is>
          <t>A 40262-2024</t>
        </is>
      </c>
      <c r="B36" s="1" t="n">
        <v>45554</v>
      </c>
      <c r="C36" s="1" t="n">
        <v>45583</v>
      </c>
      <c r="D36" t="inlineStr">
        <is>
          <t>VÄSTERNORRLANDS LÄN</t>
        </is>
      </c>
      <c r="E36" t="inlineStr">
        <is>
          <t>SOLLEFTEÅ</t>
        </is>
      </c>
      <c r="F36" t="inlineStr">
        <is>
          <t>SCA</t>
        </is>
      </c>
      <c r="G36" t="n">
        <v>17.9</v>
      </c>
      <c r="H36" t="n">
        <v>4</v>
      </c>
      <c r="I36" t="n">
        <v>2</v>
      </c>
      <c r="J36" t="n">
        <v>11</v>
      </c>
      <c r="K36" t="n">
        <v>1</v>
      </c>
      <c r="L36" t="n">
        <v>0</v>
      </c>
      <c r="M36" t="n">
        <v>0</v>
      </c>
      <c r="N36" t="n">
        <v>0</v>
      </c>
      <c r="O36" t="n">
        <v>12</v>
      </c>
      <c r="P36" t="n">
        <v>1</v>
      </c>
      <c r="Q36" t="n">
        <v>14</v>
      </c>
      <c r="R36" s="2" t="inlineStr">
        <is>
          <t>Knärot
Garnlav
Järpe
Kolflarnlav
Leptoporus mollis
Motaggsvamp
Rosenticka
Spillkråka
Stjärntagging
Tallticka
Tretåig hackspett
Ullticka
Bollvitmossa
Vedticka</t>
        </is>
      </c>
      <c r="S36">
        <f>HYPERLINK("https://klasma.github.io/Logging_2283/artfynd/A 40262-2024 artfynd.xlsx", "A 40262-2024")</f>
        <v/>
      </c>
      <c r="T36">
        <f>HYPERLINK("https://klasma.github.io/Logging_2283/kartor/A 40262-2024 karta.png", "A 40262-2024")</f>
        <v/>
      </c>
      <c r="U36">
        <f>HYPERLINK("https://klasma.github.io/Logging_2283/knärot/A 40262-2024 karta knärot.png", "A 40262-2024")</f>
        <v/>
      </c>
      <c r="V36">
        <f>HYPERLINK("https://klasma.github.io/Logging_2283/klagomål/A 40262-2024 FSC-klagomål.docx", "A 40262-2024")</f>
        <v/>
      </c>
      <c r="W36">
        <f>HYPERLINK("https://klasma.github.io/Logging_2283/klagomålsmail/A 40262-2024 FSC-klagomål mail.docx", "A 40262-2024")</f>
        <v/>
      </c>
      <c r="X36">
        <f>HYPERLINK("https://klasma.github.io/Logging_2283/tillsyn/A 40262-2024 tillsynsbegäran.docx", "A 40262-2024")</f>
        <v/>
      </c>
      <c r="Y36">
        <f>HYPERLINK("https://klasma.github.io/Logging_2283/tillsynsmail/A 40262-2024 tillsynsbegäran mail.docx", "A 40262-2024")</f>
        <v/>
      </c>
      <c r="Z36">
        <f>HYPERLINK("https://klasma.github.io/Logging_2283/fåglar/A 40262-2024 prioriterade fågelarter.docx", "A 40262-2024")</f>
        <v/>
      </c>
    </row>
    <row r="37" ht="15" customHeight="1">
      <c r="A37" t="inlineStr">
        <is>
          <t>A 40277-2024</t>
        </is>
      </c>
      <c r="B37" s="1" t="n">
        <v>45554</v>
      </c>
      <c r="C37" s="1" t="n">
        <v>45583</v>
      </c>
      <c r="D37" t="inlineStr">
        <is>
          <t>VÄSTERNORRLANDS LÄN</t>
        </is>
      </c>
      <c r="E37" t="inlineStr">
        <is>
          <t>SOLLEFTEÅ</t>
        </is>
      </c>
      <c r="F37" t="inlineStr">
        <is>
          <t>SCA</t>
        </is>
      </c>
      <c r="G37" t="n">
        <v>4.4</v>
      </c>
      <c r="H37" t="n">
        <v>3</v>
      </c>
      <c r="I37" t="n">
        <v>4</v>
      </c>
      <c r="J37" t="n">
        <v>10</v>
      </c>
      <c r="K37" t="n">
        <v>0</v>
      </c>
      <c r="L37" t="n">
        <v>0</v>
      </c>
      <c r="M37" t="n">
        <v>0</v>
      </c>
      <c r="N37" t="n">
        <v>0</v>
      </c>
      <c r="O37" t="n">
        <v>10</v>
      </c>
      <c r="P37" t="n">
        <v>0</v>
      </c>
      <c r="Q37" t="n">
        <v>14</v>
      </c>
      <c r="R37" s="2" t="inlineStr">
        <is>
          <t>Gammelgransskål
Garnlav
Granticka
Harticka
Lunglav
Rosenticka
Stjärntagging
Talltita
Tretåig hackspett
Ullticka
Bollvitmossa
Skinnlav
Spindelblomster
Vedticka</t>
        </is>
      </c>
      <c r="S37">
        <f>HYPERLINK("https://klasma.github.io/Logging_2283/artfynd/A 40277-2024 artfynd.xlsx", "A 40277-2024")</f>
        <v/>
      </c>
      <c r="T37">
        <f>HYPERLINK("https://klasma.github.io/Logging_2283/kartor/A 40277-2024 karta.png", "A 40277-2024")</f>
        <v/>
      </c>
      <c r="V37">
        <f>HYPERLINK("https://klasma.github.io/Logging_2283/klagomål/A 40277-2024 FSC-klagomål.docx", "A 40277-2024")</f>
        <v/>
      </c>
      <c r="W37">
        <f>HYPERLINK("https://klasma.github.io/Logging_2283/klagomålsmail/A 40277-2024 FSC-klagomål mail.docx", "A 40277-2024")</f>
        <v/>
      </c>
      <c r="X37">
        <f>HYPERLINK("https://klasma.github.io/Logging_2283/tillsyn/A 40277-2024 tillsynsbegäran.docx", "A 40277-2024")</f>
        <v/>
      </c>
      <c r="Y37">
        <f>HYPERLINK("https://klasma.github.io/Logging_2283/tillsynsmail/A 40277-2024 tillsynsbegäran mail.docx", "A 40277-2024")</f>
        <v/>
      </c>
      <c r="Z37">
        <f>HYPERLINK("https://klasma.github.io/Logging_2283/fåglar/A 40277-2024 prioriterade fågelarter.docx", "A 40277-2024")</f>
        <v/>
      </c>
    </row>
    <row r="38" ht="15" customHeight="1">
      <c r="A38" t="inlineStr">
        <is>
          <t>A 17415-2022</t>
        </is>
      </c>
      <c r="B38" s="1" t="n">
        <v>44678</v>
      </c>
      <c r="C38" s="1" t="n">
        <v>45583</v>
      </c>
      <c r="D38" t="inlineStr">
        <is>
          <t>VÄSTERNORRLANDS LÄN</t>
        </is>
      </c>
      <c r="E38" t="inlineStr">
        <is>
          <t>SOLLEFTEÅ</t>
        </is>
      </c>
      <c r="G38" t="n">
        <v>9.1</v>
      </c>
      <c r="H38" t="n">
        <v>3</v>
      </c>
      <c r="I38" t="n">
        <v>3</v>
      </c>
      <c r="J38" t="n">
        <v>6</v>
      </c>
      <c r="K38" t="n">
        <v>3</v>
      </c>
      <c r="L38" t="n">
        <v>0</v>
      </c>
      <c r="M38" t="n">
        <v>0</v>
      </c>
      <c r="N38" t="n">
        <v>0</v>
      </c>
      <c r="O38" t="n">
        <v>9</v>
      </c>
      <c r="P38" t="n">
        <v>3</v>
      </c>
      <c r="Q38" t="n">
        <v>13</v>
      </c>
      <c r="R38" s="2" t="inlineStr">
        <is>
          <t>Blackticka
Knärot
Rynkskinn
Gammelgransskål
Harticka
Rosenticka
Tretåig hackspett
Ullticka
Vitgrynig nållav
Skinnlav
Stor aspticka
Vedticka
Blåsippa</t>
        </is>
      </c>
      <c r="S38">
        <f>HYPERLINK("https://klasma.github.io/Logging_2283/artfynd/A 17415-2022 artfynd.xlsx", "A 17415-2022")</f>
        <v/>
      </c>
      <c r="T38">
        <f>HYPERLINK("https://klasma.github.io/Logging_2283/kartor/A 17415-2022 karta.png", "A 17415-2022")</f>
        <v/>
      </c>
      <c r="U38">
        <f>HYPERLINK("https://klasma.github.io/Logging_2283/knärot/A 17415-2022 karta knärot.png", "A 17415-2022")</f>
        <v/>
      </c>
      <c r="V38">
        <f>HYPERLINK("https://klasma.github.io/Logging_2283/klagomål/A 17415-2022 FSC-klagomål.docx", "A 17415-2022")</f>
        <v/>
      </c>
      <c r="W38">
        <f>HYPERLINK("https://klasma.github.io/Logging_2283/klagomålsmail/A 17415-2022 FSC-klagomål mail.docx", "A 17415-2022")</f>
        <v/>
      </c>
      <c r="X38">
        <f>HYPERLINK("https://klasma.github.io/Logging_2283/tillsyn/A 17415-2022 tillsynsbegäran.docx", "A 17415-2022")</f>
        <v/>
      </c>
      <c r="Y38">
        <f>HYPERLINK("https://klasma.github.io/Logging_2283/tillsynsmail/A 17415-2022 tillsynsbegäran mail.docx", "A 17415-2022")</f>
        <v/>
      </c>
      <c r="Z38">
        <f>HYPERLINK("https://klasma.github.io/Logging_2283/fåglar/A 17415-2022 prioriterade fågelarter.docx", "A 17415-2022")</f>
        <v/>
      </c>
    </row>
    <row r="39" ht="15" customHeight="1">
      <c r="A39" t="inlineStr">
        <is>
          <t>A 39172-2022</t>
        </is>
      </c>
      <c r="B39" s="1" t="n">
        <v>44817</v>
      </c>
      <c r="C39" s="1" t="n">
        <v>45583</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21341-2023</t>
        </is>
      </c>
      <c r="B40" s="1" t="n">
        <v>45062</v>
      </c>
      <c r="C40" s="1" t="n">
        <v>45583</v>
      </c>
      <c r="D40" t="inlineStr">
        <is>
          <t>VÄSTERNORRLANDS LÄN</t>
        </is>
      </c>
      <c r="E40" t="inlineStr">
        <is>
          <t>SOLLEFTEÅ</t>
        </is>
      </c>
      <c r="F40" t="inlineStr">
        <is>
          <t>SCA</t>
        </is>
      </c>
      <c r="G40" t="n">
        <v>10.1</v>
      </c>
      <c r="H40" t="n">
        <v>0</v>
      </c>
      <c r="I40" t="n">
        <v>3</v>
      </c>
      <c r="J40" t="n">
        <v>8</v>
      </c>
      <c r="K40" t="n">
        <v>2</v>
      </c>
      <c r="L40" t="n">
        <v>0</v>
      </c>
      <c r="M40" t="n">
        <v>0</v>
      </c>
      <c r="N40" t="n">
        <v>0</v>
      </c>
      <c r="O40" t="n">
        <v>10</v>
      </c>
      <c r="P40" t="n">
        <v>2</v>
      </c>
      <c r="Q40" t="n">
        <v>13</v>
      </c>
      <c r="R40" s="2" t="inlineStr">
        <is>
          <t>Fläckporing
Gräddporing
Dvärgbägarlav
Garnlav
Gränsticka
Kolflarnlav
Mörk kolflarnlav
Nordtagging
Vaddporing
Vedskivlav
Dropptaggsvamp
Nästlav
Stuplav</t>
        </is>
      </c>
      <c r="S40">
        <f>HYPERLINK("https://klasma.github.io/Logging_2283/artfynd/A 21341-2023 artfynd.xlsx", "A 21341-2023")</f>
        <v/>
      </c>
      <c r="T40">
        <f>HYPERLINK("https://klasma.github.io/Logging_2283/kartor/A 21341-2023 karta.png", "A 21341-2023")</f>
        <v/>
      </c>
      <c r="V40">
        <f>HYPERLINK("https://klasma.github.io/Logging_2283/klagomål/A 21341-2023 FSC-klagomål.docx", "A 21341-2023")</f>
        <v/>
      </c>
      <c r="W40">
        <f>HYPERLINK("https://klasma.github.io/Logging_2283/klagomålsmail/A 21341-2023 FSC-klagomål mail.docx", "A 21341-2023")</f>
        <v/>
      </c>
      <c r="X40">
        <f>HYPERLINK("https://klasma.github.io/Logging_2283/tillsyn/A 21341-2023 tillsynsbegäran.docx", "A 21341-2023")</f>
        <v/>
      </c>
      <c r="Y40">
        <f>HYPERLINK("https://klasma.github.io/Logging_2283/tillsynsmail/A 21341-2023 tillsynsbegäran mail.docx", "A 21341-2023")</f>
        <v/>
      </c>
    </row>
    <row r="41" ht="15" customHeight="1">
      <c r="A41" t="inlineStr">
        <is>
          <t>A 28663-2023</t>
        </is>
      </c>
      <c r="B41" s="1" t="n">
        <v>45096</v>
      </c>
      <c r="C41" s="1" t="n">
        <v>45583</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32199-2023</t>
        </is>
      </c>
      <c r="B42" s="1" t="n">
        <v>45119</v>
      </c>
      <c r="C42" s="1" t="n">
        <v>45583</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27635-2024</t>
        </is>
      </c>
      <c r="B43" s="1" t="n">
        <v>45474</v>
      </c>
      <c r="C43" s="1" t="n">
        <v>45583</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29918-2024</t>
        </is>
      </c>
      <c r="B44" s="1" t="n">
        <v>45488</v>
      </c>
      <c r="C44" s="1" t="n">
        <v>45583</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31564-2024</t>
        </is>
      </c>
      <c r="B45" s="1" t="n">
        <v>45506</v>
      </c>
      <c r="C45" s="1" t="n">
        <v>45583</v>
      </c>
      <c r="D45" t="inlineStr">
        <is>
          <t>VÄSTERNORRLANDS LÄN</t>
        </is>
      </c>
      <c r="E45" t="inlineStr">
        <is>
          <t>SOLLEFTEÅ</t>
        </is>
      </c>
      <c r="F45" t="inlineStr">
        <is>
          <t>SCA</t>
        </is>
      </c>
      <c r="G45" t="n">
        <v>2.4</v>
      </c>
      <c r="H45" t="n">
        <v>4</v>
      </c>
      <c r="I45" t="n">
        <v>6</v>
      </c>
      <c r="J45" t="n">
        <v>7</v>
      </c>
      <c r="K45" t="n">
        <v>0</v>
      </c>
      <c r="L45" t="n">
        <v>0</v>
      </c>
      <c r="M45" t="n">
        <v>0</v>
      </c>
      <c r="N45" t="n">
        <v>0</v>
      </c>
      <c r="O45" t="n">
        <v>7</v>
      </c>
      <c r="P45" t="n">
        <v>0</v>
      </c>
      <c r="Q45" t="n">
        <v>13</v>
      </c>
      <c r="R45" s="2" t="inlineStr">
        <is>
          <t>Gammelgransskål
Garnlav
Granticka
Rosenticka
Talltita
Tretåig hackspett
Ullticka
Bollvitmossa
Lappranunkel
Skarp dropptaggsvamp
Spindelblomster
Svavelriska
Vedticka</t>
        </is>
      </c>
      <c r="S45">
        <f>HYPERLINK("https://klasma.github.io/Logging_2283/artfynd/A 31564-2024 artfynd.xlsx", "A 31564-2024")</f>
        <v/>
      </c>
      <c r="T45">
        <f>HYPERLINK("https://klasma.github.io/Logging_2283/kartor/A 31564-2024 karta.png", "A 31564-2024")</f>
        <v/>
      </c>
      <c r="V45">
        <f>HYPERLINK("https://klasma.github.io/Logging_2283/klagomål/A 31564-2024 FSC-klagomål.docx", "A 31564-2024")</f>
        <v/>
      </c>
      <c r="W45">
        <f>HYPERLINK("https://klasma.github.io/Logging_2283/klagomålsmail/A 31564-2024 FSC-klagomål mail.docx", "A 31564-2024")</f>
        <v/>
      </c>
      <c r="X45">
        <f>HYPERLINK("https://klasma.github.io/Logging_2283/tillsyn/A 31564-2024 tillsynsbegäran.docx", "A 31564-2024")</f>
        <v/>
      </c>
      <c r="Y45">
        <f>HYPERLINK("https://klasma.github.io/Logging_2283/tillsynsmail/A 31564-2024 tillsynsbegäran mail.docx", "A 31564-2024")</f>
        <v/>
      </c>
      <c r="Z45">
        <f>HYPERLINK("https://klasma.github.io/Logging_2283/fåglar/A 31564-2024 prioriterade fågelarter.docx", "A 31564-2024")</f>
        <v/>
      </c>
    </row>
    <row r="46" ht="15" customHeight="1">
      <c r="A46" t="inlineStr">
        <is>
          <t>A 33128-2024</t>
        </is>
      </c>
      <c r="B46" s="1" t="n">
        <v>45517</v>
      </c>
      <c r="C46" s="1" t="n">
        <v>45583</v>
      </c>
      <c r="D46" t="inlineStr">
        <is>
          <t>VÄSTERNORRLANDS LÄN</t>
        </is>
      </c>
      <c r="E46" t="inlineStr">
        <is>
          <t>SOLLEFTEÅ</t>
        </is>
      </c>
      <c r="F46" t="inlineStr">
        <is>
          <t>SCA</t>
        </is>
      </c>
      <c r="G46" t="n">
        <v>3.8</v>
      </c>
      <c r="H46" t="n">
        <v>4</v>
      </c>
      <c r="I46" t="n">
        <v>4</v>
      </c>
      <c r="J46" t="n">
        <v>9</v>
      </c>
      <c r="K46" t="n">
        <v>0</v>
      </c>
      <c r="L46" t="n">
        <v>0</v>
      </c>
      <c r="M46" t="n">
        <v>0</v>
      </c>
      <c r="N46" t="n">
        <v>0</v>
      </c>
      <c r="O46" t="n">
        <v>9</v>
      </c>
      <c r="P46" t="n">
        <v>0</v>
      </c>
      <c r="Q46" t="n">
        <v>13</v>
      </c>
      <c r="R46" s="2" t="inlineStr">
        <is>
          <t>Garnlav
Granticka
Gränsticka
Järpe
Lunglav
Skrovellav
Spillkråka
Tretåig hackspett
Ullticka
Luddlav
Spindelblomster
Stuplav
Vedticka</t>
        </is>
      </c>
      <c r="S46">
        <f>HYPERLINK("https://klasma.github.io/Logging_2283/artfynd/A 33128-2024 artfynd.xlsx", "A 33128-2024")</f>
        <v/>
      </c>
      <c r="T46">
        <f>HYPERLINK("https://klasma.github.io/Logging_2283/kartor/A 33128-2024 karta.png", "A 33128-2024")</f>
        <v/>
      </c>
      <c r="U46">
        <f>HYPERLINK("https://klasma.github.io/Logging_2283/knärot/A 33128-2024 karta knärot.png", "A 33128-2024")</f>
        <v/>
      </c>
      <c r="V46">
        <f>HYPERLINK("https://klasma.github.io/Logging_2283/klagomål/A 33128-2024 FSC-klagomål.docx", "A 33128-2024")</f>
        <v/>
      </c>
      <c r="W46">
        <f>HYPERLINK("https://klasma.github.io/Logging_2283/klagomålsmail/A 33128-2024 FSC-klagomål mail.docx", "A 33128-2024")</f>
        <v/>
      </c>
      <c r="X46">
        <f>HYPERLINK("https://klasma.github.io/Logging_2283/tillsyn/A 33128-2024 tillsynsbegäran.docx", "A 33128-2024")</f>
        <v/>
      </c>
      <c r="Y46">
        <f>HYPERLINK("https://klasma.github.io/Logging_2283/tillsynsmail/A 33128-2024 tillsynsbegäran mail.docx", "A 33128-2024")</f>
        <v/>
      </c>
      <c r="Z46">
        <f>HYPERLINK("https://klasma.github.io/Logging_2283/fåglar/A 33128-2024 prioriterade fågelarter.docx", "A 33128-2024")</f>
        <v/>
      </c>
    </row>
    <row r="47" ht="15" customHeight="1">
      <c r="A47" t="inlineStr">
        <is>
          <t>A 32929-2024</t>
        </is>
      </c>
      <c r="B47" s="1" t="n">
        <v>45517</v>
      </c>
      <c r="C47" s="1" t="n">
        <v>45583</v>
      </c>
      <c r="D47" t="inlineStr">
        <is>
          <t>VÄSTERNORRLANDS LÄN</t>
        </is>
      </c>
      <c r="E47" t="inlineStr">
        <is>
          <t>SOLLEFTEÅ</t>
        </is>
      </c>
      <c r="G47" t="n">
        <v>4.1</v>
      </c>
      <c r="H47" t="n">
        <v>3</v>
      </c>
      <c r="I47" t="n">
        <v>2</v>
      </c>
      <c r="J47" t="n">
        <v>8</v>
      </c>
      <c r="K47" t="n">
        <v>2</v>
      </c>
      <c r="L47" t="n">
        <v>0</v>
      </c>
      <c r="M47" t="n">
        <v>0</v>
      </c>
      <c r="N47" t="n">
        <v>0</v>
      </c>
      <c r="O47" t="n">
        <v>10</v>
      </c>
      <c r="P47" t="n">
        <v>2</v>
      </c>
      <c r="Q47" t="n">
        <v>13</v>
      </c>
      <c r="R47" s="2" t="inlineStr">
        <is>
          <t>Knärot
Ulltickeporing
Garnlav
Granticka
Gränsticka
Lunglav
Rosenticka
Talltita
Ullticka
Vedtrappmossa
Stuplav
Vedticka
Revlummer</t>
        </is>
      </c>
      <c r="S47">
        <f>HYPERLINK("https://klasma.github.io/Logging_2283/artfynd/A 32929-2024 artfynd.xlsx", "A 32929-2024")</f>
        <v/>
      </c>
      <c r="T47">
        <f>HYPERLINK("https://klasma.github.io/Logging_2283/kartor/A 32929-2024 karta.png", "A 32929-2024")</f>
        <v/>
      </c>
      <c r="U47">
        <f>HYPERLINK("https://klasma.github.io/Logging_2283/knärot/A 32929-2024 karta knärot.png", "A 32929-2024")</f>
        <v/>
      </c>
      <c r="V47">
        <f>HYPERLINK("https://klasma.github.io/Logging_2283/klagomål/A 32929-2024 FSC-klagomål.docx", "A 32929-2024")</f>
        <v/>
      </c>
      <c r="W47">
        <f>HYPERLINK("https://klasma.github.io/Logging_2283/klagomålsmail/A 32929-2024 FSC-klagomål mail.docx", "A 32929-2024")</f>
        <v/>
      </c>
      <c r="X47">
        <f>HYPERLINK("https://klasma.github.io/Logging_2283/tillsyn/A 32929-2024 tillsynsbegäran.docx", "A 32929-2024")</f>
        <v/>
      </c>
      <c r="Y47">
        <f>HYPERLINK("https://klasma.github.io/Logging_2283/tillsynsmail/A 32929-2024 tillsynsbegäran mail.docx", "A 32929-2024")</f>
        <v/>
      </c>
      <c r="Z47">
        <f>HYPERLINK("https://klasma.github.io/Logging_2283/fåglar/A 32929-2024 prioriterade fågelarter.docx", "A 32929-2024")</f>
        <v/>
      </c>
    </row>
    <row r="48" ht="15" customHeight="1">
      <c r="A48" t="inlineStr">
        <is>
          <t>A 41031-2020</t>
        </is>
      </c>
      <c r="B48" s="1" t="n">
        <v>44070</v>
      </c>
      <c r="C48" s="1" t="n">
        <v>45583</v>
      </c>
      <c r="D48" t="inlineStr">
        <is>
          <t>VÄSTERNORRLANDS LÄN</t>
        </is>
      </c>
      <c r="E48" t="inlineStr">
        <is>
          <t>SOLLEFTEÅ</t>
        </is>
      </c>
      <c r="F48" t="inlineStr">
        <is>
          <t>SCA</t>
        </is>
      </c>
      <c r="G48" t="n">
        <v>4</v>
      </c>
      <c r="H48" t="n">
        <v>2</v>
      </c>
      <c r="I48" t="n">
        <v>2</v>
      </c>
      <c r="J48" t="n">
        <v>8</v>
      </c>
      <c r="K48" t="n">
        <v>2</v>
      </c>
      <c r="L48" t="n">
        <v>0</v>
      </c>
      <c r="M48" t="n">
        <v>0</v>
      </c>
      <c r="N48" t="n">
        <v>0</v>
      </c>
      <c r="O48" t="n">
        <v>10</v>
      </c>
      <c r="P48" t="n">
        <v>2</v>
      </c>
      <c r="Q48" t="n">
        <v>12</v>
      </c>
      <c r="R48" s="2" t="inlineStr">
        <is>
          <t>Knärot
Liten sotlav
Garnlav
Kolflarnlav
Lunglav
Mörk kolflarnlav
Skogshare
Talltita
Violettgrå tagellav
Vitgrynig nållav
Luddlav
Stuplav</t>
        </is>
      </c>
      <c r="S48">
        <f>HYPERLINK("https://klasma.github.io/Logging_2283/artfynd/A 41031-2020 artfynd.xlsx", "A 41031-2020")</f>
        <v/>
      </c>
      <c r="T48">
        <f>HYPERLINK("https://klasma.github.io/Logging_2283/kartor/A 41031-2020 karta.png", "A 41031-2020")</f>
        <v/>
      </c>
      <c r="U48">
        <f>HYPERLINK("https://klasma.github.io/Logging_2283/knärot/A 41031-2020 karta knärot.png", "A 41031-2020")</f>
        <v/>
      </c>
      <c r="V48">
        <f>HYPERLINK("https://klasma.github.io/Logging_2283/klagomål/A 41031-2020 FSC-klagomål.docx", "A 41031-2020")</f>
        <v/>
      </c>
      <c r="W48">
        <f>HYPERLINK("https://klasma.github.io/Logging_2283/klagomålsmail/A 41031-2020 FSC-klagomål mail.docx", "A 41031-2020")</f>
        <v/>
      </c>
      <c r="X48">
        <f>HYPERLINK("https://klasma.github.io/Logging_2283/tillsyn/A 41031-2020 tillsynsbegäran.docx", "A 41031-2020")</f>
        <v/>
      </c>
      <c r="Y48">
        <f>HYPERLINK("https://klasma.github.io/Logging_2283/tillsynsmail/A 41031-2020 tillsynsbegäran mail.docx", "A 41031-2020")</f>
        <v/>
      </c>
      <c r="Z48">
        <f>HYPERLINK("https://klasma.github.io/Logging_2283/fåglar/A 41031-2020 prioriterade fågelarter.docx", "A 41031-2020")</f>
        <v/>
      </c>
    </row>
    <row r="49" ht="15" customHeight="1">
      <c r="A49" t="inlineStr">
        <is>
          <t>A 43602-2021</t>
        </is>
      </c>
      <c r="B49" s="1" t="n">
        <v>44433</v>
      </c>
      <c r="C49" s="1" t="n">
        <v>45583</v>
      </c>
      <c r="D49" t="inlineStr">
        <is>
          <t>VÄSTERNORRLANDS LÄN</t>
        </is>
      </c>
      <c r="E49" t="inlineStr">
        <is>
          <t>SOLLEFTEÅ</t>
        </is>
      </c>
      <c r="F49" t="inlineStr">
        <is>
          <t>Kommuner</t>
        </is>
      </c>
      <c r="G49" t="n">
        <v>7.6</v>
      </c>
      <c r="H49" t="n">
        <v>1</v>
      </c>
      <c r="I49" t="n">
        <v>5</v>
      </c>
      <c r="J49" t="n">
        <v>5</v>
      </c>
      <c r="K49" t="n">
        <v>2</v>
      </c>
      <c r="L49" t="n">
        <v>0</v>
      </c>
      <c r="M49" t="n">
        <v>0</v>
      </c>
      <c r="N49" t="n">
        <v>0</v>
      </c>
      <c r="O49" t="n">
        <v>7</v>
      </c>
      <c r="P49" t="n">
        <v>2</v>
      </c>
      <c r="Q49" t="n">
        <v>12</v>
      </c>
      <c r="R49" s="2" t="inlineStr">
        <is>
          <t>Knärot
Rynkskinn
Brunpudrad nållav
Granticka
Lunglav
Rosenticka
Ullticka
Korallblylav
Kornig nållav
Skinnlav
Stuplav
Vedticka</t>
        </is>
      </c>
      <c r="S49">
        <f>HYPERLINK("https://klasma.github.io/Logging_2283/artfynd/A 43602-2021 artfynd.xlsx", "A 43602-2021")</f>
        <v/>
      </c>
      <c r="T49">
        <f>HYPERLINK("https://klasma.github.io/Logging_2283/kartor/A 43602-2021 karta.png", "A 43602-2021")</f>
        <v/>
      </c>
      <c r="U49">
        <f>HYPERLINK("https://klasma.github.io/Logging_2283/knärot/A 43602-2021 karta knärot.png", "A 43602-2021")</f>
        <v/>
      </c>
      <c r="V49">
        <f>HYPERLINK("https://klasma.github.io/Logging_2283/klagomål/A 43602-2021 FSC-klagomål.docx", "A 43602-2021")</f>
        <v/>
      </c>
      <c r="W49">
        <f>HYPERLINK("https://klasma.github.io/Logging_2283/klagomålsmail/A 43602-2021 FSC-klagomål mail.docx", "A 43602-2021")</f>
        <v/>
      </c>
      <c r="X49">
        <f>HYPERLINK("https://klasma.github.io/Logging_2283/tillsyn/A 43602-2021 tillsynsbegäran.docx", "A 43602-2021")</f>
        <v/>
      </c>
      <c r="Y49">
        <f>HYPERLINK("https://klasma.github.io/Logging_2283/tillsynsmail/A 43602-2021 tillsynsbegäran mail.docx", "A 43602-2021")</f>
        <v/>
      </c>
    </row>
    <row r="50" ht="15" customHeight="1">
      <c r="A50" t="inlineStr">
        <is>
          <t>A 34268-2022</t>
        </is>
      </c>
      <c r="B50" s="1" t="n">
        <v>44791</v>
      </c>
      <c r="C50" s="1" t="n">
        <v>45583</v>
      </c>
      <c r="D50" t="inlineStr">
        <is>
          <t>VÄSTERNORRLANDS LÄN</t>
        </is>
      </c>
      <c r="E50" t="inlineStr">
        <is>
          <t>SOLLEFTEÅ</t>
        </is>
      </c>
      <c r="F50" t="inlineStr">
        <is>
          <t>SCA</t>
        </is>
      </c>
      <c r="G50" t="n">
        <v>2.8</v>
      </c>
      <c r="H50" t="n">
        <v>2</v>
      </c>
      <c r="I50" t="n">
        <v>2</v>
      </c>
      <c r="J50" t="n">
        <v>9</v>
      </c>
      <c r="K50" t="n">
        <v>1</v>
      </c>
      <c r="L50" t="n">
        <v>0</v>
      </c>
      <c r="M50" t="n">
        <v>0</v>
      </c>
      <c r="N50" t="n">
        <v>0</v>
      </c>
      <c r="O50" t="n">
        <v>10</v>
      </c>
      <c r="P50" t="n">
        <v>1</v>
      </c>
      <c r="Q50" t="n">
        <v>12</v>
      </c>
      <c r="R50" s="2" t="inlineStr">
        <is>
          <t>Knärot
Garnlav
Gränsticka
Kolflarnlav
Mörk kolflarnlav
Rosenticka
Tretåig hackspett
Ullticka
Vedskivlav
Violettgrå tagellav
Bronshjon
Vedticka</t>
        </is>
      </c>
      <c r="S50">
        <f>HYPERLINK("https://klasma.github.io/Logging_2283/artfynd/A 34268-2022 artfynd.xlsx", "A 34268-2022")</f>
        <v/>
      </c>
      <c r="T50">
        <f>HYPERLINK("https://klasma.github.io/Logging_2283/kartor/A 34268-2022 karta.png", "A 34268-2022")</f>
        <v/>
      </c>
      <c r="U50">
        <f>HYPERLINK("https://klasma.github.io/Logging_2283/knärot/A 34268-2022 karta knärot.png", "A 34268-2022")</f>
        <v/>
      </c>
      <c r="V50">
        <f>HYPERLINK("https://klasma.github.io/Logging_2283/klagomål/A 34268-2022 FSC-klagomål.docx", "A 34268-2022")</f>
        <v/>
      </c>
      <c r="W50">
        <f>HYPERLINK("https://klasma.github.io/Logging_2283/klagomålsmail/A 34268-2022 FSC-klagomål mail.docx", "A 34268-2022")</f>
        <v/>
      </c>
      <c r="X50">
        <f>HYPERLINK("https://klasma.github.io/Logging_2283/tillsyn/A 34268-2022 tillsynsbegäran.docx", "A 34268-2022")</f>
        <v/>
      </c>
      <c r="Y50">
        <f>HYPERLINK("https://klasma.github.io/Logging_2283/tillsynsmail/A 34268-2022 tillsynsbegäran mail.docx", "A 34268-2022")</f>
        <v/>
      </c>
      <c r="Z50">
        <f>HYPERLINK("https://klasma.github.io/Logging_2283/fåglar/A 34268-2022 prioriterade fågelarter.docx", "A 34268-2022")</f>
        <v/>
      </c>
    </row>
    <row r="51" ht="15" customHeight="1">
      <c r="A51" t="inlineStr">
        <is>
          <t>A 26367-2023</t>
        </is>
      </c>
      <c r="B51" s="1" t="n">
        <v>45091</v>
      </c>
      <c r="C51" s="1" t="n">
        <v>45583</v>
      </c>
      <c r="D51" t="inlineStr">
        <is>
          <t>VÄSTERNORRLANDS LÄN</t>
        </is>
      </c>
      <c r="E51" t="inlineStr">
        <is>
          <t>SOLLEFTEÅ</t>
        </is>
      </c>
      <c r="F51" t="inlineStr">
        <is>
          <t>SCA</t>
        </is>
      </c>
      <c r="G51" t="n">
        <v>44.2</v>
      </c>
      <c r="H51" t="n">
        <v>4</v>
      </c>
      <c r="I51" t="n">
        <v>4</v>
      </c>
      <c r="J51" t="n">
        <v>7</v>
      </c>
      <c r="K51" t="n">
        <v>0</v>
      </c>
      <c r="L51" t="n">
        <v>0</v>
      </c>
      <c r="M51" t="n">
        <v>0</v>
      </c>
      <c r="N51" t="n">
        <v>0</v>
      </c>
      <c r="O51" t="n">
        <v>7</v>
      </c>
      <c r="P51" t="n">
        <v>0</v>
      </c>
      <c r="Q51" t="n">
        <v>12</v>
      </c>
      <c r="R51" s="2" t="inlineStr">
        <is>
          <t>Garnlav
Granticka
Lunglav
Rosenticka
Spillkråka
Tretåig hackspett
Violettgrå tagellav
Norrlandslav
Plattlummer
Skinnlav
Vedticka
Revlummer</t>
        </is>
      </c>
      <c r="S51">
        <f>HYPERLINK("https://klasma.github.io/Logging_2283/artfynd/A 26367-2023 artfynd.xlsx", "A 26367-2023")</f>
        <v/>
      </c>
      <c r="T51">
        <f>HYPERLINK("https://klasma.github.io/Logging_2283/kartor/A 26367-2023 karta.png", "A 26367-2023")</f>
        <v/>
      </c>
      <c r="V51">
        <f>HYPERLINK("https://klasma.github.io/Logging_2283/klagomål/A 26367-2023 FSC-klagomål.docx", "A 26367-2023")</f>
        <v/>
      </c>
      <c r="W51">
        <f>HYPERLINK("https://klasma.github.io/Logging_2283/klagomålsmail/A 26367-2023 FSC-klagomål mail.docx", "A 26367-2023")</f>
        <v/>
      </c>
      <c r="X51">
        <f>HYPERLINK("https://klasma.github.io/Logging_2283/tillsyn/A 26367-2023 tillsynsbegäran.docx", "A 26367-2023")</f>
        <v/>
      </c>
      <c r="Y51">
        <f>HYPERLINK("https://klasma.github.io/Logging_2283/tillsynsmail/A 26367-2023 tillsynsbegäran mail.docx", "A 26367-2023")</f>
        <v/>
      </c>
      <c r="Z51">
        <f>HYPERLINK("https://klasma.github.io/Logging_2283/fåglar/A 26367-2023 prioriterade fågelarter.docx", "A 26367-2023")</f>
        <v/>
      </c>
    </row>
    <row r="52" ht="15" customHeight="1">
      <c r="A52" t="inlineStr">
        <is>
          <t>A 10623-2024</t>
        </is>
      </c>
      <c r="B52" s="1" t="n">
        <v>45367</v>
      </c>
      <c r="C52" s="1" t="n">
        <v>45583</v>
      </c>
      <c r="D52" t="inlineStr">
        <is>
          <t>VÄSTERNORRLANDS LÄN</t>
        </is>
      </c>
      <c r="E52" t="inlineStr">
        <is>
          <t>SOLLEFTEÅ</t>
        </is>
      </c>
      <c r="F52" t="inlineStr">
        <is>
          <t>SCA</t>
        </is>
      </c>
      <c r="G52" t="n">
        <v>9.800000000000001</v>
      </c>
      <c r="H52" t="n">
        <v>2</v>
      </c>
      <c r="I52" t="n">
        <v>2</v>
      </c>
      <c r="J52" t="n">
        <v>8</v>
      </c>
      <c r="K52" t="n">
        <v>2</v>
      </c>
      <c r="L52" t="n">
        <v>0</v>
      </c>
      <c r="M52" t="n">
        <v>0</v>
      </c>
      <c r="N52" t="n">
        <v>0</v>
      </c>
      <c r="O52" t="n">
        <v>10</v>
      </c>
      <c r="P52" t="n">
        <v>2</v>
      </c>
      <c r="Q52" t="n">
        <v>12</v>
      </c>
      <c r="R52" s="2" t="inlineStr">
        <is>
          <t>Knärot
Rynkskinn
Garnlav
Harticka
Lunglav
Rosenticka
Skogshare
Stjärntagging
Tretåig hackspett
Ullticka
Stor aspticka
Vedticka</t>
        </is>
      </c>
      <c r="S52">
        <f>HYPERLINK("https://klasma.github.io/Logging_2283/artfynd/A 10623-2024 artfynd.xlsx", "A 10623-2024")</f>
        <v/>
      </c>
      <c r="T52">
        <f>HYPERLINK("https://klasma.github.io/Logging_2283/kartor/A 10623-2024 karta.png", "A 10623-2024")</f>
        <v/>
      </c>
      <c r="U52">
        <f>HYPERLINK("https://klasma.github.io/Logging_2283/knärot/A 10623-2024 karta knärot.png", "A 10623-2024")</f>
        <v/>
      </c>
      <c r="V52">
        <f>HYPERLINK("https://klasma.github.io/Logging_2283/klagomål/A 10623-2024 FSC-klagomål.docx", "A 10623-2024")</f>
        <v/>
      </c>
      <c r="W52">
        <f>HYPERLINK("https://klasma.github.io/Logging_2283/klagomålsmail/A 10623-2024 FSC-klagomål mail.docx", "A 10623-2024")</f>
        <v/>
      </c>
      <c r="X52">
        <f>HYPERLINK("https://klasma.github.io/Logging_2283/tillsyn/A 10623-2024 tillsynsbegäran.docx", "A 10623-2024")</f>
        <v/>
      </c>
      <c r="Y52">
        <f>HYPERLINK("https://klasma.github.io/Logging_2283/tillsynsmail/A 10623-2024 tillsynsbegäran mail.docx", "A 10623-2024")</f>
        <v/>
      </c>
      <c r="Z52">
        <f>HYPERLINK("https://klasma.github.io/Logging_2283/fåglar/A 10623-2024 prioriterade fågelarter.docx", "A 10623-2024")</f>
        <v/>
      </c>
    </row>
    <row r="53" ht="15" customHeight="1">
      <c r="A53" t="inlineStr">
        <is>
          <t>A 26948-2024</t>
        </is>
      </c>
      <c r="B53" s="1" t="n">
        <v>45470</v>
      </c>
      <c r="C53" s="1" t="n">
        <v>45583</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40784-2019</t>
        </is>
      </c>
      <c r="B54" s="1" t="n">
        <v>43693</v>
      </c>
      <c r="C54" s="1" t="n">
        <v>45583</v>
      </c>
      <c r="D54" t="inlineStr">
        <is>
          <t>VÄSTERNORRLANDS LÄN</t>
        </is>
      </c>
      <c r="E54" t="inlineStr">
        <is>
          <t>SOLLEFTEÅ</t>
        </is>
      </c>
      <c r="G54" t="n">
        <v>10.5</v>
      </c>
      <c r="H54" t="n">
        <v>1</v>
      </c>
      <c r="I54" t="n">
        <v>1</v>
      </c>
      <c r="J54" t="n">
        <v>8</v>
      </c>
      <c r="K54" t="n">
        <v>2</v>
      </c>
      <c r="L54" t="n">
        <v>0</v>
      </c>
      <c r="M54" t="n">
        <v>0</v>
      </c>
      <c r="N54" t="n">
        <v>0</v>
      </c>
      <c r="O54" t="n">
        <v>10</v>
      </c>
      <c r="P54" t="n">
        <v>2</v>
      </c>
      <c r="Q54" t="n">
        <v>11</v>
      </c>
      <c r="R54" s="2" t="inlineStr">
        <is>
          <t>Blackticka
Rynkskinn
Gammelgransskål
Garnlav
Granticka
Kolflarnlav
Lunglav
Talltita
Ullticka
Vedskivlav
Vedticka</t>
        </is>
      </c>
      <c r="S54">
        <f>HYPERLINK("https://klasma.github.io/Logging_2283/artfynd/A 40784-2019 artfynd.xlsx", "A 40784-2019")</f>
        <v/>
      </c>
      <c r="T54">
        <f>HYPERLINK("https://klasma.github.io/Logging_2283/kartor/A 40784-2019 karta.png", "A 40784-2019")</f>
        <v/>
      </c>
      <c r="V54">
        <f>HYPERLINK("https://klasma.github.io/Logging_2283/klagomål/A 40784-2019 FSC-klagomål.docx", "A 40784-2019")</f>
        <v/>
      </c>
      <c r="W54">
        <f>HYPERLINK("https://klasma.github.io/Logging_2283/klagomålsmail/A 40784-2019 FSC-klagomål mail.docx", "A 40784-2019")</f>
        <v/>
      </c>
      <c r="X54">
        <f>HYPERLINK("https://klasma.github.io/Logging_2283/tillsyn/A 40784-2019 tillsynsbegäran.docx", "A 40784-2019")</f>
        <v/>
      </c>
      <c r="Y54">
        <f>HYPERLINK("https://klasma.github.io/Logging_2283/tillsynsmail/A 40784-2019 tillsynsbegäran mail.docx", "A 40784-2019")</f>
        <v/>
      </c>
      <c r="Z54">
        <f>HYPERLINK("https://klasma.github.io/Logging_2283/fåglar/A 40784-2019 prioriterade fågelarter.docx", "A 40784-2019")</f>
        <v/>
      </c>
    </row>
    <row r="55" ht="15" customHeight="1">
      <c r="A55" t="inlineStr">
        <is>
          <t>A 22449-2024</t>
        </is>
      </c>
      <c r="B55" s="1" t="n">
        <v>45446</v>
      </c>
      <c r="C55" s="1" t="n">
        <v>45583</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27674-2024</t>
        </is>
      </c>
      <c r="B56" s="1" t="n">
        <v>45474</v>
      </c>
      <c r="C56" s="1" t="n">
        <v>45583</v>
      </c>
      <c r="D56" t="inlineStr">
        <is>
          <t>VÄSTERNORRLANDS LÄN</t>
        </is>
      </c>
      <c r="E56" t="inlineStr">
        <is>
          <t>SOLLEFTEÅ</t>
        </is>
      </c>
      <c r="F56" t="inlineStr">
        <is>
          <t>SCA</t>
        </is>
      </c>
      <c r="G56" t="n">
        <v>13.4</v>
      </c>
      <c r="H56" t="n">
        <v>1</v>
      </c>
      <c r="I56" t="n">
        <v>1</v>
      </c>
      <c r="J56" t="n">
        <v>9</v>
      </c>
      <c r="K56" t="n">
        <v>0</v>
      </c>
      <c r="L56" t="n">
        <v>0</v>
      </c>
      <c r="M56" t="n">
        <v>0</v>
      </c>
      <c r="N56" t="n">
        <v>0</v>
      </c>
      <c r="O56" t="n">
        <v>9</v>
      </c>
      <c r="P56" t="n">
        <v>0</v>
      </c>
      <c r="Q56" t="n">
        <v>11</v>
      </c>
      <c r="R56" s="2" t="inlineStr">
        <is>
          <t>Dvärgbägarlav
Garnlav
Kolflarnlav
Kortskaftad ärgspik
Mörk kolflarnlav
Ullticka
Vaddporing
Vedflamlav
Vedskivlav
Vedticka
Lavskrika</t>
        </is>
      </c>
      <c r="S56">
        <f>HYPERLINK("https://klasma.github.io/Logging_2283/artfynd/A 27674-2024 artfynd.xlsx", "A 27674-2024")</f>
        <v/>
      </c>
      <c r="T56">
        <f>HYPERLINK("https://klasma.github.io/Logging_2283/kartor/A 27674-2024 karta.png", "A 27674-2024")</f>
        <v/>
      </c>
      <c r="V56">
        <f>HYPERLINK("https://klasma.github.io/Logging_2283/klagomål/A 27674-2024 FSC-klagomål.docx", "A 27674-2024")</f>
        <v/>
      </c>
      <c r="W56">
        <f>HYPERLINK("https://klasma.github.io/Logging_2283/klagomålsmail/A 27674-2024 FSC-klagomål mail.docx", "A 27674-2024")</f>
        <v/>
      </c>
      <c r="X56">
        <f>HYPERLINK("https://klasma.github.io/Logging_2283/tillsyn/A 27674-2024 tillsynsbegäran.docx", "A 27674-2024")</f>
        <v/>
      </c>
      <c r="Y56">
        <f>HYPERLINK("https://klasma.github.io/Logging_2283/tillsynsmail/A 27674-2024 tillsynsbegäran mail.docx", "A 27674-2024")</f>
        <v/>
      </c>
      <c r="Z56">
        <f>HYPERLINK("https://klasma.github.io/Logging_2283/fåglar/A 27674-2024 prioriterade fågelarter.docx", "A 27674-2024")</f>
        <v/>
      </c>
    </row>
    <row r="57" ht="15" customHeight="1">
      <c r="A57" t="inlineStr">
        <is>
          <t>A 31661-2024</t>
        </is>
      </c>
      <c r="B57" s="1" t="n">
        <v>45507</v>
      </c>
      <c r="C57" s="1" t="n">
        <v>45583</v>
      </c>
      <c r="D57" t="inlineStr">
        <is>
          <t>VÄSTERNORRLANDS LÄN</t>
        </is>
      </c>
      <c r="E57" t="inlineStr">
        <is>
          <t>SOLLEFTEÅ</t>
        </is>
      </c>
      <c r="G57" t="n">
        <v>5.8</v>
      </c>
      <c r="H57" t="n">
        <v>3</v>
      </c>
      <c r="I57" t="n">
        <v>0</v>
      </c>
      <c r="J57" t="n">
        <v>9</v>
      </c>
      <c r="K57" t="n">
        <v>0</v>
      </c>
      <c r="L57" t="n">
        <v>1</v>
      </c>
      <c r="M57" t="n">
        <v>0</v>
      </c>
      <c r="N57" t="n">
        <v>0</v>
      </c>
      <c r="O57" t="n">
        <v>10</v>
      </c>
      <c r="P57" t="n">
        <v>1</v>
      </c>
      <c r="Q57" t="n">
        <v>11</v>
      </c>
      <c r="R57" s="2" t="inlineStr">
        <is>
          <t>Djupsvart brunbagge
Granticka
Gränsticka
Harticka
Leptoporus mollis
Lunglav
Rosenticka
Talltita
Tretåig hackspett
Ullticka
Revlummer</t>
        </is>
      </c>
      <c r="S57">
        <f>HYPERLINK("https://klasma.github.io/Logging_2283/artfynd/A 31661-2024 artfynd.xlsx", "A 31661-2024")</f>
        <v/>
      </c>
      <c r="T57">
        <f>HYPERLINK("https://klasma.github.io/Logging_2283/kartor/A 31661-2024 karta.png", "A 31661-2024")</f>
        <v/>
      </c>
      <c r="V57">
        <f>HYPERLINK("https://klasma.github.io/Logging_2283/klagomål/A 31661-2024 FSC-klagomål.docx", "A 31661-2024")</f>
        <v/>
      </c>
      <c r="W57">
        <f>HYPERLINK("https://klasma.github.io/Logging_2283/klagomålsmail/A 31661-2024 FSC-klagomål mail.docx", "A 31661-2024")</f>
        <v/>
      </c>
      <c r="X57">
        <f>HYPERLINK("https://klasma.github.io/Logging_2283/tillsyn/A 31661-2024 tillsynsbegäran.docx", "A 31661-2024")</f>
        <v/>
      </c>
      <c r="Y57">
        <f>HYPERLINK("https://klasma.github.io/Logging_2283/tillsynsmail/A 31661-2024 tillsynsbegäran mail.docx", "A 31661-2024")</f>
        <v/>
      </c>
      <c r="Z57">
        <f>HYPERLINK("https://klasma.github.io/Logging_2283/fåglar/A 31661-2024 prioriterade fågelarter.docx", "A 31661-2024")</f>
        <v/>
      </c>
    </row>
    <row r="58" ht="15" customHeight="1">
      <c r="A58" t="inlineStr">
        <is>
          <t>A 32460-2024</t>
        </is>
      </c>
      <c r="B58" s="1" t="n">
        <v>45512</v>
      </c>
      <c r="C58" s="1" t="n">
        <v>45583</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44369-2024</t>
        </is>
      </c>
      <c r="B59" s="1" t="n">
        <v>45573</v>
      </c>
      <c r="C59" s="1" t="n">
        <v>45583</v>
      </c>
      <c r="D59" t="inlineStr">
        <is>
          <t>VÄSTERNORRLANDS LÄN</t>
        </is>
      </c>
      <c r="E59" t="inlineStr">
        <is>
          <t>SOLLEFTEÅ</t>
        </is>
      </c>
      <c r="F59" t="inlineStr">
        <is>
          <t>SCA</t>
        </is>
      </c>
      <c r="G59" t="n">
        <v>1.5</v>
      </c>
      <c r="H59" t="n">
        <v>4</v>
      </c>
      <c r="I59" t="n">
        <v>1</v>
      </c>
      <c r="J59" t="n">
        <v>8</v>
      </c>
      <c r="K59" t="n">
        <v>2</v>
      </c>
      <c r="L59" t="n">
        <v>0</v>
      </c>
      <c r="M59" t="n">
        <v>0</v>
      </c>
      <c r="N59" t="n">
        <v>0</v>
      </c>
      <c r="O59" t="n">
        <v>10</v>
      </c>
      <c r="P59" t="n">
        <v>2</v>
      </c>
      <c r="Q59" t="n">
        <v>11</v>
      </c>
      <c r="R59" s="2" t="inlineStr">
        <is>
          <t>Knärot
Ulltickeporing
Garnlav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66171-2021</t>
        </is>
      </c>
      <c r="B60" s="1" t="n">
        <v>44517</v>
      </c>
      <c r="C60" s="1" t="n">
        <v>45583</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747-2022</t>
        </is>
      </c>
      <c r="B61" s="1" t="n">
        <v>44568</v>
      </c>
      <c r="C61" s="1" t="n">
        <v>45583</v>
      </c>
      <c r="D61" t="inlineStr">
        <is>
          <t>VÄSTERNORRLANDS LÄN</t>
        </is>
      </c>
      <c r="E61" t="inlineStr">
        <is>
          <t>SOLLEFTEÅ</t>
        </is>
      </c>
      <c r="F61" t="inlineStr">
        <is>
          <t>SCA</t>
        </is>
      </c>
      <c r="G61" t="n">
        <v>10.9</v>
      </c>
      <c r="H61" t="n">
        <v>1</v>
      </c>
      <c r="I61" t="n">
        <v>3</v>
      </c>
      <c r="J61" t="n">
        <v>6</v>
      </c>
      <c r="K61" t="n">
        <v>1</v>
      </c>
      <c r="L61" t="n">
        <v>0</v>
      </c>
      <c r="M61" t="n">
        <v>0</v>
      </c>
      <c r="N61" t="n">
        <v>0</v>
      </c>
      <c r="O61" t="n">
        <v>7</v>
      </c>
      <c r="P61" t="n">
        <v>1</v>
      </c>
      <c r="Q61" t="n">
        <v>10</v>
      </c>
      <c r="R61" s="2" t="inlineStr">
        <is>
          <t>Rynkskinn
Doftskinn
Granticka
Lunglav
Rosenticka
Tretåig hackspett
Ullticka
Norrlandslav
Stuplav
Vedticka</t>
        </is>
      </c>
      <c r="S61">
        <f>HYPERLINK("https://klasma.github.io/Logging_2283/artfynd/A 747-2022 artfynd.xlsx", "A 747-2022")</f>
        <v/>
      </c>
      <c r="T61">
        <f>HYPERLINK("https://klasma.github.io/Logging_2283/kartor/A 747-2022 karta.png", "A 747-2022")</f>
        <v/>
      </c>
      <c r="V61">
        <f>HYPERLINK("https://klasma.github.io/Logging_2283/klagomål/A 747-2022 FSC-klagomål.docx", "A 747-2022")</f>
        <v/>
      </c>
      <c r="W61">
        <f>HYPERLINK("https://klasma.github.io/Logging_2283/klagomålsmail/A 747-2022 FSC-klagomål mail.docx", "A 747-2022")</f>
        <v/>
      </c>
      <c r="X61">
        <f>HYPERLINK("https://klasma.github.io/Logging_2283/tillsyn/A 747-2022 tillsynsbegäran.docx", "A 747-2022")</f>
        <v/>
      </c>
      <c r="Y61">
        <f>HYPERLINK("https://klasma.github.io/Logging_2283/tillsynsmail/A 747-2022 tillsynsbegäran mail.docx", "A 747-2022")</f>
        <v/>
      </c>
      <c r="Z61">
        <f>HYPERLINK("https://klasma.github.io/Logging_2283/fåglar/A 747-2022 prioriterade fågelarter.docx", "A 747-2022")</f>
        <v/>
      </c>
    </row>
    <row r="62" ht="15" customHeight="1">
      <c r="A62" t="inlineStr">
        <is>
          <t>A 11491-2022</t>
        </is>
      </c>
      <c r="B62" s="1" t="n">
        <v>44630</v>
      </c>
      <c r="C62" s="1" t="n">
        <v>45583</v>
      </c>
      <c r="D62" t="inlineStr">
        <is>
          <t>VÄSTERNORRLANDS LÄN</t>
        </is>
      </c>
      <c r="E62" t="inlineStr">
        <is>
          <t>SOLLEFTEÅ</t>
        </is>
      </c>
      <c r="F62" t="inlineStr">
        <is>
          <t>SCA</t>
        </is>
      </c>
      <c r="G62" t="n">
        <v>6.4</v>
      </c>
      <c r="H62" t="n">
        <v>3</v>
      </c>
      <c r="I62" t="n">
        <v>0</v>
      </c>
      <c r="J62" t="n">
        <v>6</v>
      </c>
      <c r="K62" t="n">
        <v>3</v>
      </c>
      <c r="L62" t="n">
        <v>0</v>
      </c>
      <c r="M62" t="n">
        <v>0</v>
      </c>
      <c r="N62" t="n">
        <v>0</v>
      </c>
      <c r="O62" t="n">
        <v>9</v>
      </c>
      <c r="P62" t="n">
        <v>3</v>
      </c>
      <c r="Q62" t="n">
        <v>10</v>
      </c>
      <c r="R62" s="2" t="inlineStr">
        <is>
          <t>Knärot
Raggbock
Rynkskinn
Gränsticka
Lunglav
Orange taggsvamp
Rosenticka
Tretåig hackspett
Ullticka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14301-2022</t>
        </is>
      </c>
      <c r="B63" s="1" t="n">
        <v>44652</v>
      </c>
      <c r="C63" s="1" t="n">
        <v>45583</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19825-2023</t>
        </is>
      </c>
      <c r="B64" s="1" t="n">
        <v>45051</v>
      </c>
      <c r="C64" s="1" t="n">
        <v>45583</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37488-2023</t>
        </is>
      </c>
      <c r="B65" s="1" t="n">
        <v>45156</v>
      </c>
      <c r="C65" s="1" t="n">
        <v>45583</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53768-2023</t>
        </is>
      </c>
      <c r="B66" s="1" t="n">
        <v>45230</v>
      </c>
      <c r="C66" s="1" t="n">
        <v>45583</v>
      </c>
      <c r="D66" t="inlineStr">
        <is>
          <t>VÄSTERNORRLANDS LÄN</t>
        </is>
      </c>
      <c r="E66" t="inlineStr">
        <is>
          <t>SOLLEFTEÅ</t>
        </is>
      </c>
      <c r="F66" t="inlineStr">
        <is>
          <t>SCA</t>
        </is>
      </c>
      <c r="G66" t="n">
        <v>7.6</v>
      </c>
      <c r="H66" t="n">
        <v>1</v>
      </c>
      <c r="I66" t="n">
        <v>1</v>
      </c>
      <c r="J66" t="n">
        <v>8</v>
      </c>
      <c r="K66" t="n">
        <v>1</v>
      </c>
      <c r="L66" t="n">
        <v>0</v>
      </c>
      <c r="M66" t="n">
        <v>0</v>
      </c>
      <c r="N66" t="n">
        <v>0</v>
      </c>
      <c r="O66" t="n">
        <v>9</v>
      </c>
      <c r="P66" t="n">
        <v>1</v>
      </c>
      <c r="Q66" t="n">
        <v>10</v>
      </c>
      <c r="R66" s="2" t="inlineStr">
        <is>
          <t>Blackticka
Gammelgransskål
Garnlav
Granticka
Gränsticka
Lunglav
Stjärntagging
Talltita
Ullticka
Vedticka</t>
        </is>
      </c>
      <c r="S66">
        <f>HYPERLINK("https://klasma.github.io/Logging_2283/artfynd/A 53768-2023 artfynd.xlsx", "A 53768-2023")</f>
        <v/>
      </c>
      <c r="T66">
        <f>HYPERLINK("https://klasma.github.io/Logging_2283/kartor/A 53768-2023 karta.png", "A 53768-2023")</f>
        <v/>
      </c>
      <c r="V66">
        <f>HYPERLINK("https://klasma.github.io/Logging_2283/klagomål/A 53768-2023 FSC-klagomål.docx", "A 53768-2023")</f>
        <v/>
      </c>
      <c r="W66">
        <f>HYPERLINK("https://klasma.github.io/Logging_2283/klagomålsmail/A 53768-2023 FSC-klagomål mail.docx", "A 53768-2023")</f>
        <v/>
      </c>
      <c r="X66">
        <f>HYPERLINK("https://klasma.github.io/Logging_2283/tillsyn/A 53768-2023 tillsynsbegäran.docx", "A 53768-2023")</f>
        <v/>
      </c>
      <c r="Y66">
        <f>HYPERLINK("https://klasma.github.io/Logging_2283/tillsynsmail/A 53768-2023 tillsynsbegäran mail.docx", "A 53768-2023")</f>
        <v/>
      </c>
      <c r="Z66">
        <f>HYPERLINK("https://klasma.github.io/Logging_2283/fåglar/A 53768-2023 prioriterade fågelarter.docx", "A 53768-2023")</f>
        <v/>
      </c>
    </row>
    <row r="67" ht="15" customHeight="1">
      <c r="A67" t="inlineStr">
        <is>
          <t>A 29247-2024</t>
        </is>
      </c>
      <c r="B67" s="1" t="n">
        <v>45482</v>
      </c>
      <c r="C67" s="1" t="n">
        <v>45583</v>
      </c>
      <c r="D67" t="inlineStr">
        <is>
          <t>VÄSTERNORRLANDS LÄN</t>
        </is>
      </c>
      <c r="E67" t="inlineStr">
        <is>
          <t>SOLLEFTEÅ</t>
        </is>
      </c>
      <c r="F67" t="inlineStr">
        <is>
          <t>SCA</t>
        </is>
      </c>
      <c r="G67" t="n">
        <v>6</v>
      </c>
      <c r="H67" t="n">
        <v>2</v>
      </c>
      <c r="I67" t="n">
        <v>1</v>
      </c>
      <c r="J67" t="n">
        <v>6</v>
      </c>
      <c r="K67" t="n">
        <v>3</v>
      </c>
      <c r="L67" t="n">
        <v>0</v>
      </c>
      <c r="M67" t="n">
        <v>0</v>
      </c>
      <c r="N67" t="n">
        <v>0</v>
      </c>
      <c r="O67" t="n">
        <v>9</v>
      </c>
      <c r="P67" t="n">
        <v>3</v>
      </c>
      <c r="Q67" t="n">
        <v>10</v>
      </c>
      <c r="R67" s="2" t="inlineStr">
        <is>
          <t>Gräddporing
Knärot
Smalfotad taggsvamp
Dvärgbägarlav
Kolflarnlav
Lunglav
Mörk kolflarnlav
Talltita
Vedflamlav
Norrlandslav</t>
        </is>
      </c>
      <c r="S67">
        <f>HYPERLINK("https://klasma.github.io/Logging_2283/artfynd/A 29247-2024 artfynd.xlsx", "A 29247-2024")</f>
        <v/>
      </c>
      <c r="T67">
        <f>HYPERLINK("https://klasma.github.io/Logging_2283/kartor/A 29247-2024 karta.png", "A 29247-2024")</f>
        <v/>
      </c>
      <c r="U67">
        <f>HYPERLINK("https://klasma.github.io/Logging_2283/knärot/A 29247-2024 karta knärot.png", "A 29247-2024")</f>
        <v/>
      </c>
      <c r="V67">
        <f>HYPERLINK("https://klasma.github.io/Logging_2283/klagomål/A 29247-2024 FSC-klagomål.docx", "A 29247-2024")</f>
        <v/>
      </c>
      <c r="W67">
        <f>HYPERLINK("https://klasma.github.io/Logging_2283/klagomålsmail/A 29247-2024 FSC-klagomål mail.docx", "A 29247-2024")</f>
        <v/>
      </c>
      <c r="X67">
        <f>HYPERLINK("https://klasma.github.io/Logging_2283/tillsyn/A 29247-2024 tillsynsbegäran.docx", "A 29247-2024")</f>
        <v/>
      </c>
      <c r="Y67">
        <f>HYPERLINK("https://klasma.github.io/Logging_2283/tillsynsmail/A 29247-2024 tillsynsbegäran mail.docx", "A 29247-2024")</f>
        <v/>
      </c>
      <c r="Z67">
        <f>HYPERLINK("https://klasma.github.io/Logging_2283/fåglar/A 29247-2024 prioriterade fågelarter.docx", "A 29247-2024")</f>
        <v/>
      </c>
    </row>
    <row r="68" ht="15" customHeight="1">
      <c r="A68" t="inlineStr">
        <is>
          <t>A 40464-2024</t>
        </is>
      </c>
      <c r="B68" s="1" t="n">
        <v>45555</v>
      </c>
      <c r="C68" s="1" t="n">
        <v>45583</v>
      </c>
      <c r="D68" t="inlineStr">
        <is>
          <t>VÄSTERNORRLANDS LÄN</t>
        </is>
      </c>
      <c r="E68" t="inlineStr">
        <is>
          <t>SOLLEFTEÅ</t>
        </is>
      </c>
      <c r="F68" t="inlineStr">
        <is>
          <t>SCA</t>
        </is>
      </c>
      <c r="G68" t="n">
        <v>7.7</v>
      </c>
      <c r="H68" t="n">
        <v>4</v>
      </c>
      <c r="I68" t="n">
        <v>1</v>
      </c>
      <c r="J68" t="n">
        <v>7</v>
      </c>
      <c r="K68" t="n">
        <v>2</v>
      </c>
      <c r="L68" t="n">
        <v>0</v>
      </c>
      <c r="M68" t="n">
        <v>0</v>
      </c>
      <c r="N68" t="n">
        <v>0</v>
      </c>
      <c r="O68" t="n">
        <v>9</v>
      </c>
      <c r="P68" t="n">
        <v>2</v>
      </c>
      <c r="Q68" t="n">
        <v>10</v>
      </c>
      <c r="R68" s="2" t="inlineStr">
        <is>
          <t>Knärot
Rynkskinn
Gammelgransskål
Garnlav
Granticka
Järpe
Spillkråka
Tretåig hackspett
Ullticka
Vedticka</t>
        </is>
      </c>
      <c r="S68">
        <f>HYPERLINK("https://klasma.github.io/Logging_2283/artfynd/A 40464-2024 artfynd.xlsx", "A 40464-2024")</f>
        <v/>
      </c>
      <c r="T68">
        <f>HYPERLINK("https://klasma.github.io/Logging_2283/kartor/A 40464-2024 karta.png", "A 40464-2024")</f>
        <v/>
      </c>
      <c r="U68">
        <f>HYPERLINK("https://klasma.github.io/Logging_2283/knärot/A 40464-2024 karta knärot.png", "A 40464-2024")</f>
        <v/>
      </c>
      <c r="V68">
        <f>HYPERLINK("https://klasma.github.io/Logging_2283/klagomål/A 40464-2024 FSC-klagomål.docx", "A 40464-2024")</f>
        <v/>
      </c>
      <c r="W68">
        <f>HYPERLINK("https://klasma.github.io/Logging_2283/klagomålsmail/A 40464-2024 FSC-klagomål mail.docx", "A 40464-2024")</f>
        <v/>
      </c>
      <c r="X68">
        <f>HYPERLINK("https://klasma.github.io/Logging_2283/tillsyn/A 40464-2024 tillsynsbegäran.docx", "A 40464-2024")</f>
        <v/>
      </c>
      <c r="Y68">
        <f>HYPERLINK("https://klasma.github.io/Logging_2283/tillsynsmail/A 40464-2024 tillsynsbegäran mail.docx", "A 40464-2024")</f>
        <v/>
      </c>
      <c r="Z68">
        <f>HYPERLINK("https://klasma.github.io/Logging_2283/fåglar/A 40464-2024 prioriterade fågelarter.docx", "A 40464-2024")</f>
        <v/>
      </c>
    </row>
    <row r="69" ht="15" customHeight="1">
      <c r="A69" t="inlineStr">
        <is>
          <t>A 41963-2024</t>
        </is>
      </c>
      <c r="B69" s="1" t="n">
        <v>45561</v>
      </c>
      <c r="C69" s="1" t="n">
        <v>45583</v>
      </c>
      <c r="D69" t="inlineStr">
        <is>
          <t>VÄSTERNORRLANDS LÄN</t>
        </is>
      </c>
      <c r="E69" t="inlineStr">
        <is>
          <t>SOLLEFTEÅ</t>
        </is>
      </c>
      <c r="F69" t="inlineStr">
        <is>
          <t>SCA</t>
        </is>
      </c>
      <c r="G69" t="n">
        <v>3.8</v>
      </c>
      <c r="H69" t="n">
        <v>5</v>
      </c>
      <c r="I69" t="n">
        <v>3</v>
      </c>
      <c r="J69" t="n">
        <v>5</v>
      </c>
      <c r="K69" t="n">
        <v>2</v>
      </c>
      <c r="L69" t="n">
        <v>0</v>
      </c>
      <c r="M69" t="n">
        <v>0</v>
      </c>
      <c r="N69" t="n">
        <v>0</v>
      </c>
      <c r="O69" t="n">
        <v>7</v>
      </c>
      <c r="P69" t="n">
        <v>2</v>
      </c>
      <c r="Q69" t="n">
        <v>10</v>
      </c>
      <c r="R69" s="2" t="inlineStr">
        <is>
          <t>Knärot
Rynkskinn
Garnlav
Spillkråka
Talltita
Tretåig hackspett
Ullticka
Bronshjon
Lappranunkel
Vedticka</t>
        </is>
      </c>
      <c r="S69">
        <f>HYPERLINK("https://klasma.github.io/Logging_2283/artfynd/A 41963-2024 artfynd.xlsx", "A 41963-2024")</f>
        <v/>
      </c>
      <c r="T69">
        <f>HYPERLINK("https://klasma.github.io/Logging_2283/kartor/A 41963-2024 karta.png", "A 41963-2024")</f>
        <v/>
      </c>
      <c r="U69">
        <f>HYPERLINK("https://klasma.github.io/Logging_2283/knärot/A 41963-2024 karta knärot.png", "A 41963-2024")</f>
        <v/>
      </c>
      <c r="V69">
        <f>HYPERLINK("https://klasma.github.io/Logging_2283/klagomål/A 41963-2024 FSC-klagomål.docx", "A 41963-2024")</f>
        <v/>
      </c>
      <c r="W69">
        <f>HYPERLINK("https://klasma.github.io/Logging_2283/klagomålsmail/A 41963-2024 FSC-klagomål mail.docx", "A 41963-2024")</f>
        <v/>
      </c>
      <c r="X69">
        <f>HYPERLINK("https://klasma.github.io/Logging_2283/tillsyn/A 41963-2024 tillsynsbegäran.docx", "A 41963-2024")</f>
        <v/>
      </c>
      <c r="Y69">
        <f>HYPERLINK("https://klasma.github.io/Logging_2283/tillsynsmail/A 41963-2024 tillsynsbegäran mail.docx", "A 41963-2024")</f>
        <v/>
      </c>
      <c r="Z69">
        <f>HYPERLINK("https://klasma.github.io/Logging_2283/fåglar/A 41963-2024 prioriterade fågelarter.docx", "A 41963-2024")</f>
        <v/>
      </c>
    </row>
    <row r="70" ht="15" customHeight="1">
      <c r="A70" t="inlineStr">
        <is>
          <t>A 73845-2021</t>
        </is>
      </c>
      <c r="B70" s="1" t="n">
        <v>44553</v>
      </c>
      <c r="C70" s="1" t="n">
        <v>45583</v>
      </c>
      <c r="D70" t="inlineStr">
        <is>
          <t>VÄSTERNORRLANDS LÄN</t>
        </is>
      </c>
      <c r="E70" t="inlineStr">
        <is>
          <t>SOLLEFTEÅ</t>
        </is>
      </c>
      <c r="F70" t="inlineStr">
        <is>
          <t>Övriga Aktiebolag</t>
        </is>
      </c>
      <c r="G70" t="n">
        <v>25.2</v>
      </c>
      <c r="H70" t="n">
        <v>2</v>
      </c>
      <c r="I70" t="n">
        <v>2</v>
      </c>
      <c r="J70" t="n">
        <v>7</v>
      </c>
      <c r="K70" t="n">
        <v>0</v>
      </c>
      <c r="L70" t="n">
        <v>0</v>
      </c>
      <c r="M70" t="n">
        <v>0</v>
      </c>
      <c r="N70" t="n">
        <v>0</v>
      </c>
      <c r="O70" t="n">
        <v>7</v>
      </c>
      <c r="P70" t="n">
        <v>0</v>
      </c>
      <c r="Q70" t="n">
        <v>9</v>
      </c>
      <c r="R70" s="2" t="inlineStr">
        <is>
          <t>Garnlav
Granticka
Lunglav
Rosenticka
Talltita
Tretåig hackspett
Ullticka
Skinnlav
Vedticka</t>
        </is>
      </c>
      <c r="S70">
        <f>HYPERLINK("https://klasma.github.io/Logging_2283/artfynd/A 73845-2021 artfynd.xlsx", "A 73845-2021")</f>
        <v/>
      </c>
      <c r="T70">
        <f>HYPERLINK("https://klasma.github.io/Logging_2283/kartor/A 73845-2021 karta.png", "A 73845-2021")</f>
        <v/>
      </c>
      <c r="V70">
        <f>HYPERLINK("https://klasma.github.io/Logging_2283/klagomål/A 73845-2021 FSC-klagomål.docx", "A 73845-2021")</f>
        <v/>
      </c>
      <c r="W70">
        <f>HYPERLINK("https://klasma.github.io/Logging_2283/klagomålsmail/A 73845-2021 FSC-klagomål mail.docx", "A 73845-2021")</f>
        <v/>
      </c>
      <c r="X70">
        <f>HYPERLINK("https://klasma.github.io/Logging_2283/tillsyn/A 73845-2021 tillsynsbegäran.docx", "A 73845-2021")</f>
        <v/>
      </c>
      <c r="Y70">
        <f>HYPERLINK("https://klasma.github.io/Logging_2283/tillsynsmail/A 73845-2021 tillsynsbegäran mail.docx", "A 73845-2021")</f>
        <v/>
      </c>
      <c r="Z70">
        <f>HYPERLINK("https://klasma.github.io/Logging_2283/fåglar/A 73845-2021 prioriterade fågelarter.docx", "A 73845-2021")</f>
        <v/>
      </c>
    </row>
    <row r="71" ht="15" customHeight="1">
      <c r="A71" t="inlineStr">
        <is>
          <t>A 29309-2022</t>
        </is>
      </c>
      <c r="B71" s="1" t="n">
        <v>44750</v>
      </c>
      <c r="C71" s="1" t="n">
        <v>45583</v>
      </c>
      <c r="D71" t="inlineStr">
        <is>
          <t>VÄSTERNORRLANDS LÄN</t>
        </is>
      </c>
      <c r="E71" t="inlineStr">
        <is>
          <t>SOLLEFTEÅ</t>
        </is>
      </c>
      <c r="F71" t="inlineStr">
        <is>
          <t>SCA</t>
        </is>
      </c>
      <c r="G71" t="n">
        <v>7.3</v>
      </c>
      <c r="H71" t="n">
        <v>1</v>
      </c>
      <c r="I71" t="n">
        <v>0</v>
      </c>
      <c r="J71" t="n">
        <v>9</v>
      </c>
      <c r="K71" t="n">
        <v>0</v>
      </c>
      <c r="L71" t="n">
        <v>0</v>
      </c>
      <c r="M71" t="n">
        <v>0</v>
      </c>
      <c r="N71" t="n">
        <v>0</v>
      </c>
      <c r="O71" t="n">
        <v>9</v>
      </c>
      <c r="P71" t="n">
        <v>0</v>
      </c>
      <c r="Q71" t="n">
        <v>9</v>
      </c>
      <c r="R71" s="2" t="inlineStr">
        <is>
          <t>Blå taggsvamp
Dvärgbägarlav
Garnlav
Lunglav
Mörk kolflarnlav
Nordtagging
Tretåig hackspett
Vedskivlav
Vitplätt</t>
        </is>
      </c>
      <c r="S71">
        <f>HYPERLINK("https://klasma.github.io/Logging_2283/artfynd/A 29309-2022 artfynd.xlsx", "A 29309-2022")</f>
        <v/>
      </c>
      <c r="T71">
        <f>HYPERLINK("https://klasma.github.io/Logging_2283/kartor/A 29309-2022 karta.png", "A 29309-2022")</f>
        <v/>
      </c>
      <c r="U71">
        <f>HYPERLINK("https://klasma.github.io/Logging_2283/knärot/A 29309-2022 karta knärot.png", "A 29309-2022")</f>
        <v/>
      </c>
      <c r="V71">
        <f>HYPERLINK("https://klasma.github.io/Logging_2283/klagomål/A 29309-2022 FSC-klagomål.docx", "A 29309-2022")</f>
        <v/>
      </c>
      <c r="W71">
        <f>HYPERLINK("https://klasma.github.io/Logging_2283/klagomålsmail/A 29309-2022 FSC-klagomål mail.docx", "A 29309-2022")</f>
        <v/>
      </c>
      <c r="X71">
        <f>HYPERLINK("https://klasma.github.io/Logging_2283/tillsyn/A 29309-2022 tillsynsbegäran.docx", "A 29309-2022")</f>
        <v/>
      </c>
      <c r="Y71">
        <f>HYPERLINK("https://klasma.github.io/Logging_2283/tillsynsmail/A 29309-2022 tillsynsbegäran mail.docx", "A 29309-2022")</f>
        <v/>
      </c>
      <c r="Z71">
        <f>HYPERLINK("https://klasma.github.io/Logging_2283/fåglar/A 29309-2022 prioriterade fågelarter.docx", "A 29309-2022")</f>
        <v/>
      </c>
    </row>
    <row r="72" ht="15" customHeight="1">
      <c r="A72" t="inlineStr">
        <is>
          <t>A 40274-2022</t>
        </is>
      </c>
      <c r="B72" s="1" t="n">
        <v>44820</v>
      </c>
      <c r="C72" s="1" t="n">
        <v>45583</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43131-2022</t>
        </is>
      </c>
      <c r="B73" s="1" t="n">
        <v>44833</v>
      </c>
      <c r="C73" s="1" t="n">
        <v>45583</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15983-2023</t>
        </is>
      </c>
      <c r="B74" s="1" t="n">
        <v>45022</v>
      </c>
      <c r="C74" s="1" t="n">
        <v>45583</v>
      </c>
      <c r="D74" t="inlineStr">
        <is>
          <t>VÄSTERNORRLANDS LÄN</t>
        </is>
      </c>
      <c r="E74" t="inlineStr">
        <is>
          <t>SOLLEFTEÅ</t>
        </is>
      </c>
      <c r="F74" t="inlineStr">
        <is>
          <t>SCA</t>
        </is>
      </c>
      <c r="G74" t="n">
        <v>4.7</v>
      </c>
      <c r="H74" t="n">
        <v>1</v>
      </c>
      <c r="I74" t="n">
        <v>0</v>
      </c>
      <c r="J74" t="n">
        <v>9</v>
      </c>
      <c r="K74" t="n">
        <v>0</v>
      </c>
      <c r="L74" t="n">
        <v>0</v>
      </c>
      <c r="M74" t="n">
        <v>0</v>
      </c>
      <c r="N74" t="n">
        <v>0</v>
      </c>
      <c r="O74" t="n">
        <v>9</v>
      </c>
      <c r="P74" t="n">
        <v>0</v>
      </c>
      <c r="Q74" t="n">
        <v>9</v>
      </c>
      <c r="R74" s="2" t="inlineStr">
        <is>
          <t>Dvärgbägarlav
Lunglav
Rosenticka
Skrovlig taggsvamp
Tretåig hackspett
Vedskivlav
Violmussling
Vitgrynig nållav
Vitplätt</t>
        </is>
      </c>
      <c r="S74">
        <f>HYPERLINK("https://klasma.github.io/Logging_2283/artfynd/A 15983-2023 artfynd.xlsx", "A 15983-2023")</f>
        <v/>
      </c>
      <c r="T74">
        <f>HYPERLINK("https://klasma.github.io/Logging_2283/kartor/A 15983-2023 karta.png", "A 15983-2023")</f>
        <v/>
      </c>
      <c r="V74">
        <f>HYPERLINK("https://klasma.github.io/Logging_2283/klagomål/A 15983-2023 FSC-klagomål.docx", "A 15983-2023")</f>
        <v/>
      </c>
      <c r="W74">
        <f>HYPERLINK("https://klasma.github.io/Logging_2283/klagomålsmail/A 15983-2023 FSC-klagomål mail.docx", "A 15983-2023")</f>
        <v/>
      </c>
      <c r="X74">
        <f>HYPERLINK("https://klasma.github.io/Logging_2283/tillsyn/A 15983-2023 tillsynsbegäran.docx", "A 15983-2023")</f>
        <v/>
      </c>
      <c r="Y74">
        <f>HYPERLINK("https://klasma.github.io/Logging_2283/tillsynsmail/A 15983-2023 tillsynsbegäran mail.docx", "A 15983-2023")</f>
        <v/>
      </c>
      <c r="Z74">
        <f>HYPERLINK("https://klasma.github.io/Logging_2283/fåglar/A 15983-2023 prioriterade fågelarter.docx", "A 15983-2023")</f>
        <v/>
      </c>
    </row>
    <row r="75" ht="15" customHeight="1">
      <c r="A75" t="inlineStr">
        <is>
          <t>A 38687-2023</t>
        </is>
      </c>
      <c r="B75" s="1" t="n">
        <v>45162</v>
      </c>
      <c r="C75" s="1" t="n">
        <v>45583</v>
      </c>
      <c r="D75" t="inlineStr">
        <is>
          <t>VÄSTERNORRLANDS LÄN</t>
        </is>
      </c>
      <c r="E75" t="inlineStr">
        <is>
          <t>SOLLEFTEÅ</t>
        </is>
      </c>
      <c r="F75" t="inlineStr">
        <is>
          <t>SCA</t>
        </is>
      </c>
      <c r="G75" t="n">
        <v>9.4</v>
      </c>
      <c r="H75" t="n">
        <v>0</v>
      </c>
      <c r="I75" t="n">
        <v>5</v>
      </c>
      <c r="J75" t="n">
        <v>4</v>
      </c>
      <c r="K75" t="n">
        <v>0</v>
      </c>
      <c r="L75" t="n">
        <v>0</v>
      </c>
      <c r="M75" t="n">
        <v>0</v>
      </c>
      <c r="N75" t="n">
        <v>0</v>
      </c>
      <c r="O75" t="n">
        <v>4</v>
      </c>
      <c r="P75" t="n">
        <v>0</v>
      </c>
      <c r="Q75" t="n">
        <v>9</v>
      </c>
      <c r="R75" s="2" t="inlineStr">
        <is>
          <t>Garnlav
Granticka
Lunglav
Stiftgelélav
Bårdlav
Norrlandslav
Skinnlav
Stuplav
Vedticka</t>
        </is>
      </c>
      <c r="S75">
        <f>HYPERLINK("https://klasma.github.io/Logging_2283/artfynd/A 38687-2023 artfynd.xlsx", "A 38687-2023")</f>
        <v/>
      </c>
      <c r="T75">
        <f>HYPERLINK("https://klasma.github.io/Logging_2283/kartor/A 38687-2023 karta.png", "A 38687-2023")</f>
        <v/>
      </c>
      <c r="V75">
        <f>HYPERLINK("https://klasma.github.io/Logging_2283/klagomål/A 38687-2023 FSC-klagomål.docx", "A 38687-2023")</f>
        <v/>
      </c>
      <c r="W75">
        <f>HYPERLINK("https://klasma.github.io/Logging_2283/klagomålsmail/A 38687-2023 FSC-klagomål mail.docx", "A 38687-2023")</f>
        <v/>
      </c>
      <c r="X75">
        <f>HYPERLINK("https://klasma.github.io/Logging_2283/tillsyn/A 38687-2023 tillsynsbegäran.docx", "A 38687-2023")</f>
        <v/>
      </c>
      <c r="Y75">
        <f>HYPERLINK("https://klasma.github.io/Logging_2283/tillsynsmail/A 38687-2023 tillsynsbegäran mail.docx", "A 38687-2023")</f>
        <v/>
      </c>
    </row>
    <row r="76" ht="15" customHeight="1">
      <c r="A76" t="inlineStr">
        <is>
          <t>A 40418-2023</t>
        </is>
      </c>
      <c r="B76" s="1" t="n">
        <v>45169</v>
      </c>
      <c r="C76" s="1" t="n">
        <v>45583</v>
      </c>
      <c r="D76" t="inlineStr">
        <is>
          <t>VÄSTERNORRLANDS LÄN</t>
        </is>
      </c>
      <c r="E76" t="inlineStr">
        <is>
          <t>SOLLEFTEÅ</t>
        </is>
      </c>
      <c r="F76" t="inlineStr">
        <is>
          <t>SCA</t>
        </is>
      </c>
      <c r="G76" t="n">
        <v>10.9</v>
      </c>
      <c r="H76" t="n">
        <v>5</v>
      </c>
      <c r="I76" t="n">
        <v>0</v>
      </c>
      <c r="J76" t="n">
        <v>7</v>
      </c>
      <c r="K76" t="n">
        <v>2</v>
      </c>
      <c r="L76" t="n">
        <v>0</v>
      </c>
      <c r="M76" t="n">
        <v>0</v>
      </c>
      <c r="N76" t="n">
        <v>0</v>
      </c>
      <c r="O76" t="n">
        <v>9</v>
      </c>
      <c r="P76" t="n">
        <v>2</v>
      </c>
      <c r="Q76" t="n">
        <v>9</v>
      </c>
      <c r="R76" s="2" t="inlineStr">
        <is>
          <t>Doftticka
Knärot
Harticka
Kolflarnlav
Lunglav
Spillkråka
Talltita
Tretåig hackspett
Ullticka</t>
        </is>
      </c>
      <c r="S76">
        <f>HYPERLINK("https://klasma.github.io/Logging_2283/artfynd/A 40418-2023 artfynd.xlsx", "A 40418-2023")</f>
        <v/>
      </c>
      <c r="T76">
        <f>HYPERLINK("https://klasma.github.io/Logging_2283/kartor/A 40418-2023 karta.png", "A 40418-2023")</f>
        <v/>
      </c>
      <c r="U76">
        <f>HYPERLINK("https://klasma.github.io/Logging_2283/knärot/A 40418-2023 karta knärot.png", "A 40418-2023")</f>
        <v/>
      </c>
      <c r="V76">
        <f>HYPERLINK("https://klasma.github.io/Logging_2283/klagomål/A 40418-2023 FSC-klagomål.docx", "A 40418-2023")</f>
        <v/>
      </c>
      <c r="W76">
        <f>HYPERLINK("https://klasma.github.io/Logging_2283/klagomålsmail/A 40418-2023 FSC-klagomål mail.docx", "A 40418-2023")</f>
        <v/>
      </c>
      <c r="X76">
        <f>HYPERLINK("https://klasma.github.io/Logging_2283/tillsyn/A 40418-2023 tillsynsbegäran.docx", "A 40418-2023")</f>
        <v/>
      </c>
      <c r="Y76">
        <f>HYPERLINK("https://klasma.github.io/Logging_2283/tillsynsmail/A 40418-2023 tillsynsbegäran mail.docx", "A 40418-2023")</f>
        <v/>
      </c>
      <c r="Z76">
        <f>HYPERLINK("https://klasma.github.io/Logging_2283/fåglar/A 40418-2023 prioriterade fågelarter.docx", "A 40418-2023")</f>
        <v/>
      </c>
    </row>
    <row r="77" ht="15" customHeight="1">
      <c r="A77" t="inlineStr">
        <is>
          <t>A 56697-2023</t>
        </is>
      </c>
      <c r="B77" s="1" t="n">
        <v>45243</v>
      </c>
      <c r="C77" s="1" t="n">
        <v>45583</v>
      </c>
      <c r="D77" t="inlineStr">
        <is>
          <t>VÄSTERNORRLANDS LÄN</t>
        </is>
      </c>
      <c r="E77" t="inlineStr">
        <is>
          <t>SOLLEFTEÅ</t>
        </is>
      </c>
      <c r="F77" t="inlineStr">
        <is>
          <t>SCA</t>
        </is>
      </c>
      <c r="G77" t="n">
        <v>8.1</v>
      </c>
      <c r="H77" t="n">
        <v>2</v>
      </c>
      <c r="I77" t="n">
        <v>3</v>
      </c>
      <c r="J77" t="n">
        <v>5</v>
      </c>
      <c r="K77" t="n">
        <v>1</v>
      </c>
      <c r="L77" t="n">
        <v>0</v>
      </c>
      <c r="M77" t="n">
        <v>0</v>
      </c>
      <c r="N77" t="n">
        <v>0</v>
      </c>
      <c r="O77" t="n">
        <v>6</v>
      </c>
      <c r="P77" t="n">
        <v>1</v>
      </c>
      <c r="Q77" t="n">
        <v>9</v>
      </c>
      <c r="R77" s="2" t="inlineStr">
        <is>
          <t>Knärot
Lunglav
Rosenticka
Tretåig hackspett
Ullticka
Veckticka
Bollvitmossa
Skinnlav
Stor aspticka</t>
        </is>
      </c>
      <c r="S77">
        <f>HYPERLINK("https://klasma.github.io/Logging_2283/artfynd/A 56697-2023 artfynd.xlsx", "A 56697-2023")</f>
        <v/>
      </c>
      <c r="T77">
        <f>HYPERLINK("https://klasma.github.io/Logging_2283/kartor/A 56697-2023 karta.png", "A 56697-2023")</f>
        <v/>
      </c>
      <c r="U77">
        <f>HYPERLINK("https://klasma.github.io/Logging_2283/knärot/A 56697-2023 karta knärot.png", "A 56697-2023")</f>
        <v/>
      </c>
      <c r="V77">
        <f>HYPERLINK("https://klasma.github.io/Logging_2283/klagomål/A 56697-2023 FSC-klagomål.docx", "A 56697-2023")</f>
        <v/>
      </c>
      <c r="W77">
        <f>HYPERLINK("https://klasma.github.io/Logging_2283/klagomålsmail/A 56697-2023 FSC-klagomål mail.docx", "A 56697-2023")</f>
        <v/>
      </c>
      <c r="X77">
        <f>HYPERLINK("https://klasma.github.io/Logging_2283/tillsyn/A 56697-2023 tillsynsbegäran.docx", "A 56697-2023")</f>
        <v/>
      </c>
      <c r="Y77">
        <f>HYPERLINK("https://klasma.github.io/Logging_2283/tillsynsmail/A 56697-2023 tillsynsbegäran mail.docx", "A 56697-2023")</f>
        <v/>
      </c>
      <c r="Z77">
        <f>HYPERLINK("https://klasma.github.io/Logging_2283/fåglar/A 56697-2023 prioriterade fågelarter.docx", "A 56697-2023")</f>
        <v/>
      </c>
    </row>
    <row r="78" ht="15" customHeight="1">
      <c r="A78" t="inlineStr">
        <is>
          <t>A 10626-2024</t>
        </is>
      </c>
      <c r="B78" s="1" t="n">
        <v>45367</v>
      </c>
      <c r="C78" s="1" t="n">
        <v>45583</v>
      </c>
      <c r="D78" t="inlineStr">
        <is>
          <t>VÄSTERNORRLANDS LÄN</t>
        </is>
      </c>
      <c r="E78" t="inlineStr">
        <is>
          <t>SOLLEFTEÅ</t>
        </is>
      </c>
      <c r="G78" t="n">
        <v>7.4</v>
      </c>
      <c r="H78" t="n">
        <v>5</v>
      </c>
      <c r="I78" t="n">
        <v>2</v>
      </c>
      <c r="J78" t="n">
        <v>2</v>
      </c>
      <c r="K78" t="n">
        <v>3</v>
      </c>
      <c r="L78" t="n">
        <v>0</v>
      </c>
      <c r="M78" t="n">
        <v>0</v>
      </c>
      <c r="N78" t="n">
        <v>0</v>
      </c>
      <c r="O78" t="n">
        <v>5</v>
      </c>
      <c r="P78" t="n">
        <v>3</v>
      </c>
      <c r="Q78" t="n">
        <v>9</v>
      </c>
      <c r="R78" s="2" t="inlineStr">
        <is>
          <t>Blackticka
Knärot
Rynkskinn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24755-2024</t>
        </is>
      </c>
      <c r="B79" s="1" t="n">
        <v>45460</v>
      </c>
      <c r="C79" s="1" t="n">
        <v>45583</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28161-2024</t>
        </is>
      </c>
      <c r="B80" s="1" t="n">
        <v>45476</v>
      </c>
      <c r="C80" s="1" t="n">
        <v>45583</v>
      </c>
      <c r="D80" t="inlineStr">
        <is>
          <t>VÄSTERNORRLANDS LÄN</t>
        </is>
      </c>
      <c r="E80" t="inlineStr">
        <is>
          <t>SOLLEFTEÅ</t>
        </is>
      </c>
      <c r="F80" t="inlineStr">
        <is>
          <t>SCA</t>
        </is>
      </c>
      <c r="G80" t="n">
        <v>1.5</v>
      </c>
      <c r="H80" t="n">
        <v>2</v>
      </c>
      <c r="I80" t="n">
        <v>3</v>
      </c>
      <c r="J80" t="n">
        <v>4</v>
      </c>
      <c r="K80" t="n">
        <v>2</v>
      </c>
      <c r="L80" t="n">
        <v>0</v>
      </c>
      <c r="M80" t="n">
        <v>0</v>
      </c>
      <c r="N80" t="n">
        <v>0</v>
      </c>
      <c r="O80" t="n">
        <v>6</v>
      </c>
      <c r="P80" t="n">
        <v>2</v>
      </c>
      <c r="Q80" t="n">
        <v>9</v>
      </c>
      <c r="R80" s="2" t="inlineStr">
        <is>
          <t>Doftticka
Rynkskinn
Lunglav
Rosenticka
Spillkråka
Ullticka
Bårdlav
Luddlav
Stuplav</t>
        </is>
      </c>
      <c r="S80">
        <f>HYPERLINK("https://klasma.github.io/Logging_2283/artfynd/A 28161-2024 artfynd.xlsx", "A 28161-2024")</f>
        <v/>
      </c>
      <c r="T80">
        <f>HYPERLINK("https://klasma.github.io/Logging_2283/kartor/A 28161-2024 karta.png", "A 28161-2024")</f>
        <v/>
      </c>
      <c r="V80">
        <f>HYPERLINK("https://klasma.github.io/Logging_2283/klagomål/A 28161-2024 FSC-klagomål.docx", "A 28161-2024")</f>
        <v/>
      </c>
      <c r="W80">
        <f>HYPERLINK("https://klasma.github.io/Logging_2283/klagomålsmail/A 28161-2024 FSC-klagomål mail.docx", "A 28161-2024")</f>
        <v/>
      </c>
      <c r="X80">
        <f>HYPERLINK("https://klasma.github.io/Logging_2283/tillsyn/A 28161-2024 tillsynsbegäran.docx", "A 28161-2024")</f>
        <v/>
      </c>
      <c r="Y80">
        <f>HYPERLINK("https://klasma.github.io/Logging_2283/tillsynsmail/A 28161-2024 tillsynsbegäran mail.docx", "A 28161-2024")</f>
        <v/>
      </c>
      <c r="Z80">
        <f>HYPERLINK("https://klasma.github.io/Logging_2283/fåglar/A 28161-2024 prioriterade fågelarter.docx", "A 28161-2024")</f>
        <v/>
      </c>
    </row>
    <row r="81" ht="15" customHeight="1">
      <c r="A81" t="inlineStr">
        <is>
          <t>A 40216-2024</t>
        </is>
      </c>
      <c r="B81" s="1" t="n">
        <v>45554</v>
      </c>
      <c r="C81" s="1" t="n">
        <v>45583</v>
      </c>
      <c r="D81" t="inlineStr">
        <is>
          <t>VÄSTERNORRLANDS LÄN</t>
        </is>
      </c>
      <c r="E81" t="inlineStr">
        <is>
          <t>SOLLEFTEÅ</t>
        </is>
      </c>
      <c r="F81" t="inlineStr">
        <is>
          <t>SCA</t>
        </is>
      </c>
      <c r="G81" t="n">
        <v>11.2</v>
      </c>
      <c r="H81" t="n">
        <v>1</v>
      </c>
      <c r="I81" t="n">
        <v>3</v>
      </c>
      <c r="J81" t="n">
        <v>5</v>
      </c>
      <c r="K81" t="n">
        <v>1</v>
      </c>
      <c r="L81" t="n">
        <v>0</v>
      </c>
      <c r="M81" t="n">
        <v>0</v>
      </c>
      <c r="N81" t="n">
        <v>0</v>
      </c>
      <c r="O81" t="n">
        <v>6</v>
      </c>
      <c r="P81" t="n">
        <v>1</v>
      </c>
      <c r="Q81" t="n">
        <v>9</v>
      </c>
      <c r="R81" s="2" t="inlineStr">
        <is>
          <t>Knärot
Garnlav
Kolflarnlav
Lunglav
Skrovlig taggsvamp
Vaddporing
Dropptaggsvamp
Norrlandslav
Skarp dropptaggsvamp</t>
        </is>
      </c>
      <c r="S81">
        <f>HYPERLINK("https://klasma.github.io/Logging_2283/artfynd/A 40216-2024 artfynd.xlsx", "A 40216-2024")</f>
        <v/>
      </c>
      <c r="T81">
        <f>HYPERLINK("https://klasma.github.io/Logging_2283/kartor/A 40216-2024 karta.png", "A 40216-2024")</f>
        <v/>
      </c>
      <c r="U81">
        <f>HYPERLINK("https://klasma.github.io/Logging_2283/knärot/A 40216-2024 karta knärot.png", "A 40216-2024")</f>
        <v/>
      </c>
      <c r="V81">
        <f>HYPERLINK("https://klasma.github.io/Logging_2283/klagomål/A 40216-2024 FSC-klagomål.docx", "A 40216-2024")</f>
        <v/>
      </c>
      <c r="W81">
        <f>HYPERLINK("https://klasma.github.io/Logging_2283/klagomålsmail/A 40216-2024 FSC-klagomål mail.docx", "A 40216-2024")</f>
        <v/>
      </c>
      <c r="X81">
        <f>HYPERLINK("https://klasma.github.io/Logging_2283/tillsyn/A 40216-2024 tillsynsbegäran.docx", "A 40216-2024")</f>
        <v/>
      </c>
      <c r="Y81">
        <f>HYPERLINK("https://klasma.github.io/Logging_2283/tillsynsmail/A 40216-2024 tillsynsbegäran mail.docx", "A 40216-2024")</f>
        <v/>
      </c>
    </row>
    <row r="82" ht="15" customHeight="1">
      <c r="A82" t="inlineStr">
        <is>
          <t>A 52945-2019</t>
        </is>
      </c>
      <c r="B82" s="1" t="n">
        <v>43739</v>
      </c>
      <c r="C82" s="1" t="n">
        <v>45583</v>
      </c>
      <c r="D82" t="inlineStr">
        <is>
          <t>VÄSTERNORRLANDS LÄN</t>
        </is>
      </c>
      <c r="E82" t="inlineStr">
        <is>
          <t>SOLLEFTEÅ</t>
        </is>
      </c>
      <c r="G82" t="n">
        <v>5</v>
      </c>
      <c r="H82" t="n">
        <v>4</v>
      </c>
      <c r="I82" t="n">
        <v>2</v>
      </c>
      <c r="J82" t="n">
        <v>4</v>
      </c>
      <c r="K82" t="n">
        <v>1</v>
      </c>
      <c r="L82" t="n">
        <v>0</v>
      </c>
      <c r="M82" t="n">
        <v>0</v>
      </c>
      <c r="N82" t="n">
        <v>0</v>
      </c>
      <c r="O82" t="n">
        <v>5</v>
      </c>
      <c r="P82" t="n">
        <v>1</v>
      </c>
      <c r="Q82" t="n">
        <v>8</v>
      </c>
      <c r="R82" s="2" t="inlineStr">
        <is>
          <t>Rynkskinn
Granticka
Kråka
Rödvingetrast
Tretåig hackspett
Skogshakmossa
Trådticka
Revlummer</t>
        </is>
      </c>
      <c r="S82">
        <f>HYPERLINK("https://klasma.github.io/Logging_2283/artfynd/A 52945-2019 artfynd.xlsx", "A 52945-2019")</f>
        <v/>
      </c>
      <c r="T82">
        <f>HYPERLINK("https://klasma.github.io/Logging_2283/kartor/A 52945-2019 karta.png", "A 52945-2019")</f>
        <v/>
      </c>
      <c r="V82">
        <f>HYPERLINK("https://klasma.github.io/Logging_2283/klagomål/A 52945-2019 FSC-klagomål.docx", "A 52945-2019")</f>
        <v/>
      </c>
      <c r="W82">
        <f>HYPERLINK("https://klasma.github.io/Logging_2283/klagomålsmail/A 52945-2019 FSC-klagomål mail.docx", "A 52945-2019")</f>
        <v/>
      </c>
      <c r="X82">
        <f>HYPERLINK("https://klasma.github.io/Logging_2283/tillsyn/A 52945-2019 tillsynsbegäran.docx", "A 52945-2019")</f>
        <v/>
      </c>
      <c r="Y82">
        <f>HYPERLINK("https://klasma.github.io/Logging_2283/tillsynsmail/A 52945-2019 tillsynsbegäran mail.docx", "A 52945-2019")</f>
        <v/>
      </c>
      <c r="Z82">
        <f>HYPERLINK("https://klasma.github.io/Logging_2283/fåglar/A 52945-2019 prioriterade fågelarter.docx", "A 52945-2019")</f>
        <v/>
      </c>
    </row>
    <row r="83" ht="15" customHeight="1">
      <c r="A83" t="inlineStr">
        <is>
          <t>A 26655-2022</t>
        </is>
      </c>
      <c r="B83" s="1" t="n">
        <v>44739</v>
      </c>
      <c r="C83" s="1" t="n">
        <v>45583</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21345-2023</t>
        </is>
      </c>
      <c r="B84" s="1" t="n">
        <v>45062</v>
      </c>
      <c r="C84" s="1" t="n">
        <v>45583</v>
      </c>
      <c r="D84" t="inlineStr">
        <is>
          <t>VÄSTERNORRLANDS LÄN</t>
        </is>
      </c>
      <c r="E84" t="inlineStr">
        <is>
          <t>SOLLEFTEÅ</t>
        </is>
      </c>
      <c r="F84" t="inlineStr">
        <is>
          <t>SCA</t>
        </is>
      </c>
      <c r="G84" t="n">
        <v>3.3</v>
      </c>
      <c r="H84" t="n">
        <v>2</v>
      </c>
      <c r="I84" t="n">
        <v>2</v>
      </c>
      <c r="J84" t="n">
        <v>6</v>
      </c>
      <c r="K84" t="n">
        <v>0</v>
      </c>
      <c r="L84" t="n">
        <v>0</v>
      </c>
      <c r="M84" t="n">
        <v>0</v>
      </c>
      <c r="N84" t="n">
        <v>0</v>
      </c>
      <c r="O84" t="n">
        <v>6</v>
      </c>
      <c r="P84" t="n">
        <v>0</v>
      </c>
      <c r="Q84" t="n">
        <v>8</v>
      </c>
      <c r="R84" s="2" t="inlineStr">
        <is>
          <t>Gammelgransskål
Kolflarnlav
Lunglav
Mörk kolflarnlav
Talltita
Ullticka
Korallrot
Stuplav</t>
        </is>
      </c>
      <c r="S84">
        <f>HYPERLINK("https://klasma.github.io/Logging_2283/artfynd/A 21345-2023 artfynd.xlsx", "A 21345-2023")</f>
        <v/>
      </c>
      <c r="T84">
        <f>HYPERLINK("https://klasma.github.io/Logging_2283/kartor/A 21345-2023 karta.png", "A 21345-2023")</f>
        <v/>
      </c>
      <c r="V84">
        <f>HYPERLINK("https://klasma.github.io/Logging_2283/klagomål/A 21345-2023 FSC-klagomål.docx", "A 21345-2023")</f>
        <v/>
      </c>
      <c r="W84">
        <f>HYPERLINK("https://klasma.github.io/Logging_2283/klagomålsmail/A 21345-2023 FSC-klagomål mail.docx", "A 21345-2023")</f>
        <v/>
      </c>
      <c r="X84">
        <f>HYPERLINK("https://klasma.github.io/Logging_2283/tillsyn/A 21345-2023 tillsynsbegäran.docx", "A 21345-2023")</f>
        <v/>
      </c>
      <c r="Y84">
        <f>HYPERLINK("https://klasma.github.io/Logging_2283/tillsynsmail/A 21345-2023 tillsynsbegäran mail.docx", "A 21345-2023")</f>
        <v/>
      </c>
      <c r="Z84">
        <f>HYPERLINK("https://klasma.github.io/Logging_2283/fåglar/A 21345-2023 prioriterade fågelarter.docx", "A 21345-2023")</f>
        <v/>
      </c>
    </row>
    <row r="85" ht="15" customHeight="1">
      <c r="A85" t="inlineStr">
        <is>
          <t>A 29620-2023</t>
        </is>
      </c>
      <c r="B85" s="1" t="n">
        <v>45106</v>
      </c>
      <c r="C85" s="1" t="n">
        <v>45583</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32200-2023</t>
        </is>
      </c>
      <c r="B86" s="1" t="n">
        <v>45119</v>
      </c>
      <c r="C86" s="1" t="n">
        <v>45583</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39071-2023</t>
        </is>
      </c>
      <c r="B87" s="1" t="n">
        <v>45163</v>
      </c>
      <c r="C87" s="1" t="n">
        <v>45583</v>
      </c>
      <c r="D87" t="inlineStr">
        <is>
          <t>VÄSTERNORRLANDS LÄN</t>
        </is>
      </c>
      <c r="E87" t="inlineStr">
        <is>
          <t>SOLLEFTEÅ</t>
        </is>
      </c>
      <c r="F87" t="inlineStr">
        <is>
          <t>SCA</t>
        </is>
      </c>
      <c r="G87" t="n">
        <v>16.5</v>
      </c>
      <c r="H87" t="n">
        <v>1</v>
      </c>
      <c r="I87" t="n">
        <v>1</v>
      </c>
      <c r="J87" t="n">
        <v>6</v>
      </c>
      <c r="K87" t="n">
        <v>1</v>
      </c>
      <c r="L87" t="n">
        <v>0</v>
      </c>
      <c r="M87" t="n">
        <v>0</v>
      </c>
      <c r="N87" t="n">
        <v>0</v>
      </c>
      <c r="O87" t="n">
        <v>7</v>
      </c>
      <c r="P87" t="n">
        <v>1</v>
      </c>
      <c r="Q87" t="n">
        <v>8</v>
      </c>
      <c r="R87" s="2" t="inlineStr">
        <is>
          <t>Rynkskinn
Gammelgransskål
Granticka
Leptoporus mollis
Rosenticka
Spillkråka
Ullticka
Vedticka</t>
        </is>
      </c>
      <c r="S87">
        <f>HYPERLINK("https://klasma.github.io/Logging_2283/artfynd/A 39071-2023 artfynd.xlsx", "A 39071-2023")</f>
        <v/>
      </c>
      <c r="T87">
        <f>HYPERLINK("https://klasma.github.io/Logging_2283/kartor/A 39071-2023 karta.png", "A 39071-2023")</f>
        <v/>
      </c>
      <c r="V87">
        <f>HYPERLINK("https://klasma.github.io/Logging_2283/klagomål/A 39071-2023 FSC-klagomål.docx", "A 39071-2023")</f>
        <v/>
      </c>
      <c r="W87">
        <f>HYPERLINK("https://klasma.github.io/Logging_2283/klagomålsmail/A 39071-2023 FSC-klagomål mail.docx", "A 39071-2023")</f>
        <v/>
      </c>
      <c r="X87">
        <f>HYPERLINK("https://klasma.github.io/Logging_2283/tillsyn/A 39071-2023 tillsynsbegäran.docx", "A 39071-2023")</f>
        <v/>
      </c>
      <c r="Y87">
        <f>HYPERLINK("https://klasma.github.io/Logging_2283/tillsynsmail/A 39071-2023 tillsynsbegäran mail.docx", "A 39071-2023")</f>
        <v/>
      </c>
      <c r="Z87">
        <f>HYPERLINK("https://klasma.github.io/Logging_2283/fåglar/A 39071-2023 prioriterade fågelarter.docx", "A 39071-2023")</f>
        <v/>
      </c>
    </row>
    <row r="88" ht="15" customHeight="1">
      <c r="A88" t="inlineStr">
        <is>
          <t>A 5310-2024</t>
        </is>
      </c>
      <c r="B88" s="1" t="n">
        <v>45331</v>
      </c>
      <c r="C88" s="1" t="n">
        <v>45583</v>
      </c>
      <c r="D88" t="inlineStr">
        <is>
          <t>VÄSTERNORRLANDS LÄN</t>
        </is>
      </c>
      <c r="E88" t="inlineStr">
        <is>
          <t>SOLLEFTEÅ</t>
        </is>
      </c>
      <c r="G88" t="n">
        <v>8.5</v>
      </c>
      <c r="H88" t="n">
        <v>2</v>
      </c>
      <c r="I88" t="n">
        <v>3</v>
      </c>
      <c r="J88" t="n">
        <v>4</v>
      </c>
      <c r="K88" t="n">
        <v>1</v>
      </c>
      <c r="L88" t="n">
        <v>0</v>
      </c>
      <c r="M88" t="n">
        <v>0</v>
      </c>
      <c r="N88" t="n">
        <v>0</v>
      </c>
      <c r="O88" t="n">
        <v>5</v>
      </c>
      <c r="P88" t="n">
        <v>1</v>
      </c>
      <c r="Q88" t="n">
        <v>8</v>
      </c>
      <c r="R88" s="2" t="inlineStr">
        <is>
          <t>Knärot
Garnlav
Kortskaftad ärgspik
Rosenticka
Talltita
Barkticka
Bronshjon
Luddlav</t>
        </is>
      </c>
      <c r="S88">
        <f>HYPERLINK("https://klasma.github.io/Logging_2283/artfynd/A 5310-2024 artfynd.xlsx", "A 5310-2024")</f>
        <v/>
      </c>
      <c r="T88">
        <f>HYPERLINK("https://klasma.github.io/Logging_2283/kartor/A 5310-2024 karta.png", "A 5310-2024")</f>
        <v/>
      </c>
      <c r="U88">
        <f>HYPERLINK("https://klasma.github.io/Logging_2283/knärot/A 5310-2024 karta knärot.png", "A 5310-2024")</f>
        <v/>
      </c>
      <c r="V88">
        <f>HYPERLINK("https://klasma.github.io/Logging_2283/klagomål/A 5310-2024 FSC-klagomål.docx", "A 5310-2024")</f>
        <v/>
      </c>
      <c r="W88">
        <f>HYPERLINK("https://klasma.github.io/Logging_2283/klagomålsmail/A 5310-2024 FSC-klagomål mail.docx", "A 5310-2024")</f>
        <v/>
      </c>
      <c r="X88">
        <f>HYPERLINK("https://klasma.github.io/Logging_2283/tillsyn/A 5310-2024 tillsynsbegäran.docx", "A 5310-2024")</f>
        <v/>
      </c>
      <c r="Y88">
        <f>HYPERLINK("https://klasma.github.io/Logging_2283/tillsynsmail/A 5310-2024 tillsynsbegäran mail.docx", "A 5310-2024")</f>
        <v/>
      </c>
      <c r="Z88">
        <f>HYPERLINK("https://klasma.github.io/Logging_2283/fåglar/A 5310-2024 prioriterade fågelarter.docx", "A 5310-2024")</f>
        <v/>
      </c>
    </row>
    <row r="89" ht="15" customHeight="1">
      <c r="A89" t="inlineStr">
        <is>
          <t>A 24459-2024</t>
        </is>
      </c>
      <c r="B89" s="1" t="n">
        <v>45458</v>
      </c>
      <c r="C89" s="1" t="n">
        <v>45583</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26946-2024</t>
        </is>
      </c>
      <c r="B90" s="1" t="n">
        <v>45471</v>
      </c>
      <c r="C90" s="1" t="n">
        <v>45583</v>
      </c>
      <c r="D90" t="inlineStr">
        <is>
          <t>VÄSTERNORRLANDS LÄN</t>
        </is>
      </c>
      <c r="E90" t="inlineStr">
        <is>
          <t>SOLLEFTEÅ</t>
        </is>
      </c>
      <c r="F90" t="inlineStr">
        <is>
          <t>SCA</t>
        </is>
      </c>
      <c r="G90" t="n">
        <v>11</v>
      </c>
      <c r="H90" t="n">
        <v>5</v>
      </c>
      <c r="I90" t="n">
        <v>0</v>
      </c>
      <c r="J90" t="n">
        <v>6</v>
      </c>
      <c r="K90" t="n">
        <v>1</v>
      </c>
      <c r="L90" t="n">
        <v>0</v>
      </c>
      <c r="M90" t="n">
        <v>0</v>
      </c>
      <c r="N90" t="n">
        <v>0</v>
      </c>
      <c r="O90" t="n">
        <v>7</v>
      </c>
      <c r="P90" t="n">
        <v>1</v>
      </c>
      <c r="Q90" t="n">
        <v>8</v>
      </c>
      <c r="R90" s="2" t="inlineStr">
        <is>
          <t>Knärot
Järpe
Kolflarnlav
Lunglav
Skrovellav
Talltita
Tretåig hackspett
Orre</t>
        </is>
      </c>
      <c r="S90">
        <f>HYPERLINK("https://klasma.github.io/Logging_2283/artfynd/A 26946-2024 artfynd.xlsx", "A 26946-2024")</f>
        <v/>
      </c>
      <c r="T90">
        <f>HYPERLINK("https://klasma.github.io/Logging_2283/kartor/A 26946-2024 karta.png", "A 26946-2024")</f>
        <v/>
      </c>
      <c r="U90">
        <f>HYPERLINK("https://klasma.github.io/Logging_2283/knärot/A 26946-2024 karta knärot.png", "A 26946-2024")</f>
        <v/>
      </c>
      <c r="V90">
        <f>HYPERLINK("https://klasma.github.io/Logging_2283/klagomål/A 26946-2024 FSC-klagomål.docx", "A 26946-2024")</f>
        <v/>
      </c>
      <c r="W90">
        <f>HYPERLINK("https://klasma.github.io/Logging_2283/klagomålsmail/A 26946-2024 FSC-klagomål mail.docx", "A 26946-2024")</f>
        <v/>
      </c>
      <c r="X90">
        <f>HYPERLINK("https://klasma.github.io/Logging_2283/tillsyn/A 26946-2024 tillsynsbegäran.docx", "A 26946-2024")</f>
        <v/>
      </c>
      <c r="Y90">
        <f>HYPERLINK("https://klasma.github.io/Logging_2283/tillsynsmail/A 26946-2024 tillsynsbegäran mail.docx", "A 26946-2024")</f>
        <v/>
      </c>
      <c r="Z90">
        <f>HYPERLINK("https://klasma.github.io/Logging_2283/fåglar/A 26946-2024 prioriterade fågelarter.docx", "A 26946-2024")</f>
        <v/>
      </c>
    </row>
    <row r="91" ht="15" customHeight="1">
      <c r="A91" t="inlineStr">
        <is>
          <t>A 40075-2024</t>
        </is>
      </c>
      <c r="B91" s="1" t="n">
        <v>45554</v>
      </c>
      <c r="C91" s="1" t="n">
        <v>45583</v>
      </c>
      <c r="D91" t="inlineStr">
        <is>
          <t>VÄSTERNORRLANDS LÄN</t>
        </is>
      </c>
      <c r="E91" t="inlineStr">
        <is>
          <t>SOLLEFTEÅ</t>
        </is>
      </c>
      <c r="F91" t="inlineStr">
        <is>
          <t>SCA</t>
        </is>
      </c>
      <c r="G91" t="n">
        <v>12.1</v>
      </c>
      <c r="H91" t="n">
        <v>3</v>
      </c>
      <c r="I91" t="n">
        <v>0</v>
      </c>
      <c r="J91" t="n">
        <v>7</v>
      </c>
      <c r="K91" t="n">
        <v>1</v>
      </c>
      <c r="L91" t="n">
        <v>0</v>
      </c>
      <c r="M91" t="n">
        <v>0</v>
      </c>
      <c r="N91" t="n">
        <v>0</v>
      </c>
      <c r="O91" t="n">
        <v>8</v>
      </c>
      <c r="P91" t="n">
        <v>1</v>
      </c>
      <c r="Q91" t="n">
        <v>8</v>
      </c>
      <c r="R91" s="2" t="inlineStr">
        <is>
          <t>Knärot
Gammelgransskål
Granticka
Järpe
Koralltaggsvamp
Lunglav
Tretåig hackspett
Ullticka</t>
        </is>
      </c>
      <c r="S91">
        <f>HYPERLINK("https://klasma.github.io/Logging_2283/artfynd/A 40075-2024 artfynd.xlsx", "A 40075-2024")</f>
        <v/>
      </c>
      <c r="T91">
        <f>HYPERLINK("https://klasma.github.io/Logging_2283/kartor/A 40075-2024 karta.png", "A 40075-2024")</f>
        <v/>
      </c>
      <c r="U91">
        <f>HYPERLINK("https://klasma.github.io/Logging_2283/knärot/A 40075-2024 karta knärot.png", "A 40075-2024")</f>
        <v/>
      </c>
      <c r="V91">
        <f>HYPERLINK("https://klasma.github.io/Logging_2283/klagomål/A 40075-2024 FSC-klagomål.docx", "A 40075-2024")</f>
        <v/>
      </c>
      <c r="W91">
        <f>HYPERLINK("https://klasma.github.io/Logging_2283/klagomålsmail/A 40075-2024 FSC-klagomål mail.docx", "A 40075-2024")</f>
        <v/>
      </c>
      <c r="X91">
        <f>HYPERLINK("https://klasma.github.io/Logging_2283/tillsyn/A 40075-2024 tillsynsbegäran.docx", "A 40075-2024")</f>
        <v/>
      </c>
      <c r="Y91">
        <f>HYPERLINK("https://klasma.github.io/Logging_2283/tillsynsmail/A 40075-2024 tillsynsbegäran mail.docx", "A 40075-2024")</f>
        <v/>
      </c>
      <c r="Z91">
        <f>HYPERLINK("https://klasma.github.io/Logging_2283/fåglar/A 40075-2024 prioriterade fågelarter.docx", "A 40075-2024")</f>
        <v/>
      </c>
    </row>
    <row r="92" ht="15" customHeight="1">
      <c r="A92" t="inlineStr">
        <is>
          <t>A 11392-2020</t>
        </is>
      </c>
      <c r="B92" s="1" t="n">
        <v>43892</v>
      </c>
      <c r="C92" s="1" t="n">
        <v>45583</v>
      </c>
      <c r="D92" t="inlineStr">
        <is>
          <t>VÄSTERNORRLANDS LÄN</t>
        </is>
      </c>
      <c r="E92" t="inlineStr">
        <is>
          <t>SOLLEFTEÅ</t>
        </is>
      </c>
      <c r="G92" t="n">
        <v>3.5</v>
      </c>
      <c r="H92" t="n">
        <v>3</v>
      </c>
      <c r="I92" t="n">
        <v>1</v>
      </c>
      <c r="J92" t="n">
        <v>4</v>
      </c>
      <c r="K92" t="n">
        <v>1</v>
      </c>
      <c r="L92" t="n">
        <v>0</v>
      </c>
      <c r="M92" t="n">
        <v>0</v>
      </c>
      <c r="N92" t="n">
        <v>0</v>
      </c>
      <c r="O92" t="n">
        <v>5</v>
      </c>
      <c r="P92" t="n">
        <v>1</v>
      </c>
      <c r="Q92" t="n">
        <v>7</v>
      </c>
      <c r="R92" s="2" t="inlineStr">
        <is>
          <t>Rynkskinn
Rosenticka
Spillkråka
Tretåig hackspett
Ullticka
Mörk husmossa
Revlummer</t>
        </is>
      </c>
      <c r="S92">
        <f>HYPERLINK("https://klasma.github.io/Logging_2283/artfynd/A 11392-2020 artfynd.xlsx", "A 11392-2020")</f>
        <v/>
      </c>
      <c r="T92">
        <f>HYPERLINK("https://klasma.github.io/Logging_2283/kartor/A 11392-2020 karta.png", "A 11392-2020")</f>
        <v/>
      </c>
      <c r="V92">
        <f>HYPERLINK("https://klasma.github.io/Logging_2283/klagomål/A 11392-2020 FSC-klagomål.docx", "A 11392-2020")</f>
        <v/>
      </c>
      <c r="W92">
        <f>HYPERLINK("https://klasma.github.io/Logging_2283/klagomålsmail/A 11392-2020 FSC-klagomål mail.docx", "A 11392-2020")</f>
        <v/>
      </c>
      <c r="X92">
        <f>HYPERLINK("https://klasma.github.io/Logging_2283/tillsyn/A 11392-2020 tillsynsbegäran.docx", "A 11392-2020")</f>
        <v/>
      </c>
      <c r="Y92">
        <f>HYPERLINK("https://klasma.github.io/Logging_2283/tillsynsmail/A 11392-2020 tillsynsbegäran mail.docx", "A 11392-2020")</f>
        <v/>
      </c>
      <c r="Z92">
        <f>HYPERLINK("https://klasma.github.io/Logging_2283/fåglar/A 11392-2020 prioriterade fågelarter.docx", "A 11392-2020")</f>
        <v/>
      </c>
    </row>
    <row r="93" ht="15" customHeight="1">
      <c r="A93" t="inlineStr">
        <is>
          <t>A 33208-2020</t>
        </is>
      </c>
      <c r="B93" s="1" t="n">
        <v>44021</v>
      </c>
      <c r="C93" s="1" t="n">
        <v>45583</v>
      </c>
      <c r="D93" t="inlineStr">
        <is>
          <t>VÄSTERNORRLANDS LÄN</t>
        </is>
      </c>
      <c r="E93" t="inlineStr">
        <is>
          <t>SOLLEFTEÅ</t>
        </is>
      </c>
      <c r="F93" t="inlineStr">
        <is>
          <t>SCA</t>
        </is>
      </c>
      <c r="G93" t="n">
        <v>3.7</v>
      </c>
      <c r="H93" t="n">
        <v>4</v>
      </c>
      <c r="I93" t="n">
        <v>1</v>
      </c>
      <c r="J93" t="n">
        <v>4</v>
      </c>
      <c r="K93" t="n">
        <v>0</v>
      </c>
      <c r="L93" t="n">
        <v>0</v>
      </c>
      <c r="M93" t="n">
        <v>0</v>
      </c>
      <c r="N93" t="n">
        <v>0</v>
      </c>
      <c r="O93" t="n">
        <v>4</v>
      </c>
      <c r="P93" t="n">
        <v>0</v>
      </c>
      <c r="Q93" t="n">
        <v>7</v>
      </c>
      <c r="R93" s="2" t="inlineStr">
        <is>
          <t>Gammelgransskål
Granticka
Tretåig hackspett
Ullticka
Korallrot
Vanlig padda
Fläcknycklar</t>
        </is>
      </c>
      <c r="S93">
        <f>HYPERLINK("https://klasma.github.io/Logging_2283/artfynd/A 33208-2020 artfynd.xlsx", "A 33208-2020")</f>
        <v/>
      </c>
      <c r="T93">
        <f>HYPERLINK("https://klasma.github.io/Logging_2283/kartor/A 33208-2020 karta.png", "A 33208-2020")</f>
        <v/>
      </c>
      <c r="V93">
        <f>HYPERLINK("https://klasma.github.io/Logging_2283/klagomål/A 33208-2020 FSC-klagomål.docx", "A 33208-2020")</f>
        <v/>
      </c>
      <c r="W93">
        <f>HYPERLINK("https://klasma.github.io/Logging_2283/klagomålsmail/A 33208-2020 FSC-klagomål mail.docx", "A 33208-2020")</f>
        <v/>
      </c>
      <c r="X93">
        <f>HYPERLINK("https://klasma.github.io/Logging_2283/tillsyn/A 33208-2020 tillsynsbegäran.docx", "A 33208-2020")</f>
        <v/>
      </c>
      <c r="Y93">
        <f>HYPERLINK("https://klasma.github.io/Logging_2283/tillsynsmail/A 33208-2020 tillsynsbegäran mail.docx", "A 33208-2020")</f>
        <v/>
      </c>
      <c r="Z93">
        <f>HYPERLINK("https://klasma.github.io/Logging_2283/fåglar/A 33208-2020 prioriterade fågelarter.docx", "A 33208-2020")</f>
        <v/>
      </c>
    </row>
    <row r="94" ht="15" customHeight="1">
      <c r="A94" t="inlineStr">
        <is>
          <t>A 66843-2020</t>
        </is>
      </c>
      <c r="B94" s="1" t="n">
        <v>44179</v>
      </c>
      <c r="C94" s="1" t="n">
        <v>45583</v>
      </c>
      <c r="D94" t="inlineStr">
        <is>
          <t>VÄSTERNORRLANDS LÄN</t>
        </is>
      </c>
      <c r="E94" t="inlineStr">
        <is>
          <t>SOLLEFTEÅ</t>
        </is>
      </c>
      <c r="F94" t="inlineStr">
        <is>
          <t>SCA</t>
        </is>
      </c>
      <c r="G94" t="n">
        <v>5</v>
      </c>
      <c r="H94" t="n">
        <v>0</v>
      </c>
      <c r="I94" t="n">
        <v>0</v>
      </c>
      <c r="J94" t="n">
        <v>4</v>
      </c>
      <c r="K94" t="n">
        <v>3</v>
      </c>
      <c r="L94" t="n">
        <v>0</v>
      </c>
      <c r="M94" t="n">
        <v>0</v>
      </c>
      <c r="N94" t="n">
        <v>0</v>
      </c>
      <c r="O94" t="n">
        <v>7</v>
      </c>
      <c r="P94" t="n">
        <v>3</v>
      </c>
      <c r="Q94" t="n">
        <v>7</v>
      </c>
      <c r="R94" s="2" t="inlineStr">
        <is>
          <t>Blackticka
Liten hornflikmossa
Rynkskinn
Granticka
Gränsticka
Rosenticka
Ullticka</t>
        </is>
      </c>
      <c r="S94">
        <f>HYPERLINK("https://klasma.github.io/Logging_2283/artfynd/A 66843-2020 artfynd.xlsx", "A 66843-2020")</f>
        <v/>
      </c>
      <c r="T94">
        <f>HYPERLINK("https://klasma.github.io/Logging_2283/kartor/A 66843-2020 karta.png", "A 66843-2020")</f>
        <v/>
      </c>
      <c r="V94">
        <f>HYPERLINK("https://klasma.github.io/Logging_2283/klagomål/A 66843-2020 FSC-klagomål.docx", "A 66843-2020")</f>
        <v/>
      </c>
      <c r="W94">
        <f>HYPERLINK("https://klasma.github.io/Logging_2283/klagomålsmail/A 66843-2020 FSC-klagomål mail.docx", "A 66843-2020")</f>
        <v/>
      </c>
      <c r="X94">
        <f>HYPERLINK("https://klasma.github.io/Logging_2283/tillsyn/A 66843-2020 tillsynsbegäran.docx", "A 66843-2020")</f>
        <v/>
      </c>
      <c r="Y94">
        <f>HYPERLINK("https://klasma.github.io/Logging_2283/tillsynsmail/A 66843-2020 tillsynsbegäran mail.docx", "A 66843-2020")</f>
        <v/>
      </c>
    </row>
    <row r="95" ht="15" customHeight="1">
      <c r="A95" t="inlineStr">
        <is>
          <t>A 18014-2022</t>
        </is>
      </c>
      <c r="B95" s="1" t="n">
        <v>44684</v>
      </c>
      <c r="C95" s="1" t="n">
        <v>45583</v>
      </c>
      <c r="D95" t="inlineStr">
        <is>
          <t>VÄSTERNORRLANDS LÄN</t>
        </is>
      </c>
      <c r="E95" t="inlineStr">
        <is>
          <t>SOLLEFTEÅ</t>
        </is>
      </c>
      <c r="F95" t="inlineStr">
        <is>
          <t>SCA</t>
        </is>
      </c>
      <c r="G95" t="n">
        <v>2.5</v>
      </c>
      <c r="H95" t="n">
        <v>2</v>
      </c>
      <c r="I95" t="n">
        <v>0</v>
      </c>
      <c r="J95" t="n">
        <v>5</v>
      </c>
      <c r="K95" t="n">
        <v>2</v>
      </c>
      <c r="L95" t="n">
        <v>0</v>
      </c>
      <c r="M95" t="n">
        <v>0</v>
      </c>
      <c r="N95" t="n">
        <v>0</v>
      </c>
      <c r="O95" t="n">
        <v>7</v>
      </c>
      <c r="P95" t="n">
        <v>2</v>
      </c>
      <c r="Q95" t="n">
        <v>7</v>
      </c>
      <c r="R95" s="2" t="inlineStr">
        <is>
          <t>Goliatmusseron
Läderdoftande fingersvamp
Granticka
Gultoppig fingersvamp
Svart taggsvamp
Talltita
Tretåig hackspett</t>
        </is>
      </c>
      <c r="S95">
        <f>HYPERLINK("https://klasma.github.io/Logging_2283/artfynd/A 18014-2022 artfynd.xlsx", "A 18014-2022")</f>
        <v/>
      </c>
      <c r="T95">
        <f>HYPERLINK("https://klasma.github.io/Logging_2283/kartor/A 18014-2022 karta.png", "A 18014-2022")</f>
        <v/>
      </c>
      <c r="U95">
        <f>HYPERLINK("https://klasma.github.io/Logging_2283/knärot/A 18014-2022 karta knärot.png", "A 18014-2022")</f>
        <v/>
      </c>
      <c r="V95">
        <f>HYPERLINK("https://klasma.github.io/Logging_2283/klagomål/A 18014-2022 FSC-klagomål.docx", "A 18014-2022")</f>
        <v/>
      </c>
      <c r="W95">
        <f>HYPERLINK("https://klasma.github.io/Logging_2283/klagomålsmail/A 18014-2022 FSC-klagomål mail.docx", "A 18014-2022")</f>
        <v/>
      </c>
      <c r="X95">
        <f>HYPERLINK("https://klasma.github.io/Logging_2283/tillsyn/A 18014-2022 tillsynsbegäran.docx", "A 18014-2022")</f>
        <v/>
      </c>
      <c r="Y95">
        <f>HYPERLINK("https://klasma.github.io/Logging_2283/tillsynsmail/A 18014-2022 tillsynsbegäran mail.docx", "A 18014-2022")</f>
        <v/>
      </c>
      <c r="Z95">
        <f>HYPERLINK("https://klasma.github.io/Logging_2283/fåglar/A 18014-2022 prioriterade fågelarter.docx", "A 18014-2022")</f>
        <v/>
      </c>
    </row>
    <row r="96" ht="15" customHeight="1">
      <c r="A96" t="inlineStr">
        <is>
          <t>A 43779-2022</t>
        </is>
      </c>
      <c r="B96" s="1" t="n">
        <v>44837</v>
      </c>
      <c r="C96" s="1" t="n">
        <v>45583</v>
      </c>
      <c r="D96" t="inlineStr">
        <is>
          <t>VÄSTERNORRLANDS LÄN</t>
        </is>
      </c>
      <c r="E96" t="inlineStr">
        <is>
          <t>SOLLEFTEÅ</t>
        </is>
      </c>
      <c r="F96" t="inlineStr">
        <is>
          <t>SCA</t>
        </is>
      </c>
      <c r="G96" t="n">
        <v>10.8</v>
      </c>
      <c r="H96" t="n">
        <v>2</v>
      </c>
      <c r="I96" t="n">
        <v>1</v>
      </c>
      <c r="J96" t="n">
        <v>4</v>
      </c>
      <c r="K96" t="n">
        <v>2</v>
      </c>
      <c r="L96" t="n">
        <v>0</v>
      </c>
      <c r="M96" t="n">
        <v>0</v>
      </c>
      <c r="N96" t="n">
        <v>0</v>
      </c>
      <c r="O96" t="n">
        <v>6</v>
      </c>
      <c r="P96" t="n">
        <v>2</v>
      </c>
      <c r="Q96" t="n">
        <v>7</v>
      </c>
      <c r="R96" s="2" t="inlineStr">
        <is>
          <t>Knärot
Rynkskinn
Garnlav
Lunglav
Talltita
Ullticka
Vedticka</t>
        </is>
      </c>
      <c r="S96">
        <f>HYPERLINK("https://klasma.github.io/Logging_2283/artfynd/A 43779-2022 artfynd.xlsx", "A 43779-2022")</f>
        <v/>
      </c>
      <c r="T96">
        <f>HYPERLINK("https://klasma.github.io/Logging_2283/kartor/A 43779-2022 karta.png", "A 43779-2022")</f>
        <v/>
      </c>
      <c r="U96">
        <f>HYPERLINK("https://klasma.github.io/Logging_2283/knärot/A 43779-2022 karta knärot.png", "A 43779-2022")</f>
        <v/>
      </c>
      <c r="V96">
        <f>HYPERLINK("https://klasma.github.io/Logging_2283/klagomål/A 43779-2022 FSC-klagomål.docx", "A 43779-2022")</f>
        <v/>
      </c>
      <c r="W96">
        <f>HYPERLINK("https://klasma.github.io/Logging_2283/klagomålsmail/A 43779-2022 FSC-klagomål mail.docx", "A 43779-2022")</f>
        <v/>
      </c>
      <c r="X96">
        <f>HYPERLINK("https://klasma.github.io/Logging_2283/tillsyn/A 43779-2022 tillsynsbegäran.docx", "A 43779-2022")</f>
        <v/>
      </c>
      <c r="Y96">
        <f>HYPERLINK("https://klasma.github.io/Logging_2283/tillsynsmail/A 43779-2022 tillsynsbegäran mail.docx", "A 43779-2022")</f>
        <v/>
      </c>
      <c r="Z96">
        <f>HYPERLINK("https://klasma.github.io/Logging_2283/fåglar/A 43779-2022 prioriterade fågelarter.docx", "A 43779-2022")</f>
        <v/>
      </c>
    </row>
    <row r="97" ht="15" customHeight="1">
      <c r="A97" t="inlineStr">
        <is>
          <t>A 47647-2022</t>
        </is>
      </c>
      <c r="B97" s="1" t="n">
        <v>44852</v>
      </c>
      <c r="C97" s="1" t="n">
        <v>45583</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53121-2022</t>
        </is>
      </c>
      <c r="B98" s="1" t="n">
        <v>44873</v>
      </c>
      <c r="C98" s="1" t="n">
        <v>45583</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59045-2022</t>
        </is>
      </c>
      <c r="B99" s="1" t="n">
        <v>44903</v>
      </c>
      <c r="C99" s="1" t="n">
        <v>45583</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715-2023</t>
        </is>
      </c>
      <c r="B100" s="1" t="n">
        <v>44930</v>
      </c>
      <c r="C100" s="1" t="n">
        <v>45583</v>
      </c>
      <c r="D100" t="inlineStr">
        <is>
          <t>VÄSTERNORRLANDS LÄN</t>
        </is>
      </c>
      <c r="E100" t="inlineStr">
        <is>
          <t>SOLLEFTEÅ</t>
        </is>
      </c>
      <c r="G100" t="n">
        <v>7.7</v>
      </c>
      <c r="H100" t="n">
        <v>0</v>
      </c>
      <c r="I100" t="n">
        <v>1</v>
      </c>
      <c r="J100" t="n">
        <v>3</v>
      </c>
      <c r="K100" t="n">
        <v>3</v>
      </c>
      <c r="L100" t="n">
        <v>0</v>
      </c>
      <c r="M100" t="n">
        <v>0</v>
      </c>
      <c r="N100" t="n">
        <v>0</v>
      </c>
      <c r="O100" t="n">
        <v>6</v>
      </c>
      <c r="P100" t="n">
        <v>3</v>
      </c>
      <c r="Q100" t="n">
        <v>7</v>
      </c>
      <c r="R100" s="2" t="inlineStr">
        <is>
          <t>Gräddporing
Gräddticka
Rynkskinn
Granticka
Rosenticka
Ullticka
Skinnlav</t>
        </is>
      </c>
      <c r="S100">
        <f>HYPERLINK("https://klasma.github.io/Logging_2283/artfynd/A 715-2023 artfynd.xlsx", "A 715-2023")</f>
        <v/>
      </c>
      <c r="T100">
        <f>HYPERLINK("https://klasma.github.io/Logging_2283/kartor/A 715-2023 karta.png", "A 715-2023")</f>
        <v/>
      </c>
      <c r="V100">
        <f>HYPERLINK("https://klasma.github.io/Logging_2283/klagomål/A 715-2023 FSC-klagomål.docx", "A 715-2023")</f>
        <v/>
      </c>
      <c r="W100">
        <f>HYPERLINK("https://klasma.github.io/Logging_2283/klagomålsmail/A 715-2023 FSC-klagomål mail.docx", "A 715-2023")</f>
        <v/>
      </c>
      <c r="X100">
        <f>HYPERLINK("https://klasma.github.io/Logging_2283/tillsyn/A 715-2023 tillsynsbegäran.docx", "A 715-2023")</f>
        <v/>
      </c>
      <c r="Y100">
        <f>HYPERLINK("https://klasma.github.io/Logging_2283/tillsynsmail/A 715-2023 tillsynsbegäran mail.docx", "A 715-2023")</f>
        <v/>
      </c>
    </row>
    <row r="101" ht="15" customHeight="1">
      <c r="A101" t="inlineStr">
        <is>
          <t>A 36116-2023</t>
        </is>
      </c>
      <c r="B101" s="1" t="n">
        <v>45148</v>
      </c>
      <c r="C101" s="1" t="n">
        <v>45583</v>
      </c>
      <c r="D101" t="inlineStr">
        <is>
          <t>VÄSTERNORRLANDS LÄN</t>
        </is>
      </c>
      <c r="E101" t="inlineStr">
        <is>
          <t>SOLLEFTEÅ</t>
        </is>
      </c>
      <c r="G101" t="n">
        <v>8.4</v>
      </c>
      <c r="H101" t="n">
        <v>2</v>
      </c>
      <c r="I101" t="n">
        <v>1</v>
      </c>
      <c r="J101" t="n">
        <v>3</v>
      </c>
      <c r="K101" t="n">
        <v>2</v>
      </c>
      <c r="L101" t="n">
        <v>0</v>
      </c>
      <c r="M101" t="n">
        <v>0</v>
      </c>
      <c r="N101" t="n">
        <v>0</v>
      </c>
      <c r="O101" t="n">
        <v>5</v>
      </c>
      <c r="P101" t="n">
        <v>2</v>
      </c>
      <c r="Q101" t="n">
        <v>7</v>
      </c>
      <c r="R101" s="2" t="inlineStr">
        <is>
          <t>Knärot
Rynkskinn
Garnlav
Lunglav
Ullticka
Skinnlav
Revlummer</t>
        </is>
      </c>
      <c r="S101">
        <f>HYPERLINK("https://klasma.github.io/Logging_2283/artfynd/A 36116-2023 artfynd.xlsx", "A 36116-2023")</f>
        <v/>
      </c>
      <c r="T101">
        <f>HYPERLINK("https://klasma.github.io/Logging_2283/kartor/A 36116-2023 karta.png", "A 36116-2023")</f>
        <v/>
      </c>
      <c r="U101">
        <f>HYPERLINK("https://klasma.github.io/Logging_2283/knärot/A 36116-2023 karta knärot.png", "A 36116-2023")</f>
        <v/>
      </c>
      <c r="V101">
        <f>HYPERLINK("https://klasma.github.io/Logging_2283/klagomål/A 36116-2023 FSC-klagomål.docx", "A 36116-2023")</f>
        <v/>
      </c>
      <c r="W101">
        <f>HYPERLINK("https://klasma.github.io/Logging_2283/klagomålsmail/A 36116-2023 FSC-klagomål mail.docx", "A 36116-2023")</f>
        <v/>
      </c>
      <c r="X101">
        <f>HYPERLINK("https://klasma.github.io/Logging_2283/tillsyn/A 36116-2023 tillsynsbegäran.docx", "A 36116-2023")</f>
        <v/>
      </c>
      <c r="Y101">
        <f>HYPERLINK("https://klasma.github.io/Logging_2283/tillsynsmail/A 36116-2023 tillsynsbegäran mail.docx", "A 36116-2023")</f>
        <v/>
      </c>
    </row>
    <row r="102" ht="15" customHeight="1">
      <c r="A102" t="inlineStr">
        <is>
          <t>A 38376-2023</t>
        </is>
      </c>
      <c r="B102" s="1" t="n">
        <v>45161</v>
      </c>
      <c r="C102" s="1" t="n">
        <v>45583</v>
      </c>
      <c r="D102" t="inlineStr">
        <is>
          <t>VÄSTERNORRLANDS LÄN</t>
        </is>
      </c>
      <c r="E102" t="inlineStr">
        <is>
          <t>SOLLEFTEÅ</t>
        </is>
      </c>
      <c r="F102" t="inlineStr">
        <is>
          <t>SCA</t>
        </is>
      </c>
      <c r="G102" t="n">
        <v>7.3</v>
      </c>
      <c r="H102" t="n">
        <v>2</v>
      </c>
      <c r="I102" t="n">
        <v>3</v>
      </c>
      <c r="J102" t="n">
        <v>2</v>
      </c>
      <c r="K102" t="n">
        <v>1</v>
      </c>
      <c r="L102" t="n">
        <v>0</v>
      </c>
      <c r="M102" t="n">
        <v>0</v>
      </c>
      <c r="N102" t="n">
        <v>0</v>
      </c>
      <c r="O102" t="n">
        <v>3</v>
      </c>
      <c r="P102" t="n">
        <v>1</v>
      </c>
      <c r="Q102" t="n">
        <v>7</v>
      </c>
      <c r="R102" s="2" t="inlineStr">
        <is>
          <t>Doftticka
Garnlav
Lunglav
Barkkornlav
Bårdlav
Stuplav
Revlummer</t>
        </is>
      </c>
      <c r="S102">
        <f>HYPERLINK("https://klasma.github.io/Logging_2283/artfynd/A 38376-2023 artfynd.xlsx", "A 38376-2023")</f>
        <v/>
      </c>
      <c r="T102">
        <f>HYPERLINK("https://klasma.github.io/Logging_2283/kartor/A 38376-2023 karta.png", "A 38376-2023")</f>
        <v/>
      </c>
      <c r="V102">
        <f>HYPERLINK("https://klasma.github.io/Logging_2283/klagomål/A 38376-2023 FSC-klagomål.docx", "A 38376-2023")</f>
        <v/>
      </c>
      <c r="W102">
        <f>HYPERLINK("https://klasma.github.io/Logging_2283/klagomålsmail/A 38376-2023 FSC-klagomål mail.docx", "A 38376-2023")</f>
        <v/>
      </c>
      <c r="X102">
        <f>HYPERLINK("https://klasma.github.io/Logging_2283/tillsyn/A 38376-2023 tillsynsbegäran.docx", "A 38376-2023")</f>
        <v/>
      </c>
      <c r="Y102">
        <f>HYPERLINK("https://klasma.github.io/Logging_2283/tillsynsmail/A 38376-2023 tillsynsbegäran mail.docx", "A 38376-2023")</f>
        <v/>
      </c>
    </row>
    <row r="103" ht="15" customHeight="1">
      <c r="A103" t="inlineStr">
        <is>
          <t>A 54049-2023</t>
        </is>
      </c>
      <c r="B103" s="1" t="n">
        <v>45231</v>
      </c>
      <c r="C103" s="1" t="n">
        <v>45583</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62992-2023</t>
        </is>
      </c>
      <c r="B104" s="1" t="n">
        <v>45272</v>
      </c>
      <c r="C104" s="1" t="n">
        <v>45583</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14580-2024</t>
        </is>
      </c>
      <c r="B105" s="1" t="n">
        <v>45394</v>
      </c>
      <c r="C105" s="1" t="n">
        <v>45583</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26654-2024</t>
        </is>
      </c>
      <c r="B106" s="1" t="n">
        <v>45469</v>
      </c>
      <c r="C106" s="1" t="n">
        <v>45583</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36499-2024</t>
        </is>
      </c>
      <c r="B107" s="1" t="n">
        <v>45537</v>
      </c>
      <c r="C107" s="1" t="n">
        <v>45583</v>
      </c>
      <c r="D107" t="inlineStr">
        <is>
          <t>VÄSTERNORRLANDS LÄN</t>
        </is>
      </c>
      <c r="E107" t="inlineStr">
        <is>
          <t>SOLLEFTEÅ</t>
        </is>
      </c>
      <c r="F107" t="inlineStr">
        <is>
          <t>SCA</t>
        </is>
      </c>
      <c r="G107" t="n">
        <v>18.2</v>
      </c>
      <c r="H107" t="n">
        <v>5</v>
      </c>
      <c r="I107" t="n">
        <v>0</v>
      </c>
      <c r="J107" t="n">
        <v>4</v>
      </c>
      <c r="K107" t="n">
        <v>2</v>
      </c>
      <c r="L107" t="n">
        <v>0</v>
      </c>
      <c r="M107" t="n">
        <v>0</v>
      </c>
      <c r="N107" t="n">
        <v>0</v>
      </c>
      <c r="O107" t="n">
        <v>6</v>
      </c>
      <c r="P107" t="n">
        <v>2</v>
      </c>
      <c r="Q107" t="n">
        <v>7</v>
      </c>
      <c r="R107" s="2" t="inlineStr">
        <is>
          <t>Doftticka
Knärot
Garnlav
Lunglav
Talltita
Tretåig hackspett
Tjäder</t>
        </is>
      </c>
      <c r="S107">
        <f>HYPERLINK("https://klasma.github.io/Logging_2283/artfynd/A 36499-2024 artfynd.xlsx", "A 36499-2024")</f>
        <v/>
      </c>
      <c r="T107">
        <f>HYPERLINK("https://klasma.github.io/Logging_2283/kartor/A 36499-2024 karta.png", "A 36499-2024")</f>
        <v/>
      </c>
      <c r="U107">
        <f>HYPERLINK("https://klasma.github.io/Logging_2283/knärot/A 36499-2024 karta knärot.png", "A 36499-2024")</f>
        <v/>
      </c>
      <c r="V107">
        <f>HYPERLINK("https://klasma.github.io/Logging_2283/klagomål/A 36499-2024 FSC-klagomål.docx", "A 36499-2024")</f>
        <v/>
      </c>
      <c r="W107">
        <f>HYPERLINK("https://klasma.github.io/Logging_2283/klagomålsmail/A 36499-2024 FSC-klagomål mail.docx", "A 36499-2024")</f>
        <v/>
      </c>
      <c r="X107">
        <f>HYPERLINK("https://klasma.github.io/Logging_2283/tillsyn/A 36499-2024 tillsynsbegäran.docx", "A 36499-2024")</f>
        <v/>
      </c>
      <c r="Y107">
        <f>HYPERLINK("https://klasma.github.io/Logging_2283/tillsynsmail/A 36499-2024 tillsynsbegäran mail.docx", "A 36499-2024")</f>
        <v/>
      </c>
      <c r="Z107">
        <f>HYPERLINK("https://klasma.github.io/Logging_2283/fåglar/A 36499-2024 prioriterade fågelarter.docx", "A 36499-2024")</f>
        <v/>
      </c>
    </row>
    <row r="108" ht="15" customHeight="1">
      <c r="A108" t="inlineStr">
        <is>
          <t>A 41506-2024</t>
        </is>
      </c>
      <c r="B108" s="1" t="n">
        <v>45560</v>
      </c>
      <c r="C108" s="1" t="n">
        <v>45583</v>
      </c>
      <c r="D108" t="inlineStr">
        <is>
          <t>VÄSTERNORRLANDS LÄN</t>
        </is>
      </c>
      <c r="E108" t="inlineStr">
        <is>
          <t>SOLLEFTEÅ</t>
        </is>
      </c>
      <c r="F108" t="inlineStr">
        <is>
          <t>SCA</t>
        </is>
      </c>
      <c r="G108" t="n">
        <v>8.1</v>
      </c>
      <c r="H108" t="n">
        <v>3</v>
      </c>
      <c r="I108" t="n">
        <v>0</v>
      </c>
      <c r="J108" t="n">
        <v>5</v>
      </c>
      <c r="K108" t="n">
        <v>1</v>
      </c>
      <c r="L108" t="n">
        <v>0</v>
      </c>
      <c r="M108" t="n">
        <v>0</v>
      </c>
      <c r="N108" t="n">
        <v>0</v>
      </c>
      <c r="O108" t="n">
        <v>6</v>
      </c>
      <c r="P108" t="n">
        <v>1</v>
      </c>
      <c r="Q108" t="n">
        <v>7</v>
      </c>
      <c r="R108" s="2" t="inlineStr">
        <is>
          <t>Knärot
Garnlav
Kolflarnlav
Lunglav
Tretåig hackspett
Ullticka
Revlummer</t>
        </is>
      </c>
      <c r="S108">
        <f>HYPERLINK("https://klasma.github.io/Logging_2283/artfynd/A 41506-2024 artfynd.xlsx", "A 41506-2024")</f>
        <v/>
      </c>
      <c r="T108">
        <f>HYPERLINK("https://klasma.github.io/Logging_2283/kartor/A 41506-2024 karta.png", "A 41506-2024")</f>
        <v/>
      </c>
      <c r="U108">
        <f>HYPERLINK("https://klasma.github.io/Logging_2283/knärot/A 41506-2024 karta knärot.png", "A 41506-2024")</f>
        <v/>
      </c>
      <c r="V108">
        <f>HYPERLINK("https://klasma.github.io/Logging_2283/klagomål/A 41506-2024 FSC-klagomål.docx", "A 41506-2024")</f>
        <v/>
      </c>
      <c r="W108">
        <f>HYPERLINK("https://klasma.github.io/Logging_2283/klagomålsmail/A 41506-2024 FSC-klagomål mail.docx", "A 41506-2024")</f>
        <v/>
      </c>
      <c r="X108">
        <f>HYPERLINK("https://klasma.github.io/Logging_2283/tillsyn/A 41506-2024 tillsynsbegäran.docx", "A 41506-2024")</f>
        <v/>
      </c>
      <c r="Y108">
        <f>HYPERLINK("https://klasma.github.io/Logging_2283/tillsynsmail/A 41506-2024 tillsynsbegäran mail.docx", "A 41506-2024")</f>
        <v/>
      </c>
      <c r="Z108">
        <f>HYPERLINK("https://klasma.github.io/Logging_2283/fåglar/A 41506-2024 prioriterade fågelarter.docx", "A 41506-2024")</f>
        <v/>
      </c>
    </row>
    <row r="109" ht="15" customHeight="1">
      <c r="A109" t="inlineStr">
        <is>
          <t>A 44297-2024</t>
        </is>
      </c>
      <c r="B109" s="1" t="n">
        <v>45573</v>
      </c>
      <c r="C109" s="1" t="n">
        <v>45583</v>
      </c>
      <c r="D109" t="inlineStr">
        <is>
          <t>VÄSTERNORRLANDS LÄN</t>
        </is>
      </c>
      <c r="E109" t="inlineStr">
        <is>
          <t>SOLLEFTEÅ</t>
        </is>
      </c>
      <c r="G109" t="n">
        <v>11.9</v>
      </c>
      <c r="H109" t="n">
        <v>0</v>
      </c>
      <c r="I109" t="n">
        <v>0</v>
      </c>
      <c r="J109" t="n">
        <v>6</v>
      </c>
      <c r="K109" t="n">
        <v>1</v>
      </c>
      <c r="L109" t="n">
        <v>0</v>
      </c>
      <c r="M109" t="n">
        <v>0</v>
      </c>
      <c r="N109" t="n">
        <v>0</v>
      </c>
      <c r="O109" t="n">
        <v>7</v>
      </c>
      <c r="P109" t="n">
        <v>1</v>
      </c>
      <c r="Q109" t="n">
        <v>7</v>
      </c>
      <c r="R109" s="2" t="inlineStr">
        <is>
          <t>Rynkskinn
Garnlav
Lunglav
Rosenticka
Stjärntagging
Ullticka
Violettgrå tagellav</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row>
    <row r="110" ht="15" customHeight="1">
      <c r="A110" t="inlineStr">
        <is>
          <t>A 26633-2019</t>
        </is>
      </c>
      <c r="B110" s="1" t="n">
        <v>43612</v>
      </c>
      <c r="C110" s="1" t="n">
        <v>45583</v>
      </c>
      <c r="D110" t="inlineStr">
        <is>
          <t>VÄSTERNORRLANDS LÄN</t>
        </is>
      </c>
      <c r="E110" t="inlineStr">
        <is>
          <t>SOLLEFTEÅ</t>
        </is>
      </c>
      <c r="F110" t="inlineStr">
        <is>
          <t>SCA</t>
        </is>
      </c>
      <c r="G110" t="n">
        <v>20.5</v>
      </c>
      <c r="H110" t="n">
        <v>1</v>
      </c>
      <c r="I110" t="n">
        <v>1</v>
      </c>
      <c r="J110" t="n">
        <v>5</v>
      </c>
      <c r="K110" t="n">
        <v>0</v>
      </c>
      <c r="L110" t="n">
        <v>0</v>
      </c>
      <c r="M110" t="n">
        <v>0</v>
      </c>
      <c r="N110" t="n">
        <v>0</v>
      </c>
      <c r="O110" t="n">
        <v>5</v>
      </c>
      <c r="P110" t="n">
        <v>0</v>
      </c>
      <c r="Q110" t="n">
        <v>6</v>
      </c>
      <c r="R110" s="2" t="inlineStr">
        <is>
          <t>Grantaggsvamp
Knölgrynna
Slät tallkapuschongbagge
Tallriska
Tretåig hackspett
Dropptaggsvamp</t>
        </is>
      </c>
      <c r="S110">
        <f>HYPERLINK("https://klasma.github.io/Logging_2283/artfynd/A 26633-2019 artfynd.xlsx", "A 26633-2019")</f>
        <v/>
      </c>
      <c r="T110">
        <f>HYPERLINK("https://klasma.github.io/Logging_2283/kartor/A 26633-2019 karta.png", "A 26633-2019")</f>
        <v/>
      </c>
      <c r="V110">
        <f>HYPERLINK("https://klasma.github.io/Logging_2283/klagomål/A 26633-2019 FSC-klagomål.docx", "A 26633-2019")</f>
        <v/>
      </c>
      <c r="W110">
        <f>HYPERLINK("https://klasma.github.io/Logging_2283/klagomålsmail/A 26633-2019 FSC-klagomål mail.docx", "A 26633-2019")</f>
        <v/>
      </c>
      <c r="X110">
        <f>HYPERLINK("https://klasma.github.io/Logging_2283/tillsyn/A 26633-2019 tillsynsbegäran.docx", "A 26633-2019")</f>
        <v/>
      </c>
      <c r="Y110">
        <f>HYPERLINK("https://klasma.github.io/Logging_2283/tillsynsmail/A 26633-2019 tillsynsbegäran mail.docx", "A 26633-2019")</f>
        <v/>
      </c>
      <c r="Z110">
        <f>HYPERLINK("https://klasma.github.io/Logging_2283/fåglar/A 26633-2019 prioriterade fågelarter.docx", "A 26633-2019")</f>
        <v/>
      </c>
    </row>
    <row r="111" ht="15" customHeight="1">
      <c r="A111" t="inlineStr">
        <is>
          <t>A 59075-2019</t>
        </is>
      </c>
      <c r="B111" s="1" t="n">
        <v>43774</v>
      </c>
      <c r="C111" s="1" t="n">
        <v>45583</v>
      </c>
      <c r="D111" t="inlineStr">
        <is>
          <t>VÄSTERNORRLANDS LÄN</t>
        </is>
      </c>
      <c r="E111" t="inlineStr">
        <is>
          <t>SOLLEFTEÅ</t>
        </is>
      </c>
      <c r="G111" t="n">
        <v>1.6</v>
      </c>
      <c r="H111" t="n">
        <v>2</v>
      </c>
      <c r="I111" t="n">
        <v>2</v>
      </c>
      <c r="J111" t="n">
        <v>3</v>
      </c>
      <c r="K111" t="n">
        <v>0</v>
      </c>
      <c r="L111" t="n">
        <v>0</v>
      </c>
      <c r="M111" t="n">
        <v>0</v>
      </c>
      <c r="N111" t="n">
        <v>0</v>
      </c>
      <c r="O111" t="n">
        <v>3</v>
      </c>
      <c r="P111" t="n">
        <v>0</v>
      </c>
      <c r="Q111" t="n">
        <v>6</v>
      </c>
      <c r="R111" s="2" t="inlineStr">
        <is>
          <t>Lunglav
Mindre hackspett
Rosenticka
Skinnlav
Svart trolldruva
Revlummer</t>
        </is>
      </c>
      <c r="S111">
        <f>HYPERLINK("https://klasma.github.io/Logging_2283/artfynd/A 59075-2019 artfynd.xlsx", "A 59075-2019")</f>
        <v/>
      </c>
      <c r="T111">
        <f>HYPERLINK("https://klasma.github.io/Logging_2283/kartor/A 59075-2019 karta.png", "A 59075-2019")</f>
        <v/>
      </c>
      <c r="V111">
        <f>HYPERLINK("https://klasma.github.io/Logging_2283/klagomål/A 59075-2019 FSC-klagomål.docx", "A 59075-2019")</f>
        <v/>
      </c>
      <c r="W111">
        <f>HYPERLINK("https://klasma.github.io/Logging_2283/klagomålsmail/A 59075-2019 FSC-klagomål mail.docx", "A 59075-2019")</f>
        <v/>
      </c>
      <c r="X111">
        <f>HYPERLINK("https://klasma.github.io/Logging_2283/tillsyn/A 59075-2019 tillsynsbegäran.docx", "A 59075-2019")</f>
        <v/>
      </c>
      <c r="Y111">
        <f>HYPERLINK("https://klasma.github.io/Logging_2283/tillsynsmail/A 59075-2019 tillsynsbegäran mail.docx", "A 59075-2019")</f>
        <v/>
      </c>
      <c r="Z111">
        <f>HYPERLINK("https://klasma.github.io/Logging_2283/fåglar/A 59075-2019 prioriterade fågelarter.docx", "A 59075-2019")</f>
        <v/>
      </c>
    </row>
    <row r="112" ht="15" customHeight="1">
      <c r="A112" t="inlineStr">
        <is>
          <t>A 4528-2022</t>
        </is>
      </c>
      <c r="B112" s="1" t="n">
        <v>44589</v>
      </c>
      <c r="C112" s="1" t="n">
        <v>45583</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16087-2022</t>
        </is>
      </c>
      <c r="B113" s="1" t="n">
        <v>44665</v>
      </c>
      <c r="C113" s="1" t="n">
        <v>45583</v>
      </c>
      <c r="D113" t="inlineStr">
        <is>
          <t>VÄSTERNORRLANDS LÄN</t>
        </is>
      </c>
      <c r="E113" t="inlineStr">
        <is>
          <t>SOLLEFTEÅ</t>
        </is>
      </c>
      <c r="F113" t="inlineStr">
        <is>
          <t>Holmen skog AB</t>
        </is>
      </c>
      <c r="G113" t="n">
        <v>7.5</v>
      </c>
      <c r="H113" t="n">
        <v>0</v>
      </c>
      <c r="I113" t="n">
        <v>1</v>
      </c>
      <c r="J113" t="n">
        <v>3</v>
      </c>
      <c r="K113" t="n">
        <v>2</v>
      </c>
      <c r="L113" t="n">
        <v>0</v>
      </c>
      <c r="M113" t="n">
        <v>0</v>
      </c>
      <c r="N113" t="n">
        <v>0</v>
      </c>
      <c r="O113" t="n">
        <v>5</v>
      </c>
      <c r="P113" t="n">
        <v>2</v>
      </c>
      <c r="Q113" t="n">
        <v>6</v>
      </c>
      <c r="R113" s="2" t="inlineStr">
        <is>
          <t>Bitter taggsvamp
Goliatmusseron
Blå taggsvamp
Orange taggsvamp
Skrovlig taggsvamp
Skarp dropptaggsvamp</t>
        </is>
      </c>
      <c r="S113">
        <f>HYPERLINK("https://klasma.github.io/Logging_2283/artfynd/A 16087-2022 artfynd.xlsx", "A 16087-2022")</f>
        <v/>
      </c>
      <c r="T113">
        <f>HYPERLINK("https://klasma.github.io/Logging_2283/kartor/A 16087-2022 karta.png", "A 16087-2022")</f>
        <v/>
      </c>
      <c r="V113">
        <f>HYPERLINK("https://klasma.github.io/Logging_2283/klagomål/A 16087-2022 FSC-klagomål.docx", "A 16087-2022")</f>
        <v/>
      </c>
      <c r="W113">
        <f>HYPERLINK("https://klasma.github.io/Logging_2283/klagomålsmail/A 16087-2022 FSC-klagomål mail.docx", "A 16087-2022")</f>
        <v/>
      </c>
      <c r="X113">
        <f>HYPERLINK("https://klasma.github.io/Logging_2283/tillsyn/A 16087-2022 tillsynsbegäran.docx", "A 16087-2022")</f>
        <v/>
      </c>
      <c r="Y113">
        <f>HYPERLINK("https://klasma.github.io/Logging_2283/tillsynsmail/A 16087-2022 tillsynsbegäran mail.docx", "A 16087-2022")</f>
        <v/>
      </c>
    </row>
    <row r="114" ht="15" customHeight="1">
      <c r="A114" t="inlineStr">
        <is>
          <t>A 24887-2022</t>
        </is>
      </c>
      <c r="B114" s="1" t="n">
        <v>44728</v>
      </c>
      <c r="C114" s="1" t="n">
        <v>45583</v>
      </c>
      <c r="D114" t="inlineStr">
        <is>
          <t>VÄSTERNORRLANDS LÄN</t>
        </is>
      </c>
      <c r="E114" t="inlineStr">
        <is>
          <t>SOLLEFTEÅ</t>
        </is>
      </c>
      <c r="G114" t="n">
        <v>11.4</v>
      </c>
      <c r="H114" t="n">
        <v>2</v>
      </c>
      <c r="I114" t="n">
        <v>0</v>
      </c>
      <c r="J114" t="n">
        <v>5</v>
      </c>
      <c r="K114" t="n">
        <v>1</v>
      </c>
      <c r="L114" t="n">
        <v>0</v>
      </c>
      <c r="M114" t="n">
        <v>0</v>
      </c>
      <c r="N114" t="n">
        <v>0</v>
      </c>
      <c r="O114" t="n">
        <v>6</v>
      </c>
      <c r="P114" t="n">
        <v>1</v>
      </c>
      <c r="Q114" t="n">
        <v>6</v>
      </c>
      <c r="R114" s="2" t="inlineStr">
        <is>
          <t>Knärot
Garnlav
Gränsticka
Järpe
Rosenticka
Ullticka</t>
        </is>
      </c>
      <c r="S114">
        <f>HYPERLINK("https://klasma.github.io/Logging_2283/artfynd/A 24887-2022 artfynd.xlsx", "A 24887-2022")</f>
        <v/>
      </c>
      <c r="T114">
        <f>HYPERLINK("https://klasma.github.io/Logging_2283/kartor/A 24887-2022 karta.png", "A 24887-2022")</f>
        <v/>
      </c>
      <c r="U114">
        <f>HYPERLINK("https://klasma.github.io/Logging_2283/knärot/A 24887-2022 karta knärot.png", "A 24887-2022")</f>
        <v/>
      </c>
      <c r="V114">
        <f>HYPERLINK("https://klasma.github.io/Logging_2283/klagomål/A 24887-2022 FSC-klagomål.docx", "A 24887-2022")</f>
        <v/>
      </c>
      <c r="W114">
        <f>HYPERLINK("https://klasma.github.io/Logging_2283/klagomålsmail/A 24887-2022 FSC-klagomål mail.docx", "A 24887-2022")</f>
        <v/>
      </c>
      <c r="X114">
        <f>HYPERLINK("https://klasma.github.io/Logging_2283/tillsyn/A 24887-2022 tillsynsbegäran.docx", "A 24887-2022")</f>
        <v/>
      </c>
      <c r="Y114">
        <f>HYPERLINK("https://klasma.github.io/Logging_2283/tillsynsmail/A 24887-2022 tillsynsbegäran mail.docx", "A 24887-2022")</f>
        <v/>
      </c>
      <c r="Z114">
        <f>HYPERLINK("https://klasma.github.io/Logging_2283/fåglar/A 24887-2022 prioriterade fågelarter.docx", "A 24887-2022")</f>
        <v/>
      </c>
    </row>
    <row r="115" ht="15" customHeight="1">
      <c r="A115" t="inlineStr">
        <is>
          <t>A 26594-2022</t>
        </is>
      </c>
      <c r="B115" s="1" t="n">
        <v>44739</v>
      </c>
      <c r="C115" s="1" t="n">
        <v>45583</v>
      </c>
      <c r="D115" t="inlineStr">
        <is>
          <t>VÄSTERNORRLANDS LÄN</t>
        </is>
      </c>
      <c r="E115" t="inlineStr">
        <is>
          <t>SOLLEFTEÅ</t>
        </is>
      </c>
      <c r="F115" t="inlineStr">
        <is>
          <t>Holmen skog AB</t>
        </is>
      </c>
      <c r="G115" t="n">
        <v>1.6</v>
      </c>
      <c r="H115" t="n">
        <v>4</v>
      </c>
      <c r="I115" t="n">
        <v>0</v>
      </c>
      <c r="J115" t="n">
        <v>4</v>
      </c>
      <c r="K115" t="n">
        <v>1</v>
      </c>
      <c r="L115" t="n">
        <v>0</v>
      </c>
      <c r="M115" t="n">
        <v>0</v>
      </c>
      <c r="N115" t="n">
        <v>0</v>
      </c>
      <c r="O115" t="n">
        <v>5</v>
      </c>
      <c r="P115" t="n">
        <v>1</v>
      </c>
      <c r="Q115" t="n">
        <v>6</v>
      </c>
      <c r="R115" s="2" t="inlineStr">
        <is>
          <t>Knärot
Garnlav
Granticka
Spillkråka
Talltita
Tjäder</t>
        </is>
      </c>
      <c r="S115">
        <f>HYPERLINK("https://klasma.github.io/Logging_2283/artfynd/A 26594-2022 artfynd.xlsx", "A 26594-2022")</f>
        <v/>
      </c>
      <c r="T115">
        <f>HYPERLINK("https://klasma.github.io/Logging_2283/kartor/A 26594-2022 karta.png", "A 26594-2022")</f>
        <v/>
      </c>
      <c r="U115">
        <f>HYPERLINK("https://klasma.github.io/Logging_2283/knärot/A 26594-2022 karta knärot.png", "A 26594-2022")</f>
        <v/>
      </c>
      <c r="V115">
        <f>HYPERLINK("https://klasma.github.io/Logging_2283/klagomål/A 26594-2022 FSC-klagomål.docx", "A 26594-2022")</f>
        <v/>
      </c>
      <c r="W115">
        <f>HYPERLINK("https://klasma.github.io/Logging_2283/klagomålsmail/A 26594-2022 FSC-klagomål mail.docx", "A 26594-2022")</f>
        <v/>
      </c>
      <c r="X115">
        <f>HYPERLINK("https://klasma.github.io/Logging_2283/tillsyn/A 26594-2022 tillsynsbegäran.docx", "A 26594-2022")</f>
        <v/>
      </c>
      <c r="Y115">
        <f>HYPERLINK("https://klasma.github.io/Logging_2283/tillsynsmail/A 26594-2022 tillsynsbegäran mail.docx", "A 26594-2022")</f>
        <v/>
      </c>
      <c r="Z115">
        <f>HYPERLINK("https://klasma.github.io/Logging_2283/fåglar/A 26594-2022 prioriterade fågelarter.docx", "A 26594-2022")</f>
        <v/>
      </c>
    </row>
    <row r="116" ht="15" customHeight="1">
      <c r="A116" t="inlineStr">
        <is>
          <t>A 61377-2022</t>
        </is>
      </c>
      <c r="B116" s="1" t="n">
        <v>44915</v>
      </c>
      <c r="C116" s="1" t="n">
        <v>45583</v>
      </c>
      <c r="D116" t="inlineStr">
        <is>
          <t>VÄSTERNORRLANDS LÄN</t>
        </is>
      </c>
      <c r="E116" t="inlineStr">
        <is>
          <t>SOLLEFTEÅ</t>
        </is>
      </c>
      <c r="G116" t="n">
        <v>10.5</v>
      </c>
      <c r="H116" t="n">
        <v>0</v>
      </c>
      <c r="I116" t="n">
        <v>1</v>
      </c>
      <c r="J116" t="n">
        <v>5</v>
      </c>
      <c r="K116" t="n">
        <v>0</v>
      </c>
      <c r="L116" t="n">
        <v>0</v>
      </c>
      <c r="M116" t="n">
        <v>0</v>
      </c>
      <c r="N116" t="n">
        <v>0</v>
      </c>
      <c r="O116" t="n">
        <v>5</v>
      </c>
      <c r="P116" t="n">
        <v>0</v>
      </c>
      <c r="Q116" t="n">
        <v>6</v>
      </c>
      <c r="R116" s="2" t="inlineStr">
        <is>
          <t>Gammelgransskål
Garnlav
Granticka
Lunglav
Stjärntagging
Spädstarr</t>
        </is>
      </c>
      <c r="S116">
        <f>HYPERLINK("https://klasma.github.io/Logging_2283/artfynd/A 61377-2022 artfynd.xlsx", "A 61377-2022")</f>
        <v/>
      </c>
      <c r="T116">
        <f>HYPERLINK("https://klasma.github.io/Logging_2283/kartor/A 61377-2022 karta.png", "A 61377-2022")</f>
        <v/>
      </c>
      <c r="V116">
        <f>HYPERLINK("https://klasma.github.io/Logging_2283/klagomål/A 61377-2022 FSC-klagomål.docx", "A 61377-2022")</f>
        <v/>
      </c>
      <c r="W116">
        <f>HYPERLINK("https://klasma.github.io/Logging_2283/klagomålsmail/A 61377-2022 FSC-klagomål mail.docx", "A 61377-2022")</f>
        <v/>
      </c>
      <c r="X116">
        <f>HYPERLINK("https://klasma.github.io/Logging_2283/tillsyn/A 61377-2022 tillsynsbegäran.docx", "A 61377-2022")</f>
        <v/>
      </c>
      <c r="Y116">
        <f>HYPERLINK("https://klasma.github.io/Logging_2283/tillsynsmail/A 61377-2022 tillsynsbegäran mail.docx", "A 61377-2022")</f>
        <v/>
      </c>
    </row>
    <row r="117" ht="15" customHeight="1">
      <c r="A117" t="inlineStr">
        <is>
          <t>A 14860-2023</t>
        </is>
      </c>
      <c r="B117" s="1" t="n">
        <v>45015</v>
      </c>
      <c r="C117" s="1" t="n">
        <v>45583</v>
      </c>
      <c r="D117" t="inlineStr">
        <is>
          <t>VÄSTERNORRLANDS LÄN</t>
        </is>
      </c>
      <c r="E117" t="inlineStr">
        <is>
          <t>SOLLEFTEÅ</t>
        </is>
      </c>
      <c r="F117" t="inlineStr">
        <is>
          <t>SCA</t>
        </is>
      </c>
      <c r="G117" t="n">
        <v>5.8</v>
      </c>
      <c r="H117" t="n">
        <v>1</v>
      </c>
      <c r="I117" t="n">
        <v>2</v>
      </c>
      <c r="J117" t="n">
        <v>3</v>
      </c>
      <c r="K117" t="n">
        <v>1</v>
      </c>
      <c r="L117" t="n">
        <v>0</v>
      </c>
      <c r="M117" t="n">
        <v>0</v>
      </c>
      <c r="N117" t="n">
        <v>0</v>
      </c>
      <c r="O117" t="n">
        <v>4</v>
      </c>
      <c r="P117" t="n">
        <v>1</v>
      </c>
      <c r="Q117" t="n">
        <v>6</v>
      </c>
      <c r="R117" s="2" t="inlineStr">
        <is>
          <t>Knärot
Granticka
Lunglav
Ullticka
Skinnlav
Stuplav</t>
        </is>
      </c>
      <c r="S117">
        <f>HYPERLINK("https://klasma.github.io/Logging_2283/artfynd/A 14860-2023 artfynd.xlsx", "A 14860-2023")</f>
        <v/>
      </c>
      <c r="T117">
        <f>HYPERLINK("https://klasma.github.io/Logging_2283/kartor/A 14860-2023 karta.png", "A 14860-2023")</f>
        <v/>
      </c>
      <c r="U117">
        <f>HYPERLINK("https://klasma.github.io/Logging_2283/knärot/A 14860-2023 karta knärot.png", "A 14860-2023")</f>
        <v/>
      </c>
      <c r="V117">
        <f>HYPERLINK("https://klasma.github.io/Logging_2283/klagomål/A 14860-2023 FSC-klagomål.docx", "A 14860-2023")</f>
        <v/>
      </c>
      <c r="W117">
        <f>HYPERLINK("https://klasma.github.io/Logging_2283/klagomålsmail/A 14860-2023 FSC-klagomål mail.docx", "A 14860-2023")</f>
        <v/>
      </c>
      <c r="X117">
        <f>HYPERLINK("https://klasma.github.io/Logging_2283/tillsyn/A 14860-2023 tillsynsbegäran.docx", "A 14860-2023")</f>
        <v/>
      </c>
      <c r="Y117">
        <f>HYPERLINK("https://klasma.github.io/Logging_2283/tillsynsmail/A 14860-2023 tillsynsbegäran mail.docx", "A 14860-2023")</f>
        <v/>
      </c>
    </row>
    <row r="118" ht="15" customHeight="1">
      <c r="A118" t="inlineStr">
        <is>
          <t>A 39198-2023</t>
        </is>
      </c>
      <c r="B118" s="1" t="n">
        <v>45166</v>
      </c>
      <c r="C118" s="1" t="n">
        <v>45583</v>
      </c>
      <c r="D118" t="inlineStr">
        <is>
          <t>VÄSTERNORRLANDS LÄN</t>
        </is>
      </c>
      <c r="E118" t="inlineStr">
        <is>
          <t>SOLLEFTEÅ</t>
        </is>
      </c>
      <c r="G118" t="n">
        <v>11</v>
      </c>
      <c r="H118" t="n">
        <v>0</v>
      </c>
      <c r="I118" t="n">
        <v>2</v>
      </c>
      <c r="J118" t="n">
        <v>4</v>
      </c>
      <c r="K118" t="n">
        <v>0</v>
      </c>
      <c r="L118" t="n">
        <v>0</v>
      </c>
      <c r="M118" t="n">
        <v>0</v>
      </c>
      <c r="N118" t="n">
        <v>0</v>
      </c>
      <c r="O118" t="n">
        <v>4</v>
      </c>
      <c r="P118" t="n">
        <v>0</v>
      </c>
      <c r="Q118" t="n">
        <v>6</v>
      </c>
      <c r="R118" s="2" t="inlineStr">
        <is>
          <t>Garnlav
Lunglav
Rosenticka
Ullticka
Stor aspticka
Vedticka</t>
        </is>
      </c>
      <c r="S118">
        <f>HYPERLINK("https://klasma.github.io/Logging_2283/artfynd/A 39198-2023 artfynd.xlsx", "A 39198-2023")</f>
        <v/>
      </c>
      <c r="T118">
        <f>HYPERLINK("https://klasma.github.io/Logging_2283/kartor/A 39198-2023 karta.png", "A 39198-2023")</f>
        <v/>
      </c>
      <c r="U118">
        <f>HYPERLINK("https://klasma.github.io/Logging_2283/knärot/A 39198-2023 karta knärot.png", "A 39198-2023")</f>
        <v/>
      </c>
      <c r="V118">
        <f>HYPERLINK("https://klasma.github.io/Logging_2283/klagomål/A 39198-2023 FSC-klagomål.docx", "A 39198-2023")</f>
        <v/>
      </c>
      <c r="W118">
        <f>HYPERLINK("https://klasma.github.io/Logging_2283/klagomålsmail/A 39198-2023 FSC-klagomål mail.docx", "A 39198-2023")</f>
        <v/>
      </c>
      <c r="X118">
        <f>HYPERLINK("https://klasma.github.io/Logging_2283/tillsyn/A 39198-2023 tillsynsbegäran.docx", "A 39198-2023")</f>
        <v/>
      </c>
      <c r="Y118">
        <f>HYPERLINK("https://klasma.github.io/Logging_2283/tillsynsmail/A 39198-2023 tillsynsbegäran mail.docx", "A 39198-2023")</f>
        <v/>
      </c>
    </row>
    <row r="119" ht="15" customHeight="1">
      <c r="A119" t="inlineStr">
        <is>
          <t>A 40420-2023</t>
        </is>
      </c>
      <c r="B119" s="1" t="n">
        <v>45169</v>
      </c>
      <c r="C119" s="1" t="n">
        <v>45583</v>
      </c>
      <c r="D119" t="inlineStr">
        <is>
          <t>VÄSTERNORRLANDS LÄN</t>
        </is>
      </c>
      <c r="E119" t="inlineStr">
        <is>
          <t>SOLLEFTEÅ</t>
        </is>
      </c>
      <c r="F119" t="inlineStr">
        <is>
          <t>SCA</t>
        </is>
      </c>
      <c r="G119" t="n">
        <v>10</v>
      </c>
      <c r="H119" t="n">
        <v>2</v>
      </c>
      <c r="I119" t="n">
        <v>0</v>
      </c>
      <c r="J119" t="n">
        <v>3</v>
      </c>
      <c r="K119" t="n">
        <v>2</v>
      </c>
      <c r="L119" t="n">
        <v>0</v>
      </c>
      <c r="M119" t="n">
        <v>0</v>
      </c>
      <c r="N119" t="n">
        <v>0</v>
      </c>
      <c r="O119" t="n">
        <v>5</v>
      </c>
      <c r="P119" t="n">
        <v>2</v>
      </c>
      <c r="Q119" t="n">
        <v>6</v>
      </c>
      <c r="R119" s="2" t="inlineStr">
        <is>
          <t>Knärot
Rynkskinn
Lunglav
Rosenticka
Ullticka
Tjäder</t>
        </is>
      </c>
      <c r="S119">
        <f>HYPERLINK("https://klasma.github.io/Logging_2283/artfynd/A 40420-2023 artfynd.xlsx", "A 40420-2023")</f>
        <v/>
      </c>
      <c r="T119">
        <f>HYPERLINK("https://klasma.github.io/Logging_2283/kartor/A 40420-2023 karta.png", "A 40420-2023")</f>
        <v/>
      </c>
      <c r="U119">
        <f>HYPERLINK("https://klasma.github.io/Logging_2283/knärot/A 40420-2023 karta knärot.png", "A 40420-2023")</f>
        <v/>
      </c>
      <c r="V119">
        <f>HYPERLINK("https://klasma.github.io/Logging_2283/klagomål/A 40420-2023 FSC-klagomål.docx", "A 40420-2023")</f>
        <v/>
      </c>
      <c r="W119">
        <f>HYPERLINK("https://klasma.github.io/Logging_2283/klagomålsmail/A 40420-2023 FSC-klagomål mail.docx", "A 40420-2023")</f>
        <v/>
      </c>
      <c r="X119">
        <f>HYPERLINK("https://klasma.github.io/Logging_2283/tillsyn/A 40420-2023 tillsynsbegäran.docx", "A 40420-2023")</f>
        <v/>
      </c>
      <c r="Y119">
        <f>HYPERLINK("https://klasma.github.io/Logging_2283/tillsynsmail/A 40420-2023 tillsynsbegäran mail.docx", "A 40420-2023")</f>
        <v/>
      </c>
      <c r="Z119">
        <f>HYPERLINK("https://klasma.github.io/Logging_2283/fåglar/A 40420-2023 prioriterade fågelarter.docx", "A 40420-2023")</f>
        <v/>
      </c>
    </row>
    <row r="120" ht="15" customHeight="1">
      <c r="A120" t="inlineStr">
        <is>
          <t>A 40417-2023</t>
        </is>
      </c>
      <c r="B120" s="1" t="n">
        <v>45169</v>
      </c>
      <c r="C120" s="1" t="n">
        <v>45583</v>
      </c>
      <c r="D120" t="inlineStr">
        <is>
          <t>VÄSTERNORRLANDS LÄN</t>
        </is>
      </c>
      <c r="E120" t="inlineStr">
        <is>
          <t>SOLLEFTEÅ</t>
        </is>
      </c>
      <c r="F120" t="inlineStr">
        <is>
          <t>SCA</t>
        </is>
      </c>
      <c r="G120" t="n">
        <v>10.6</v>
      </c>
      <c r="H120" t="n">
        <v>2</v>
      </c>
      <c r="I120" t="n">
        <v>0</v>
      </c>
      <c r="J120" t="n">
        <v>4</v>
      </c>
      <c r="K120" t="n">
        <v>1</v>
      </c>
      <c r="L120" t="n">
        <v>0</v>
      </c>
      <c r="M120" t="n">
        <v>0</v>
      </c>
      <c r="N120" t="n">
        <v>0</v>
      </c>
      <c r="O120" t="n">
        <v>5</v>
      </c>
      <c r="P120" t="n">
        <v>1</v>
      </c>
      <c r="Q120" t="n">
        <v>6</v>
      </c>
      <c r="R120" s="2" t="inlineStr">
        <is>
          <t>Knärot
Kolflarnlav
Lunglav
Motaggsvamp
Mörk kolflarnlav
Tjäder</t>
        </is>
      </c>
      <c r="S120">
        <f>HYPERLINK("https://klasma.github.io/Logging_2283/artfynd/A 40417-2023 artfynd.xlsx", "A 40417-2023")</f>
        <v/>
      </c>
      <c r="T120">
        <f>HYPERLINK("https://klasma.github.io/Logging_2283/kartor/A 40417-2023 karta.png", "A 40417-2023")</f>
        <v/>
      </c>
      <c r="U120">
        <f>HYPERLINK("https://klasma.github.io/Logging_2283/knärot/A 40417-2023 karta knärot.png", "A 40417-2023")</f>
        <v/>
      </c>
      <c r="V120">
        <f>HYPERLINK("https://klasma.github.io/Logging_2283/klagomål/A 40417-2023 FSC-klagomål.docx", "A 40417-2023")</f>
        <v/>
      </c>
      <c r="W120">
        <f>HYPERLINK("https://klasma.github.io/Logging_2283/klagomålsmail/A 40417-2023 FSC-klagomål mail.docx", "A 40417-2023")</f>
        <v/>
      </c>
      <c r="X120">
        <f>HYPERLINK("https://klasma.github.io/Logging_2283/tillsyn/A 40417-2023 tillsynsbegäran.docx", "A 40417-2023")</f>
        <v/>
      </c>
      <c r="Y120">
        <f>HYPERLINK("https://klasma.github.io/Logging_2283/tillsynsmail/A 40417-2023 tillsynsbegäran mail.docx", "A 40417-2023")</f>
        <v/>
      </c>
      <c r="Z120">
        <f>HYPERLINK("https://klasma.github.io/Logging_2283/fåglar/A 40417-2023 prioriterade fågelarter.docx", "A 40417-2023")</f>
        <v/>
      </c>
    </row>
    <row r="121" ht="15" customHeight="1">
      <c r="A121" t="inlineStr">
        <is>
          <t>A 2068-2024</t>
        </is>
      </c>
      <c r="B121" s="1" t="n">
        <v>45308</v>
      </c>
      <c r="C121" s="1" t="n">
        <v>45583</v>
      </c>
      <c r="D121" t="inlineStr">
        <is>
          <t>VÄSTERNORRLANDS LÄN</t>
        </is>
      </c>
      <c r="E121" t="inlineStr">
        <is>
          <t>SOLLEFTEÅ</t>
        </is>
      </c>
      <c r="F121" t="inlineStr">
        <is>
          <t>SCA</t>
        </is>
      </c>
      <c r="G121" t="n">
        <v>5.7</v>
      </c>
      <c r="H121" t="n">
        <v>1</v>
      </c>
      <c r="I121" t="n">
        <v>2</v>
      </c>
      <c r="J121" t="n">
        <v>4</v>
      </c>
      <c r="K121" t="n">
        <v>0</v>
      </c>
      <c r="L121" t="n">
        <v>0</v>
      </c>
      <c r="M121" t="n">
        <v>0</v>
      </c>
      <c r="N121" t="n">
        <v>0</v>
      </c>
      <c r="O121" t="n">
        <v>4</v>
      </c>
      <c r="P121" t="n">
        <v>0</v>
      </c>
      <c r="Q121" t="n">
        <v>6</v>
      </c>
      <c r="R121" s="2" t="inlineStr">
        <is>
          <t>Garnlav
Lunglav
Tretåig hackspett
Ullticka
Bollvitmossa
Bårdlav</t>
        </is>
      </c>
      <c r="S121">
        <f>HYPERLINK("https://klasma.github.io/Logging_2283/artfynd/A 2068-2024 artfynd.xlsx", "A 2068-2024")</f>
        <v/>
      </c>
      <c r="T121">
        <f>HYPERLINK("https://klasma.github.io/Logging_2283/kartor/A 2068-2024 karta.png", "A 2068-2024")</f>
        <v/>
      </c>
      <c r="V121">
        <f>HYPERLINK("https://klasma.github.io/Logging_2283/klagomål/A 2068-2024 FSC-klagomål.docx", "A 2068-2024")</f>
        <v/>
      </c>
      <c r="W121">
        <f>HYPERLINK("https://klasma.github.io/Logging_2283/klagomålsmail/A 2068-2024 FSC-klagomål mail.docx", "A 2068-2024")</f>
        <v/>
      </c>
      <c r="X121">
        <f>HYPERLINK("https://klasma.github.io/Logging_2283/tillsyn/A 2068-2024 tillsynsbegäran.docx", "A 2068-2024")</f>
        <v/>
      </c>
      <c r="Y121">
        <f>HYPERLINK("https://klasma.github.io/Logging_2283/tillsynsmail/A 2068-2024 tillsynsbegäran mail.docx", "A 2068-2024")</f>
        <v/>
      </c>
      <c r="Z121">
        <f>HYPERLINK("https://klasma.github.io/Logging_2283/fåglar/A 2068-2024 prioriterade fågelarter.docx", "A 2068-2024")</f>
        <v/>
      </c>
    </row>
    <row r="122" ht="15" customHeight="1">
      <c r="A122" t="inlineStr">
        <is>
          <t>A 7114-2024</t>
        </is>
      </c>
      <c r="B122" s="1" t="n">
        <v>45343</v>
      </c>
      <c r="C122" s="1" t="n">
        <v>45583</v>
      </c>
      <c r="D122" t="inlineStr">
        <is>
          <t>VÄSTERNORRLANDS LÄN</t>
        </is>
      </c>
      <c r="E122" t="inlineStr">
        <is>
          <t>SOLLEFTEÅ</t>
        </is>
      </c>
      <c r="F122" t="inlineStr">
        <is>
          <t>SCA</t>
        </is>
      </c>
      <c r="G122" t="n">
        <v>2.9</v>
      </c>
      <c r="H122" t="n">
        <v>3</v>
      </c>
      <c r="I122" t="n">
        <v>0</v>
      </c>
      <c r="J122" t="n">
        <v>6</v>
      </c>
      <c r="K122" t="n">
        <v>0</v>
      </c>
      <c r="L122" t="n">
        <v>0</v>
      </c>
      <c r="M122" t="n">
        <v>0</v>
      </c>
      <c r="N122" t="n">
        <v>0</v>
      </c>
      <c r="O122" t="n">
        <v>6</v>
      </c>
      <c r="P122" t="n">
        <v>0</v>
      </c>
      <c r="Q122" t="n">
        <v>6</v>
      </c>
      <c r="R122" s="2" t="inlineStr">
        <is>
          <t>Garnlav
Järpe
Rosenticka
Spillkråka
Tretåig hackspett
Ullticka</t>
        </is>
      </c>
      <c r="S122">
        <f>HYPERLINK("https://klasma.github.io/Logging_2283/artfynd/A 7114-2024 artfynd.xlsx", "A 7114-2024")</f>
        <v/>
      </c>
      <c r="T122">
        <f>HYPERLINK("https://klasma.github.io/Logging_2283/kartor/A 7114-2024 karta.png", "A 7114-2024")</f>
        <v/>
      </c>
      <c r="V122">
        <f>HYPERLINK("https://klasma.github.io/Logging_2283/klagomål/A 7114-2024 FSC-klagomål.docx", "A 7114-2024")</f>
        <v/>
      </c>
      <c r="W122">
        <f>HYPERLINK("https://klasma.github.io/Logging_2283/klagomålsmail/A 7114-2024 FSC-klagomål mail.docx", "A 7114-2024")</f>
        <v/>
      </c>
      <c r="X122">
        <f>HYPERLINK("https://klasma.github.io/Logging_2283/tillsyn/A 7114-2024 tillsynsbegäran.docx", "A 7114-2024")</f>
        <v/>
      </c>
      <c r="Y122">
        <f>HYPERLINK("https://klasma.github.io/Logging_2283/tillsynsmail/A 7114-2024 tillsynsbegäran mail.docx", "A 7114-2024")</f>
        <v/>
      </c>
      <c r="Z122">
        <f>HYPERLINK("https://klasma.github.io/Logging_2283/fåglar/A 7114-2024 prioriterade fågelarter.docx", "A 7114-2024")</f>
        <v/>
      </c>
    </row>
    <row r="123" ht="15" customHeight="1">
      <c r="A123" t="inlineStr">
        <is>
          <t>A 11552-2024</t>
        </is>
      </c>
      <c r="B123" s="1" t="n">
        <v>45372</v>
      </c>
      <c r="C123" s="1" t="n">
        <v>45583</v>
      </c>
      <c r="D123" t="inlineStr">
        <is>
          <t>VÄSTERNORRLANDS LÄN</t>
        </is>
      </c>
      <c r="E123" t="inlineStr">
        <is>
          <t>SOLLEFTEÅ</t>
        </is>
      </c>
      <c r="F123" t="inlineStr">
        <is>
          <t>SCA</t>
        </is>
      </c>
      <c r="G123" t="n">
        <v>2.5</v>
      </c>
      <c r="H123" t="n">
        <v>1</v>
      </c>
      <c r="I123" t="n">
        <v>0</v>
      </c>
      <c r="J123" t="n">
        <v>6</v>
      </c>
      <c r="K123" t="n">
        <v>0</v>
      </c>
      <c r="L123" t="n">
        <v>0</v>
      </c>
      <c r="M123" t="n">
        <v>0</v>
      </c>
      <c r="N123" t="n">
        <v>0</v>
      </c>
      <c r="O123" t="n">
        <v>6</v>
      </c>
      <c r="P123" t="n">
        <v>0</v>
      </c>
      <c r="Q123" t="n">
        <v>6</v>
      </c>
      <c r="R123" s="2" t="inlineStr">
        <is>
          <t>Garnlav
Lunglav
Rosenticka
Tallticka
Tretåig hackspett
Ullticka</t>
        </is>
      </c>
      <c r="S123">
        <f>HYPERLINK("https://klasma.github.io/Logging_2283/artfynd/A 11552-2024 artfynd.xlsx", "A 11552-2024")</f>
        <v/>
      </c>
      <c r="T123">
        <f>HYPERLINK("https://klasma.github.io/Logging_2283/kartor/A 11552-2024 karta.png", "A 11552-2024")</f>
        <v/>
      </c>
      <c r="V123">
        <f>HYPERLINK("https://klasma.github.io/Logging_2283/klagomål/A 11552-2024 FSC-klagomål.docx", "A 11552-2024")</f>
        <v/>
      </c>
      <c r="W123">
        <f>HYPERLINK("https://klasma.github.io/Logging_2283/klagomålsmail/A 11552-2024 FSC-klagomål mail.docx", "A 11552-2024")</f>
        <v/>
      </c>
      <c r="X123">
        <f>HYPERLINK("https://klasma.github.io/Logging_2283/tillsyn/A 11552-2024 tillsynsbegäran.docx", "A 11552-2024")</f>
        <v/>
      </c>
      <c r="Y123">
        <f>HYPERLINK("https://klasma.github.io/Logging_2283/tillsynsmail/A 11552-2024 tillsynsbegäran mail.docx", "A 11552-2024")</f>
        <v/>
      </c>
      <c r="Z123">
        <f>HYPERLINK("https://klasma.github.io/Logging_2283/fåglar/A 11552-2024 prioriterade fågelarter.docx", "A 11552-2024")</f>
        <v/>
      </c>
    </row>
    <row r="124" ht="15" customHeight="1">
      <c r="A124" t="inlineStr">
        <is>
          <t>A 29250-2024</t>
        </is>
      </c>
      <c r="B124" s="1" t="n">
        <v>45482</v>
      </c>
      <c r="C124" s="1" t="n">
        <v>45583</v>
      </c>
      <c r="D124" t="inlineStr">
        <is>
          <t>VÄSTERNORRLANDS LÄN</t>
        </is>
      </c>
      <c r="E124" t="inlineStr">
        <is>
          <t>SOLLEFTEÅ</t>
        </is>
      </c>
      <c r="F124" t="inlineStr">
        <is>
          <t>SCA</t>
        </is>
      </c>
      <c r="G124" t="n">
        <v>14.4</v>
      </c>
      <c r="H124" t="n">
        <v>4</v>
      </c>
      <c r="I124" t="n">
        <v>1</v>
      </c>
      <c r="J124" t="n">
        <v>4</v>
      </c>
      <c r="K124" t="n">
        <v>1</v>
      </c>
      <c r="L124" t="n">
        <v>0</v>
      </c>
      <c r="M124" t="n">
        <v>0</v>
      </c>
      <c r="N124" t="n">
        <v>0</v>
      </c>
      <c r="O124" t="n">
        <v>5</v>
      </c>
      <c r="P124" t="n">
        <v>1</v>
      </c>
      <c r="Q124" t="n">
        <v>6</v>
      </c>
      <c r="R124" s="2" t="inlineStr">
        <is>
          <t>Knärot
Granticka
Harticka
Järpe
Tretåig hackspett
Lappranunkel</t>
        </is>
      </c>
      <c r="S124">
        <f>HYPERLINK("https://klasma.github.io/Logging_2283/artfynd/A 29250-2024 artfynd.xlsx", "A 29250-2024")</f>
        <v/>
      </c>
      <c r="T124">
        <f>HYPERLINK("https://klasma.github.io/Logging_2283/kartor/A 29250-2024 karta.png", "A 29250-2024")</f>
        <v/>
      </c>
      <c r="U124">
        <f>HYPERLINK("https://klasma.github.io/Logging_2283/knärot/A 29250-2024 karta knärot.png", "A 29250-2024")</f>
        <v/>
      </c>
      <c r="V124">
        <f>HYPERLINK("https://klasma.github.io/Logging_2283/klagomål/A 29250-2024 FSC-klagomål.docx", "A 29250-2024")</f>
        <v/>
      </c>
      <c r="W124">
        <f>HYPERLINK("https://klasma.github.io/Logging_2283/klagomålsmail/A 29250-2024 FSC-klagomål mail.docx", "A 29250-2024")</f>
        <v/>
      </c>
      <c r="X124">
        <f>HYPERLINK("https://klasma.github.io/Logging_2283/tillsyn/A 29250-2024 tillsynsbegäran.docx", "A 29250-2024")</f>
        <v/>
      </c>
      <c r="Y124">
        <f>HYPERLINK("https://klasma.github.io/Logging_2283/tillsynsmail/A 29250-2024 tillsynsbegäran mail.docx", "A 29250-2024")</f>
        <v/>
      </c>
      <c r="Z124">
        <f>HYPERLINK("https://klasma.github.io/Logging_2283/fåglar/A 29250-2024 prioriterade fågelarter.docx", "A 29250-2024")</f>
        <v/>
      </c>
    </row>
    <row r="125" ht="15" customHeight="1">
      <c r="A125" t="inlineStr">
        <is>
          <t>A 32448-2024</t>
        </is>
      </c>
      <c r="B125" s="1" t="n">
        <v>45512</v>
      </c>
      <c r="C125" s="1" t="n">
        <v>45583</v>
      </c>
      <c r="D125" t="inlineStr">
        <is>
          <t>VÄSTERNORRLANDS LÄN</t>
        </is>
      </c>
      <c r="E125" t="inlineStr">
        <is>
          <t>SOLLEFTEÅ</t>
        </is>
      </c>
      <c r="F125" t="inlineStr">
        <is>
          <t>SCA</t>
        </is>
      </c>
      <c r="G125" t="n">
        <v>6</v>
      </c>
      <c r="H125" t="n">
        <v>1</v>
      </c>
      <c r="I125" t="n">
        <v>1</v>
      </c>
      <c r="J125" t="n">
        <v>3</v>
      </c>
      <c r="K125" t="n">
        <v>1</v>
      </c>
      <c r="L125" t="n">
        <v>0</v>
      </c>
      <c r="M125" t="n">
        <v>0</v>
      </c>
      <c r="N125" t="n">
        <v>0</v>
      </c>
      <c r="O125" t="n">
        <v>4</v>
      </c>
      <c r="P125" t="n">
        <v>1</v>
      </c>
      <c r="Q125" t="n">
        <v>6</v>
      </c>
      <c r="R125" s="2" t="inlineStr">
        <is>
          <t>Rynkskinn
Garnlav
Rosenticka
Ullticka
Vedticka
Revlummer</t>
        </is>
      </c>
      <c r="S125">
        <f>HYPERLINK("https://klasma.github.io/Logging_2283/artfynd/A 32448-2024 artfynd.xlsx", "A 32448-2024")</f>
        <v/>
      </c>
      <c r="T125">
        <f>HYPERLINK("https://klasma.github.io/Logging_2283/kartor/A 32448-2024 karta.png", "A 32448-2024")</f>
        <v/>
      </c>
      <c r="V125">
        <f>HYPERLINK("https://klasma.github.io/Logging_2283/klagomål/A 32448-2024 FSC-klagomål.docx", "A 32448-2024")</f>
        <v/>
      </c>
      <c r="W125">
        <f>HYPERLINK("https://klasma.github.io/Logging_2283/klagomålsmail/A 32448-2024 FSC-klagomål mail.docx", "A 32448-2024")</f>
        <v/>
      </c>
      <c r="X125">
        <f>HYPERLINK("https://klasma.github.io/Logging_2283/tillsyn/A 32448-2024 tillsynsbegäran.docx", "A 32448-2024")</f>
        <v/>
      </c>
      <c r="Y125">
        <f>HYPERLINK("https://klasma.github.io/Logging_2283/tillsynsmail/A 32448-2024 tillsynsbegäran mail.docx", "A 32448-2024")</f>
        <v/>
      </c>
    </row>
    <row r="126" ht="15" customHeight="1">
      <c r="A126" t="inlineStr">
        <is>
          <t>A 35406-2024</t>
        </is>
      </c>
      <c r="B126" s="1" t="n">
        <v>45531</v>
      </c>
      <c r="C126" s="1" t="n">
        <v>45583</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36470-2024</t>
        </is>
      </c>
      <c r="B127" s="1" t="n">
        <v>45537</v>
      </c>
      <c r="C127" s="1" t="n">
        <v>45583</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40094-2024</t>
        </is>
      </c>
      <c r="B128" s="1" t="n">
        <v>45554</v>
      </c>
      <c r="C128" s="1" t="n">
        <v>45583</v>
      </c>
      <c r="D128" t="inlineStr">
        <is>
          <t>VÄSTERNORRLANDS LÄN</t>
        </is>
      </c>
      <c r="E128" t="inlineStr">
        <is>
          <t>SOLLEFTEÅ</t>
        </is>
      </c>
      <c r="F128" t="inlineStr">
        <is>
          <t>SCA</t>
        </is>
      </c>
      <c r="G128" t="n">
        <v>7.9</v>
      </c>
      <c r="H128" t="n">
        <v>2</v>
      </c>
      <c r="I128" t="n">
        <v>0</v>
      </c>
      <c r="J128" t="n">
        <v>6</v>
      </c>
      <c r="K128" t="n">
        <v>0</v>
      </c>
      <c r="L128" t="n">
        <v>0</v>
      </c>
      <c r="M128" t="n">
        <v>0</v>
      </c>
      <c r="N128" t="n">
        <v>0</v>
      </c>
      <c r="O128" t="n">
        <v>6</v>
      </c>
      <c r="P128" t="n">
        <v>0</v>
      </c>
      <c r="Q128" t="n">
        <v>6</v>
      </c>
      <c r="R128" s="2" t="inlineStr">
        <is>
          <t>Granticka
Lunglav
Skogshare
Skrovellav
Talltita
Tretåig hackspett</t>
        </is>
      </c>
      <c r="S128">
        <f>HYPERLINK("https://klasma.github.io/Logging_2283/artfynd/A 40094-2024 artfynd.xlsx", "A 40094-2024")</f>
        <v/>
      </c>
      <c r="T128">
        <f>HYPERLINK("https://klasma.github.io/Logging_2283/kartor/A 40094-2024 karta.png", "A 40094-2024")</f>
        <v/>
      </c>
      <c r="V128">
        <f>HYPERLINK("https://klasma.github.io/Logging_2283/klagomål/A 40094-2024 FSC-klagomål.docx", "A 40094-2024")</f>
        <v/>
      </c>
      <c r="W128">
        <f>HYPERLINK("https://klasma.github.io/Logging_2283/klagomålsmail/A 40094-2024 FSC-klagomål mail.docx", "A 40094-2024")</f>
        <v/>
      </c>
      <c r="X128">
        <f>HYPERLINK("https://klasma.github.io/Logging_2283/tillsyn/A 40094-2024 tillsynsbegäran.docx", "A 40094-2024")</f>
        <v/>
      </c>
      <c r="Y128">
        <f>HYPERLINK("https://klasma.github.io/Logging_2283/tillsynsmail/A 40094-2024 tillsynsbegäran mail.docx", "A 40094-2024")</f>
        <v/>
      </c>
      <c r="Z128">
        <f>HYPERLINK("https://klasma.github.io/Logging_2283/fåglar/A 40094-2024 prioriterade fågelarter.docx", "A 40094-2024")</f>
        <v/>
      </c>
    </row>
    <row r="129" ht="15" customHeight="1">
      <c r="A129" t="inlineStr">
        <is>
          <t>A 41785-2019</t>
        </is>
      </c>
      <c r="B129" s="1" t="n">
        <v>43699</v>
      </c>
      <c r="C129" s="1" t="n">
        <v>45583</v>
      </c>
      <c r="D129" t="inlineStr">
        <is>
          <t>VÄSTERNORRLANDS LÄN</t>
        </is>
      </c>
      <c r="E129" t="inlineStr">
        <is>
          <t>SOLLEFTEÅ</t>
        </is>
      </c>
      <c r="F129" t="inlineStr">
        <is>
          <t>SCA</t>
        </is>
      </c>
      <c r="G129" t="n">
        <v>3.1</v>
      </c>
      <c r="H129" t="n">
        <v>0</v>
      </c>
      <c r="I129" t="n">
        <v>1</v>
      </c>
      <c r="J129" t="n">
        <v>3</v>
      </c>
      <c r="K129" t="n">
        <v>1</v>
      </c>
      <c r="L129" t="n">
        <v>0</v>
      </c>
      <c r="M129" t="n">
        <v>0</v>
      </c>
      <c r="N129" t="n">
        <v>0</v>
      </c>
      <c r="O129" t="n">
        <v>4</v>
      </c>
      <c r="P129" t="n">
        <v>1</v>
      </c>
      <c r="Q129" t="n">
        <v>5</v>
      </c>
      <c r="R129" s="2" t="inlineStr">
        <is>
          <t>Rynkskinn
Rosenticka
Ullticka
Violmussling
Stor aspticka</t>
        </is>
      </c>
      <c r="S129">
        <f>HYPERLINK("https://klasma.github.io/Logging_2283/artfynd/A 41785-2019 artfynd.xlsx", "A 41785-2019")</f>
        <v/>
      </c>
      <c r="T129">
        <f>HYPERLINK("https://klasma.github.io/Logging_2283/kartor/A 41785-2019 karta.png", "A 41785-2019")</f>
        <v/>
      </c>
      <c r="V129">
        <f>HYPERLINK("https://klasma.github.io/Logging_2283/klagomål/A 41785-2019 FSC-klagomål.docx", "A 41785-2019")</f>
        <v/>
      </c>
      <c r="W129">
        <f>HYPERLINK("https://klasma.github.io/Logging_2283/klagomålsmail/A 41785-2019 FSC-klagomål mail.docx", "A 41785-2019")</f>
        <v/>
      </c>
      <c r="X129">
        <f>HYPERLINK("https://klasma.github.io/Logging_2283/tillsyn/A 41785-2019 tillsynsbegäran.docx", "A 41785-2019")</f>
        <v/>
      </c>
      <c r="Y129">
        <f>HYPERLINK("https://klasma.github.io/Logging_2283/tillsynsmail/A 41785-2019 tillsynsbegäran mail.docx", "A 41785-2019")</f>
        <v/>
      </c>
    </row>
    <row r="130" ht="15" customHeight="1">
      <c r="A130" t="inlineStr">
        <is>
          <t>A 33209-2020</t>
        </is>
      </c>
      <c r="B130" s="1" t="n">
        <v>44021</v>
      </c>
      <c r="C130" s="1" t="n">
        <v>45583</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Granticka
Harticka
Talltita
Tretåig hackspett</t>
        </is>
      </c>
      <c r="S130">
        <f>HYPERLINK("https://klasma.github.io/Logging_2283/artfynd/A 33209-2020 artfynd.xlsx", "A 33209-2020")</f>
        <v/>
      </c>
      <c r="T130">
        <f>HYPERLINK("https://klasma.github.io/Logging_2283/kartor/A 33209-2020 karta.png", "A 33209-2020")</f>
        <v/>
      </c>
      <c r="V130">
        <f>HYPERLINK("https://klasma.github.io/Logging_2283/klagomål/A 33209-2020 FSC-klagomål.docx", "A 33209-2020")</f>
        <v/>
      </c>
      <c r="W130">
        <f>HYPERLINK("https://klasma.github.io/Logging_2283/klagomålsmail/A 33209-2020 FSC-klagomål mail.docx", "A 33209-2020")</f>
        <v/>
      </c>
      <c r="X130">
        <f>HYPERLINK("https://klasma.github.io/Logging_2283/tillsyn/A 33209-2020 tillsynsbegäran.docx", "A 33209-2020")</f>
        <v/>
      </c>
      <c r="Y130">
        <f>HYPERLINK("https://klasma.github.io/Logging_2283/tillsynsmail/A 33209-2020 tillsynsbegäran mail.docx", "A 33209-2020")</f>
        <v/>
      </c>
      <c r="Z130">
        <f>HYPERLINK("https://klasma.github.io/Logging_2283/fåglar/A 33209-2020 prioriterade fågelarter.docx", "A 33209-2020")</f>
        <v/>
      </c>
    </row>
    <row r="131" ht="15" customHeight="1">
      <c r="A131" t="inlineStr">
        <is>
          <t>A 33612-2020</t>
        </is>
      </c>
      <c r="B131" s="1" t="n">
        <v>44025</v>
      </c>
      <c r="C131" s="1" t="n">
        <v>45583</v>
      </c>
      <c r="D131" t="inlineStr">
        <is>
          <t>VÄSTERNORRLANDS LÄN</t>
        </is>
      </c>
      <c r="E131" t="inlineStr">
        <is>
          <t>SOLLEFTEÅ</t>
        </is>
      </c>
      <c r="F131" t="inlineStr">
        <is>
          <t>SCA</t>
        </is>
      </c>
      <c r="G131" t="n">
        <v>2.3</v>
      </c>
      <c r="H131" t="n">
        <v>2</v>
      </c>
      <c r="I131" t="n">
        <v>1</v>
      </c>
      <c r="J131" t="n">
        <v>3</v>
      </c>
      <c r="K131" t="n">
        <v>0</v>
      </c>
      <c r="L131" t="n">
        <v>0</v>
      </c>
      <c r="M131" t="n">
        <v>0</v>
      </c>
      <c r="N131" t="n">
        <v>0</v>
      </c>
      <c r="O131" t="n">
        <v>3</v>
      </c>
      <c r="P131" t="n">
        <v>0</v>
      </c>
      <c r="Q131" t="n">
        <v>5</v>
      </c>
      <c r="R131" s="2" t="inlineStr">
        <is>
          <t>Dvärgbägarlav
Garnlav
Tretåig hackspett
Dropptaggsvamp
Tjäder</t>
        </is>
      </c>
      <c r="S131">
        <f>HYPERLINK("https://klasma.github.io/Logging_2283/artfynd/A 33612-2020 artfynd.xlsx", "A 33612-2020")</f>
        <v/>
      </c>
      <c r="T131">
        <f>HYPERLINK("https://klasma.github.io/Logging_2283/kartor/A 33612-2020 karta.png", "A 33612-2020")</f>
        <v/>
      </c>
      <c r="V131">
        <f>HYPERLINK("https://klasma.github.io/Logging_2283/klagomål/A 33612-2020 FSC-klagomål.docx", "A 33612-2020")</f>
        <v/>
      </c>
      <c r="W131">
        <f>HYPERLINK("https://klasma.github.io/Logging_2283/klagomålsmail/A 33612-2020 FSC-klagomål mail.docx", "A 33612-2020")</f>
        <v/>
      </c>
      <c r="X131">
        <f>HYPERLINK("https://klasma.github.io/Logging_2283/tillsyn/A 33612-2020 tillsynsbegäran.docx", "A 33612-2020")</f>
        <v/>
      </c>
      <c r="Y131">
        <f>HYPERLINK("https://klasma.github.io/Logging_2283/tillsynsmail/A 33612-2020 tillsynsbegäran mail.docx", "A 33612-2020")</f>
        <v/>
      </c>
      <c r="Z131">
        <f>HYPERLINK("https://klasma.github.io/Logging_2283/fåglar/A 33612-2020 prioriterade fågelarter.docx", "A 33612-2020")</f>
        <v/>
      </c>
    </row>
    <row r="132" ht="15" customHeight="1">
      <c r="A132" t="inlineStr">
        <is>
          <t>A 57076-2020</t>
        </is>
      </c>
      <c r="B132" s="1" t="n">
        <v>44138</v>
      </c>
      <c r="C132" s="1" t="n">
        <v>45583</v>
      </c>
      <c r="D132" t="inlineStr">
        <is>
          <t>VÄSTERNORRLANDS LÄN</t>
        </is>
      </c>
      <c r="E132" t="inlineStr">
        <is>
          <t>SOLLEFTEÅ</t>
        </is>
      </c>
      <c r="G132" t="n">
        <v>3.8</v>
      </c>
      <c r="H132" t="n">
        <v>3</v>
      </c>
      <c r="I132" t="n">
        <v>1</v>
      </c>
      <c r="J132" t="n">
        <v>3</v>
      </c>
      <c r="K132" t="n">
        <v>0</v>
      </c>
      <c r="L132" t="n">
        <v>0</v>
      </c>
      <c r="M132" t="n">
        <v>0</v>
      </c>
      <c r="N132" t="n">
        <v>0</v>
      </c>
      <c r="O132" t="n">
        <v>3</v>
      </c>
      <c r="P132" t="n">
        <v>0</v>
      </c>
      <c r="Q132" t="n">
        <v>5</v>
      </c>
      <c r="R132" s="2" t="inlineStr">
        <is>
          <t>Kråka
Nipsippa
Rosenticka
Strutbräken
Revlummer</t>
        </is>
      </c>
      <c r="S132">
        <f>HYPERLINK("https://klasma.github.io/Logging_2283/artfynd/A 57076-2020 artfynd.xlsx", "A 57076-2020")</f>
        <v/>
      </c>
      <c r="T132">
        <f>HYPERLINK("https://klasma.github.io/Logging_2283/kartor/A 57076-2020 karta.png", "A 57076-2020")</f>
        <v/>
      </c>
      <c r="V132">
        <f>HYPERLINK("https://klasma.github.io/Logging_2283/klagomål/A 57076-2020 FSC-klagomål.docx", "A 57076-2020")</f>
        <v/>
      </c>
      <c r="W132">
        <f>HYPERLINK("https://klasma.github.io/Logging_2283/klagomålsmail/A 57076-2020 FSC-klagomål mail.docx", "A 57076-2020")</f>
        <v/>
      </c>
      <c r="X132">
        <f>HYPERLINK("https://klasma.github.io/Logging_2283/tillsyn/A 57076-2020 tillsynsbegäran.docx", "A 57076-2020")</f>
        <v/>
      </c>
      <c r="Y132">
        <f>HYPERLINK("https://klasma.github.io/Logging_2283/tillsynsmail/A 57076-2020 tillsynsbegäran mail.docx", "A 57076-2020")</f>
        <v/>
      </c>
      <c r="Z132">
        <f>HYPERLINK("https://klasma.github.io/Logging_2283/fåglar/A 57076-2020 prioriterade fågelarter.docx", "A 57076-2020")</f>
        <v/>
      </c>
    </row>
    <row r="133" ht="15" customHeight="1">
      <c r="A133" t="inlineStr">
        <is>
          <t>A 59318-2021</t>
        </is>
      </c>
      <c r="B133" s="1" t="n">
        <v>44491</v>
      </c>
      <c r="C133" s="1" t="n">
        <v>45583</v>
      </c>
      <c r="D133" t="inlineStr">
        <is>
          <t>VÄSTERNORRLANDS LÄN</t>
        </is>
      </c>
      <c r="E133" t="inlineStr">
        <is>
          <t>SOLLEFTEÅ</t>
        </is>
      </c>
      <c r="G133" t="n">
        <v>1.2</v>
      </c>
      <c r="H133" t="n">
        <v>2</v>
      </c>
      <c r="I133" t="n">
        <v>1</v>
      </c>
      <c r="J133" t="n">
        <v>4</v>
      </c>
      <c r="K133" t="n">
        <v>0</v>
      </c>
      <c r="L133" t="n">
        <v>0</v>
      </c>
      <c r="M133" t="n">
        <v>0</v>
      </c>
      <c r="N133" t="n">
        <v>0</v>
      </c>
      <c r="O133" t="n">
        <v>4</v>
      </c>
      <c r="P133" t="n">
        <v>0</v>
      </c>
      <c r="Q133" t="n">
        <v>5</v>
      </c>
      <c r="R133" s="2" t="inlineStr">
        <is>
          <t>Gammelgransskål
Garnlav
Spillkråka
Talltita
Skinnlav</t>
        </is>
      </c>
      <c r="S133">
        <f>HYPERLINK("https://klasma.github.io/Logging_2283/artfynd/A 59318-2021 artfynd.xlsx", "A 59318-2021")</f>
        <v/>
      </c>
      <c r="T133">
        <f>HYPERLINK("https://klasma.github.io/Logging_2283/kartor/A 59318-2021 karta.png", "A 59318-2021")</f>
        <v/>
      </c>
      <c r="V133">
        <f>HYPERLINK("https://klasma.github.io/Logging_2283/klagomål/A 59318-2021 FSC-klagomål.docx", "A 59318-2021")</f>
        <v/>
      </c>
      <c r="W133">
        <f>HYPERLINK("https://klasma.github.io/Logging_2283/klagomålsmail/A 59318-2021 FSC-klagomål mail.docx", "A 59318-2021")</f>
        <v/>
      </c>
      <c r="X133">
        <f>HYPERLINK("https://klasma.github.io/Logging_2283/tillsyn/A 59318-2021 tillsynsbegäran.docx", "A 59318-2021")</f>
        <v/>
      </c>
      <c r="Y133">
        <f>HYPERLINK("https://klasma.github.io/Logging_2283/tillsynsmail/A 59318-2021 tillsynsbegäran mail.docx", "A 59318-2021")</f>
        <v/>
      </c>
      <c r="Z133">
        <f>HYPERLINK("https://klasma.github.io/Logging_2283/fåglar/A 59318-2021 prioriterade fågelarter.docx", "A 59318-2021")</f>
        <v/>
      </c>
    </row>
    <row r="134" ht="15" customHeight="1">
      <c r="A134" t="inlineStr">
        <is>
          <t>A 68354-2021</t>
        </is>
      </c>
      <c r="B134" s="1" t="n">
        <v>44528</v>
      </c>
      <c r="C134" s="1" t="n">
        <v>45583</v>
      </c>
      <c r="D134" t="inlineStr">
        <is>
          <t>VÄSTERNORRLANDS LÄN</t>
        </is>
      </c>
      <c r="E134" t="inlineStr">
        <is>
          <t>SOLLEFTEÅ</t>
        </is>
      </c>
      <c r="G134" t="n">
        <v>3.3</v>
      </c>
      <c r="H134" t="n">
        <v>2</v>
      </c>
      <c r="I134" t="n">
        <v>1</v>
      </c>
      <c r="J134" t="n">
        <v>4</v>
      </c>
      <c r="K134" t="n">
        <v>0</v>
      </c>
      <c r="L134" t="n">
        <v>0</v>
      </c>
      <c r="M134" t="n">
        <v>0</v>
      </c>
      <c r="N134" t="n">
        <v>0</v>
      </c>
      <c r="O134" t="n">
        <v>4</v>
      </c>
      <c r="P134" t="n">
        <v>0</v>
      </c>
      <c r="Q134" t="n">
        <v>5</v>
      </c>
      <c r="R134" s="2" t="inlineStr">
        <is>
          <t>Rosenticka
Spillkråka
Talltita
Ullticka
Vanlig flatbagge</t>
        </is>
      </c>
      <c r="S134">
        <f>HYPERLINK("https://klasma.github.io/Logging_2283/artfynd/A 68354-2021 artfynd.xlsx", "A 68354-2021")</f>
        <v/>
      </c>
      <c r="T134">
        <f>HYPERLINK("https://klasma.github.io/Logging_2283/kartor/A 68354-2021 karta.png", "A 68354-2021")</f>
        <v/>
      </c>
      <c r="V134">
        <f>HYPERLINK("https://klasma.github.io/Logging_2283/klagomål/A 68354-2021 FSC-klagomål.docx", "A 68354-2021")</f>
        <v/>
      </c>
      <c r="W134">
        <f>HYPERLINK("https://klasma.github.io/Logging_2283/klagomålsmail/A 68354-2021 FSC-klagomål mail.docx", "A 68354-2021")</f>
        <v/>
      </c>
      <c r="X134">
        <f>HYPERLINK("https://klasma.github.io/Logging_2283/tillsyn/A 68354-2021 tillsynsbegäran.docx", "A 68354-2021")</f>
        <v/>
      </c>
      <c r="Y134">
        <f>HYPERLINK("https://klasma.github.io/Logging_2283/tillsynsmail/A 68354-2021 tillsynsbegäran mail.docx", "A 68354-2021")</f>
        <v/>
      </c>
      <c r="Z134">
        <f>HYPERLINK("https://klasma.github.io/Logging_2283/fåglar/A 68354-2021 prioriterade fågelarter.docx", "A 68354-2021")</f>
        <v/>
      </c>
    </row>
    <row r="135" ht="15" customHeight="1">
      <c r="A135" t="inlineStr">
        <is>
          <t>A 10400-2022</t>
        </is>
      </c>
      <c r="B135" s="1" t="n">
        <v>44623</v>
      </c>
      <c r="C135" s="1" t="n">
        <v>45583</v>
      </c>
      <c r="D135" t="inlineStr">
        <is>
          <t>VÄSTERNORRLANDS LÄN</t>
        </is>
      </c>
      <c r="E135" t="inlineStr">
        <is>
          <t>SOLLEFTEÅ</t>
        </is>
      </c>
      <c r="G135" t="n">
        <v>25.8</v>
      </c>
      <c r="H135" t="n">
        <v>2</v>
      </c>
      <c r="I135" t="n">
        <v>1</v>
      </c>
      <c r="J135" t="n">
        <v>4</v>
      </c>
      <c r="K135" t="n">
        <v>0</v>
      </c>
      <c r="L135" t="n">
        <v>0</v>
      </c>
      <c r="M135" t="n">
        <v>0</v>
      </c>
      <c r="N135" t="n">
        <v>0</v>
      </c>
      <c r="O135" t="n">
        <v>4</v>
      </c>
      <c r="P135" t="n">
        <v>0</v>
      </c>
      <c r="Q135" t="n">
        <v>5</v>
      </c>
      <c r="R135" s="2" t="inlineStr">
        <is>
          <t>Lunglav
Spillkråka
Tretåig hackspett
Ullticka
Korallblylav</t>
        </is>
      </c>
      <c r="S135">
        <f>HYPERLINK("https://klasma.github.io/Logging_2283/artfynd/A 10400-2022 artfynd.xlsx", "A 10400-2022")</f>
        <v/>
      </c>
      <c r="T135">
        <f>HYPERLINK("https://klasma.github.io/Logging_2283/kartor/A 10400-2022 karta.png", "A 10400-2022")</f>
        <v/>
      </c>
      <c r="V135">
        <f>HYPERLINK("https://klasma.github.io/Logging_2283/klagomål/A 10400-2022 FSC-klagomål.docx", "A 10400-2022")</f>
        <v/>
      </c>
      <c r="W135">
        <f>HYPERLINK("https://klasma.github.io/Logging_2283/klagomålsmail/A 10400-2022 FSC-klagomål mail.docx", "A 10400-2022")</f>
        <v/>
      </c>
      <c r="X135">
        <f>HYPERLINK("https://klasma.github.io/Logging_2283/tillsyn/A 10400-2022 tillsynsbegäran.docx", "A 10400-2022")</f>
        <v/>
      </c>
      <c r="Y135">
        <f>HYPERLINK("https://klasma.github.io/Logging_2283/tillsynsmail/A 10400-2022 tillsynsbegäran mail.docx", "A 10400-2022")</f>
        <v/>
      </c>
      <c r="Z135">
        <f>HYPERLINK("https://klasma.github.io/Logging_2283/fåglar/A 10400-2022 prioriterade fågelarter.docx", "A 10400-2022")</f>
        <v/>
      </c>
    </row>
    <row r="136" ht="15" customHeight="1">
      <c r="A136" t="inlineStr">
        <is>
          <t>A 11490-2022</t>
        </is>
      </c>
      <c r="B136" s="1" t="n">
        <v>44630</v>
      </c>
      <c r="C136" s="1" t="n">
        <v>45583</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20949-2022</t>
        </is>
      </c>
      <c r="B137" s="1" t="n">
        <v>44702</v>
      </c>
      <c r="C137" s="1" t="n">
        <v>45583</v>
      </c>
      <c r="D137" t="inlineStr">
        <is>
          <t>VÄSTERNORRLANDS LÄN</t>
        </is>
      </c>
      <c r="E137" t="inlineStr">
        <is>
          <t>SOLLEFTEÅ</t>
        </is>
      </c>
      <c r="F137" t="inlineStr">
        <is>
          <t>SCA</t>
        </is>
      </c>
      <c r="G137" t="n">
        <v>2.2</v>
      </c>
      <c r="H137" t="n">
        <v>1</v>
      </c>
      <c r="I137" t="n">
        <v>0</v>
      </c>
      <c r="J137" t="n">
        <v>5</v>
      </c>
      <c r="K137" t="n">
        <v>0</v>
      </c>
      <c r="L137" t="n">
        <v>0</v>
      </c>
      <c r="M137" t="n">
        <v>0</v>
      </c>
      <c r="N137" t="n">
        <v>0</v>
      </c>
      <c r="O137" t="n">
        <v>5</v>
      </c>
      <c r="P137" t="n">
        <v>0</v>
      </c>
      <c r="Q137" t="n">
        <v>5</v>
      </c>
      <c r="R137" s="2" t="inlineStr">
        <is>
          <t>Garnlav
Kolflarnlav
Lunglav
Tretåig hackspett
Vedskivlav</t>
        </is>
      </c>
      <c r="S137">
        <f>HYPERLINK("https://klasma.github.io/Logging_2283/artfynd/A 20949-2022 artfynd.xlsx", "A 20949-2022")</f>
        <v/>
      </c>
      <c r="T137">
        <f>HYPERLINK("https://klasma.github.io/Logging_2283/kartor/A 20949-2022 karta.png", "A 20949-2022")</f>
        <v/>
      </c>
      <c r="V137">
        <f>HYPERLINK("https://klasma.github.io/Logging_2283/klagomål/A 20949-2022 FSC-klagomål.docx", "A 20949-2022")</f>
        <v/>
      </c>
      <c r="W137">
        <f>HYPERLINK("https://klasma.github.io/Logging_2283/klagomålsmail/A 20949-2022 FSC-klagomål mail.docx", "A 20949-2022")</f>
        <v/>
      </c>
      <c r="X137">
        <f>HYPERLINK("https://klasma.github.io/Logging_2283/tillsyn/A 20949-2022 tillsynsbegäran.docx", "A 20949-2022")</f>
        <v/>
      </c>
      <c r="Y137">
        <f>HYPERLINK("https://klasma.github.io/Logging_2283/tillsynsmail/A 20949-2022 tillsynsbegäran mail.docx", "A 20949-2022")</f>
        <v/>
      </c>
      <c r="Z137">
        <f>HYPERLINK("https://klasma.github.io/Logging_2283/fåglar/A 20949-2022 prioriterade fågelarter.docx", "A 20949-2022")</f>
        <v/>
      </c>
    </row>
    <row r="138" ht="15" customHeight="1">
      <c r="A138" t="inlineStr">
        <is>
          <t>A 41169-2022</t>
        </is>
      </c>
      <c r="B138" s="1" t="n">
        <v>44825</v>
      </c>
      <c r="C138" s="1" t="n">
        <v>45583</v>
      </c>
      <c r="D138" t="inlineStr">
        <is>
          <t>VÄSTERNORRLANDS LÄN</t>
        </is>
      </c>
      <c r="E138" t="inlineStr">
        <is>
          <t>SOLLEFTEÅ</t>
        </is>
      </c>
      <c r="F138" t="inlineStr">
        <is>
          <t>SCA</t>
        </is>
      </c>
      <c r="G138" t="n">
        <v>1.8</v>
      </c>
      <c r="H138" t="n">
        <v>2</v>
      </c>
      <c r="I138" t="n">
        <v>1</v>
      </c>
      <c r="J138" t="n">
        <v>4</v>
      </c>
      <c r="K138" t="n">
        <v>0</v>
      </c>
      <c r="L138" t="n">
        <v>0</v>
      </c>
      <c r="M138" t="n">
        <v>0</v>
      </c>
      <c r="N138" t="n">
        <v>0</v>
      </c>
      <c r="O138" t="n">
        <v>4</v>
      </c>
      <c r="P138" t="n">
        <v>0</v>
      </c>
      <c r="Q138" t="n">
        <v>5</v>
      </c>
      <c r="R138" s="2" t="inlineStr">
        <is>
          <t>Spillkråka
Tretåig hackspett
Ullticka
Vedskivlav
Vedticka</t>
        </is>
      </c>
      <c r="S138">
        <f>HYPERLINK("https://klasma.github.io/Logging_2283/artfynd/A 41169-2022 artfynd.xlsx", "A 41169-2022")</f>
        <v/>
      </c>
      <c r="T138">
        <f>HYPERLINK("https://klasma.github.io/Logging_2283/kartor/A 41169-2022 karta.png", "A 41169-2022")</f>
        <v/>
      </c>
      <c r="V138">
        <f>HYPERLINK("https://klasma.github.io/Logging_2283/klagomål/A 41169-2022 FSC-klagomål.docx", "A 41169-2022")</f>
        <v/>
      </c>
      <c r="W138">
        <f>HYPERLINK("https://klasma.github.io/Logging_2283/klagomålsmail/A 41169-2022 FSC-klagomål mail.docx", "A 41169-2022")</f>
        <v/>
      </c>
      <c r="X138">
        <f>HYPERLINK("https://klasma.github.io/Logging_2283/tillsyn/A 41169-2022 tillsynsbegäran.docx", "A 41169-2022")</f>
        <v/>
      </c>
      <c r="Y138">
        <f>HYPERLINK("https://klasma.github.io/Logging_2283/tillsynsmail/A 41169-2022 tillsynsbegäran mail.docx", "A 41169-2022")</f>
        <v/>
      </c>
      <c r="Z138">
        <f>HYPERLINK("https://klasma.github.io/Logging_2283/fåglar/A 41169-2022 prioriterade fågelarter.docx", "A 41169-2022")</f>
        <v/>
      </c>
    </row>
    <row r="139" ht="15" customHeight="1">
      <c r="A139" t="inlineStr">
        <is>
          <t>A 81-2023</t>
        </is>
      </c>
      <c r="B139" s="1" t="n">
        <v>44920</v>
      </c>
      <c r="C139" s="1" t="n">
        <v>45583</v>
      </c>
      <c r="D139" t="inlineStr">
        <is>
          <t>VÄSTERNORRLANDS LÄN</t>
        </is>
      </c>
      <c r="E139" t="inlineStr">
        <is>
          <t>SOLLEFTEÅ</t>
        </is>
      </c>
      <c r="G139" t="n">
        <v>20</v>
      </c>
      <c r="H139" t="n">
        <v>2</v>
      </c>
      <c r="I139" t="n">
        <v>1</v>
      </c>
      <c r="J139" t="n">
        <v>3</v>
      </c>
      <c r="K139" t="n">
        <v>1</v>
      </c>
      <c r="L139" t="n">
        <v>0</v>
      </c>
      <c r="M139" t="n">
        <v>0</v>
      </c>
      <c r="N139" t="n">
        <v>0</v>
      </c>
      <c r="O139" t="n">
        <v>4</v>
      </c>
      <c r="P139" t="n">
        <v>1</v>
      </c>
      <c r="Q139" t="n">
        <v>5</v>
      </c>
      <c r="R139" s="2" t="inlineStr">
        <is>
          <t>Knärot
Garnlav
Lunglav
Talltita
Luddlav</t>
        </is>
      </c>
      <c r="S139">
        <f>HYPERLINK("https://klasma.github.io/Logging_2283/artfynd/A 81-2023 artfynd.xlsx", "A 81-2023")</f>
        <v/>
      </c>
      <c r="T139">
        <f>HYPERLINK("https://klasma.github.io/Logging_2283/kartor/A 81-2023 karta.png", "A 81-2023")</f>
        <v/>
      </c>
      <c r="U139">
        <f>HYPERLINK("https://klasma.github.io/Logging_2283/knärot/A 81-2023 karta knärot.png", "A 81-2023")</f>
        <v/>
      </c>
      <c r="V139">
        <f>HYPERLINK("https://klasma.github.io/Logging_2283/klagomål/A 81-2023 FSC-klagomål.docx", "A 81-2023")</f>
        <v/>
      </c>
      <c r="W139">
        <f>HYPERLINK("https://klasma.github.io/Logging_2283/klagomålsmail/A 81-2023 FSC-klagomål mail.docx", "A 81-2023")</f>
        <v/>
      </c>
      <c r="X139">
        <f>HYPERLINK("https://klasma.github.io/Logging_2283/tillsyn/A 81-2023 tillsynsbegäran.docx", "A 81-2023")</f>
        <v/>
      </c>
      <c r="Y139">
        <f>HYPERLINK("https://klasma.github.io/Logging_2283/tillsynsmail/A 81-2023 tillsynsbegäran mail.docx", "A 81-2023")</f>
        <v/>
      </c>
      <c r="Z139">
        <f>HYPERLINK("https://klasma.github.io/Logging_2283/fåglar/A 81-2023 prioriterade fågelarter.docx", "A 81-2023")</f>
        <v/>
      </c>
    </row>
    <row r="140" ht="15" customHeight="1">
      <c r="A140" t="inlineStr">
        <is>
          <t>A 14079-2023</t>
        </is>
      </c>
      <c r="B140" s="1" t="n">
        <v>45009</v>
      </c>
      <c r="C140" s="1" t="n">
        <v>45583</v>
      </c>
      <c r="D140" t="inlineStr">
        <is>
          <t>VÄSTERNORRLANDS LÄN</t>
        </is>
      </c>
      <c r="E140" t="inlineStr">
        <is>
          <t>SOLLEFTEÅ</t>
        </is>
      </c>
      <c r="F140" t="inlineStr">
        <is>
          <t>SCA</t>
        </is>
      </c>
      <c r="G140" t="n">
        <v>9</v>
      </c>
      <c r="H140" t="n">
        <v>0</v>
      </c>
      <c r="I140" t="n">
        <v>0</v>
      </c>
      <c r="J140" t="n">
        <v>5</v>
      </c>
      <c r="K140" t="n">
        <v>0</v>
      </c>
      <c r="L140" t="n">
        <v>0</v>
      </c>
      <c r="M140" t="n">
        <v>0</v>
      </c>
      <c r="N140" t="n">
        <v>0</v>
      </c>
      <c r="O140" t="n">
        <v>5</v>
      </c>
      <c r="P140" t="n">
        <v>0</v>
      </c>
      <c r="Q140" t="n">
        <v>5</v>
      </c>
      <c r="R140" s="2" t="inlineStr">
        <is>
          <t>Gammelgransskål
Garnlav
Ullticka
Vedskivlav
Vedtrappmossa</t>
        </is>
      </c>
      <c r="S140">
        <f>HYPERLINK("https://klasma.github.io/Logging_2283/artfynd/A 14079-2023 artfynd.xlsx", "A 14079-2023")</f>
        <v/>
      </c>
      <c r="T140">
        <f>HYPERLINK("https://klasma.github.io/Logging_2283/kartor/A 14079-2023 karta.png", "A 14079-2023")</f>
        <v/>
      </c>
      <c r="V140">
        <f>HYPERLINK("https://klasma.github.io/Logging_2283/klagomål/A 14079-2023 FSC-klagomål.docx", "A 14079-2023")</f>
        <v/>
      </c>
      <c r="W140">
        <f>HYPERLINK("https://klasma.github.io/Logging_2283/klagomålsmail/A 14079-2023 FSC-klagomål mail.docx", "A 14079-2023")</f>
        <v/>
      </c>
      <c r="X140">
        <f>HYPERLINK("https://klasma.github.io/Logging_2283/tillsyn/A 14079-2023 tillsynsbegäran.docx", "A 14079-2023")</f>
        <v/>
      </c>
      <c r="Y140">
        <f>HYPERLINK("https://klasma.github.io/Logging_2283/tillsynsmail/A 14079-2023 tillsynsbegäran mail.docx", "A 14079-2023")</f>
        <v/>
      </c>
    </row>
    <row r="141" ht="15" customHeight="1">
      <c r="A141" t="inlineStr">
        <is>
          <t>A 18163-2023</t>
        </is>
      </c>
      <c r="B141" s="1" t="n">
        <v>45040</v>
      </c>
      <c r="C141" s="1" t="n">
        <v>45583</v>
      </c>
      <c r="D141" t="inlineStr">
        <is>
          <t>VÄSTERNORRLANDS LÄN</t>
        </is>
      </c>
      <c r="E141" t="inlineStr">
        <is>
          <t>SOLLEFTEÅ</t>
        </is>
      </c>
      <c r="F141" t="inlineStr">
        <is>
          <t>SCA</t>
        </is>
      </c>
      <c r="G141" t="n">
        <v>5.2</v>
      </c>
      <c r="H141" t="n">
        <v>1</v>
      </c>
      <c r="I141" t="n">
        <v>0</v>
      </c>
      <c r="J141" t="n">
        <v>5</v>
      </c>
      <c r="K141" t="n">
        <v>0</v>
      </c>
      <c r="L141" t="n">
        <v>0</v>
      </c>
      <c r="M141" t="n">
        <v>0</v>
      </c>
      <c r="N141" t="n">
        <v>0</v>
      </c>
      <c r="O141" t="n">
        <v>5</v>
      </c>
      <c r="P141" t="n">
        <v>0</v>
      </c>
      <c r="Q141" t="n">
        <v>5</v>
      </c>
      <c r="R141" s="2" t="inlineStr">
        <is>
          <t>Garnlav
Granticka
Kolflarnlav
Spillkråka
Ullticka</t>
        </is>
      </c>
      <c r="S141">
        <f>HYPERLINK("https://klasma.github.io/Logging_2283/artfynd/A 18163-2023 artfynd.xlsx", "A 18163-2023")</f>
        <v/>
      </c>
      <c r="T141">
        <f>HYPERLINK("https://klasma.github.io/Logging_2283/kartor/A 18163-2023 karta.png", "A 18163-2023")</f>
        <v/>
      </c>
      <c r="V141">
        <f>HYPERLINK("https://klasma.github.io/Logging_2283/klagomål/A 18163-2023 FSC-klagomål.docx", "A 18163-2023")</f>
        <v/>
      </c>
      <c r="W141">
        <f>HYPERLINK("https://klasma.github.io/Logging_2283/klagomålsmail/A 18163-2023 FSC-klagomål mail.docx", "A 18163-2023")</f>
        <v/>
      </c>
      <c r="X141">
        <f>HYPERLINK("https://klasma.github.io/Logging_2283/tillsyn/A 18163-2023 tillsynsbegäran.docx", "A 18163-2023")</f>
        <v/>
      </c>
      <c r="Y141">
        <f>HYPERLINK("https://klasma.github.io/Logging_2283/tillsynsmail/A 18163-2023 tillsynsbegäran mail.docx", "A 18163-2023")</f>
        <v/>
      </c>
      <c r="Z141">
        <f>HYPERLINK("https://klasma.github.io/Logging_2283/fåglar/A 18163-2023 prioriterade fågelarter.docx", "A 18163-2023")</f>
        <v/>
      </c>
    </row>
    <row r="142" ht="15" customHeight="1">
      <c r="A142" t="inlineStr">
        <is>
          <t>A 27675-2023</t>
        </is>
      </c>
      <c r="B142" s="1" t="n">
        <v>45097</v>
      </c>
      <c r="C142" s="1" t="n">
        <v>45583</v>
      </c>
      <c r="D142" t="inlineStr">
        <is>
          <t>VÄSTERNORRLANDS LÄN</t>
        </is>
      </c>
      <c r="E142" t="inlineStr">
        <is>
          <t>SOLLEFTEÅ</t>
        </is>
      </c>
      <c r="G142" t="n">
        <v>4.7</v>
      </c>
      <c r="H142" t="n">
        <v>1</v>
      </c>
      <c r="I142" t="n">
        <v>1</v>
      </c>
      <c r="J142" t="n">
        <v>3</v>
      </c>
      <c r="K142" t="n">
        <v>1</v>
      </c>
      <c r="L142" t="n">
        <v>0</v>
      </c>
      <c r="M142" t="n">
        <v>0</v>
      </c>
      <c r="N142" t="n">
        <v>0</v>
      </c>
      <c r="O142" t="n">
        <v>4</v>
      </c>
      <c r="P142" t="n">
        <v>1</v>
      </c>
      <c r="Q142" t="n">
        <v>5</v>
      </c>
      <c r="R142" s="2" t="inlineStr">
        <is>
          <t>Knärot
Garnlav
Lunglav
Ullticka
Stuplav</t>
        </is>
      </c>
      <c r="S142">
        <f>HYPERLINK("https://klasma.github.io/Logging_2283/artfynd/A 27675-2023 artfynd.xlsx", "A 27675-2023")</f>
        <v/>
      </c>
      <c r="T142">
        <f>HYPERLINK("https://klasma.github.io/Logging_2283/kartor/A 27675-2023 karta.png", "A 27675-2023")</f>
        <v/>
      </c>
      <c r="U142">
        <f>HYPERLINK("https://klasma.github.io/Logging_2283/knärot/A 27675-2023 karta knärot.png", "A 27675-2023")</f>
        <v/>
      </c>
      <c r="V142">
        <f>HYPERLINK("https://klasma.github.io/Logging_2283/klagomål/A 27675-2023 FSC-klagomål.docx", "A 27675-2023")</f>
        <v/>
      </c>
      <c r="W142">
        <f>HYPERLINK("https://klasma.github.io/Logging_2283/klagomålsmail/A 27675-2023 FSC-klagomål mail.docx", "A 27675-2023")</f>
        <v/>
      </c>
      <c r="X142">
        <f>HYPERLINK("https://klasma.github.io/Logging_2283/tillsyn/A 27675-2023 tillsynsbegäran.docx", "A 27675-2023")</f>
        <v/>
      </c>
      <c r="Y142">
        <f>HYPERLINK("https://klasma.github.io/Logging_2283/tillsynsmail/A 27675-2023 tillsynsbegäran mail.docx", "A 27675-2023")</f>
        <v/>
      </c>
    </row>
    <row r="143" ht="15" customHeight="1">
      <c r="A143" t="inlineStr">
        <is>
          <t>A 32217-2023</t>
        </is>
      </c>
      <c r="B143" s="1" t="n">
        <v>45119</v>
      </c>
      <c r="C143" s="1" t="n">
        <v>45583</v>
      </c>
      <c r="D143" t="inlineStr">
        <is>
          <t>VÄSTERNORRLANDS LÄN</t>
        </is>
      </c>
      <c r="E143" t="inlineStr">
        <is>
          <t>SOLLEFTEÅ</t>
        </is>
      </c>
      <c r="F143" t="inlineStr">
        <is>
          <t>SCA</t>
        </is>
      </c>
      <c r="G143" t="n">
        <v>1.8</v>
      </c>
      <c r="H143" t="n">
        <v>1</v>
      </c>
      <c r="I143" t="n">
        <v>0</v>
      </c>
      <c r="J143" t="n">
        <v>5</v>
      </c>
      <c r="K143" t="n">
        <v>0</v>
      </c>
      <c r="L143" t="n">
        <v>0</v>
      </c>
      <c r="M143" t="n">
        <v>0</v>
      </c>
      <c r="N143" t="n">
        <v>0</v>
      </c>
      <c r="O143" t="n">
        <v>5</v>
      </c>
      <c r="P143" t="n">
        <v>0</v>
      </c>
      <c r="Q143" t="n">
        <v>5</v>
      </c>
      <c r="R143" s="2" t="inlineStr">
        <is>
          <t>Garnlav
Lunglav
Rosenticka
Skogshare
Tretåig hackspett</t>
        </is>
      </c>
      <c r="S143">
        <f>HYPERLINK("https://klasma.github.io/Logging_2283/artfynd/A 32217-2023 artfynd.xlsx", "A 32217-2023")</f>
        <v/>
      </c>
      <c r="T143">
        <f>HYPERLINK("https://klasma.github.io/Logging_2283/kartor/A 32217-2023 karta.png", "A 32217-2023")</f>
        <v/>
      </c>
      <c r="V143">
        <f>HYPERLINK("https://klasma.github.io/Logging_2283/klagomål/A 32217-2023 FSC-klagomål.docx", "A 32217-2023")</f>
        <v/>
      </c>
      <c r="W143">
        <f>HYPERLINK("https://klasma.github.io/Logging_2283/klagomålsmail/A 32217-2023 FSC-klagomål mail.docx", "A 32217-2023")</f>
        <v/>
      </c>
      <c r="X143">
        <f>HYPERLINK("https://klasma.github.io/Logging_2283/tillsyn/A 32217-2023 tillsynsbegäran.docx", "A 32217-2023")</f>
        <v/>
      </c>
      <c r="Y143">
        <f>HYPERLINK("https://klasma.github.io/Logging_2283/tillsynsmail/A 32217-2023 tillsynsbegäran mail.docx", "A 32217-2023")</f>
        <v/>
      </c>
      <c r="Z143">
        <f>HYPERLINK("https://klasma.github.io/Logging_2283/fåglar/A 32217-2023 prioriterade fågelarter.docx", "A 32217-2023")</f>
        <v/>
      </c>
    </row>
    <row r="144" ht="15" customHeight="1">
      <c r="A144" t="inlineStr">
        <is>
          <t>A 32216-2023</t>
        </is>
      </c>
      <c r="B144" s="1" t="n">
        <v>45120</v>
      </c>
      <c r="C144" s="1" t="n">
        <v>45583</v>
      </c>
      <c r="D144" t="inlineStr">
        <is>
          <t>VÄSTERNORRLANDS LÄN</t>
        </is>
      </c>
      <c r="E144" t="inlineStr">
        <is>
          <t>SOLLEFTEÅ</t>
        </is>
      </c>
      <c r="F144" t="inlineStr">
        <is>
          <t>SCA</t>
        </is>
      </c>
      <c r="G144" t="n">
        <v>2.2</v>
      </c>
      <c r="H144" t="n">
        <v>1</v>
      </c>
      <c r="I144" t="n">
        <v>0</v>
      </c>
      <c r="J144" t="n">
        <v>4</v>
      </c>
      <c r="K144" t="n">
        <v>1</v>
      </c>
      <c r="L144" t="n">
        <v>0</v>
      </c>
      <c r="M144" t="n">
        <v>0</v>
      </c>
      <c r="N144" t="n">
        <v>0</v>
      </c>
      <c r="O144" t="n">
        <v>5</v>
      </c>
      <c r="P144" t="n">
        <v>1</v>
      </c>
      <c r="Q144" t="n">
        <v>5</v>
      </c>
      <c r="R144" s="2" t="inlineStr">
        <is>
          <t>Rynkskinn
Lunglav
Rosenticka
Tretåig hackspett
Ullticka</t>
        </is>
      </c>
      <c r="S144">
        <f>HYPERLINK("https://klasma.github.io/Logging_2283/artfynd/A 32216-2023 artfynd.xlsx", "A 32216-2023")</f>
        <v/>
      </c>
      <c r="T144">
        <f>HYPERLINK("https://klasma.github.io/Logging_2283/kartor/A 32216-2023 karta.png", "A 32216-2023")</f>
        <v/>
      </c>
      <c r="V144">
        <f>HYPERLINK("https://klasma.github.io/Logging_2283/klagomål/A 32216-2023 FSC-klagomål.docx", "A 32216-2023")</f>
        <v/>
      </c>
      <c r="W144">
        <f>HYPERLINK("https://klasma.github.io/Logging_2283/klagomålsmail/A 32216-2023 FSC-klagomål mail.docx", "A 32216-2023")</f>
        <v/>
      </c>
      <c r="X144">
        <f>HYPERLINK("https://klasma.github.io/Logging_2283/tillsyn/A 32216-2023 tillsynsbegäran.docx", "A 32216-2023")</f>
        <v/>
      </c>
      <c r="Y144">
        <f>HYPERLINK("https://klasma.github.io/Logging_2283/tillsynsmail/A 32216-2023 tillsynsbegäran mail.docx", "A 32216-2023")</f>
        <v/>
      </c>
      <c r="Z144">
        <f>HYPERLINK("https://klasma.github.io/Logging_2283/fåglar/A 32216-2023 prioriterade fågelarter.docx", "A 32216-2023")</f>
        <v/>
      </c>
    </row>
    <row r="145" ht="15" customHeight="1">
      <c r="A145" t="inlineStr">
        <is>
          <t>A 59662-2023</t>
        </is>
      </c>
      <c r="B145" s="1" t="n">
        <v>45255</v>
      </c>
      <c r="C145" s="1" t="n">
        <v>45583</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2067-2024</t>
        </is>
      </c>
      <c r="B146" s="1" t="n">
        <v>45308</v>
      </c>
      <c r="C146" s="1" t="n">
        <v>45583</v>
      </c>
      <c r="D146" t="inlineStr">
        <is>
          <t>VÄSTERNORRLANDS LÄN</t>
        </is>
      </c>
      <c r="E146" t="inlineStr">
        <is>
          <t>SOLLEFTEÅ</t>
        </is>
      </c>
      <c r="F146" t="inlineStr">
        <is>
          <t>SCA</t>
        </is>
      </c>
      <c r="G146" t="n">
        <v>3.1</v>
      </c>
      <c r="H146" t="n">
        <v>1</v>
      </c>
      <c r="I146" t="n">
        <v>2</v>
      </c>
      <c r="J146" t="n">
        <v>3</v>
      </c>
      <c r="K146" t="n">
        <v>0</v>
      </c>
      <c r="L146" t="n">
        <v>0</v>
      </c>
      <c r="M146" t="n">
        <v>0</v>
      </c>
      <c r="N146" t="n">
        <v>0</v>
      </c>
      <c r="O146" t="n">
        <v>3</v>
      </c>
      <c r="P146" t="n">
        <v>0</v>
      </c>
      <c r="Q146" t="n">
        <v>5</v>
      </c>
      <c r="R146" s="2" t="inlineStr">
        <is>
          <t>Garnlav
Lunglav
Tretåig hackspett
Dropptaggsvamp
Stuplav</t>
        </is>
      </c>
      <c r="S146">
        <f>HYPERLINK("https://klasma.github.io/Logging_2283/artfynd/A 2067-2024 artfynd.xlsx", "A 2067-2024")</f>
        <v/>
      </c>
      <c r="T146">
        <f>HYPERLINK("https://klasma.github.io/Logging_2283/kartor/A 2067-2024 karta.png", "A 2067-2024")</f>
        <v/>
      </c>
      <c r="V146">
        <f>HYPERLINK("https://klasma.github.io/Logging_2283/klagomål/A 2067-2024 FSC-klagomål.docx", "A 2067-2024")</f>
        <v/>
      </c>
      <c r="W146">
        <f>HYPERLINK("https://klasma.github.io/Logging_2283/klagomålsmail/A 2067-2024 FSC-klagomål mail.docx", "A 2067-2024")</f>
        <v/>
      </c>
      <c r="X146">
        <f>HYPERLINK("https://klasma.github.io/Logging_2283/tillsyn/A 2067-2024 tillsynsbegäran.docx", "A 2067-2024")</f>
        <v/>
      </c>
      <c r="Y146">
        <f>HYPERLINK("https://klasma.github.io/Logging_2283/tillsynsmail/A 2067-2024 tillsynsbegäran mail.docx", "A 2067-2024")</f>
        <v/>
      </c>
      <c r="Z146">
        <f>HYPERLINK("https://klasma.github.io/Logging_2283/fåglar/A 2067-2024 prioriterade fågelarter.docx", "A 2067-2024")</f>
        <v/>
      </c>
    </row>
    <row r="147" ht="15" customHeight="1">
      <c r="A147" t="inlineStr">
        <is>
          <t>A 11540-2024</t>
        </is>
      </c>
      <c r="B147" s="1" t="n">
        <v>45372</v>
      </c>
      <c r="C147" s="1" t="n">
        <v>45583</v>
      </c>
      <c r="D147" t="inlineStr">
        <is>
          <t>VÄSTERNORRLANDS LÄN</t>
        </is>
      </c>
      <c r="E147" t="inlineStr">
        <is>
          <t>SOLLEFTEÅ</t>
        </is>
      </c>
      <c r="F147" t="inlineStr">
        <is>
          <t>SCA</t>
        </is>
      </c>
      <c r="G147" t="n">
        <v>2.2</v>
      </c>
      <c r="H147" t="n">
        <v>5</v>
      </c>
      <c r="I147" t="n">
        <v>0</v>
      </c>
      <c r="J147" t="n">
        <v>2</v>
      </c>
      <c r="K147" t="n">
        <v>0</v>
      </c>
      <c r="L147" t="n">
        <v>0</v>
      </c>
      <c r="M147" t="n">
        <v>0</v>
      </c>
      <c r="N147" t="n">
        <v>0</v>
      </c>
      <c r="O147" t="n">
        <v>2</v>
      </c>
      <c r="P147" t="n">
        <v>0</v>
      </c>
      <c r="Q147" t="n">
        <v>5</v>
      </c>
      <c r="R147" s="2" t="inlineStr">
        <is>
          <t>Björktrast
Tretåig hackspett
Grönsiska
Kungsfågel
Tjäder</t>
        </is>
      </c>
      <c r="S147">
        <f>HYPERLINK("https://klasma.github.io/Logging_2283/artfynd/A 11540-2024 artfynd.xlsx", "A 11540-2024")</f>
        <v/>
      </c>
      <c r="T147">
        <f>HYPERLINK("https://klasma.github.io/Logging_2283/kartor/A 11540-2024 karta.png", "A 11540-2024")</f>
        <v/>
      </c>
      <c r="V147">
        <f>HYPERLINK("https://klasma.github.io/Logging_2283/klagomål/A 11540-2024 FSC-klagomål.docx", "A 11540-2024")</f>
        <v/>
      </c>
      <c r="W147">
        <f>HYPERLINK("https://klasma.github.io/Logging_2283/klagomålsmail/A 11540-2024 FSC-klagomål mail.docx", "A 11540-2024")</f>
        <v/>
      </c>
      <c r="X147">
        <f>HYPERLINK("https://klasma.github.io/Logging_2283/tillsyn/A 11540-2024 tillsynsbegäran.docx", "A 11540-2024")</f>
        <v/>
      </c>
      <c r="Y147">
        <f>HYPERLINK("https://klasma.github.io/Logging_2283/tillsynsmail/A 11540-2024 tillsynsbegäran mail.docx", "A 11540-2024")</f>
        <v/>
      </c>
      <c r="Z147">
        <f>HYPERLINK("https://klasma.github.io/Logging_2283/fåglar/A 11540-2024 prioriterade fågelarter.docx", "A 11540-2024")</f>
        <v/>
      </c>
    </row>
    <row r="148" ht="15" customHeight="1">
      <c r="A148" t="inlineStr">
        <is>
          <t>A 19081-2024</t>
        </is>
      </c>
      <c r="B148" s="1" t="n">
        <v>45428</v>
      </c>
      <c r="C148" s="1" t="n">
        <v>45583</v>
      </c>
      <c r="D148" t="inlineStr">
        <is>
          <t>VÄSTERNORRLANDS LÄN</t>
        </is>
      </c>
      <c r="E148" t="inlineStr">
        <is>
          <t>SOLLEFTEÅ</t>
        </is>
      </c>
      <c r="F148" t="inlineStr">
        <is>
          <t>SCA</t>
        </is>
      </c>
      <c r="G148" t="n">
        <v>21.5</v>
      </c>
      <c r="H148" t="n">
        <v>2</v>
      </c>
      <c r="I148" t="n">
        <v>0</v>
      </c>
      <c r="J148" t="n">
        <v>4</v>
      </c>
      <c r="K148" t="n">
        <v>0</v>
      </c>
      <c r="L148" t="n">
        <v>0</v>
      </c>
      <c r="M148" t="n">
        <v>0</v>
      </c>
      <c r="N148" t="n">
        <v>0</v>
      </c>
      <c r="O148" t="n">
        <v>4</v>
      </c>
      <c r="P148" t="n">
        <v>0</v>
      </c>
      <c r="Q148" t="n">
        <v>5</v>
      </c>
      <c r="R148" s="2" t="inlineStr">
        <is>
          <t>Garnlav
Granticka
Järpe
Ullticka
Fläcknycklar</t>
        </is>
      </c>
      <c r="S148">
        <f>HYPERLINK("https://klasma.github.io/Logging_2283/artfynd/A 19081-2024 artfynd.xlsx", "A 19081-2024")</f>
        <v/>
      </c>
      <c r="T148">
        <f>HYPERLINK("https://klasma.github.io/Logging_2283/kartor/A 19081-2024 karta.png", "A 19081-2024")</f>
        <v/>
      </c>
      <c r="V148">
        <f>HYPERLINK("https://klasma.github.io/Logging_2283/klagomål/A 19081-2024 FSC-klagomål.docx", "A 19081-2024")</f>
        <v/>
      </c>
      <c r="W148">
        <f>HYPERLINK("https://klasma.github.io/Logging_2283/klagomålsmail/A 19081-2024 FSC-klagomål mail.docx", "A 19081-2024")</f>
        <v/>
      </c>
      <c r="X148">
        <f>HYPERLINK("https://klasma.github.io/Logging_2283/tillsyn/A 19081-2024 tillsynsbegäran.docx", "A 19081-2024")</f>
        <v/>
      </c>
      <c r="Y148">
        <f>HYPERLINK("https://klasma.github.io/Logging_2283/tillsynsmail/A 19081-2024 tillsynsbegäran mail.docx", "A 19081-2024")</f>
        <v/>
      </c>
      <c r="Z148">
        <f>HYPERLINK("https://klasma.github.io/Logging_2283/fåglar/A 19081-2024 prioriterade fågelarter.docx", "A 19081-2024")</f>
        <v/>
      </c>
    </row>
    <row r="149" ht="15" customHeight="1">
      <c r="A149" t="inlineStr">
        <is>
          <t>A 22125-2024</t>
        </is>
      </c>
      <c r="B149" s="1" t="n">
        <v>45443</v>
      </c>
      <c r="C149" s="1" t="n">
        <v>45583</v>
      </c>
      <c r="D149" t="inlineStr">
        <is>
          <t>VÄSTERNORRLANDS LÄN</t>
        </is>
      </c>
      <c r="E149" t="inlineStr">
        <is>
          <t>SOLLEFTEÅ</t>
        </is>
      </c>
      <c r="F149" t="inlineStr">
        <is>
          <t>SCA</t>
        </is>
      </c>
      <c r="G149" t="n">
        <v>1.8</v>
      </c>
      <c r="H149" t="n">
        <v>2</v>
      </c>
      <c r="I149" t="n">
        <v>0</v>
      </c>
      <c r="J149" t="n">
        <v>4</v>
      </c>
      <c r="K149" t="n">
        <v>1</v>
      </c>
      <c r="L149" t="n">
        <v>0</v>
      </c>
      <c r="M149" t="n">
        <v>0</v>
      </c>
      <c r="N149" t="n">
        <v>0</v>
      </c>
      <c r="O149" t="n">
        <v>5</v>
      </c>
      <c r="P149" t="n">
        <v>1</v>
      </c>
      <c r="Q149" t="n">
        <v>5</v>
      </c>
      <c r="R149" s="2" t="inlineStr">
        <is>
          <t>Knärot
Garnlav
Kolflarnlav
Lunglav
Tretåig hackspett</t>
        </is>
      </c>
      <c r="S149">
        <f>HYPERLINK("https://klasma.github.io/Logging_2283/artfynd/A 22125-2024 artfynd.xlsx", "A 22125-2024")</f>
        <v/>
      </c>
      <c r="T149">
        <f>HYPERLINK("https://klasma.github.io/Logging_2283/kartor/A 22125-2024 karta.png", "A 22125-2024")</f>
        <v/>
      </c>
      <c r="U149">
        <f>HYPERLINK("https://klasma.github.io/Logging_2283/knärot/A 22125-2024 karta knärot.png", "A 22125-2024")</f>
        <v/>
      </c>
      <c r="V149">
        <f>HYPERLINK("https://klasma.github.io/Logging_2283/klagomål/A 22125-2024 FSC-klagomål.docx", "A 22125-2024")</f>
        <v/>
      </c>
      <c r="W149">
        <f>HYPERLINK("https://klasma.github.io/Logging_2283/klagomålsmail/A 22125-2024 FSC-klagomål mail.docx", "A 22125-2024")</f>
        <v/>
      </c>
      <c r="X149">
        <f>HYPERLINK("https://klasma.github.io/Logging_2283/tillsyn/A 22125-2024 tillsynsbegäran.docx", "A 22125-2024")</f>
        <v/>
      </c>
      <c r="Y149">
        <f>HYPERLINK("https://klasma.github.io/Logging_2283/tillsynsmail/A 22125-2024 tillsynsbegäran mail.docx", "A 22125-2024")</f>
        <v/>
      </c>
      <c r="Z149">
        <f>HYPERLINK("https://klasma.github.io/Logging_2283/fåglar/A 22125-2024 prioriterade fågelarter.docx", "A 22125-2024")</f>
        <v/>
      </c>
    </row>
    <row r="150" ht="15" customHeight="1">
      <c r="A150" t="inlineStr">
        <is>
          <t>A 27910-2024</t>
        </is>
      </c>
      <c r="B150" s="1" t="n">
        <v>45475</v>
      </c>
      <c r="C150" s="1" t="n">
        <v>45583</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29101-2024</t>
        </is>
      </c>
      <c r="B151" s="1" t="n">
        <v>45482</v>
      </c>
      <c r="C151" s="1" t="n">
        <v>45583</v>
      </c>
      <c r="D151" t="inlineStr">
        <is>
          <t>VÄSTERNORRLANDS LÄN</t>
        </is>
      </c>
      <c r="E151" t="inlineStr">
        <is>
          <t>SOLLEFTEÅ</t>
        </is>
      </c>
      <c r="F151" t="inlineStr">
        <is>
          <t>SCA</t>
        </is>
      </c>
      <c r="G151" t="n">
        <v>2.2</v>
      </c>
      <c r="H151" t="n">
        <v>1</v>
      </c>
      <c r="I151" t="n">
        <v>1</v>
      </c>
      <c r="J151" t="n">
        <v>4</v>
      </c>
      <c r="K151" t="n">
        <v>0</v>
      </c>
      <c r="L151" t="n">
        <v>0</v>
      </c>
      <c r="M151" t="n">
        <v>0</v>
      </c>
      <c r="N151" t="n">
        <v>0</v>
      </c>
      <c r="O151" t="n">
        <v>4</v>
      </c>
      <c r="P151" t="n">
        <v>0</v>
      </c>
      <c r="Q151" t="n">
        <v>5</v>
      </c>
      <c r="R151" s="2" t="inlineStr">
        <is>
          <t>Garnlav
Rosenticka
Talltita
Ullticka
Vedticka</t>
        </is>
      </c>
      <c r="S151">
        <f>HYPERLINK("https://klasma.github.io/Logging_2283/artfynd/A 29101-2024 artfynd.xlsx", "A 29101-2024")</f>
        <v/>
      </c>
      <c r="T151">
        <f>HYPERLINK("https://klasma.github.io/Logging_2283/kartor/A 29101-2024 karta.png", "A 29101-2024")</f>
        <v/>
      </c>
      <c r="V151">
        <f>HYPERLINK("https://klasma.github.io/Logging_2283/klagomål/A 29101-2024 FSC-klagomål.docx", "A 29101-2024")</f>
        <v/>
      </c>
      <c r="W151">
        <f>HYPERLINK("https://klasma.github.io/Logging_2283/klagomålsmail/A 29101-2024 FSC-klagomål mail.docx", "A 29101-2024")</f>
        <v/>
      </c>
      <c r="X151">
        <f>HYPERLINK("https://klasma.github.io/Logging_2283/tillsyn/A 29101-2024 tillsynsbegäran.docx", "A 29101-2024")</f>
        <v/>
      </c>
      <c r="Y151">
        <f>HYPERLINK("https://klasma.github.io/Logging_2283/tillsynsmail/A 29101-2024 tillsynsbegäran mail.docx", "A 29101-2024")</f>
        <v/>
      </c>
      <c r="Z151">
        <f>HYPERLINK("https://klasma.github.io/Logging_2283/fåglar/A 29101-2024 prioriterade fågelarter.docx", "A 29101-2024")</f>
        <v/>
      </c>
    </row>
    <row r="152" ht="15" customHeight="1">
      <c r="A152" t="inlineStr">
        <is>
          <t>A 30571-2024</t>
        </is>
      </c>
      <c r="B152" s="1" t="n">
        <v>45493</v>
      </c>
      <c r="C152" s="1" t="n">
        <v>45583</v>
      </c>
      <c r="D152" t="inlineStr">
        <is>
          <t>VÄSTERNORRLANDS LÄN</t>
        </is>
      </c>
      <c r="E152" t="inlineStr">
        <is>
          <t>SOLLEFTEÅ</t>
        </is>
      </c>
      <c r="F152" t="inlineStr">
        <is>
          <t>SCA</t>
        </is>
      </c>
      <c r="G152" t="n">
        <v>3.1</v>
      </c>
      <c r="H152" t="n">
        <v>3</v>
      </c>
      <c r="I152" t="n">
        <v>0</v>
      </c>
      <c r="J152" t="n">
        <v>4</v>
      </c>
      <c r="K152" t="n">
        <v>1</v>
      </c>
      <c r="L152" t="n">
        <v>0</v>
      </c>
      <c r="M152" t="n">
        <v>0</v>
      </c>
      <c r="N152" t="n">
        <v>0</v>
      </c>
      <c r="O152" t="n">
        <v>5</v>
      </c>
      <c r="P152" t="n">
        <v>1</v>
      </c>
      <c r="Q152" t="n">
        <v>5</v>
      </c>
      <c r="R152" s="2" t="inlineStr">
        <is>
          <t>Knärot
Garnlav
Kolflarnlav
Spillkråka
Tretåig hackspett</t>
        </is>
      </c>
      <c r="S152">
        <f>HYPERLINK("https://klasma.github.io/Logging_2283/artfynd/A 30571-2024 artfynd.xlsx", "A 30571-2024")</f>
        <v/>
      </c>
      <c r="T152">
        <f>HYPERLINK("https://klasma.github.io/Logging_2283/kartor/A 30571-2024 karta.png", "A 30571-2024")</f>
        <v/>
      </c>
      <c r="U152">
        <f>HYPERLINK("https://klasma.github.io/Logging_2283/knärot/A 30571-2024 karta knärot.png", "A 30571-2024")</f>
        <v/>
      </c>
      <c r="V152">
        <f>HYPERLINK("https://klasma.github.io/Logging_2283/klagomål/A 30571-2024 FSC-klagomål.docx", "A 30571-2024")</f>
        <v/>
      </c>
      <c r="W152">
        <f>HYPERLINK("https://klasma.github.io/Logging_2283/klagomålsmail/A 30571-2024 FSC-klagomål mail.docx", "A 30571-2024")</f>
        <v/>
      </c>
      <c r="X152">
        <f>HYPERLINK("https://klasma.github.io/Logging_2283/tillsyn/A 30571-2024 tillsynsbegäran.docx", "A 30571-2024")</f>
        <v/>
      </c>
      <c r="Y152">
        <f>HYPERLINK("https://klasma.github.io/Logging_2283/tillsynsmail/A 30571-2024 tillsynsbegäran mail.docx", "A 30571-2024")</f>
        <v/>
      </c>
      <c r="Z152">
        <f>HYPERLINK("https://klasma.github.io/Logging_2283/fåglar/A 30571-2024 prioriterade fågelarter.docx", "A 30571-2024")</f>
        <v/>
      </c>
    </row>
    <row r="153" ht="15" customHeight="1">
      <c r="A153" t="inlineStr">
        <is>
          <t>A 38113-2024</t>
        </is>
      </c>
      <c r="B153" s="1" t="n">
        <v>45545</v>
      </c>
      <c r="C153" s="1" t="n">
        <v>45583</v>
      </c>
      <c r="D153" t="inlineStr">
        <is>
          <t>VÄSTERNORRLANDS LÄN</t>
        </is>
      </c>
      <c r="E153" t="inlineStr">
        <is>
          <t>SOLLEFTEÅ</t>
        </is>
      </c>
      <c r="F153" t="inlineStr">
        <is>
          <t>SCA</t>
        </is>
      </c>
      <c r="G153" t="n">
        <v>4.1</v>
      </c>
      <c r="H153" t="n">
        <v>3</v>
      </c>
      <c r="I153" t="n">
        <v>0</v>
      </c>
      <c r="J153" t="n">
        <v>3</v>
      </c>
      <c r="K153" t="n">
        <v>1</v>
      </c>
      <c r="L153" t="n">
        <v>0</v>
      </c>
      <c r="M153" t="n">
        <v>0</v>
      </c>
      <c r="N153" t="n">
        <v>0</v>
      </c>
      <c r="O153" t="n">
        <v>4</v>
      </c>
      <c r="P153" t="n">
        <v>1</v>
      </c>
      <c r="Q153" t="n">
        <v>5</v>
      </c>
      <c r="R153" s="2" t="inlineStr">
        <is>
          <t>Knärot
Garnlav
Kolflarnlav
Talltita
Tjäder</t>
        </is>
      </c>
      <c r="S153">
        <f>HYPERLINK("https://klasma.github.io/Logging_2283/artfynd/A 38113-2024 artfynd.xlsx", "A 38113-2024")</f>
        <v/>
      </c>
      <c r="T153">
        <f>HYPERLINK("https://klasma.github.io/Logging_2283/kartor/A 38113-2024 karta.png", "A 38113-2024")</f>
        <v/>
      </c>
      <c r="U153">
        <f>HYPERLINK("https://klasma.github.io/Logging_2283/knärot/A 38113-2024 karta knärot.png", "A 38113-2024")</f>
        <v/>
      </c>
      <c r="V153">
        <f>HYPERLINK("https://klasma.github.io/Logging_2283/klagomål/A 38113-2024 FSC-klagomål.docx", "A 38113-2024")</f>
        <v/>
      </c>
      <c r="W153">
        <f>HYPERLINK("https://klasma.github.io/Logging_2283/klagomålsmail/A 38113-2024 FSC-klagomål mail.docx", "A 38113-2024")</f>
        <v/>
      </c>
      <c r="X153">
        <f>HYPERLINK("https://klasma.github.io/Logging_2283/tillsyn/A 38113-2024 tillsynsbegäran.docx", "A 38113-2024")</f>
        <v/>
      </c>
      <c r="Y153">
        <f>HYPERLINK("https://klasma.github.io/Logging_2283/tillsynsmail/A 38113-2024 tillsynsbegäran mail.docx", "A 38113-2024")</f>
        <v/>
      </c>
      <c r="Z153">
        <f>HYPERLINK("https://klasma.github.io/Logging_2283/fåglar/A 38113-2024 prioriterade fågelarter.docx", "A 38113-2024")</f>
        <v/>
      </c>
    </row>
    <row r="154" ht="15" customHeight="1">
      <c r="A154" t="inlineStr">
        <is>
          <t>A 40055-2024</t>
        </is>
      </c>
      <c r="B154" s="1" t="n">
        <v>45553</v>
      </c>
      <c r="C154" s="1" t="n">
        <v>45583</v>
      </c>
      <c r="D154" t="inlineStr">
        <is>
          <t>VÄSTERNORRLANDS LÄN</t>
        </is>
      </c>
      <c r="E154" t="inlineStr">
        <is>
          <t>SOLLEFTEÅ</t>
        </is>
      </c>
      <c r="G154" t="n">
        <v>10.4</v>
      </c>
      <c r="H154" t="n">
        <v>2</v>
      </c>
      <c r="I154" t="n">
        <v>1</v>
      </c>
      <c r="J154" t="n">
        <v>3</v>
      </c>
      <c r="K154" t="n">
        <v>1</v>
      </c>
      <c r="L154" t="n">
        <v>0</v>
      </c>
      <c r="M154" t="n">
        <v>0</v>
      </c>
      <c r="N154" t="n">
        <v>0</v>
      </c>
      <c r="O154" t="n">
        <v>4</v>
      </c>
      <c r="P154" t="n">
        <v>1</v>
      </c>
      <c r="Q154" t="n">
        <v>5</v>
      </c>
      <c r="R154" s="2" t="inlineStr">
        <is>
          <t>Knärot
Rosenticka
Talltita
Ullticka
Vedticka</t>
        </is>
      </c>
      <c r="S154">
        <f>HYPERLINK("https://klasma.github.io/Logging_2283/artfynd/A 40055-2024 artfynd.xlsx", "A 40055-2024")</f>
        <v/>
      </c>
      <c r="T154">
        <f>HYPERLINK("https://klasma.github.io/Logging_2283/kartor/A 40055-2024 karta.png", "A 40055-2024")</f>
        <v/>
      </c>
      <c r="U154">
        <f>HYPERLINK("https://klasma.github.io/Logging_2283/knärot/A 40055-2024 karta knärot.png", "A 40055-2024")</f>
        <v/>
      </c>
      <c r="V154">
        <f>HYPERLINK("https://klasma.github.io/Logging_2283/klagomål/A 40055-2024 FSC-klagomål.docx", "A 40055-2024")</f>
        <v/>
      </c>
      <c r="W154">
        <f>HYPERLINK("https://klasma.github.io/Logging_2283/klagomålsmail/A 40055-2024 FSC-klagomål mail.docx", "A 40055-2024")</f>
        <v/>
      </c>
      <c r="X154">
        <f>HYPERLINK("https://klasma.github.io/Logging_2283/tillsyn/A 40055-2024 tillsynsbegäran.docx", "A 40055-2024")</f>
        <v/>
      </c>
      <c r="Y154">
        <f>HYPERLINK("https://klasma.github.io/Logging_2283/tillsynsmail/A 40055-2024 tillsynsbegäran mail.docx", "A 40055-2024")</f>
        <v/>
      </c>
      <c r="Z154">
        <f>HYPERLINK("https://klasma.github.io/Logging_2283/fåglar/A 40055-2024 prioriterade fågelarter.docx", "A 40055-2024")</f>
        <v/>
      </c>
    </row>
    <row r="155" ht="15" customHeight="1">
      <c r="A155" t="inlineStr">
        <is>
          <t>A 44372-2024</t>
        </is>
      </c>
      <c r="B155" s="1" t="n">
        <v>45573</v>
      </c>
      <c r="C155" s="1" t="n">
        <v>45583</v>
      </c>
      <c r="D155" t="inlineStr">
        <is>
          <t>VÄSTERNORRLANDS LÄN</t>
        </is>
      </c>
      <c r="E155" t="inlineStr">
        <is>
          <t>SOLLEFTEÅ</t>
        </is>
      </c>
      <c r="F155" t="inlineStr">
        <is>
          <t>SCA</t>
        </is>
      </c>
      <c r="G155" t="n">
        <v>3.3</v>
      </c>
      <c r="H155" t="n">
        <v>1</v>
      </c>
      <c r="I155" t="n">
        <v>1</v>
      </c>
      <c r="J155" t="n">
        <v>4</v>
      </c>
      <c r="K155" t="n">
        <v>0</v>
      </c>
      <c r="L155" t="n">
        <v>0</v>
      </c>
      <c r="M155" t="n">
        <v>0</v>
      </c>
      <c r="N155" t="n">
        <v>0</v>
      </c>
      <c r="O155" t="n">
        <v>4</v>
      </c>
      <c r="P155" t="n">
        <v>0</v>
      </c>
      <c r="Q155" t="n">
        <v>5</v>
      </c>
      <c r="R155" s="2" t="inlineStr">
        <is>
          <t>Gammelgransskål
Garnlav
Rosenticka
Tretåig hackspett
Bollvitmossa</t>
        </is>
      </c>
      <c r="S155">
        <f>HYPERLINK("https://klasma.github.io/Logging_2283/artfynd/A 44372-2024 artfynd.xlsx", "A 44372-2024")</f>
        <v/>
      </c>
      <c r="T155">
        <f>HYPERLINK("https://klasma.github.io/Logging_2283/kartor/A 44372-2024 karta.png", "A 44372-2024")</f>
        <v/>
      </c>
      <c r="V155">
        <f>HYPERLINK("https://klasma.github.io/Logging_2283/klagomål/A 44372-2024 FSC-klagomål.docx", "A 44372-2024")</f>
        <v/>
      </c>
      <c r="W155">
        <f>HYPERLINK("https://klasma.github.io/Logging_2283/klagomålsmail/A 44372-2024 FSC-klagomål mail.docx", "A 44372-2024")</f>
        <v/>
      </c>
      <c r="X155">
        <f>HYPERLINK("https://klasma.github.io/Logging_2283/tillsyn/A 44372-2024 tillsynsbegäran.docx", "A 44372-2024")</f>
        <v/>
      </c>
      <c r="Y155">
        <f>HYPERLINK("https://klasma.github.io/Logging_2283/tillsynsmail/A 44372-2024 tillsynsbegäran mail.docx", "A 44372-2024")</f>
        <v/>
      </c>
      <c r="Z155">
        <f>HYPERLINK("https://klasma.github.io/Logging_2283/fåglar/A 44372-2024 prioriterade fågelarter.docx", "A 44372-2024")</f>
        <v/>
      </c>
    </row>
    <row r="156" ht="15" customHeight="1">
      <c r="A156" t="inlineStr">
        <is>
          <t>A 23860-2020</t>
        </is>
      </c>
      <c r="B156" s="1" t="n">
        <v>43971</v>
      </c>
      <c r="C156" s="1" t="n">
        <v>45583</v>
      </c>
      <c r="D156" t="inlineStr">
        <is>
          <t>VÄSTERNORRLANDS LÄN</t>
        </is>
      </c>
      <c r="E156" t="inlineStr">
        <is>
          <t>SOLLEFTEÅ</t>
        </is>
      </c>
      <c r="G156" t="n">
        <v>22.3</v>
      </c>
      <c r="H156" t="n">
        <v>0</v>
      </c>
      <c r="I156" t="n">
        <v>1</v>
      </c>
      <c r="J156" t="n">
        <v>2</v>
      </c>
      <c r="K156" t="n">
        <v>1</v>
      </c>
      <c r="L156" t="n">
        <v>0</v>
      </c>
      <c r="M156" t="n">
        <v>0</v>
      </c>
      <c r="N156" t="n">
        <v>0</v>
      </c>
      <c r="O156" t="n">
        <v>3</v>
      </c>
      <c r="P156" t="n">
        <v>1</v>
      </c>
      <c r="Q156" t="n">
        <v>4</v>
      </c>
      <c r="R156" s="2" t="inlineStr">
        <is>
          <t>Aspgelélav
Lunglav
Vedskivlav
Dropptaggsvamp</t>
        </is>
      </c>
      <c r="S156">
        <f>HYPERLINK("https://klasma.github.io/Logging_2283/artfynd/A 23860-2020 artfynd.xlsx", "A 23860-2020")</f>
        <v/>
      </c>
      <c r="T156">
        <f>HYPERLINK("https://klasma.github.io/Logging_2283/kartor/A 23860-2020 karta.png", "A 23860-2020")</f>
        <v/>
      </c>
      <c r="U156">
        <f>HYPERLINK("https://klasma.github.io/Logging_2283/knärot/A 23860-2020 karta knärot.png", "A 23860-2020")</f>
        <v/>
      </c>
      <c r="V156">
        <f>HYPERLINK("https://klasma.github.io/Logging_2283/klagomål/A 23860-2020 FSC-klagomål.docx", "A 23860-2020")</f>
        <v/>
      </c>
      <c r="W156">
        <f>HYPERLINK("https://klasma.github.io/Logging_2283/klagomålsmail/A 23860-2020 FSC-klagomål mail.docx", "A 23860-2020")</f>
        <v/>
      </c>
      <c r="X156">
        <f>HYPERLINK("https://klasma.github.io/Logging_2283/tillsyn/A 23860-2020 tillsynsbegäran.docx", "A 23860-2020")</f>
        <v/>
      </c>
      <c r="Y156">
        <f>HYPERLINK("https://klasma.github.io/Logging_2283/tillsynsmail/A 23860-2020 tillsynsbegäran mail.docx", "A 23860-2020")</f>
        <v/>
      </c>
    </row>
    <row r="157" ht="15" customHeight="1">
      <c r="A157" t="inlineStr">
        <is>
          <t>A 44344-2021</t>
        </is>
      </c>
      <c r="B157" s="1" t="n">
        <v>44435</v>
      </c>
      <c r="C157" s="1" t="n">
        <v>45583</v>
      </c>
      <c r="D157" t="inlineStr">
        <is>
          <t>VÄSTERNORRLANDS LÄN</t>
        </is>
      </c>
      <c r="E157" t="inlineStr">
        <is>
          <t>SOLLEFTEÅ</t>
        </is>
      </c>
      <c r="F157" t="inlineStr">
        <is>
          <t>Kommuner</t>
        </is>
      </c>
      <c r="G157" t="n">
        <v>10.8</v>
      </c>
      <c r="H157" t="n">
        <v>0</v>
      </c>
      <c r="I157" t="n">
        <v>1</v>
      </c>
      <c r="J157" t="n">
        <v>2</v>
      </c>
      <c r="K157" t="n">
        <v>1</v>
      </c>
      <c r="L157" t="n">
        <v>0</v>
      </c>
      <c r="M157" t="n">
        <v>0</v>
      </c>
      <c r="N157" t="n">
        <v>0</v>
      </c>
      <c r="O157" t="n">
        <v>3</v>
      </c>
      <c r="P157" t="n">
        <v>1</v>
      </c>
      <c r="Q157" t="n">
        <v>4</v>
      </c>
      <c r="R157" s="2" t="inlineStr">
        <is>
          <t>Rynkskinn
Rosenticka
Ullticka
Skinnlav</t>
        </is>
      </c>
      <c r="S157">
        <f>HYPERLINK("https://klasma.github.io/Logging_2283/artfynd/A 44344-2021 artfynd.xlsx", "A 44344-2021")</f>
        <v/>
      </c>
      <c r="T157">
        <f>HYPERLINK("https://klasma.github.io/Logging_2283/kartor/A 44344-2021 karta.png", "A 44344-2021")</f>
        <v/>
      </c>
      <c r="V157">
        <f>HYPERLINK("https://klasma.github.io/Logging_2283/klagomål/A 44344-2021 FSC-klagomål.docx", "A 44344-2021")</f>
        <v/>
      </c>
      <c r="W157">
        <f>HYPERLINK("https://klasma.github.io/Logging_2283/klagomålsmail/A 44344-2021 FSC-klagomål mail.docx", "A 44344-2021")</f>
        <v/>
      </c>
      <c r="X157">
        <f>HYPERLINK("https://klasma.github.io/Logging_2283/tillsyn/A 44344-2021 tillsynsbegäran.docx", "A 44344-2021")</f>
        <v/>
      </c>
      <c r="Y157">
        <f>HYPERLINK("https://klasma.github.io/Logging_2283/tillsynsmail/A 44344-2021 tillsynsbegäran mail.docx", "A 44344-2021")</f>
        <v/>
      </c>
    </row>
    <row r="158" ht="15" customHeight="1">
      <c r="A158" t="inlineStr">
        <is>
          <t>A 64943-2021</t>
        </is>
      </c>
      <c r="B158" s="1" t="n">
        <v>44512</v>
      </c>
      <c r="C158" s="1" t="n">
        <v>45583</v>
      </c>
      <c r="D158" t="inlineStr">
        <is>
          <t>VÄSTERNORRLANDS LÄN</t>
        </is>
      </c>
      <c r="E158" t="inlineStr">
        <is>
          <t>SOLLEFTEÅ</t>
        </is>
      </c>
      <c r="F158" t="inlineStr">
        <is>
          <t>SCA</t>
        </is>
      </c>
      <c r="G158" t="n">
        <v>8.1</v>
      </c>
      <c r="H158" t="n">
        <v>0</v>
      </c>
      <c r="I158" t="n">
        <v>1</v>
      </c>
      <c r="J158" t="n">
        <v>3</v>
      </c>
      <c r="K158" t="n">
        <v>0</v>
      </c>
      <c r="L158" t="n">
        <v>0</v>
      </c>
      <c r="M158" t="n">
        <v>0</v>
      </c>
      <c r="N158" t="n">
        <v>0</v>
      </c>
      <c r="O158" t="n">
        <v>3</v>
      </c>
      <c r="P158" t="n">
        <v>0</v>
      </c>
      <c r="Q158" t="n">
        <v>4</v>
      </c>
      <c r="R158" s="2" t="inlineStr">
        <is>
          <t>Garnlav
Lunglav
Ullticka
Vedticka</t>
        </is>
      </c>
      <c r="S158">
        <f>HYPERLINK("https://klasma.github.io/Logging_2283/artfynd/A 64943-2021 artfynd.xlsx", "A 64943-2021")</f>
        <v/>
      </c>
      <c r="T158">
        <f>HYPERLINK("https://klasma.github.io/Logging_2283/kartor/A 64943-2021 karta.png", "A 64943-2021")</f>
        <v/>
      </c>
      <c r="V158">
        <f>HYPERLINK("https://klasma.github.io/Logging_2283/klagomål/A 64943-2021 FSC-klagomål.docx", "A 64943-2021")</f>
        <v/>
      </c>
      <c r="W158">
        <f>HYPERLINK("https://klasma.github.io/Logging_2283/klagomålsmail/A 64943-2021 FSC-klagomål mail.docx", "A 64943-2021")</f>
        <v/>
      </c>
      <c r="X158">
        <f>HYPERLINK("https://klasma.github.io/Logging_2283/tillsyn/A 64943-2021 tillsynsbegäran.docx", "A 64943-2021")</f>
        <v/>
      </c>
      <c r="Y158">
        <f>HYPERLINK("https://klasma.github.io/Logging_2283/tillsynsmail/A 64943-2021 tillsynsbegäran mail.docx", "A 64943-2021")</f>
        <v/>
      </c>
    </row>
    <row r="159" ht="15" customHeight="1">
      <c r="A159" t="inlineStr">
        <is>
          <t>A 18009-2022</t>
        </is>
      </c>
      <c r="B159" s="1" t="n">
        <v>44683</v>
      </c>
      <c r="C159" s="1" t="n">
        <v>45583</v>
      </c>
      <c r="D159" t="inlineStr">
        <is>
          <t>VÄSTERNORRLANDS LÄN</t>
        </is>
      </c>
      <c r="E159" t="inlineStr">
        <is>
          <t>SOLLEFTEÅ</t>
        </is>
      </c>
      <c r="F159" t="inlineStr">
        <is>
          <t>SCA</t>
        </is>
      </c>
      <c r="G159" t="n">
        <v>3.6</v>
      </c>
      <c r="H159" t="n">
        <v>3</v>
      </c>
      <c r="I159" t="n">
        <v>0</v>
      </c>
      <c r="J159" t="n">
        <v>3</v>
      </c>
      <c r="K159" t="n">
        <v>1</v>
      </c>
      <c r="L159" t="n">
        <v>0</v>
      </c>
      <c r="M159" t="n">
        <v>0</v>
      </c>
      <c r="N159" t="n">
        <v>0</v>
      </c>
      <c r="O159" t="n">
        <v>4</v>
      </c>
      <c r="P159" t="n">
        <v>1</v>
      </c>
      <c r="Q159" t="n">
        <v>4</v>
      </c>
      <c r="R159" s="2" t="inlineStr">
        <is>
          <t>Knärot
Garnlav
Järpe
Tretåig hackspett</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18005-2022</t>
        </is>
      </c>
      <c r="B160" s="1" t="n">
        <v>44684</v>
      </c>
      <c r="C160" s="1" t="n">
        <v>45583</v>
      </c>
      <c r="D160" t="inlineStr">
        <is>
          <t>VÄSTERNORRLANDS LÄN</t>
        </is>
      </c>
      <c r="E160" t="inlineStr">
        <is>
          <t>SOLLEFTEÅ</t>
        </is>
      </c>
      <c r="F160" t="inlineStr">
        <is>
          <t>SCA</t>
        </is>
      </c>
      <c r="G160" t="n">
        <v>6.3</v>
      </c>
      <c r="H160" t="n">
        <v>0</v>
      </c>
      <c r="I160" t="n">
        <v>0</v>
      </c>
      <c r="J160" t="n">
        <v>4</v>
      </c>
      <c r="K160" t="n">
        <v>0</v>
      </c>
      <c r="L160" t="n">
        <v>0</v>
      </c>
      <c r="M160" t="n">
        <v>0</v>
      </c>
      <c r="N160" t="n">
        <v>0</v>
      </c>
      <c r="O160" t="n">
        <v>4</v>
      </c>
      <c r="P160" t="n">
        <v>0</v>
      </c>
      <c r="Q160" t="n">
        <v>4</v>
      </c>
      <c r="R160" s="2" t="inlineStr">
        <is>
          <t>Garnlav
Gränsticka
Lunglav
Ullticka</t>
        </is>
      </c>
      <c r="S160">
        <f>HYPERLINK("https://klasma.github.io/Logging_2283/artfynd/A 18005-2022 artfynd.xlsx", "A 18005-2022")</f>
        <v/>
      </c>
      <c r="T160">
        <f>HYPERLINK("https://klasma.github.io/Logging_2283/kartor/A 18005-2022 karta.png", "A 18005-2022")</f>
        <v/>
      </c>
      <c r="V160">
        <f>HYPERLINK("https://klasma.github.io/Logging_2283/klagomål/A 18005-2022 FSC-klagomål.docx", "A 18005-2022")</f>
        <v/>
      </c>
      <c r="W160">
        <f>HYPERLINK("https://klasma.github.io/Logging_2283/klagomålsmail/A 18005-2022 FSC-klagomål mail.docx", "A 18005-2022")</f>
        <v/>
      </c>
      <c r="X160">
        <f>HYPERLINK("https://klasma.github.io/Logging_2283/tillsyn/A 18005-2022 tillsynsbegäran.docx", "A 18005-2022")</f>
        <v/>
      </c>
      <c r="Y160">
        <f>HYPERLINK("https://klasma.github.io/Logging_2283/tillsynsmail/A 18005-2022 tillsynsbegäran mail.docx", "A 18005-2022")</f>
        <v/>
      </c>
    </row>
    <row r="161" ht="15" customHeight="1">
      <c r="A161" t="inlineStr">
        <is>
          <t>A 18025-2022</t>
        </is>
      </c>
      <c r="B161" s="1" t="n">
        <v>44683</v>
      </c>
      <c r="C161" s="1" t="n">
        <v>45583</v>
      </c>
      <c r="D161" t="inlineStr">
        <is>
          <t>VÄSTERNORRLANDS LÄN</t>
        </is>
      </c>
      <c r="E161" t="inlineStr">
        <is>
          <t>SOLLEFTEÅ</t>
        </is>
      </c>
      <c r="F161" t="inlineStr">
        <is>
          <t>SCA</t>
        </is>
      </c>
      <c r="G161" t="n">
        <v>5.2</v>
      </c>
      <c r="H161" t="n">
        <v>1</v>
      </c>
      <c r="I161" t="n">
        <v>1</v>
      </c>
      <c r="J161" t="n">
        <v>2</v>
      </c>
      <c r="K161" t="n">
        <v>0</v>
      </c>
      <c r="L161" t="n">
        <v>0</v>
      </c>
      <c r="M161" t="n">
        <v>0</v>
      </c>
      <c r="N161" t="n">
        <v>0</v>
      </c>
      <c r="O161" t="n">
        <v>2</v>
      </c>
      <c r="P161" t="n">
        <v>0</v>
      </c>
      <c r="Q161" t="n">
        <v>4</v>
      </c>
      <c r="R161" s="2" t="inlineStr">
        <is>
          <t>Garnlav
Lunglav
Bronshjon
Fläcknycklar</t>
        </is>
      </c>
      <c r="S161">
        <f>HYPERLINK("https://klasma.github.io/Logging_2283/artfynd/A 18025-2022 artfynd.xlsx", "A 18025-2022")</f>
        <v/>
      </c>
      <c r="T161">
        <f>HYPERLINK("https://klasma.github.io/Logging_2283/kartor/A 18025-2022 karta.png", "A 18025-2022")</f>
        <v/>
      </c>
      <c r="V161">
        <f>HYPERLINK("https://klasma.github.io/Logging_2283/klagomål/A 18025-2022 FSC-klagomål.docx", "A 18025-2022")</f>
        <v/>
      </c>
      <c r="W161">
        <f>HYPERLINK("https://klasma.github.io/Logging_2283/klagomålsmail/A 18025-2022 FSC-klagomål mail.docx", "A 18025-2022")</f>
        <v/>
      </c>
      <c r="X161">
        <f>HYPERLINK("https://klasma.github.io/Logging_2283/tillsyn/A 18025-2022 tillsynsbegäran.docx", "A 18025-2022")</f>
        <v/>
      </c>
      <c r="Y161">
        <f>HYPERLINK("https://klasma.github.io/Logging_2283/tillsynsmail/A 18025-2022 tillsynsbegäran mail.docx", "A 18025-2022")</f>
        <v/>
      </c>
    </row>
    <row r="162" ht="15" customHeight="1">
      <c r="A162" t="inlineStr">
        <is>
          <t>A 27071-2022</t>
        </is>
      </c>
      <c r="B162" s="1" t="n">
        <v>44741</v>
      </c>
      <c r="C162" s="1" t="n">
        <v>45583</v>
      </c>
      <c r="D162" t="inlineStr">
        <is>
          <t>VÄSTERNORRLANDS LÄN</t>
        </is>
      </c>
      <c r="E162" t="inlineStr">
        <is>
          <t>SOLLEFTEÅ</t>
        </is>
      </c>
      <c r="G162" t="n">
        <v>19</v>
      </c>
      <c r="H162" t="n">
        <v>1</v>
      </c>
      <c r="I162" t="n">
        <v>0</v>
      </c>
      <c r="J162" t="n">
        <v>4</v>
      </c>
      <c r="K162" t="n">
        <v>0</v>
      </c>
      <c r="L162" t="n">
        <v>0</v>
      </c>
      <c r="M162" t="n">
        <v>0</v>
      </c>
      <c r="N162" t="n">
        <v>0</v>
      </c>
      <c r="O162" t="n">
        <v>4</v>
      </c>
      <c r="P162" t="n">
        <v>0</v>
      </c>
      <c r="Q162" t="n">
        <v>4</v>
      </c>
      <c r="R162" s="2" t="inlineStr">
        <is>
          <t>Granticka
Rosenticka
Tretåig hackspett
Ullticka</t>
        </is>
      </c>
      <c r="S162">
        <f>HYPERLINK("https://klasma.github.io/Logging_2283/artfynd/A 27071-2022 artfynd.xlsx", "A 27071-2022")</f>
        <v/>
      </c>
      <c r="T162">
        <f>HYPERLINK("https://klasma.github.io/Logging_2283/kartor/A 27071-2022 karta.png", "A 27071-2022")</f>
        <v/>
      </c>
      <c r="V162">
        <f>HYPERLINK("https://klasma.github.io/Logging_2283/klagomål/A 27071-2022 FSC-klagomål.docx", "A 27071-2022")</f>
        <v/>
      </c>
      <c r="W162">
        <f>HYPERLINK("https://klasma.github.io/Logging_2283/klagomålsmail/A 27071-2022 FSC-klagomål mail.docx", "A 27071-2022")</f>
        <v/>
      </c>
      <c r="X162">
        <f>HYPERLINK("https://klasma.github.io/Logging_2283/tillsyn/A 27071-2022 tillsynsbegäran.docx", "A 27071-2022")</f>
        <v/>
      </c>
      <c r="Y162">
        <f>HYPERLINK("https://klasma.github.io/Logging_2283/tillsynsmail/A 27071-2022 tillsynsbegäran mail.docx", "A 27071-2022")</f>
        <v/>
      </c>
      <c r="Z162">
        <f>HYPERLINK("https://klasma.github.io/Logging_2283/fåglar/A 27071-2022 prioriterade fågelarter.docx", "A 27071-2022")</f>
        <v/>
      </c>
    </row>
    <row r="163" ht="15" customHeight="1">
      <c r="A163" t="inlineStr">
        <is>
          <t>A 53130-2022</t>
        </is>
      </c>
      <c r="B163" s="1" t="n">
        <v>44873</v>
      </c>
      <c r="C163" s="1" t="n">
        <v>45583</v>
      </c>
      <c r="D163" t="inlineStr">
        <is>
          <t>VÄSTERNORRLANDS LÄN</t>
        </is>
      </c>
      <c r="E163" t="inlineStr">
        <is>
          <t>SOLLEFTEÅ</t>
        </is>
      </c>
      <c r="G163" t="n">
        <v>19.8</v>
      </c>
      <c r="H163" t="n">
        <v>2</v>
      </c>
      <c r="I163" t="n">
        <v>1</v>
      </c>
      <c r="J163" t="n">
        <v>2</v>
      </c>
      <c r="K163" t="n">
        <v>0</v>
      </c>
      <c r="L163" t="n">
        <v>0</v>
      </c>
      <c r="M163" t="n">
        <v>0</v>
      </c>
      <c r="N163" t="n">
        <v>0</v>
      </c>
      <c r="O163" t="n">
        <v>2</v>
      </c>
      <c r="P163" t="n">
        <v>0</v>
      </c>
      <c r="Q163" t="n">
        <v>4</v>
      </c>
      <c r="R163" s="2" t="inlineStr">
        <is>
          <t>Lunglav
Myrbräcka
Bårdlav
Fläcknycklar</t>
        </is>
      </c>
      <c r="S163">
        <f>HYPERLINK("https://klasma.github.io/Logging_2283/artfynd/A 53130-2022 artfynd.xlsx", "A 53130-2022")</f>
        <v/>
      </c>
      <c r="T163">
        <f>HYPERLINK("https://klasma.github.io/Logging_2283/kartor/A 53130-2022 karta.png", "A 53130-2022")</f>
        <v/>
      </c>
      <c r="V163">
        <f>HYPERLINK("https://klasma.github.io/Logging_2283/klagomål/A 53130-2022 FSC-klagomål.docx", "A 53130-2022")</f>
        <v/>
      </c>
      <c r="W163">
        <f>HYPERLINK("https://klasma.github.io/Logging_2283/klagomålsmail/A 53130-2022 FSC-klagomål mail.docx", "A 53130-2022")</f>
        <v/>
      </c>
      <c r="X163">
        <f>HYPERLINK("https://klasma.github.io/Logging_2283/tillsyn/A 53130-2022 tillsynsbegäran.docx", "A 53130-2022")</f>
        <v/>
      </c>
      <c r="Y163">
        <f>HYPERLINK("https://klasma.github.io/Logging_2283/tillsynsmail/A 53130-2022 tillsynsbegäran mail.docx", "A 53130-2022")</f>
        <v/>
      </c>
    </row>
    <row r="164" ht="15" customHeight="1">
      <c r="A164" t="inlineStr">
        <is>
          <t>A 57001-2022</t>
        </is>
      </c>
      <c r="B164" s="1" t="n">
        <v>44894</v>
      </c>
      <c r="C164" s="1" t="n">
        <v>45583</v>
      </c>
      <c r="D164" t="inlineStr">
        <is>
          <t>VÄSTERNORRLANDS LÄN</t>
        </is>
      </c>
      <c r="E164" t="inlineStr">
        <is>
          <t>SOLLEFTEÅ</t>
        </is>
      </c>
      <c r="F164" t="inlineStr">
        <is>
          <t>SCA</t>
        </is>
      </c>
      <c r="G164" t="n">
        <v>1.2</v>
      </c>
      <c r="H164" t="n">
        <v>2</v>
      </c>
      <c r="I164" t="n">
        <v>0</v>
      </c>
      <c r="J164" t="n">
        <v>3</v>
      </c>
      <c r="K164" t="n">
        <v>1</v>
      </c>
      <c r="L164" t="n">
        <v>0</v>
      </c>
      <c r="M164" t="n">
        <v>0</v>
      </c>
      <c r="N164" t="n">
        <v>0</v>
      </c>
      <c r="O164" t="n">
        <v>4</v>
      </c>
      <c r="P164" t="n">
        <v>1</v>
      </c>
      <c r="Q164" t="n">
        <v>4</v>
      </c>
      <c r="R164" s="2" t="inlineStr">
        <is>
          <t>Knärot
Garnlav
Järpe
Lunglav</t>
        </is>
      </c>
      <c r="S164">
        <f>HYPERLINK("https://klasma.github.io/Logging_2283/artfynd/A 57001-2022 artfynd.xlsx", "A 57001-2022")</f>
        <v/>
      </c>
      <c r="T164">
        <f>HYPERLINK("https://klasma.github.io/Logging_2283/kartor/A 57001-2022 karta.png", "A 57001-2022")</f>
        <v/>
      </c>
      <c r="U164">
        <f>HYPERLINK("https://klasma.github.io/Logging_2283/knärot/A 57001-2022 karta knärot.png", "A 57001-2022")</f>
        <v/>
      </c>
      <c r="V164">
        <f>HYPERLINK("https://klasma.github.io/Logging_2283/klagomål/A 57001-2022 FSC-klagomål.docx", "A 57001-2022")</f>
        <v/>
      </c>
      <c r="W164">
        <f>HYPERLINK("https://klasma.github.io/Logging_2283/klagomålsmail/A 57001-2022 FSC-klagomål mail.docx", "A 57001-2022")</f>
        <v/>
      </c>
      <c r="X164">
        <f>HYPERLINK("https://klasma.github.io/Logging_2283/tillsyn/A 57001-2022 tillsynsbegäran.docx", "A 57001-2022")</f>
        <v/>
      </c>
      <c r="Y164">
        <f>HYPERLINK("https://klasma.github.io/Logging_2283/tillsynsmail/A 57001-2022 tillsynsbegäran mail.docx", "A 57001-2022")</f>
        <v/>
      </c>
      <c r="Z164">
        <f>HYPERLINK("https://klasma.github.io/Logging_2283/fåglar/A 57001-2022 prioriterade fågelarter.docx", "A 57001-2022")</f>
        <v/>
      </c>
    </row>
    <row r="165" ht="15" customHeight="1">
      <c r="A165" t="inlineStr">
        <is>
          <t>A 62638-2022</t>
        </is>
      </c>
      <c r="B165" s="1" t="n">
        <v>44925</v>
      </c>
      <c r="C165" s="1" t="n">
        <v>45583</v>
      </c>
      <c r="D165" t="inlineStr">
        <is>
          <t>VÄSTERNORRLANDS LÄN</t>
        </is>
      </c>
      <c r="E165" t="inlineStr">
        <is>
          <t>SOLLEFTEÅ</t>
        </is>
      </c>
      <c r="F165" t="inlineStr">
        <is>
          <t>Holmen skog AB</t>
        </is>
      </c>
      <c r="G165" t="n">
        <v>4</v>
      </c>
      <c r="H165" t="n">
        <v>1</v>
      </c>
      <c r="I165" t="n">
        <v>1</v>
      </c>
      <c r="J165" t="n">
        <v>2</v>
      </c>
      <c r="K165" t="n">
        <v>1</v>
      </c>
      <c r="L165" t="n">
        <v>0</v>
      </c>
      <c r="M165" t="n">
        <v>0</v>
      </c>
      <c r="N165" t="n">
        <v>0</v>
      </c>
      <c r="O165" t="n">
        <v>3</v>
      </c>
      <c r="P165" t="n">
        <v>1</v>
      </c>
      <c r="Q165" t="n">
        <v>4</v>
      </c>
      <c r="R165" s="2" t="inlineStr">
        <is>
          <t>Knärot
Koralltaggsvamp
Lunglav
Skinnlav</t>
        </is>
      </c>
      <c r="S165">
        <f>HYPERLINK("https://klasma.github.io/Logging_2283/artfynd/A 62638-2022 artfynd.xlsx", "A 62638-2022")</f>
        <v/>
      </c>
      <c r="T165">
        <f>HYPERLINK("https://klasma.github.io/Logging_2283/kartor/A 62638-2022 karta.png", "A 62638-2022")</f>
        <v/>
      </c>
      <c r="U165">
        <f>HYPERLINK("https://klasma.github.io/Logging_2283/knärot/A 62638-2022 karta knärot.png", "A 62638-2022")</f>
        <v/>
      </c>
      <c r="V165">
        <f>HYPERLINK("https://klasma.github.io/Logging_2283/klagomål/A 62638-2022 FSC-klagomål.docx", "A 62638-2022")</f>
        <v/>
      </c>
      <c r="W165">
        <f>HYPERLINK("https://klasma.github.io/Logging_2283/klagomålsmail/A 62638-2022 FSC-klagomål mail.docx", "A 62638-2022")</f>
        <v/>
      </c>
      <c r="X165">
        <f>HYPERLINK("https://klasma.github.io/Logging_2283/tillsyn/A 62638-2022 tillsynsbegäran.docx", "A 62638-2022")</f>
        <v/>
      </c>
      <c r="Y165">
        <f>HYPERLINK("https://klasma.github.io/Logging_2283/tillsynsmail/A 62638-2022 tillsynsbegäran mail.docx", "A 62638-2022")</f>
        <v/>
      </c>
    </row>
    <row r="166" ht="15" customHeight="1">
      <c r="A166" t="inlineStr">
        <is>
          <t>A 62632-2022</t>
        </is>
      </c>
      <c r="B166" s="1" t="n">
        <v>44925</v>
      </c>
      <c r="C166" s="1" t="n">
        <v>45583</v>
      </c>
      <c r="D166" t="inlineStr">
        <is>
          <t>VÄSTERNORRLANDS LÄN</t>
        </is>
      </c>
      <c r="E166" t="inlineStr">
        <is>
          <t>SOLLEFTEÅ</t>
        </is>
      </c>
      <c r="F166" t="inlineStr">
        <is>
          <t>Holmen skog AB</t>
        </is>
      </c>
      <c r="G166" t="n">
        <v>4.4</v>
      </c>
      <c r="H166" t="n">
        <v>1</v>
      </c>
      <c r="I166" t="n">
        <v>1</v>
      </c>
      <c r="J166" t="n">
        <v>2</v>
      </c>
      <c r="K166" t="n">
        <v>1</v>
      </c>
      <c r="L166" t="n">
        <v>0</v>
      </c>
      <c r="M166" t="n">
        <v>0</v>
      </c>
      <c r="N166" t="n">
        <v>0</v>
      </c>
      <c r="O166" t="n">
        <v>3</v>
      </c>
      <c r="P166" t="n">
        <v>1</v>
      </c>
      <c r="Q166" t="n">
        <v>4</v>
      </c>
      <c r="R166" s="2" t="inlineStr">
        <is>
          <t>Bitter taggsvamp
Blå taggsvamp
Orange taggsvamp
Plattlummer</t>
        </is>
      </c>
      <c r="S166">
        <f>HYPERLINK("https://klasma.github.io/Logging_2283/artfynd/A 62632-2022 artfynd.xlsx", "A 62632-2022")</f>
        <v/>
      </c>
      <c r="T166">
        <f>HYPERLINK("https://klasma.github.io/Logging_2283/kartor/A 62632-2022 karta.png", "A 62632-2022")</f>
        <v/>
      </c>
      <c r="V166">
        <f>HYPERLINK("https://klasma.github.io/Logging_2283/klagomål/A 62632-2022 FSC-klagomål.docx", "A 62632-2022")</f>
        <v/>
      </c>
      <c r="W166">
        <f>HYPERLINK("https://klasma.github.io/Logging_2283/klagomålsmail/A 62632-2022 FSC-klagomål mail.docx", "A 62632-2022")</f>
        <v/>
      </c>
      <c r="X166">
        <f>HYPERLINK("https://klasma.github.io/Logging_2283/tillsyn/A 62632-2022 tillsynsbegäran.docx", "A 62632-2022")</f>
        <v/>
      </c>
      <c r="Y166">
        <f>HYPERLINK("https://klasma.github.io/Logging_2283/tillsynsmail/A 62632-2022 tillsynsbegäran mail.docx", "A 62632-2022")</f>
        <v/>
      </c>
    </row>
    <row r="167" ht="15" customHeight="1">
      <c r="A167" t="inlineStr">
        <is>
          <t>A 2409-2023</t>
        </is>
      </c>
      <c r="B167" s="1" t="n">
        <v>44942</v>
      </c>
      <c r="C167" s="1" t="n">
        <v>45583</v>
      </c>
      <c r="D167" t="inlineStr">
        <is>
          <t>VÄSTERNORRLANDS LÄN</t>
        </is>
      </c>
      <c r="E167" t="inlineStr">
        <is>
          <t>SOLLEFTEÅ</t>
        </is>
      </c>
      <c r="F167" t="inlineStr">
        <is>
          <t>SCA</t>
        </is>
      </c>
      <c r="G167" t="n">
        <v>2</v>
      </c>
      <c r="H167" t="n">
        <v>0</v>
      </c>
      <c r="I167" t="n">
        <v>1</v>
      </c>
      <c r="J167" t="n">
        <v>3</v>
      </c>
      <c r="K167" t="n">
        <v>0</v>
      </c>
      <c r="L167" t="n">
        <v>0</v>
      </c>
      <c r="M167" t="n">
        <v>0</v>
      </c>
      <c r="N167" t="n">
        <v>0</v>
      </c>
      <c r="O167" t="n">
        <v>3</v>
      </c>
      <c r="P167" t="n">
        <v>0</v>
      </c>
      <c r="Q167" t="n">
        <v>4</v>
      </c>
      <c r="R167" s="2" t="inlineStr">
        <is>
          <t>Rosenticka
Tallticka
Ullticka
Dropptaggsvamp</t>
        </is>
      </c>
      <c r="S167">
        <f>HYPERLINK("https://klasma.github.io/Logging_2283/artfynd/A 2409-2023 artfynd.xlsx", "A 2409-2023")</f>
        <v/>
      </c>
      <c r="T167">
        <f>HYPERLINK("https://klasma.github.io/Logging_2283/kartor/A 2409-2023 karta.png", "A 2409-2023")</f>
        <v/>
      </c>
      <c r="V167">
        <f>HYPERLINK("https://klasma.github.io/Logging_2283/klagomål/A 2409-2023 FSC-klagomål.docx", "A 2409-2023")</f>
        <v/>
      </c>
      <c r="W167">
        <f>HYPERLINK("https://klasma.github.io/Logging_2283/klagomålsmail/A 2409-2023 FSC-klagomål mail.docx", "A 2409-2023")</f>
        <v/>
      </c>
      <c r="X167">
        <f>HYPERLINK("https://klasma.github.io/Logging_2283/tillsyn/A 2409-2023 tillsynsbegäran.docx", "A 2409-2023")</f>
        <v/>
      </c>
      <c r="Y167">
        <f>HYPERLINK("https://klasma.github.io/Logging_2283/tillsynsmail/A 2409-2023 tillsynsbegäran mail.docx", "A 2409-2023")</f>
        <v/>
      </c>
    </row>
    <row r="168" ht="15" customHeight="1">
      <c r="A168" t="inlineStr">
        <is>
          <t>A 9365-2023</t>
        </is>
      </c>
      <c r="B168" s="1" t="n">
        <v>44980</v>
      </c>
      <c r="C168" s="1" t="n">
        <v>45583</v>
      </c>
      <c r="D168" t="inlineStr">
        <is>
          <t>VÄSTERNORRLANDS LÄN</t>
        </is>
      </c>
      <c r="E168" t="inlineStr">
        <is>
          <t>SOLLEFTEÅ</t>
        </is>
      </c>
      <c r="F168" t="inlineStr">
        <is>
          <t>SCA</t>
        </is>
      </c>
      <c r="G168" t="n">
        <v>6.5</v>
      </c>
      <c r="H168" t="n">
        <v>2</v>
      </c>
      <c r="I168" t="n">
        <v>0</v>
      </c>
      <c r="J168" t="n">
        <v>3</v>
      </c>
      <c r="K168" t="n">
        <v>0</v>
      </c>
      <c r="L168" t="n">
        <v>0</v>
      </c>
      <c r="M168" t="n">
        <v>0</v>
      </c>
      <c r="N168" t="n">
        <v>0</v>
      </c>
      <c r="O168" t="n">
        <v>3</v>
      </c>
      <c r="P168" t="n">
        <v>0</v>
      </c>
      <c r="Q168" t="n">
        <v>4</v>
      </c>
      <c r="R168" s="2" t="inlineStr">
        <is>
          <t>Garnlav
Kolflarnlav
Tretåig hackspett
Tjäder</t>
        </is>
      </c>
      <c r="S168">
        <f>HYPERLINK("https://klasma.github.io/Logging_2283/artfynd/A 9365-2023 artfynd.xlsx", "A 9365-2023")</f>
        <v/>
      </c>
      <c r="T168">
        <f>HYPERLINK("https://klasma.github.io/Logging_2283/kartor/A 9365-2023 karta.png", "A 9365-2023")</f>
        <v/>
      </c>
      <c r="V168">
        <f>HYPERLINK("https://klasma.github.io/Logging_2283/klagomål/A 9365-2023 FSC-klagomål.docx", "A 9365-2023")</f>
        <v/>
      </c>
      <c r="W168">
        <f>HYPERLINK("https://klasma.github.io/Logging_2283/klagomålsmail/A 9365-2023 FSC-klagomål mail.docx", "A 9365-2023")</f>
        <v/>
      </c>
      <c r="X168">
        <f>HYPERLINK("https://klasma.github.io/Logging_2283/tillsyn/A 9365-2023 tillsynsbegäran.docx", "A 9365-2023")</f>
        <v/>
      </c>
      <c r="Y168">
        <f>HYPERLINK("https://klasma.github.io/Logging_2283/tillsynsmail/A 9365-2023 tillsynsbegäran mail.docx", "A 9365-2023")</f>
        <v/>
      </c>
      <c r="Z168">
        <f>HYPERLINK("https://klasma.github.io/Logging_2283/fåglar/A 9365-2023 prioriterade fågelarter.docx", "A 9365-2023")</f>
        <v/>
      </c>
    </row>
    <row r="169" ht="15" customHeight="1">
      <c r="A169" t="inlineStr">
        <is>
          <t>A 10776-2023</t>
        </is>
      </c>
      <c r="B169" s="1" t="n">
        <v>44988</v>
      </c>
      <c r="C169" s="1" t="n">
        <v>45583</v>
      </c>
      <c r="D169" t="inlineStr">
        <is>
          <t>VÄSTERNORRLANDS LÄN</t>
        </is>
      </c>
      <c r="E169" t="inlineStr">
        <is>
          <t>SOLLEFTEÅ</t>
        </is>
      </c>
      <c r="F169" t="inlineStr">
        <is>
          <t>SCA</t>
        </is>
      </c>
      <c r="G169" t="n">
        <v>6.2</v>
      </c>
      <c r="H169" t="n">
        <v>0</v>
      </c>
      <c r="I169" t="n">
        <v>0</v>
      </c>
      <c r="J169" t="n">
        <v>4</v>
      </c>
      <c r="K169" t="n">
        <v>0</v>
      </c>
      <c r="L169" t="n">
        <v>0</v>
      </c>
      <c r="M169" t="n">
        <v>0</v>
      </c>
      <c r="N169" t="n">
        <v>0</v>
      </c>
      <c r="O169" t="n">
        <v>4</v>
      </c>
      <c r="P169" t="n">
        <v>0</v>
      </c>
      <c r="Q169" t="n">
        <v>4</v>
      </c>
      <c r="R169" s="2" t="inlineStr">
        <is>
          <t>Granticka
Rosenticka
Ullticka
Vedskivlav</t>
        </is>
      </c>
      <c r="S169">
        <f>HYPERLINK("https://klasma.github.io/Logging_2283/artfynd/A 10776-2023 artfynd.xlsx", "A 10776-2023")</f>
        <v/>
      </c>
      <c r="T169">
        <f>HYPERLINK("https://klasma.github.io/Logging_2283/kartor/A 10776-2023 karta.png", "A 10776-2023")</f>
        <v/>
      </c>
      <c r="V169">
        <f>HYPERLINK("https://klasma.github.io/Logging_2283/klagomål/A 10776-2023 FSC-klagomål.docx", "A 10776-2023")</f>
        <v/>
      </c>
      <c r="W169">
        <f>HYPERLINK("https://klasma.github.io/Logging_2283/klagomålsmail/A 10776-2023 FSC-klagomål mail.docx", "A 10776-2023")</f>
        <v/>
      </c>
      <c r="X169">
        <f>HYPERLINK("https://klasma.github.io/Logging_2283/tillsyn/A 10776-2023 tillsynsbegäran.docx", "A 10776-2023")</f>
        <v/>
      </c>
      <c r="Y169">
        <f>HYPERLINK("https://klasma.github.io/Logging_2283/tillsynsmail/A 10776-2023 tillsynsbegäran mail.docx", "A 10776-2023")</f>
        <v/>
      </c>
    </row>
    <row r="170" ht="15" customHeight="1">
      <c r="A170" t="inlineStr">
        <is>
          <t>A 12365-2023</t>
        </is>
      </c>
      <c r="B170" s="1" t="n">
        <v>44999</v>
      </c>
      <c r="C170" s="1" t="n">
        <v>45583</v>
      </c>
      <c r="D170" t="inlineStr">
        <is>
          <t>VÄSTERNORRLANDS LÄN</t>
        </is>
      </c>
      <c r="E170" t="inlineStr">
        <is>
          <t>SOLLEFTEÅ</t>
        </is>
      </c>
      <c r="F170" t="inlineStr">
        <is>
          <t>Kommuner</t>
        </is>
      </c>
      <c r="G170" t="n">
        <v>2.2</v>
      </c>
      <c r="H170" t="n">
        <v>0</v>
      </c>
      <c r="I170" t="n">
        <v>2</v>
      </c>
      <c r="J170" t="n">
        <v>2</v>
      </c>
      <c r="K170" t="n">
        <v>0</v>
      </c>
      <c r="L170" t="n">
        <v>0</v>
      </c>
      <c r="M170" t="n">
        <v>0</v>
      </c>
      <c r="N170" t="n">
        <v>0</v>
      </c>
      <c r="O170" t="n">
        <v>2</v>
      </c>
      <c r="P170" t="n">
        <v>0</v>
      </c>
      <c r="Q170" t="n">
        <v>4</v>
      </c>
      <c r="R170" s="2" t="inlineStr">
        <is>
          <t>Rosenticka
Ullticka
Mörk husmossa
Skinnlav</t>
        </is>
      </c>
      <c r="S170">
        <f>HYPERLINK("https://klasma.github.io/Logging_2283/artfynd/A 12365-2023 artfynd.xlsx", "A 12365-2023")</f>
        <v/>
      </c>
      <c r="T170">
        <f>HYPERLINK("https://klasma.github.io/Logging_2283/kartor/A 12365-2023 karta.png", "A 12365-2023")</f>
        <v/>
      </c>
      <c r="U170">
        <f>HYPERLINK("https://klasma.github.io/Logging_2283/knärot/A 12365-2023 karta knärot.png", "A 12365-2023")</f>
        <v/>
      </c>
      <c r="V170">
        <f>HYPERLINK("https://klasma.github.io/Logging_2283/klagomål/A 12365-2023 FSC-klagomål.docx", "A 12365-2023")</f>
        <v/>
      </c>
      <c r="W170">
        <f>HYPERLINK("https://klasma.github.io/Logging_2283/klagomålsmail/A 12365-2023 FSC-klagomål mail.docx", "A 12365-2023")</f>
        <v/>
      </c>
      <c r="X170">
        <f>HYPERLINK("https://klasma.github.io/Logging_2283/tillsyn/A 12365-2023 tillsynsbegäran.docx", "A 12365-2023")</f>
        <v/>
      </c>
      <c r="Y170">
        <f>HYPERLINK("https://klasma.github.io/Logging_2283/tillsynsmail/A 12365-2023 tillsynsbegäran mail.docx", "A 12365-2023")</f>
        <v/>
      </c>
    </row>
    <row r="171" ht="15" customHeight="1">
      <c r="A171" t="inlineStr">
        <is>
          <t>A 18066-2023</t>
        </is>
      </c>
      <c r="B171" s="1" t="n">
        <v>45040</v>
      </c>
      <c r="C171" s="1" t="n">
        <v>45583</v>
      </c>
      <c r="D171" t="inlineStr">
        <is>
          <t>VÄSTERNORRLANDS LÄN</t>
        </is>
      </c>
      <c r="E171" t="inlineStr">
        <is>
          <t>SOLLEFTEÅ</t>
        </is>
      </c>
      <c r="G171" t="n">
        <v>0.8</v>
      </c>
      <c r="H171" t="n">
        <v>1</v>
      </c>
      <c r="I171" t="n">
        <v>0</v>
      </c>
      <c r="J171" t="n">
        <v>3</v>
      </c>
      <c r="K171" t="n">
        <v>1</v>
      </c>
      <c r="L171" t="n">
        <v>0</v>
      </c>
      <c r="M171" t="n">
        <v>0</v>
      </c>
      <c r="N171" t="n">
        <v>0</v>
      </c>
      <c r="O171" t="n">
        <v>4</v>
      </c>
      <c r="P171" t="n">
        <v>1</v>
      </c>
      <c r="Q171" t="n">
        <v>4</v>
      </c>
      <c r="R171" s="2" t="inlineStr">
        <is>
          <t>Knärot
Garnlav
Rosenticka
Ullticka</t>
        </is>
      </c>
      <c r="S171">
        <f>HYPERLINK("https://klasma.github.io/Logging_2283/artfynd/A 18066-2023 artfynd.xlsx", "A 18066-2023")</f>
        <v/>
      </c>
      <c r="T171">
        <f>HYPERLINK("https://klasma.github.io/Logging_2283/kartor/A 18066-2023 karta.png", "A 18066-2023")</f>
        <v/>
      </c>
      <c r="U171">
        <f>HYPERLINK("https://klasma.github.io/Logging_2283/knärot/A 18066-2023 karta knärot.png", "A 18066-2023")</f>
        <v/>
      </c>
      <c r="V171">
        <f>HYPERLINK("https://klasma.github.io/Logging_2283/klagomål/A 18066-2023 FSC-klagomål.docx", "A 18066-2023")</f>
        <v/>
      </c>
      <c r="W171">
        <f>HYPERLINK("https://klasma.github.io/Logging_2283/klagomålsmail/A 18066-2023 FSC-klagomål mail.docx", "A 18066-2023")</f>
        <v/>
      </c>
      <c r="X171">
        <f>HYPERLINK("https://klasma.github.io/Logging_2283/tillsyn/A 18066-2023 tillsynsbegäran.docx", "A 18066-2023")</f>
        <v/>
      </c>
      <c r="Y171">
        <f>HYPERLINK("https://klasma.github.io/Logging_2283/tillsynsmail/A 18066-2023 tillsynsbegäran mail.docx", "A 18066-2023")</f>
        <v/>
      </c>
    </row>
    <row r="172" ht="15" customHeight="1">
      <c r="A172" t="inlineStr">
        <is>
          <t>A 32218-2023</t>
        </is>
      </c>
      <c r="B172" s="1" t="n">
        <v>45120</v>
      </c>
      <c r="C172" s="1" t="n">
        <v>45583</v>
      </c>
      <c r="D172" t="inlineStr">
        <is>
          <t>VÄSTERNORRLANDS LÄN</t>
        </is>
      </c>
      <c r="E172" t="inlineStr">
        <is>
          <t>SOLLEFTEÅ</t>
        </is>
      </c>
      <c r="F172" t="inlineStr">
        <is>
          <t>SCA</t>
        </is>
      </c>
      <c r="G172" t="n">
        <v>2.1</v>
      </c>
      <c r="H172" t="n">
        <v>1</v>
      </c>
      <c r="I172" t="n">
        <v>0</v>
      </c>
      <c r="J172" t="n">
        <v>4</v>
      </c>
      <c r="K172" t="n">
        <v>0</v>
      </c>
      <c r="L172" t="n">
        <v>0</v>
      </c>
      <c r="M172" t="n">
        <v>0</v>
      </c>
      <c r="N172" t="n">
        <v>0</v>
      </c>
      <c r="O172" t="n">
        <v>4</v>
      </c>
      <c r="P172" t="n">
        <v>0</v>
      </c>
      <c r="Q172" t="n">
        <v>4</v>
      </c>
      <c r="R172" s="2" t="inlineStr">
        <is>
          <t>Garnlav
Lunglav
Tretåig hackspett
Ullticka</t>
        </is>
      </c>
      <c r="S172">
        <f>HYPERLINK("https://klasma.github.io/Logging_2283/artfynd/A 32218-2023 artfynd.xlsx", "A 32218-2023")</f>
        <v/>
      </c>
      <c r="T172">
        <f>HYPERLINK("https://klasma.github.io/Logging_2283/kartor/A 32218-2023 karta.png", "A 32218-2023")</f>
        <v/>
      </c>
      <c r="V172">
        <f>HYPERLINK("https://klasma.github.io/Logging_2283/klagomål/A 32218-2023 FSC-klagomål.docx", "A 32218-2023")</f>
        <v/>
      </c>
      <c r="W172">
        <f>HYPERLINK("https://klasma.github.io/Logging_2283/klagomålsmail/A 32218-2023 FSC-klagomål mail.docx", "A 32218-2023")</f>
        <v/>
      </c>
      <c r="X172">
        <f>HYPERLINK("https://klasma.github.io/Logging_2283/tillsyn/A 32218-2023 tillsynsbegäran.docx", "A 32218-2023")</f>
        <v/>
      </c>
      <c r="Y172">
        <f>HYPERLINK("https://klasma.github.io/Logging_2283/tillsynsmail/A 32218-2023 tillsynsbegäran mail.docx", "A 32218-2023")</f>
        <v/>
      </c>
      <c r="Z172">
        <f>HYPERLINK("https://klasma.github.io/Logging_2283/fåglar/A 32218-2023 prioriterade fågelarter.docx", "A 32218-2023")</f>
        <v/>
      </c>
    </row>
    <row r="173" ht="15" customHeight="1">
      <c r="A173" t="inlineStr">
        <is>
          <t>A 35505-2023</t>
        </is>
      </c>
      <c r="B173" s="1" t="n">
        <v>45147</v>
      </c>
      <c r="C173" s="1" t="n">
        <v>45583</v>
      </c>
      <c r="D173" t="inlineStr">
        <is>
          <t>VÄSTERNORRLANDS LÄN</t>
        </is>
      </c>
      <c r="E173" t="inlineStr">
        <is>
          <t>SOLLEFTEÅ</t>
        </is>
      </c>
      <c r="F173" t="inlineStr">
        <is>
          <t>SCA</t>
        </is>
      </c>
      <c r="G173" t="n">
        <v>2.6</v>
      </c>
      <c r="H173" t="n">
        <v>0</v>
      </c>
      <c r="I173" t="n">
        <v>2</v>
      </c>
      <c r="J173" t="n">
        <v>2</v>
      </c>
      <c r="K173" t="n">
        <v>0</v>
      </c>
      <c r="L173" t="n">
        <v>0</v>
      </c>
      <c r="M173" t="n">
        <v>0</v>
      </c>
      <c r="N173" t="n">
        <v>0</v>
      </c>
      <c r="O173" t="n">
        <v>2</v>
      </c>
      <c r="P173" t="n">
        <v>0</v>
      </c>
      <c r="Q173" t="n">
        <v>4</v>
      </c>
      <c r="R173" s="2" t="inlineStr">
        <is>
          <t>Garnlav
Lunglav
Bårdlav
Norrlandslav</t>
        </is>
      </c>
      <c r="S173">
        <f>HYPERLINK("https://klasma.github.io/Logging_2283/artfynd/A 35505-2023 artfynd.xlsx", "A 35505-2023")</f>
        <v/>
      </c>
      <c r="T173">
        <f>HYPERLINK("https://klasma.github.io/Logging_2283/kartor/A 35505-2023 karta.png", "A 35505-2023")</f>
        <v/>
      </c>
      <c r="V173">
        <f>HYPERLINK("https://klasma.github.io/Logging_2283/klagomål/A 35505-2023 FSC-klagomål.docx", "A 35505-2023")</f>
        <v/>
      </c>
      <c r="W173">
        <f>HYPERLINK("https://klasma.github.io/Logging_2283/klagomålsmail/A 35505-2023 FSC-klagomål mail.docx", "A 35505-2023")</f>
        <v/>
      </c>
      <c r="X173">
        <f>HYPERLINK("https://klasma.github.io/Logging_2283/tillsyn/A 35505-2023 tillsynsbegäran.docx", "A 35505-2023")</f>
        <v/>
      </c>
      <c r="Y173">
        <f>HYPERLINK("https://klasma.github.io/Logging_2283/tillsynsmail/A 35505-2023 tillsynsbegäran mail.docx", "A 35505-2023")</f>
        <v/>
      </c>
    </row>
    <row r="174" ht="15" customHeight="1">
      <c r="A174" t="inlineStr">
        <is>
          <t>A 37270-2023</t>
        </is>
      </c>
      <c r="B174" s="1" t="n">
        <v>45155</v>
      </c>
      <c r="C174" s="1" t="n">
        <v>45583</v>
      </c>
      <c r="D174" t="inlineStr">
        <is>
          <t>VÄSTERNORRLANDS LÄN</t>
        </is>
      </c>
      <c r="E174" t="inlineStr">
        <is>
          <t>SOLLEFTEÅ</t>
        </is>
      </c>
      <c r="F174" t="inlineStr">
        <is>
          <t>SCA</t>
        </is>
      </c>
      <c r="G174" t="n">
        <v>2.3</v>
      </c>
      <c r="H174" t="n">
        <v>1</v>
      </c>
      <c r="I174" t="n">
        <v>1</v>
      </c>
      <c r="J174" t="n">
        <v>3</v>
      </c>
      <c r="K174" t="n">
        <v>0</v>
      </c>
      <c r="L174" t="n">
        <v>0</v>
      </c>
      <c r="M174" t="n">
        <v>0</v>
      </c>
      <c r="N174" t="n">
        <v>0</v>
      </c>
      <c r="O174" t="n">
        <v>3</v>
      </c>
      <c r="P174" t="n">
        <v>0</v>
      </c>
      <c r="Q174" t="n">
        <v>4</v>
      </c>
      <c r="R174" s="2" t="inlineStr">
        <is>
          <t>Orange taggsvamp
Tallticka
Tretåig hackspett
Dropptaggsvamp</t>
        </is>
      </c>
      <c r="S174">
        <f>HYPERLINK("https://klasma.github.io/Logging_2283/artfynd/A 37270-2023 artfynd.xlsx", "A 37270-2023")</f>
        <v/>
      </c>
      <c r="T174">
        <f>HYPERLINK("https://klasma.github.io/Logging_2283/kartor/A 37270-2023 karta.png", "A 37270-2023")</f>
        <v/>
      </c>
      <c r="V174">
        <f>HYPERLINK("https://klasma.github.io/Logging_2283/klagomål/A 37270-2023 FSC-klagomål.docx", "A 37270-2023")</f>
        <v/>
      </c>
      <c r="W174">
        <f>HYPERLINK("https://klasma.github.io/Logging_2283/klagomålsmail/A 37270-2023 FSC-klagomål mail.docx", "A 37270-2023")</f>
        <v/>
      </c>
      <c r="X174">
        <f>HYPERLINK("https://klasma.github.io/Logging_2283/tillsyn/A 37270-2023 tillsynsbegäran.docx", "A 37270-2023")</f>
        <v/>
      </c>
      <c r="Y174">
        <f>HYPERLINK("https://klasma.github.io/Logging_2283/tillsynsmail/A 37270-2023 tillsynsbegäran mail.docx", "A 37270-2023")</f>
        <v/>
      </c>
      <c r="Z174">
        <f>HYPERLINK("https://klasma.github.io/Logging_2283/fåglar/A 37270-2023 prioriterade fågelarter.docx", "A 37270-2023")</f>
        <v/>
      </c>
    </row>
    <row r="175" ht="15" customHeight="1">
      <c r="A175" t="inlineStr">
        <is>
          <t>A 43954-2023</t>
        </is>
      </c>
      <c r="B175" s="1" t="n">
        <v>45187</v>
      </c>
      <c r="C175" s="1" t="n">
        <v>45583</v>
      </c>
      <c r="D175" t="inlineStr">
        <is>
          <t>VÄSTERNORRLANDS LÄN</t>
        </is>
      </c>
      <c r="E175" t="inlineStr">
        <is>
          <t>SOLLEFTEÅ</t>
        </is>
      </c>
      <c r="F175" t="inlineStr">
        <is>
          <t>SCA</t>
        </is>
      </c>
      <c r="G175" t="n">
        <v>1.7</v>
      </c>
      <c r="H175" t="n">
        <v>3</v>
      </c>
      <c r="I175" t="n">
        <v>0</v>
      </c>
      <c r="J175" t="n">
        <v>2</v>
      </c>
      <c r="K175" t="n">
        <v>2</v>
      </c>
      <c r="L175" t="n">
        <v>0</v>
      </c>
      <c r="M175" t="n">
        <v>0</v>
      </c>
      <c r="N175" t="n">
        <v>0</v>
      </c>
      <c r="O175" t="n">
        <v>4</v>
      </c>
      <c r="P175" t="n">
        <v>2</v>
      </c>
      <c r="Q175" t="n">
        <v>4</v>
      </c>
      <c r="R175" s="2" t="inlineStr">
        <is>
          <t>Doftticka
Knärot
Lunglav
Tretåig hackspett</t>
        </is>
      </c>
      <c r="S175">
        <f>HYPERLINK("https://klasma.github.io/Logging_2283/artfynd/A 43954-2023 artfynd.xlsx", "A 43954-2023")</f>
        <v/>
      </c>
      <c r="T175">
        <f>HYPERLINK("https://klasma.github.io/Logging_2283/kartor/A 43954-2023 karta.png", "A 43954-2023")</f>
        <v/>
      </c>
      <c r="U175">
        <f>HYPERLINK("https://klasma.github.io/Logging_2283/knärot/A 43954-2023 karta knärot.png", "A 43954-2023")</f>
        <v/>
      </c>
      <c r="V175">
        <f>HYPERLINK("https://klasma.github.io/Logging_2283/klagomål/A 43954-2023 FSC-klagomål.docx", "A 43954-2023")</f>
        <v/>
      </c>
      <c r="W175">
        <f>HYPERLINK("https://klasma.github.io/Logging_2283/klagomålsmail/A 43954-2023 FSC-klagomål mail.docx", "A 43954-2023")</f>
        <v/>
      </c>
      <c r="X175">
        <f>HYPERLINK("https://klasma.github.io/Logging_2283/tillsyn/A 43954-2023 tillsynsbegäran.docx", "A 43954-2023")</f>
        <v/>
      </c>
      <c r="Y175">
        <f>HYPERLINK("https://klasma.github.io/Logging_2283/tillsynsmail/A 43954-2023 tillsynsbegäran mail.docx", "A 43954-2023")</f>
        <v/>
      </c>
      <c r="Z175">
        <f>HYPERLINK("https://klasma.github.io/Logging_2283/fåglar/A 43954-2023 prioriterade fågelarter.docx", "A 43954-2023")</f>
        <v/>
      </c>
    </row>
    <row r="176" ht="15" customHeight="1">
      <c r="A176" t="inlineStr">
        <is>
          <t>A 50839-2023</t>
        </is>
      </c>
      <c r="B176" s="1" t="n">
        <v>45217</v>
      </c>
      <c r="C176" s="1" t="n">
        <v>45583</v>
      </c>
      <c r="D176" t="inlineStr">
        <is>
          <t>VÄSTERNORRLANDS LÄN</t>
        </is>
      </c>
      <c r="E176" t="inlineStr">
        <is>
          <t>SOLLEFTEÅ</t>
        </is>
      </c>
      <c r="F176" t="inlineStr">
        <is>
          <t>SCA</t>
        </is>
      </c>
      <c r="G176" t="n">
        <v>2.8</v>
      </c>
      <c r="H176" t="n">
        <v>0</v>
      </c>
      <c r="I176" t="n">
        <v>1</v>
      </c>
      <c r="J176" t="n">
        <v>3</v>
      </c>
      <c r="K176" t="n">
        <v>0</v>
      </c>
      <c r="L176" t="n">
        <v>0</v>
      </c>
      <c r="M176" t="n">
        <v>0</v>
      </c>
      <c r="N176" t="n">
        <v>0</v>
      </c>
      <c r="O176" t="n">
        <v>3</v>
      </c>
      <c r="P176" t="n">
        <v>0</v>
      </c>
      <c r="Q176" t="n">
        <v>4</v>
      </c>
      <c r="R176" s="2" t="inlineStr">
        <is>
          <t>Garnlav
Granticka
Vitskaftad svartspik
Gulnål</t>
        </is>
      </c>
      <c r="S176">
        <f>HYPERLINK("https://klasma.github.io/Logging_2283/artfynd/A 50839-2023 artfynd.xlsx", "A 50839-2023")</f>
        <v/>
      </c>
      <c r="T176">
        <f>HYPERLINK("https://klasma.github.io/Logging_2283/kartor/A 50839-2023 karta.png", "A 50839-2023")</f>
        <v/>
      </c>
      <c r="V176">
        <f>HYPERLINK("https://klasma.github.io/Logging_2283/klagomål/A 50839-2023 FSC-klagomål.docx", "A 50839-2023")</f>
        <v/>
      </c>
      <c r="W176">
        <f>HYPERLINK("https://klasma.github.io/Logging_2283/klagomålsmail/A 50839-2023 FSC-klagomål mail.docx", "A 50839-2023")</f>
        <v/>
      </c>
      <c r="X176">
        <f>HYPERLINK("https://klasma.github.io/Logging_2283/tillsyn/A 50839-2023 tillsynsbegäran.docx", "A 50839-2023")</f>
        <v/>
      </c>
      <c r="Y176">
        <f>HYPERLINK("https://klasma.github.io/Logging_2283/tillsynsmail/A 50839-2023 tillsynsbegäran mail.docx", "A 50839-2023")</f>
        <v/>
      </c>
    </row>
    <row r="177" ht="15" customHeight="1">
      <c r="A177" t="inlineStr">
        <is>
          <t>A 52088-2023</t>
        </is>
      </c>
      <c r="B177" s="1" t="n">
        <v>45223</v>
      </c>
      <c r="C177" s="1" t="n">
        <v>45583</v>
      </c>
      <c r="D177" t="inlineStr">
        <is>
          <t>VÄSTERNORRLANDS LÄN</t>
        </is>
      </c>
      <c r="E177" t="inlineStr">
        <is>
          <t>SOLLEFTEÅ</t>
        </is>
      </c>
      <c r="G177" t="n">
        <v>6.4</v>
      </c>
      <c r="H177" t="n">
        <v>0</v>
      </c>
      <c r="I177" t="n">
        <v>1</v>
      </c>
      <c r="J177" t="n">
        <v>3</v>
      </c>
      <c r="K177" t="n">
        <v>0</v>
      </c>
      <c r="L177" t="n">
        <v>0</v>
      </c>
      <c r="M177" t="n">
        <v>0</v>
      </c>
      <c r="N177" t="n">
        <v>0</v>
      </c>
      <c r="O177" t="n">
        <v>3</v>
      </c>
      <c r="P177" t="n">
        <v>0</v>
      </c>
      <c r="Q177" t="n">
        <v>4</v>
      </c>
      <c r="R177" s="2" t="inlineStr">
        <is>
          <t>Granticka
Lunglav
Rosenticka
Vedticka</t>
        </is>
      </c>
      <c r="S177">
        <f>HYPERLINK("https://klasma.github.io/Logging_2283/artfynd/A 52088-2023 artfynd.xlsx", "A 52088-2023")</f>
        <v/>
      </c>
      <c r="T177">
        <f>HYPERLINK("https://klasma.github.io/Logging_2283/kartor/A 52088-2023 karta.png", "A 52088-2023")</f>
        <v/>
      </c>
      <c r="V177">
        <f>HYPERLINK("https://klasma.github.io/Logging_2283/klagomål/A 52088-2023 FSC-klagomål.docx", "A 52088-2023")</f>
        <v/>
      </c>
      <c r="W177">
        <f>HYPERLINK("https://klasma.github.io/Logging_2283/klagomålsmail/A 52088-2023 FSC-klagomål mail.docx", "A 52088-2023")</f>
        <v/>
      </c>
      <c r="X177">
        <f>HYPERLINK("https://klasma.github.io/Logging_2283/tillsyn/A 52088-2023 tillsynsbegäran.docx", "A 52088-2023")</f>
        <v/>
      </c>
      <c r="Y177">
        <f>HYPERLINK("https://klasma.github.io/Logging_2283/tillsynsmail/A 52088-2023 tillsynsbegäran mail.docx", "A 52088-2023")</f>
        <v/>
      </c>
    </row>
    <row r="178" ht="15" customHeight="1">
      <c r="A178" t="inlineStr">
        <is>
          <t>A 53566-2023</t>
        </is>
      </c>
      <c r="B178" s="1" t="n">
        <v>45223</v>
      </c>
      <c r="C178" s="1" t="n">
        <v>45583</v>
      </c>
      <c r="D178" t="inlineStr">
        <is>
          <t>VÄSTERNORRLANDS LÄN</t>
        </is>
      </c>
      <c r="E178" t="inlineStr">
        <is>
          <t>SOLLEFTEÅ</t>
        </is>
      </c>
      <c r="G178" t="n">
        <v>9</v>
      </c>
      <c r="H178" t="n">
        <v>2</v>
      </c>
      <c r="I178" t="n">
        <v>0</v>
      </c>
      <c r="J178" t="n">
        <v>2</v>
      </c>
      <c r="K178" t="n">
        <v>0</v>
      </c>
      <c r="L178" t="n">
        <v>0</v>
      </c>
      <c r="M178" t="n">
        <v>0</v>
      </c>
      <c r="N178" t="n">
        <v>0</v>
      </c>
      <c r="O178" t="n">
        <v>2</v>
      </c>
      <c r="P178" t="n">
        <v>0</v>
      </c>
      <c r="Q178" t="n">
        <v>4</v>
      </c>
      <c r="R178" s="2" t="inlineStr">
        <is>
          <t>Garnlav
Lunglav
Fläcknycklar
Revlummer</t>
        </is>
      </c>
      <c r="S178">
        <f>HYPERLINK("https://klasma.github.io/Logging_2283/artfynd/A 53566-2023 artfynd.xlsx", "A 53566-2023")</f>
        <v/>
      </c>
      <c r="T178">
        <f>HYPERLINK("https://klasma.github.io/Logging_2283/kartor/A 53566-2023 karta.png", "A 53566-2023")</f>
        <v/>
      </c>
      <c r="V178">
        <f>HYPERLINK("https://klasma.github.io/Logging_2283/klagomål/A 53566-2023 FSC-klagomål.docx", "A 53566-2023")</f>
        <v/>
      </c>
      <c r="W178">
        <f>HYPERLINK("https://klasma.github.io/Logging_2283/klagomålsmail/A 53566-2023 FSC-klagomål mail.docx", "A 53566-2023")</f>
        <v/>
      </c>
      <c r="X178">
        <f>HYPERLINK("https://klasma.github.io/Logging_2283/tillsyn/A 53566-2023 tillsynsbegäran.docx", "A 53566-2023")</f>
        <v/>
      </c>
      <c r="Y178">
        <f>HYPERLINK("https://klasma.github.io/Logging_2283/tillsynsmail/A 53566-2023 tillsynsbegäran mail.docx", "A 53566-2023")</f>
        <v/>
      </c>
    </row>
    <row r="179" ht="15" customHeight="1">
      <c r="A179" t="inlineStr">
        <is>
          <t>A 53049-2023</t>
        </is>
      </c>
      <c r="B179" s="1" t="n">
        <v>45226</v>
      </c>
      <c r="C179" s="1" t="n">
        <v>45583</v>
      </c>
      <c r="D179" t="inlineStr">
        <is>
          <t>VÄSTERNORRLANDS LÄN</t>
        </is>
      </c>
      <c r="E179" t="inlineStr">
        <is>
          <t>SOLLEFTEÅ</t>
        </is>
      </c>
      <c r="F179" t="inlineStr">
        <is>
          <t>SCA</t>
        </is>
      </c>
      <c r="G179" t="n">
        <v>3.7</v>
      </c>
      <c r="H179" t="n">
        <v>2</v>
      </c>
      <c r="I179" t="n">
        <v>0</v>
      </c>
      <c r="J179" t="n">
        <v>4</v>
      </c>
      <c r="K179" t="n">
        <v>0</v>
      </c>
      <c r="L179" t="n">
        <v>0</v>
      </c>
      <c r="M179" t="n">
        <v>0</v>
      </c>
      <c r="N179" t="n">
        <v>0</v>
      </c>
      <c r="O179" t="n">
        <v>4</v>
      </c>
      <c r="P179" t="n">
        <v>0</v>
      </c>
      <c r="Q179" t="n">
        <v>4</v>
      </c>
      <c r="R179" s="2" t="inlineStr">
        <is>
          <t>Järpe
Lunglav
Tretåig hackspett
Ullticka</t>
        </is>
      </c>
      <c r="S179">
        <f>HYPERLINK("https://klasma.github.io/Logging_2283/artfynd/A 53049-2023 artfynd.xlsx", "A 53049-2023")</f>
        <v/>
      </c>
      <c r="T179">
        <f>HYPERLINK("https://klasma.github.io/Logging_2283/kartor/A 53049-2023 karta.png", "A 53049-2023")</f>
        <v/>
      </c>
      <c r="V179">
        <f>HYPERLINK("https://klasma.github.io/Logging_2283/klagomål/A 53049-2023 FSC-klagomål.docx", "A 53049-2023")</f>
        <v/>
      </c>
      <c r="W179">
        <f>HYPERLINK("https://klasma.github.io/Logging_2283/klagomålsmail/A 53049-2023 FSC-klagomål mail.docx", "A 53049-2023")</f>
        <v/>
      </c>
      <c r="X179">
        <f>HYPERLINK("https://klasma.github.io/Logging_2283/tillsyn/A 53049-2023 tillsynsbegäran.docx", "A 53049-2023")</f>
        <v/>
      </c>
      <c r="Y179">
        <f>HYPERLINK("https://klasma.github.io/Logging_2283/tillsynsmail/A 53049-2023 tillsynsbegäran mail.docx", "A 53049-2023")</f>
        <v/>
      </c>
      <c r="Z179">
        <f>HYPERLINK("https://klasma.github.io/Logging_2283/fåglar/A 53049-2023 prioriterade fågelarter.docx", "A 53049-2023")</f>
        <v/>
      </c>
    </row>
    <row r="180" ht="15" customHeight="1">
      <c r="A180" t="inlineStr">
        <is>
          <t>A 56248-2023</t>
        </is>
      </c>
      <c r="B180" s="1" t="n">
        <v>45240</v>
      </c>
      <c r="C180" s="1" t="n">
        <v>45583</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2833-2024</t>
        </is>
      </c>
      <c r="B181" s="1" t="n">
        <v>45314</v>
      </c>
      <c r="C181" s="1" t="n">
        <v>45583</v>
      </c>
      <c r="D181" t="inlineStr">
        <is>
          <t>VÄSTERNORRLANDS LÄN</t>
        </is>
      </c>
      <c r="E181" t="inlineStr">
        <is>
          <t>SOLLEFTEÅ</t>
        </is>
      </c>
      <c r="F181" t="inlineStr">
        <is>
          <t>SCA</t>
        </is>
      </c>
      <c r="G181" t="n">
        <v>12.9</v>
      </c>
      <c r="H181" t="n">
        <v>1</v>
      </c>
      <c r="I181" t="n">
        <v>0</v>
      </c>
      <c r="J181" t="n">
        <v>3</v>
      </c>
      <c r="K181" t="n">
        <v>0</v>
      </c>
      <c r="L181" t="n">
        <v>0</v>
      </c>
      <c r="M181" t="n">
        <v>0</v>
      </c>
      <c r="N181" t="n">
        <v>0</v>
      </c>
      <c r="O181" t="n">
        <v>3</v>
      </c>
      <c r="P181" t="n">
        <v>0</v>
      </c>
      <c r="Q181" t="n">
        <v>4</v>
      </c>
      <c r="R181" s="2" t="inlineStr">
        <is>
          <t>Garnlav
Kolflarnlav
Mörk kolflarnlav
Tjäder</t>
        </is>
      </c>
      <c r="S181">
        <f>HYPERLINK("https://klasma.github.io/Logging_2283/artfynd/A 2833-2024 artfynd.xlsx", "A 2833-2024")</f>
        <v/>
      </c>
      <c r="T181">
        <f>HYPERLINK("https://klasma.github.io/Logging_2283/kartor/A 2833-2024 karta.png", "A 2833-2024")</f>
        <v/>
      </c>
      <c r="V181">
        <f>HYPERLINK("https://klasma.github.io/Logging_2283/klagomål/A 2833-2024 FSC-klagomål.docx", "A 2833-2024")</f>
        <v/>
      </c>
      <c r="W181">
        <f>HYPERLINK("https://klasma.github.io/Logging_2283/klagomålsmail/A 2833-2024 FSC-klagomål mail.docx", "A 2833-2024")</f>
        <v/>
      </c>
      <c r="X181">
        <f>HYPERLINK("https://klasma.github.io/Logging_2283/tillsyn/A 2833-2024 tillsynsbegäran.docx", "A 2833-2024")</f>
        <v/>
      </c>
      <c r="Y181">
        <f>HYPERLINK("https://klasma.github.io/Logging_2283/tillsynsmail/A 2833-2024 tillsynsbegäran mail.docx", "A 2833-2024")</f>
        <v/>
      </c>
      <c r="Z181">
        <f>HYPERLINK("https://klasma.github.io/Logging_2283/fåglar/A 2833-2024 prioriterade fågelarter.docx", "A 2833-2024")</f>
        <v/>
      </c>
    </row>
    <row r="182" ht="15" customHeight="1">
      <c r="A182" t="inlineStr">
        <is>
          <t>A 9819-2024</t>
        </is>
      </c>
      <c r="B182" s="1" t="n">
        <v>45363</v>
      </c>
      <c r="C182" s="1" t="n">
        <v>45583</v>
      </c>
      <c r="D182" t="inlineStr">
        <is>
          <t>VÄSTERNORRLANDS LÄN</t>
        </is>
      </c>
      <c r="E182" t="inlineStr">
        <is>
          <t>SOLLEFTEÅ</t>
        </is>
      </c>
      <c r="F182" t="inlineStr">
        <is>
          <t>SCA</t>
        </is>
      </c>
      <c r="G182" t="n">
        <v>6.8</v>
      </c>
      <c r="H182" t="n">
        <v>1</v>
      </c>
      <c r="I182" t="n">
        <v>1</v>
      </c>
      <c r="J182" t="n">
        <v>2</v>
      </c>
      <c r="K182" t="n">
        <v>1</v>
      </c>
      <c r="L182" t="n">
        <v>0</v>
      </c>
      <c r="M182" t="n">
        <v>0</v>
      </c>
      <c r="N182" t="n">
        <v>0</v>
      </c>
      <c r="O182" t="n">
        <v>3</v>
      </c>
      <c r="P182" t="n">
        <v>1</v>
      </c>
      <c r="Q182" t="n">
        <v>4</v>
      </c>
      <c r="R182" s="2" t="inlineStr">
        <is>
          <t>Knärot
Motaggsvamp
Vitgrynig nållav
Dropptaggsvamp</t>
        </is>
      </c>
      <c r="S182">
        <f>HYPERLINK("https://klasma.github.io/Logging_2283/artfynd/A 9819-2024 artfynd.xlsx", "A 9819-2024")</f>
        <v/>
      </c>
      <c r="T182">
        <f>HYPERLINK("https://klasma.github.io/Logging_2283/kartor/A 9819-2024 karta.png", "A 9819-2024")</f>
        <v/>
      </c>
      <c r="U182">
        <f>HYPERLINK("https://klasma.github.io/Logging_2283/knärot/A 9819-2024 karta knärot.png", "A 9819-2024")</f>
        <v/>
      </c>
      <c r="V182">
        <f>HYPERLINK("https://klasma.github.io/Logging_2283/klagomål/A 9819-2024 FSC-klagomål.docx", "A 9819-2024")</f>
        <v/>
      </c>
      <c r="W182">
        <f>HYPERLINK("https://klasma.github.io/Logging_2283/klagomålsmail/A 9819-2024 FSC-klagomål mail.docx", "A 9819-2024")</f>
        <v/>
      </c>
      <c r="X182">
        <f>HYPERLINK("https://klasma.github.io/Logging_2283/tillsyn/A 9819-2024 tillsynsbegäran.docx", "A 9819-2024")</f>
        <v/>
      </c>
      <c r="Y182">
        <f>HYPERLINK("https://klasma.github.io/Logging_2283/tillsynsmail/A 9819-2024 tillsynsbegäran mail.docx", "A 9819-2024")</f>
        <v/>
      </c>
    </row>
    <row r="183" ht="15" customHeight="1">
      <c r="A183" t="inlineStr">
        <is>
          <t>A 13342-2024</t>
        </is>
      </c>
      <c r="B183" s="1" t="n">
        <v>45386</v>
      </c>
      <c r="C183" s="1" t="n">
        <v>45583</v>
      </c>
      <c r="D183" t="inlineStr">
        <is>
          <t>VÄSTERNORRLANDS LÄN</t>
        </is>
      </c>
      <c r="E183" t="inlineStr">
        <is>
          <t>SOLLEFTEÅ</t>
        </is>
      </c>
      <c r="F183" t="inlineStr">
        <is>
          <t>SCA</t>
        </is>
      </c>
      <c r="G183" t="n">
        <v>4.4</v>
      </c>
      <c r="H183" t="n">
        <v>0</v>
      </c>
      <c r="I183" t="n">
        <v>1</v>
      </c>
      <c r="J183" t="n">
        <v>3</v>
      </c>
      <c r="K183" t="n">
        <v>0</v>
      </c>
      <c r="L183" t="n">
        <v>0</v>
      </c>
      <c r="M183" t="n">
        <v>0</v>
      </c>
      <c r="N183" t="n">
        <v>0</v>
      </c>
      <c r="O183" t="n">
        <v>3</v>
      </c>
      <c r="P183" t="n">
        <v>0</v>
      </c>
      <c r="Q183" t="n">
        <v>4</v>
      </c>
      <c r="R183" s="2" t="inlineStr">
        <is>
          <t>Lunglav
Skrovellav
Ullticka
Stuplav</t>
        </is>
      </c>
      <c r="S183">
        <f>HYPERLINK("https://klasma.github.io/Logging_2283/artfynd/A 13342-2024 artfynd.xlsx", "A 13342-2024")</f>
        <v/>
      </c>
      <c r="T183">
        <f>HYPERLINK("https://klasma.github.io/Logging_2283/kartor/A 13342-2024 karta.png", "A 13342-2024")</f>
        <v/>
      </c>
      <c r="V183">
        <f>HYPERLINK("https://klasma.github.io/Logging_2283/klagomål/A 13342-2024 FSC-klagomål.docx", "A 13342-2024")</f>
        <v/>
      </c>
      <c r="W183">
        <f>HYPERLINK("https://klasma.github.io/Logging_2283/klagomålsmail/A 13342-2024 FSC-klagomål mail.docx", "A 13342-2024")</f>
        <v/>
      </c>
      <c r="X183">
        <f>HYPERLINK("https://klasma.github.io/Logging_2283/tillsyn/A 13342-2024 tillsynsbegäran.docx", "A 13342-2024")</f>
        <v/>
      </c>
      <c r="Y183">
        <f>HYPERLINK("https://klasma.github.io/Logging_2283/tillsynsmail/A 13342-2024 tillsynsbegäran mail.docx", "A 13342-2024")</f>
        <v/>
      </c>
    </row>
    <row r="184" ht="15" customHeight="1">
      <c r="A184" t="inlineStr">
        <is>
          <t>A 26467-2024</t>
        </is>
      </c>
      <c r="B184" s="1" t="n">
        <v>45469</v>
      </c>
      <c r="C184" s="1" t="n">
        <v>45583</v>
      </c>
      <c r="D184" t="inlineStr">
        <is>
          <t>VÄSTERNORRLANDS LÄN</t>
        </is>
      </c>
      <c r="E184" t="inlineStr">
        <is>
          <t>SOLLEFTEÅ</t>
        </is>
      </c>
      <c r="G184" t="n">
        <v>1.1</v>
      </c>
      <c r="H184" t="n">
        <v>2</v>
      </c>
      <c r="I184" t="n">
        <v>1</v>
      </c>
      <c r="J184" t="n">
        <v>1</v>
      </c>
      <c r="K184" t="n">
        <v>0</v>
      </c>
      <c r="L184" t="n">
        <v>0</v>
      </c>
      <c r="M184" t="n">
        <v>0</v>
      </c>
      <c r="N184" t="n">
        <v>0</v>
      </c>
      <c r="O184" t="n">
        <v>1</v>
      </c>
      <c r="P184" t="n">
        <v>0</v>
      </c>
      <c r="Q184" t="n">
        <v>4</v>
      </c>
      <c r="R184" s="2" t="inlineStr">
        <is>
          <t>Rosenticka
Springkorn
Skogsrör
Revlummer</t>
        </is>
      </c>
      <c r="S184">
        <f>HYPERLINK("https://klasma.github.io/Logging_2283/artfynd/A 26467-2024 artfynd.xlsx", "A 26467-2024")</f>
        <v/>
      </c>
      <c r="T184">
        <f>HYPERLINK("https://klasma.github.io/Logging_2283/kartor/A 26467-2024 karta.png", "A 26467-2024")</f>
        <v/>
      </c>
      <c r="V184">
        <f>HYPERLINK("https://klasma.github.io/Logging_2283/klagomål/A 26467-2024 FSC-klagomål.docx", "A 26467-2024")</f>
        <v/>
      </c>
      <c r="W184">
        <f>HYPERLINK("https://klasma.github.io/Logging_2283/klagomålsmail/A 26467-2024 FSC-klagomål mail.docx", "A 26467-2024")</f>
        <v/>
      </c>
      <c r="X184">
        <f>HYPERLINK("https://klasma.github.io/Logging_2283/tillsyn/A 26467-2024 tillsynsbegäran.docx", "A 26467-2024")</f>
        <v/>
      </c>
      <c r="Y184">
        <f>HYPERLINK("https://klasma.github.io/Logging_2283/tillsynsmail/A 26467-2024 tillsynsbegäran mail.docx", "A 26467-2024")</f>
        <v/>
      </c>
    </row>
    <row r="185" ht="15" customHeight="1">
      <c r="A185" t="inlineStr">
        <is>
          <t>A 29249-2024</t>
        </is>
      </c>
      <c r="B185" s="1" t="n">
        <v>45483</v>
      </c>
      <c r="C185" s="1" t="n">
        <v>45583</v>
      </c>
      <c r="D185" t="inlineStr">
        <is>
          <t>VÄSTERNORRLANDS LÄN</t>
        </is>
      </c>
      <c r="E185" t="inlineStr">
        <is>
          <t>SOLLEFTEÅ</t>
        </is>
      </c>
      <c r="F185" t="inlineStr">
        <is>
          <t>SCA</t>
        </is>
      </c>
      <c r="G185" t="n">
        <v>7.3</v>
      </c>
      <c r="H185" t="n">
        <v>3</v>
      </c>
      <c r="I185" t="n">
        <v>0</v>
      </c>
      <c r="J185" t="n">
        <v>3</v>
      </c>
      <c r="K185" t="n">
        <v>1</v>
      </c>
      <c r="L185" t="n">
        <v>0</v>
      </c>
      <c r="M185" t="n">
        <v>0</v>
      </c>
      <c r="N185" t="n">
        <v>0</v>
      </c>
      <c r="O185" t="n">
        <v>4</v>
      </c>
      <c r="P185" t="n">
        <v>1</v>
      </c>
      <c r="Q185" t="n">
        <v>4</v>
      </c>
      <c r="R185" s="2" t="inlineStr">
        <is>
          <t>Knärot
Harticka
Talltita
Tretåig hackspett</t>
        </is>
      </c>
      <c r="S185">
        <f>HYPERLINK("https://klasma.github.io/Logging_2283/artfynd/A 29249-2024 artfynd.xlsx", "A 29249-2024")</f>
        <v/>
      </c>
      <c r="T185">
        <f>HYPERLINK("https://klasma.github.io/Logging_2283/kartor/A 29249-2024 karta.png", "A 29249-2024")</f>
        <v/>
      </c>
      <c r="U185">
        <f>HYPERLINK("https://klasma.github.io/Logging_2283/knärot/A 29249-2024 karta knärot.png", "A 29249-2024")</f>
        <v/>
      </c>
      <c r="V185">
        <f>HYPERLINK("https://klasma.github.io/Logging_2283/klagomål/A 29249-2024 FSC-klagomål.docx", "A 29249-2024")</f>
        <v/>
      </c>
      <c r="W185">
        <f>HYPERLINK("https://klasma.github.io/Logging_2283/klagomålsmail/A 29249-2024 FSC-klagomål mail.docx", "A 29249-2024")</f>
        <v/>
      </c>
      <c r="X185">
        <f>HYPERLINK("https://klasma.github.io/Logging_2283/tillsyn/A 29249-2024 tillsynsbegäran.docx", "A 29249-2024")</f>
        <v/>
      </c>
      <c r="Y185">
        <f>HYPERLINK("https://klasma.github.io/Logging_2283/tillsynsmail/A 29249-2024 tillsynsbegäran mail.docx", "A 29249-2024")</f>
        <v/>
      </c>
      <c r="Z185">
        <f>HYPERLINK("https://klasma.github.io/Logging_2283/fåglar/A 29249-2024 prioriterade fågelarter.docx", "A 29249-2024")</f>
        <v/>
      </c>
    </row>
    <row r="186" ht="15" customHeight="1">
      <c r="A186" t="inlineStr">
        <is>
          <t>A 31560-2024</t>
        </is>
      </c>
      <c r="B186" s="1" t="n">
        <v>45505</v>
      </c>
      <c r="C186" s="1" t="n">
        <v>45583</v>
      </c>
      <c r="D186" t="inlineStr">
        <is>
          <t>VÄSTERNORRLANDS LÄN</t>
        </is>
      </c>
      <c r="E186" t="inlineStr">
        <is>
          <t>SOLLEFTEÅ</t>
        </is>
      </c>
      <c r="F186" t="inlineStr">
        <is>
          <t>SCA</t>
        </is>
      </c>
      <c r="G186" t="n">
        <v>6</v>
      </c>
      <c r="H186" t="n">
        <v>0</v>
      </c>
      <c r="I186" t="n">
        <v>0</v>
      </c>
      <c r="J186" t="n">
        <v>2</v>
      </c>
      <c r="K186" t="n">
        <v>2</v>
      </c>
      <c r="L186" t="n">
        <v>0</v>
      </c>
      <c r="M186" t="n">
        <v>0</v>
      </c>
      <c r="N186" t="n">
        <v>0</v>
      </c>
      <c r="O186" t="n">
        <v>4</v>
      </c>
      <c r="P186" t="n">
        <v>2</v>
      </c>
      <c r="Q186" t="n">
        <v>4</v>
      </c>
      <c r="R186" s="2" t="inlineStr">
        <is>
          <t>Lappticka
Rynkskinn
Rosenticka
Ullticka</t>
        </is>
      </c>
      <c r="S186">
        <f>HYPERLINK("https://klasma.github.io/Logging_2283/artfynd/A 31560-2024 artfynd.xlsx", "A 31560-2024")</f>
        <v/>
      </c>
      <c r="T186">
        <f>HYPERLINK("https://klasma.github.io/Logging_2283/kartor/A 31560-2024 karta.png", "A 31560-2024")</f>
        <v/>
      </c>
      <c r="V186">
        <f>HYPERLINK("https://klasma.github.io/Logging_2283/klagomål/A 31560-2024 FSC-klagomål.docx", "A 31560-2024")</f>
        <v/>
      </c>
      <c r="W186">
        <f>HYPERLINK("https://klasma.github.io/Logging_2283/klagomålsmail/A 31560-2024 FSC-klagomål mail.docx", "A 31560-2024")</f>
        <v/>
      </c>
      <c r="X186">
        <f>HYPERLINK("https://klasma.github.io/Logging_2283/tillsyn/A 31560-2024 tillsynsbegäran.docx", "A 31560-2024")</f>
        <v/>
      </c>
      <c r="Y186">
        <f>HYPERLINK("https://klasma.github.io/Logging_2283/tillsynsmail/A 31560-2024 tillsynsbegäran mail.docx", "A 31560-2024")</f>
        <v/>
      </c>
    </row>
    <row r="187" ht="15" customHeight="1">
      <c r="A187" t="inlineStr">
        <is>
          <t>A 33519-2024</t>
        </is>
      </c>
      <c r="B187" s="1" t="n">
        <v>45519</v>
      </c>
      <c r="C187" s="1" t="n">
        <v>45583</v>
      </c>
      <c r="D187" t="inlineStr">
        <is>
          <t>VÄSTERNORRLANDS LÄN</t>
        </is>
      </c>
      <c r="E187" t="inlineStr">
        <is>
          <t>SOLLEFTEÅ</t>
        </is>
      </c>
      <c r="G187" t="n">
        <v>3.6</v>
      </c>
      <c r="H187" t="n">
        <v>0</v>
      </c>
      <c r="I187" t="n">
        <v>1</v>
      </c>
      <c r="J187" t="n">
        <v>3</v>
      </c>
      <c r="K187" t="n">
        <v>0</v>
      </c>
      <c r="L187" t="n">
        <v>0</v>
      </c>
      <c r="M187" t="n">
        <v>0</v>
      </c>
      <c r="N187" t="n">
        <v>0</v>
      </c>
      <c r="O187" t="n">
        <v>3</v>
      </c>
      <c r="P187" t="n">
        <v>0</v>
      </c>
      <c r="Q187" t="n">
        <v>4</v>
      </c>
      <c r="R187" s="2" t="inlineStr">
        <is>
          <t>Garnlav
Kolflarnlav
Skrovlig taggsvamp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55683-2019</t>
        </is>
      </c>
      <c r="B188" s="1" t="n">
        <v>43760</v>
      </c>
      <c r="C188" s="1" t="n">
        <v>45583</v>
      </c>
      <c r="D188" t="inlineStr">
        <is>
          <t>VÄSTERNORRLANDS LÄN</t>
        </is>
      </c>
      <c r="E188" t="inlineStr">
        <is>
          <t>SOLLEFTEÅ</t>
        </is>
      </c>
      <c r="F188" t="inlineStr">
        <is>
          <t>SCA</t>
        </is>
      </c>
      <c r="G188" t="n">
        <v>2.9</v>
      </c>
      <c r="H188" t="n">
        <v>0</v>
      </c>
      <c r="I188" t="n">
        <v>0</v>
      </c>
      <c r="J188" t="n">
        <v>2</v>
      </c>
      <c r="K188" t="n">
        <v>1</v>
      </c>
      <c r="L188" t="n">
        <v>0</v>
      </c>
      <c r="M188" t="n">
        <v>0</v>
      </c>
      <c r="N188" t="n">
        <v>0</v>
      </c>
      <c r="O188" t="n">
        <v>3</v>
      </c>
      <c r="P188" t="n">
        <v>1</v>
      </c>
      <c r="Q188" t="n">
        <v>3</v>
      </c>
      <c r="R188" s="2" t="inlineStr">
        <is>
          <t>Rynkskinn
Granticka
Rosenticka</t>
        </is>
      </c>
      <c r="S188">
        <f>HYPERLINK("https://klasma.github.io/Logging_2283/artfynd/A 55683-2019 artfynd.xlsx", "A 55683-2019")</f>
        <v/>
      </c>
      <c r="T188">
        <f>HYPERLINK("https://klasma.github.io/Logging_2283/kartor/A 55683-2019 karta.png", "A 55683-2019")</f>
        <v/>
      </c>
      <c r="V188">
        <f>HYPERLINK("https://klasma.github.io/Logging_2283/klagomål/A 55683-2019 FSC-klagomål.docx", "A 55683-2019")</f>
        <v/>
      </c>
      <c r="W188">
        <f>HYPERLINK("https://klasma.github.io/Logging_2283/klagomålsmail/A 55683-2019 FSC-klagomål mail.docx", "A 55683-2019")</f>
        <v/>
      </c>
      <c r="X188">
        <f>HYPERLINK("https://klasma.github.io/Logging_2283/tillsyn/A 55683-2019 tillsynsbegäran.docx", "A 55683-2019")</f>
        <v/>
      </c>
      <c r="Y188">
        <f>HYPERLINK("https://klasma.github.io/Logging_2283/tillsynsmail/A 55683-2019 tillsynsbegäran mail.docx", "A 55683-2019")</f>
        <v/>
      </c>
    </row>
    <row r="189" ht="15" customHeight="1">
      <c r="A189" t="inlineStr">
        <is>
          <t>A 24219-2020</t>
        </is>
      </c>
      <c r="B189" s="1" t="n">
        <v>43973</v>
      </c>
      <c r="C189" s="1" t="n">
        <v>45583</v>
      </c>
      <c r="D189" t="inlineStr">
        <is>
          <t>VÄSTERNORRLANDS LÄN</t>
        </is>
      </c>
      <c r="E189" t="inlineStr">
        <is>
          <t>SOLLEFTEÅ</t>
        </is>
      </c>
      <c r="G189" t="n">
        <v>11.9</v>
      </c>
      <c r="H189" t="n">
        <v>0</v>
      </c>
      <c r="I189" t="n">
        <v>0</v>
      </c>
      <c r="J189" t="n">
        <v>3</v>
      </c>
      <c r="K189" t="n">
        <v>0</v>
      </c>
      <c r="L189" t="n">
        <v>0</v>
      </c>
      <c r="M189" t="n">
        <v>0</v>
      </c>
      <c r="N189" t="n">
        <v>0</v>
      </c>
      <c r="O189" t="n">
        <v>3</v>
      </c>
      <c r="P189" t="n">
        <v>0</v>
      </c>
      <c r="Q189" t="n">
        <v>3</v>
      </c>
      <c r="R189" s="2" t="inlineStr">
        <is>
          <t>Garnlav
Lunglav
Rosenticka</t>
        </is>
      </c>
      <c r="S189">
        <f>HYPERLINK("https://klasma.github.io/Logging_2283/artfynd/A 24219-2020 artfynd.xlsx", "A 24219-2020")</f>
        <v/>
      </c>
      <c r="T189">
        <f>HYPERLINK("https://klasma.github.io/Logging_2283/kartor/A 24219-2020 karta.png", "A 24219-2020")</f>
        <v/>
      </c>
      <c r="V189">
        <f>HYPERLINK("https://klasma.github.io/Logging_2283/klagomål/A 24219-2020 FSC-klagomål.docx", "A 24219-2020")</f>
        <v/>
      </c>
      <c r="W189">
        <f>HYPERLINK("https://klasma.github.io/Logging_2283/klagomålsmail/A 24219-2020 FSC-klagomål mail.docx", "A 24219-2020")</f>
        <v/>
      </c>
      <c r="X189">
        <f>HYPERLINK("https://klasma.github.io/Logging_2283/tillsyn/A 24219-2020 tillsynsbegäran.docx", "A 24219-2020")</f>
        <v/>
      </c>
      <c r="Y189">
        <f>HYPERLINK("https://klasma.github.io/Logging_2283/tillsynsmail/A 24219-2020 tillsynsbegäran mail.docx", "A 24219-2020")</f>
        <v/>
      </c>
    </row>
    <row r="190" ht="15" customHeight="1">
      <c r="A190" t="inlineStr">
        <is>
          <t>A 31640-2020</t>
        </is>
      </c>
      <c r="B190" s="1" t="n">
        <v>44013</v>
      </c>
      <c r="C190" s="1" t="n">
        <v>45583</v>
      </c>
      <c r="D190" t="inlineStr">
        <is>
          <t>VÄSTERNORRLANDS LÄN</t>
        </is>
      </c>
      <c r="E190" t="inlineStr">
        <is>
          <t>SOLLEFTEÅ</t>
        </is>
      </c>
      <c r="F190" t="inlineStr">
        <is>
          <t>SCA</t>
        </is>
      </c>
      <c r="G190" t="n">
        <v>27.4</v>
      </c>
      <c r="H190" t="n">
        <v>1</v>
      </c>
      <c r="I190" t="n">
        <v>0</v>
      </c>
      <c r="J190" t="n">
        <v>2</v>
      </c>
      <c r="K190" t="n">
        <v>1</v>
      </c>
      <c r="L190" t="n">
        <v>0</v>
      </c>
      <c r="M190" t="n">
        <v>0</v>
      </c>
      <c r="N190" t="n">
        <v>0</v>
      </c>
      <c r="O190" t="n">
        <v>3</v>
      </c>
      <c r="P190" t="n">
        <v>1</v>
      </c>
      <c r="Q190" t="n">
        <v>3</v>
      </c>
      <c r="R190" s="2" t="inlineStr">
        <is>
          <t>Doftticka
Lunglav
Skrovellav</t>
        </is>
      </c>
      <c r="S190">
        <f>HYPERLINK("https://klasma.github.io/Logging_2283/artfynd/A 31640-2020 artfynd.xlsx", "A 31640-2020")</f>
        <v/>
      </c>
      <c r="T190">
        <f>HYPERLINK("https://klasma.github.io/Logging_2283/kartor/A 31640-2020 karta.png", "A 31640-2020")</f>
        <v/>
      </c>
      <c r="V190">
        <f>HYPERLINK("https://klasma.github.io/Logging_2283/klagomål/A 31640-2020 FSC-klagomål.docx", "A 31640-2020")</f>
        <v/>
      </c>
      <c r="W190">
        <f>HYPERLINK("https://klasma.github.io/Logging_2283/klagomålsmail/A 31640-2020 FSC-klagomål mail.docx", "A 31640-2020")</f>
        <v/>
      </c>
      <c r="X190">
        <f>HYPERLINK("https://klasma.github.io/Logging_2283/tillsyn/A 31640-2020 tillsynsbegäran.docx", "A 31640-2020")</f>
        <v/>
      </c>
      <c r="Y190">
        <f>HYPERLINK("https://klasma.github.io/Logging_2283/tillsynsmail/A 31640-2020 tillsynsbegäran mail.docx", "A 31640-2020")</f>
        <v/>
      </c>
    </row>
    <row r="191" ht="15" customHeight="1">
      <c r="A191" t="inlineStr">
        <is>
          <t>A 34085-2020</t>
        </is>
      </c>
      <c r="B191" s="1" t="n">
        <v>44028</v>
      </c>
      <c r="C191" s="1" t="n">
        <v>45583</v>
      </c>
      <c r="D191" t="inlineStr">
        <is>
          <t>VÄSTERNORRLANDS LÄN</t>
        </is>
      </c>
      <c r="E191" t="inlineStr">
        <is>
          <t>SOLLEFTEÅ</t>
        </is>
      </c>
      <c r="F191" t="inlineStr">
        <is>
          <t>SCA</t>
        </is>
      </c>
      <c r="G191" t="n">
        <v>3.7</v>
      </c>
      <c r="H191" t="n">
        <v>2</v>
      </c>
      <c r="I191" t="n">
        <v>0</v>
      </c>
      <c r="J191" t="n">
        <v>2</v>
      </c>
      <c r="K191" t="n">
        <v>1</v>
      </c>
      <c r="L191" t="n">
        <v>0</v>
      </c>
      <c r="M191" t="n">
        <v>0</v>
      </c>
      <c r="N191" t="n">
        <v>0</v>
      </c>
      <c r="O191" t="n">
        <v>3</v>
      </c>
      <c r="P191" t="n">
        <v>1</v>
      </c>
      <c r="Q191" t="n">
        <v>3</v>
      </c>
      <c r="R191" s="2" t="inlineStr">
        <is>
          <t>Knärot
Lunglav
Tretåig hackspett</t>
        </is>
      </c>
      <c r="S191">
        <f>HYPERLINK("https://klasma.github.io/Logging_2283/artfynd/A 34085-2020 artfynd.xlsx", "A 34085-2020")</f>
        <v/>
      </c>
      <c r="T191">
        <f>HYPERLINK("https://klasma.github.io/Logging_2283/kartor/A 34085-2020 karta.png", "A 34085-2020")</f>
        <v/>
      </c>
      <c r="U191">
        <f>HYPERLINK("https://klasma.github.io/Logging_2283/knärot/A 34085-2020 karta knärot.png", "A 34085-2020")</f>
        <v/>
      </c>
      <c r="V191">
        <f>HYPERLINK("https://klasma.github.io/Logging_2283/klagomål/A 34085-2020 FSC-klagomål.docx", "A 34085-2020")</f>
        <v/>
      </c>
      <c r="W191">
        <f>HYPERLINK("https://klasma.github.io/Logging_2283/klagomålsmail/A 34085-2020 FSC-klagomål mail.docx", "A 34085-2020")</f>
        <v/>
      </c>
      <c r="X191">
        <f>HYPERLINK("https://klasma.github.io/Logging_2283/tillsyn/A 34085-2020 tillsynsbegäran.docx", "A 34085-2020")</f>
        <v/>
      </c>
      <c r="Y191">
        <f>HYPERLINK("https://klasma.github.io/Logging_2283/tillsynsmail/A 34085-2020 tillsynsbegäran mail.docx", "A 34085-2020")</f>
        <v/>
      </c>
      <c r="Z191">
        <f>HYPERLINK("https://klasma.github.io/Logging_2283/fåglar/A 34085-2020 prioriterade fågelarter.docx", "A 34085-2020")</f>
        <v/>
      </c>
    </row>
    <row r="192" ht="15" customHeight="1">
      <c r="A192" t="inlineStr">
        <is>
          <t>A 15098-2021</t>
        </is>
      </c>
      <c r="B192" s="1" t="n">
        <v>44281</v>
      </c>
      <c r="C192" s="1" t="n">
        <v>45583</v>
      </c>
      <c r="D192" t="inlineStr">
        <is>
          <t>VÄSTERNORRLANDS LÄN</t>
        </is>
      </c>
      <c r="E192" t="inlineStr">
        <is>
          <t>SOLLEFTEÅ</t>
        </is>
      </c>
      <c r="F192" t="inlineStr">
        <is>
          <t>SCA</t>
        </is>
      </c>
      <c r="G192" t="n">
        <v>4</v>
      </c>
      <c r="H192" t="n">
        <v>1</v>
      </c>
      <c r="I192" t="n">
        <v>0</v>
      </c>
      <c r="J192" t="n">
        <v>2</v>
      </c>
      <c r="K192" t="n">
        <v>0</v>
      </c>
      <c r="L192" t="n">
        <v>0</v>
      </c>
      <c r="M192" t="n">
        <v>0</v>
      </c>
      <c r="N192" t="n">
        <v>0</v>
      </c>
      <c r="O192" t="n">
        <v>2</v>
      </c>
      <c r="P192" t="n">
        <v>0</v>
      </c>
      <c r="Q192" t="n">
        <v>3</v>
      </c>
      <c r="R192" s="2" t="inlineStr">
        <is>
          <t>Garnlav
Lunglav
Lavskrika</t>
        </is>
      </c>
      <c r="S192">
        <f>HYPERLINK("https://klasma.github.io/Logging_2283/artfynd/A 15098-2021 artfynd.xlsx", "A 15098-2021")</f>
        <v/>
      </c>
      <c r="T192">
        <f>HYPERLINK("https://klasma.github.io/Logging_2283/kartor/A 15098-2021 karta.png", "A 15098-2021")</f>
        <v/>
      </c>
      <c r="V192">
        <f>HYPERLINK("https://klasma.github.io/Logging_2283/klagomål/A 15098-2021 FSC-klagomål.docx", "A 15098-2021")</f>
        <v/>
      </c>
      <c r="W192">
        <f>HYPERLINK("https://klasma.github.io/Logging_2283/klagomålsmail/A 15098-2021 FSC-klagomål mail.docx", "A 15098-2021")</f>
        <v/>
      </c>
      <c r="X192">
        <f>HYPERLINK("https://klasma.github.io/Logging_2283/tillsyn/A 15098-2021 tillsynsbegäran.docx", "A 15098-2021")</f>
        <v/>
      </c>
      <c r="Y192">
        <f>HYPERLINK("https://klasma.github.io/Logging_2283/tillsynsmail/A 15098-2021 tillsynsbegäran mail.docx", "A 15098-2021")</f>
        <v/>
      </c>
      <c r="Z192">
        <f>HYPERLINK("https://klasma.github.io/Logging_2283/fåglar/A 15098-2021 prioriterade fågelarter.docx", "A 15098-2021")</f>
        <v/>
      </c>
    </row>
    <row r="193" ht="15" customHeight="1">
      <c r="A193" t="inlineStr">
        <is>
          <t>A 31354-2021</t>
        </is>
      </c>
      <c r="B193" s="1" t="n">
        <v>44369</v>
      </c>
      <c r="C193" s="1" t="n">
        <v>45583</v>
      </c>
      <c r="D193" t="inlineStr">
        <is>
          <t>VÄSTERNORRLANDS LÄN</t>
        </is>
      </c>
      <c r="E193" t="inlineStr">
        <is>
          <t>SOLLEFTEÅ</t>
        </is>
      </c>
      <c r="F193" t="inlineStr">
        <is>
          <t>SCA</t>
        </is>
      </c>
      <c r="G193" t="n">
        <v>1.5</v>
      </c>
      <c r="H193" t="n">
        <v>1</v>
      </c>
      <c r="I193" t="n">
        <v>1</v>
      </c>
      <c r="J193" t="n">
        <v>1</v>
      </c>
      <c r="K193" t="n">
        <v>1</v>
      </c>
      <c r="L193" t="n">
        <v>0</v>
      </c>
      <c r="M193" t="n">
        <v>0</v>
      </c>
      <c r="N193" t="n">
        <v>0</v>
      </c>
      <c r="O193" t="n">
        <v>2</v>
      </c>
      <c r="P193" t="n">
        <v>1</v>
      </c>
      <c r="Q193" t="n">
        <v>3</v>
      </c>
      <c r="R193" s="2" t="inlineStr">
        <is>
          <t>Knärot
Garnlav
Norrlandslav</t>
        </is>
      </c>
      <c r="S193">
        <f>HYPERLINK("https://klasma.github.io/Logging_2283/artfynd/A 31354-2021 artfynd.xlsx", "A 31354-2021")</f>
        <v/>
      </c>
      <c r="T193">
        <f>HYPERLINK("https://klasma.github.io/Logging_2283/kartor/A 31354-2021 karta.png", "A 31354-2021")</f>
        <v/>
      </c>
      <c r="U193">
        <f>HYPERLINK("https://klasma.github.io/Logging_2283/knärot/A 31354-2021 karta knärot.png", "A 31354-2021")</f>
        <v/>
      </c>
      <c r="V193">
        <f>HYPERLINK("https://klasma.github.io/Logging_2283/klagomål/A 31354-2021 FSC-klagomål.docx", "A 31354-2021")</f>
        <v/>
      </c>
      <c r="W193">
        <f>HYPERLINK("https://klasma.github.io/Logging_2283/klagomålsmail/A 31354-2021 FSC-klagomål mail.docx", "A 31354-2021")</f>
        <v/>
      </c>
      <c r="X193">
        <f>HYPERLINK("https://klasma.github.io/Logging_2283/tillsyn/A 31354-2021 tillsynsbegäran.docx", "A 31354-2021")</f>
        <v/>
      </c>
      <c r="Y193">
        <f>HYPERLINK("https://klasma.github.io/Logging_2283/tillsynsmail/A 31354-2021 tillsynsbegäran mail.docx", "A 31354-2021")</f>
        <v/>
      </c>
    </row>
    <row r="194" ht="15" customHeight="1">
      <c r="A194" t="inlineStr">
        <is>
          <t>A 44599-2021</t>
        </is>
      </c>
      <c r="B194" s="1" t="n">
        <v>44436</v>
      </c>
      <c r="C194" s="1" t="n">
        <v>45583</v>
      </c>
      <c r="D194" t="inlineStr">
        <is>
          <t>VÄSTERNORRLANDS LÄN</t>
        </is>
      </c>
      <c r="E194" t="inlineStr">
        <is>
          <t>SOLLEFTEÅ</t>
        </is>
      </c>
      <c r="F194" t="inlineStr">
        <is>
          <t>SCA</t>
        </is>
      </c>
      <c r="G194" t="n">
        <v>6.1</v>
      </c>
      <c r="H194" t="n">
        <v>0</v>
      </c>
      <c r="I194" t="n">
        <v>2</v>
      </c>
      <c r="J194" t="n">
        <v>1</v>
      </c>
      <c r="K194" t="n">
        <v>0</v>
      </c>
      <c r="L194" t="n">
        <v>0</v>
      </c>
      <c r="M194" t="n">
        <v>0</v>
      </c>
      <c r="N194" t="n">
        <v>0</v>
      </c>
      <c r="O194" t="n">
        <v>1</v>
      </c>
      <c r="P194" t="n">
        <v>0</v>
      </c>
      <c r="Q194" t="n">
        <v>3</v>
      </c>
      <c r="R194" s="2" t="inlineStr">
        <is>
          <t>Rosenticka
Strutbräken
Stuplav</t>
        </is>
      </c>
      <c r="S194">
        <f>HYPERLINK("https://klasma.github.io/Logging_2283/artfynd/A 44599-2021 artfynd.xlsx", "A 44599-2021")</f>
        <v/>
      </c>
      <c r="T194">
        <f>HYPERLINK("https://klasma.github.io/Logging_2283/kartor/A 44599-2021 karta.png", "A 44599-2021")</f>
        <v/>
      </c>
      <c r="V194">
        <f>HYPERLINK("https://klasma.github.io/Logging_2283/klagomål/A 44599-2021 FSC-klagomål.docx", "A 44599-2021")</f>
        <v/>
      </c>
      <c r="W194">
        <f>HYPERLINK("https://klasma.github.io/Logging_2283/klagomålsmail/A 44599-2021 FSC-klagomål mail.docx", "A 44599-2021")</f>
        <v/>
      </c>
      <c r="X194">
        <f>HYPERLINK("https://klasma.github.io/Logging_2283/tillsyn/A 44599-2021 tillsynsbegäran.docx", "A 44599-2021")</f>
        <v/>
      </c>
      <c r="Y194">
        <f>HYPERLINK("https://klasma.github.io/Logging_2283/tillsynsmail/A 44599-2021 tillsynsbegäran mail.docx", "A 44599-2021")</f>
        <v/>
      </c>
    </row>
    <row r="195" ht="15" customHeight="1">
      <c r="A195" t="inlineStr">
        <is>
          <t>A 61481-2021</t>
        </is>
      </c>
      <c r="B195" s="1" t="n">
        <v>44500</v>
      </c>
      <c r="C195" s="1" t="n">
        <v>45583</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18012-2022</t>
        </is>
      </c>
      <c r="B196" s="1" t="n">
        <v>44683</v>
      </c>
      <c r="C196" s="1" t="n">
        <v>45583</v>
      </c>
      <c r="D196" t="inlineStr">
        <is>
          <t>VÄSTERNORRLANDS LÄN</t>
        </is>
      </c>
      <c r="E196" t="inlineStr">
        <is>
          <t>SOLLEFTEÅ</t>
        </is>
      </c>
      <c r="F196" t="inlineStr">
        <is>
          <t>SCA</t>
        </is>
      </c>
      <c r="G196" t="n">
        <v>1.7</v>
      </c>
      <c r="H196" t="n">
        <v>2</v>
      </c>
      <c r="I196" t="n">
        <v>0</v>
      </c>
      <c r="J196" t="n">
        <v>2</v>
      </c>
      <c r="K196" t="n">
        <v>1</v>
      </c>
      <c r="L196" t="n">
        <v>0</v>
      </c>
      <c r="M196" t="n">
        <v>0</v>
      </c>
      <c r="N196" t="n">
        <v>0</v>
      </c>
      <c r="O196" t="n">
        <v>3</v>
      </c>
      <c r="P196" t="n">
        <v>1</v>
      </c>
      <c r="Q196" t="n">
        <v>3</v>
      </c>
      <c r="R196" s="2" t="inlineStr">
        <is>
          <t>Knärot
Garnlav
Tretåig hackspett</t>
        </is>
      </c>
      <c r="S196">
        <f>HYPERLINK("https://klasma.github.io/Logging_2283/artfynd/A 18012-2022 artfynd.xlsx", "A 18012-2022")</f>
        <v/>
      </c>
      <c r="T196">
        <f>HYPERLINK("https://klasma.github.io/Logging_2283/kartor/A 18012-2022 karta.png", "A 18012-2022")</f>
        <v/>
      </c>
      <c r="U196">
        <f>HYPERLINK("https://klasma.github.io/Logging_2283/knärot/A 18012-2022 karta knärot.png", "A 18012-2022")</f>
        <v/>
      </c>
      <c r="V196">
        <f>HYPERLINK("https://klasma.github.io/Logging_2283/klagomål/A 18012-2022 FSC-klagomål.docx", "A 18012-2022")</f>
        <v/>
      </c>
      <c r="W196">
        <f>HYPERLINK("https://klasma.github.io/Logging_2283/klagomålsmail/A 18012-2022 FSC-klagomål mail.docx", "A 18012-2022")</f>
        <v/>
      </c>
      <c r="X196">
        <f>HYPERLINK("https://klasma.github.io/Logging_2283/tillsyn/A 18012-2022 tillsynsbegäran.docx", "A 18012-2022")</f>
        <v/>
      </c>
      <c r="Y196">
        <f>HYPERLINK("https://klasma.github.io/Logging_2283/tillsynsmail/A 18012-2022 tillsynsbegäran mail.docx", "A 18012-2022")</f>
        <v/>
      </c>
      <c r="Z196">
        <f>HYPERLINK("https://klasma.github.io/Logging_2283/fåglar/A 18012-2022 prioriterade fågelarter.docx", "A 18012-2022")</f>
        <v/>
      </c>
    </row>
    <row r="197" ht="15" customHeight="1">
      <c r="A197" t="inlineStr">
        <is>
          <t>A 30235-2022</t>
        </is>
      </c>
      <c r="B197" s="1" t="n">
        <v>44757</v>
      </c>
      <c r="C197" s="1" t="n">
        <v>45583</v>
      </c>
      <c r="D197" t="inlineStr">
        <is>
          <t>VÄSTERNORRLANDS LÄN</t>
        </is>
      </c>
      <c r="E197" t="inlineStr">
        <is>
          <t>SOLLEFTEÅ</t>
        </is>
      </c>
      <c r="F197" t="inlineStr">
        <is>
          <t>SCA</t>
        </is>
      </c>
      <c r="G197" t="n">
        <v>4.7</v>
      </c>
      <c r="H197" t="n">
        <v>3</v>
      </c>
      <c r="I197" t="n">
        <v>0</v>
      </c>
      <c r="J197" t="n">
        <v>1</v>
      </c>
      <c r="K197" t="n">
        <v>2</v>
      </c>
      <c r="L197" t="n">
        <v>0</v>
      </c>
      <c r="M197" t="n">
        <v>0</v>
      </c>
      <c r="N197" t="n">
        <v>0</v>
      </c>
      <c r="O197" t="n">
        <v>3</v>
      </c>
      <c r="P197" t="n">
        <v>2</v>
      </c>
      <c r="Q197" t="n">
        <v>3</v>
      </c>
      <c r="R197" s="2" t="inlineStr">
        <is>
          <t>Doftticka
Knärot
Tretåig hackspett</t>
        </is>
      </c>
      <c r="S197">
        <f>HYPERLINK("https://klasma.github.io/Logging_2283/artfynd/A 30235-2022 artfynd.xlsx", "A 30235-2022")</f>
        <v/>
      </c>
      <c r="T197">
        <f>HYPERLINK("https://klasma.github.io/Logging_2283/kartor/A 30235-2022 karta.png", "A 30235-2022")</f>
        <v/>
      </c>
      <c r="U197">
        <f>HYPERLINK("https://klasma.github.io/Logging_2283/knärot/A 30235-2022 karta knärot.png", "A 30235-2022")</f>
        <v/>
      </c>
      <c r="V197">
        <f>HYPERLINK("https://klasma.github.io/Logging_2283/klagomål/A 30235-2022 FSC-klagomål.docx", "A 30235-2022")</f>
        <v/>
      </c>
      <c r="W197">
        <f>HYPERLINK("https://klasma.github.io/Logging_2283/klagomålsmail/A 30235-2022 FSC-klagomål mail.docx", "A 30235-2022")</f>
        <v/>
      </c>
      <c r="X197">
        <f>HYPERLINK("https://klasma.github.io/Logging_2283/tillsyn/A 30235-2022 tillsynsbegäran.docx", "A 30235-2022")</f>
        <v/>
      </c>
      <c r="Y197">
        <f>HYPERLINK("https://klasma.github.io/Logging_2283/tillsynsmail/A 30235-2022 tillsynsbegäran mail.docx", "A 30235-2022")</f>
        <v/>
      </c>
      <c r="Z197">
        <f>HYPERLINK("https://klasma.github.io/Logging_2283/fåglar/A 30235-2022 prioriterade fågelarter.docx", "A 30235-2022")</f>
        <v/>
      </c>
    </row>
    <row r="198" ht="15" customHeight="1">
      <c r="A198" t="inlineStr">
        <is>
          <t>A 34528-2022</t>
        </is>
      </c>
      <c r="B198" s="1" t="n">
        <v>44792</v>
      </c>
      <c r="C198" s="1" t="n">
        <v>45583</v>
      </c>
      <c r="D198" t="inlineStr">
        <is>
          <t>VÄSTERNORRLANDS LÄN</t>
        </is>
      </c>
      <c r="E198" t="inlineStr">
        <is>
          <t>SOLLEFTEÅ</t>
        </is>
      </c>
      <c r="F198" t="inlineStr">
        <is>
          <t>SCA</t>
        </is>
      </c>
      <c r="G198" t="n">
        <v>1.8</v>
      </c>
      <c r="H198" t="n">
        <v>0</v>
      </c>
      <c r="I198" t="n">
        <v>0</v>
      </c>
      <c r="J198" t="n">
        <v>3</v>
      </c>
      <c r="K198" t="n">
        <v>0</v>
      </c>
      <c r="L198" t="n">
        <v>0</v>
      </c>
      <c r="M198" t="n">
        <v>0</v>
      </c>
      <c r="N198" t="n">
        <v>0</v>
      </c>
      <c r="O198" t="n">
        <v>3</v>
      </c>
      <c r="P198" t="n">
        <v>0</v>
      </c>
      <c r="Q198" t="n">
        <v>3</v>
      </c>
      <c r="R198" s="2" t="inlineStr">
        <is>
          <t>Garnlav
Mörk kolflarnlav
Rosenticka</t>
        </is>
      </c>
      <c r="S198">
        <f>HYPERLINK("https://klasma.github.io/Logging_2283/artfynd/A 34528-2022 artfynd.xlsx", "A 34528-2022")</f>
        <v/>
      </c>
      <c r="T198">
        <f>HYPERLINK("https://klasma.github.io/Logging_2283/kartor/A 34528-2022 karta.png", "A 34528-2022")</f>
        <v/>
      </c>
      <c r="V198">
        <f>HYPERLINK("https://klasma.github.io/Logging_2283/klagomål/A 34528-2022 FSC-klagomål.docx", "A 34528-2022")</f>
        <v/>
      </c>
      <c r="W198">
        <f>HYPERLINK("https://klasma.github.io/Logging_2283/klagomålsmail/A 34528-2022 FSC-klagomål mail.docx", "A 34528-2022")</f>
        <v/>
      </c>
      <c r="X198">
        <f>HYPERLINK("https://klasma.github.io/Logging_2283/tillsyn/A 34528-2022 tillsynsbegäran.docx", "A 34528-2022")</f>
        <v/>
      </c>
      <c r="Y198">
        <f>HYPERLINK("https://klasma.github.io/Logging_2283/tillsynsmail/A 34528-2022 tillsynsbegäran mail.docx", "A 34528-2022")</f>
        <v/>
      </c>
    </row>
    <row r="199" ht="15" customHeight="1">
      <c r="A199" t="inlineStr">
        <is>
          <t>A 42301-2022</t>
        </is>
      </c>
      <c r="B199" s="1" t="n">
        <v>44831</v>
      </c>
      <c r="C199" s="1" t="n">
        <v>45583</v>
      </c>
      <c r="D199" t="inlineStr">
        <is>
          <t>VÄSTERNORRLANDS LÄN</t>
        </is>
      </c>
      <c r="E199" t="inlineStr">
        <is>
          <t>SOLLEFTEÅ</t>
        </is>
      </c>
      <c r="F199" t="inlineStr">
        <is>
          <t>SCA</t>
        </is>
      </c>
      <c r="G199" t="n">
        <v>0.8</v>
      </c>
      <c r="H199" t="n">
        <v>1</v>
      </c>
      <c r="I199" t="n">
        <v>0</v>
      </c>
      <c r="J199" t="n">
        <v>3</v>
      </c>
      <c r="K199" t="n">
        <v>0</v>
      </c>
      <c r="L199" t="n">
        <v>0</v>
      </c>
      <c r="M199" t="n">
        <v>0</v>
      </c>
      <c r="N199" t="n">
        <v>0</v>
      </c>
      <c r="O199" t="n">
        <v>3</v>
      </c>
      <c r="P199" t="n">
        <v>0</v>
      </c>
      <c r="Q199" t="n">
        <v>3</v>
      </c>
      <c r="R199" s="2" t="inlineStr">
        <is>
          <t>Gammelgransskål
Harticka
Tretåig hackspett</t>
        </is>
      </c>
      <c r="S199">
        <f>HYPERLINK("https://klasma.github.io/Logging_2283/artfynd/A 42301-2022 artfynd.xlsx", "A 42301-2022")</f>
        <v/>
      </c>
      <c r="T199">
        <f>HYPERLINK("https://klasma.github.io/Logging_2283/kartor/A 42301-2022 karta.png", "A 42301-2022")</f>
        <v/>
      </c>
      <c r="V199">
        <f>HYPERLINK("https://klasma.github.io/Logging_2283/klagomål/A 42301-2022 FSC-klagomål.docx", "A 42301-2022")</f>
        <v/>
      </c>
      <c r="W199">
        <f>HYPERLINK("https://klasma.github.io/Logging_2283/klagomålsmail/A 42301-2022 FSC-klagomål mail.docx", "A 42301-2022")</f>
        <v/>
      </c>
      <c r="X199">
        <f>HYPERLINK("https://klasma.github.io/Logging_2283/tillsyn/A 42301-2022 tillsynsbegäran.docx", "A 42301-2022")</f>
        <v/>
      </c>
      <c r="Y199">
        <f>HYPERLINK("https://klasma.github.io/Logging_2283/tillsynsmail/A 42301-2022 tillsynsbegäran mail.docx", "A 42301-2022")</f>
        <v/>
      </c>
      <c r="Z199">
        <f>HYPERLINK("https://klasma.github.io/Logging_2283/fåglar/A 42301-2022 prioriterade fågelarter.docx", "A 42301-2022")</f>
        <v/>
      </c>
    </row>
    <row r="200" ht="15" customHeight="1">
      <c r="A200" t="inlineStr">
        <is>
          <t>A 59046-2022</t>
        </is>
      </c>
      <c r="B200" s="1" t="n">
        <v>44903</v>
      </c>
      <c r="C200" s="1" t="n">
        <v>45583</v>
      </c>
      <c r="D200" t="inlineStr">
        <is>
          <t>VÄSTERNORRLANDS LÄN</t>
        </is>
      </c>
      <c r="E200" t="inlineStr">
        <is>
          <t>SOLLEFTEÅ</t>
        </is>
      </c>
      <c r="F200" t="inlineStr">
        <is>
          <t>SCA</t>
        </is>
      </c>
      <c r="G200" t="n">
        <v>10.3</v>
      </c>
      <c r="H200" t="n">
        <v>1</v>
      </c>
      <c r="I200" t="n">
        <v>0</v>
      </c>
      <c r="J200" t="n">
        <v>3</v>
      </c>
      <c r="K200" t="n">
        <v>0</v>
      </c>
      <c r="L200" t="n">
        <v>0</v>
      </c>
      <c r="M200" t="n">
        <v>0</v>
      </c>
      <c r="N200" t="n">
        <v>0</v>
      </c>
      <c r="O200" t="n">
        <v>3</v>
      </c>
      <c r="P200" t="n">
        <v>0</v>
      </c>
      <c r="Q200" t="n">
        <v>3</v>
      </c>
      <c r="R200" s="2" t="inlineStr">
        <is>
          <t>Lunglav
Orange taggsvamp
Tretåig hackspett</t>
        </is>
      </c>
      <c r="S200">
        <f>HYPERLINK("https://klasma.github.io/Logging_2283/artfynd/A 59046-2022 artfynd.xlsx", "A 59046-2022")</f>
        <v/>
      </c>
      <c r="T200">
        <f>HYPERLINK("https://klasma.github.io/Logging_2283/kartor/A 59046-2022 karta.png", "A 59046-2022")</f>
        <v/>
      </c>
      <c r="V200">
        <f>HYPERLINK("https://klasma.github.io/Logging_2283/klagomål/A 59046-2022 FSC-klagomål.docx", "A 59046-2022")</f>
        <v/>
      </c>
      <c r="W200">
        <f>HYPERLINK("https://klasma.github.io/Logging_2283/klagomålsmail/A 59046-2022 FSC-klagomål mail.docx", "A 59046-2022")</f>
        <v/>
      </c>
      <c r="X200">
        <f>HYPERLINK("https://klasma.github.io/Logging_2283/tillsyn/A 59046-2022 tillsynsbegäran.docx", "A 59046-2022")</f>
        <v/>
      </c>
      <c r="Y200">
        <f>HYPERLINK("https://klasma.github.io/Logging_2283/tillsynsmail/A 59046-2022 tillsynsbegäran mail.docx", "A 59046-2022")</f>
        <v/>
      </c>
      <c r="Z200">
        <f>HYPERLINK("https://klasma.github.io/Logging_2283/fåglar/A 59046-2022 prioriterade fågelarter.docx", "A 59046-2022")</f>
        <v/>
      </c>
    </row>
    <row r="201" ht="15" customHeight="1">
      <c r="A201" t="inlineStr">
        <is>
          <t>A 6235-2023</t>
        </is>
      </c>
      <c r="B201" s="1" t="n">
        <v>44964</v>
      </c>
      <c r="C201" s="1" t="n">
        <v>45583</v>
      </c>
      <c r="D201" t="inlineStr">
        <is>
          <t>VÄSTERNORRLANDS LÄN</t>
        </is>
      </c>
      <c r="E201" t="inlineStr">
        <is>
          <t>SOLLEFTEÅ</t>
        </is>
      </c>
      <c r="F201" t="inlineStr">
        <is>
          <t>SCA</t>
        </is>
      </c>
      <c r="G201" t="n">
        <v>0.6</v>
      </c>
      <c r="H201" t="n">
        <v>2</v>
      </c>
      <c r="I201" t="n">
        <v>0</v>
      </c>
      <c r="J201" t="n">
        <v>2</v>
      </c>
      <c r="K201" t="n">
        <v>0</v>
      </c>
      <c r="L201" t="n">
        <v>0</v>
      </c>
      <c r="M201" t="n">
        <v>0</v>
      </c>
      <c r="N201" t="n">
        <v>0</v>
      </c>
      <c r="O201" t="n">
        <v>2</v>
      </c>
      <c r="P201" t="n">
        <v>0</v>
      </c>
      <c r="Q201" t="n">
        <v>3</v>
      </c>
      <c r="R201" s="2" t="inlineStr">
        <is>
          <t>Harticka
Tretåig hackspett
Tjäder</t>
        </is>
      </c>
      <c r="S201">
        <f>HYPERLINK("https://klasma.github.io/Logging_2283/artfynd/A 6235-2023 artfynd.xlsx", "A 6235-2023")</f>
        <v/>
      </c>
      <c r="T201">
        <f>HYPERLINK("https://klasma.github.io/Logging_2283/kartor/A 6235-2023 karta.png", "A 6235-2023")</f>
        <v/>
      </c>
      <c r="V201">
        <f>HYPERLINK("https://klasma.github.io/Logging_2283/klagomål/A 6235-2023 FSC-klagomål.docx", "A 6235-2023")</f>
        <v/>
      </c>
      <c r="W201">
        <f>HYPERLINK("https://klasma.github.io/Logging_2283/klagomålsmail/A 6235-2023 FSC-klagomål mail.docx", "A 6235-2023")</f>
        <v/>
      </c>
      <c r="X201">
        <f>HYPERLINK("https://klasma.github.io/Logging_2283/tillsyn/A 6235-2023 tillsynsbegäran.docx", "A 6235-2023")</f>
        <v/>
      </c>
      <c r="Y201">
        <f>HYPERLINK("https://klasma.github.io/Logging_2283/tillsynsmail/A 6235-2023 tillsynsbegäran mail.docx", "A 6235-2023")</f>
        <v/>
      </c>
      <c r="Z201">
        <f>HYPERLINK("https://klasma.github.io/Logging_2283/fåglar/A 6235-2023 prioriterade fågelarter.docx", "A 6235-2023")</f>
        <v/>
      </c>
    </row>
    <row r="202" ht="15" customHeight="1">
      <c r="A202" t="inlineStr">
        <is>
          <t>A 20781-2023</t>
        </is>
      </c>
      <c r="B202" s="1" t="n">
        <v>45058</v>
      </c>
      <c r="C202" s="1" t="n">
        <v>45583</v>
      </c>
      <c r="D202" t="inlineStr">
        <is>
          <t>VÄSTERNORRLANDS LÄN</t>
        </is>
      </c>
      <c r="E202" t="inlineStr">
        <is>
          <t>SOLLEFTEÅ</t>
        </is>
      </c>
      <c r="F202" t="inlineStr">
        <is>
          <t>Kyrkan</t>
        </is>
      </c>
      <c r="G202" t="n">
        <v>11.1</v>
      </c>
      <c r="H202" t="n">
        <v>1</v>
      </c>
      <c r="I202" t="n">
        <v>0</v>
      </c>
      <c r="J202" t="n">
        <v>2</v>
      </c>
      <c r="K202" t="n">
        <v>1</v>
      </c>
      <c r="L202" t="n">
        <v>0</v>
      </c>
      <c r="M202" t="n">
        <v>0</v>
      </c>
      <c r="N202" t="n">
        <v>0</v>
      </c>
      <c r="O202" t="n">
        <v>3</v>
      </c>
      <c r="P202" t="n">
        <v>1</v>
      </c>
      <c r="Q202" t="n">
        <v>3</v>
      </c>
      <c r="R202" s="2" t="inlineStr">
        <is>
          <t>Knärot
Garnlav
Ullticka</t>
        </is>
      </c>
      <c r="S202">
        <f>HYPERLINK("https://klasma.github.io/Logging_2283/artfynd/A 20781-2023 artfynd.xlsx", "A 20781-2023")</f>
        <v/>
      </c>
      <c r="T202">
        <f>HYPERLINK("https://klasma.github.io/Logging_2283/kartor/A 20781-2023 karta.png", "A 20781-2023")</f>
        <v/>
      </c>
      <c r="U202">
        <f>HYPERLINK("https://klasma.github.io/Logging_2283/knärot/A 20781-2023 karta knärot.png", "A 20781-2023")</f>
        <v/>
      </c>
      <c r="V202">
        <f>HYPERLINK("https://klasma.github.io/Logging_2283/klagomål/A 20781-2023 FSC-klagomål.docx", "A 20781-2023")</f>
        <v/>
      </c>
      <c r="W202">
        <f>HYPERLINK("https://klasma.github.io/Logging_2283/klagomålsmail/A 20781-2023 FSC-klagomål mail.docx", "A 20781-2023")</f>
        <v/>
      </c>
      <c r="X202">
        <f>HYPERLINK("https://klasma.github.io/Logging_2283/tillsyn/A 20781-2023 tillsynsbegäran.docx", "A 20781-2023")</f>
        <v/>
      </c>
      <c r="Y202">
        <f>HYPERLINK("https://klasma.github.io/Logging_2283/tillsynsmail/A 20781-2023 tillsynsbegäran mail.docx", "A 20781-2023")</f>
        <v/>
      </c>
    </row>
    <row r="203" ht="15" customHeight="1">
      <c r="A203" t="inlineStr">
        <is>
          <t>A 21342-2023</t>
        </is>
      </c>
      <c r="B203" s="1" t="n">
        <v>45062</v>
      </c>
      <c r="C203" s="1" t="n">
        <v>45583</v>
      </c>
      <c r="D203" t="inlineStr">
        <is>
          <t>VÄSTERNORRLANDS LÄN</t>
        </is>
      </c>
      <c r="E203" t="inlineStr">
        <is>
          <t>SOLLEFTEÅ</t>
        </is>
      </c>
      <c r="F203" t="inlineStr">
        <is>
          <t>SCA</t>
        </is>
      </c>
      <c r="G203" t="n">
        <v>4.3</v>
      </c>
      <c r="H203" t="n">
        <v>1</v>
      </c>
      <c r="I203" t="n">
        <v>1</v>
      </c>
      <c r="J203" t="n">
        <v>2</v>
      </c>
      <c r="K203" t="n">
        <v>0</v>
      </c>
      <c r="L203" t="n">
        <v>0</v>
      </c>
      <c r="M203" t="n">
        <v>0</v>
      </c>
      <c r="N203" t="n">
        <v>0</v>
      </c>
      <c r="O203" t="n">
        <v>2</v>
      </c>
      <c r="P203" t="n">
        <v>0</v>
      </c>
      <c r="Q203" t="n">
        <v>3</v>
      </c>
      <c r="R203" s="2" t="inlineStr">
        <is>
          <t>Dvärgbägarlav
Kolflarnlav
Plattlummer</t>
        </is>
      </c>
      <c r="S203">
        <f>HYPERLINK("https://klasma.github.io/Logging_2283/artfynd/A 21342-2023 artfynd.xlsx", "A 21342-2023")</f>
        <v/>
      </c>
      <c r="T203">
        <f>HYPERLINK("https://klasma.github.io/Logging_2283/kartor/A 21342-2023 karta.png", "A 21342-2023")</f>
        <v/>
      </c>
      <c r="V203">
        <f>HYPERLINK("https://klasma.github.io/Logging_2283/klagomål/A 21342-2023 FSC-klagomål.docx", "A 21342-2023")</f>
        <v/>
      </c>
      <c r="W203">
        <f>HYPERLINK("https://klasma.github.io/Logging_2283/klagomålsmail/A 21342-2023 FSC-klagomål mail.docx", "A 21342-2023")</f>
        <v/>
      </c>
      <c r="X203">
        <f>HYPERLINK("https://klasma.github.io/Logging_2283/tillsyn/A 21342-2023 tillsynsbegäran.docx", "A 21342-2023")</f>
        <v/>
      </c>
      <c r="Y203">
        <f>HYPERLINK("https://klasma.github.io/Logging_2283/tillsynsmail/A 21342-2023 tillsynsbegäran mail.docx", "A 21342-2023")</f>
        <v/>
      </c>
    </row>
    <row r="204" ht="15" customHeight="1">
      <c r="A204" t="inlineStr">
        <is>
          <t>A 21343-2023</t>
        </is>
      </c>
      <c r="B204" s="1" t="n">
        <v>45062</v>
      </c>
      <c r="C204" s="1" t="n">
        <v>45583</v>
      </c>
      <c r="D204" t="inlineStr">
        <is>
          <t>VÄSTERNORRLANDS LÄN</t>
        </is>
      </c>
      <c r="E204" t="inlineStr">
        <is>
          <t>SOLLEFTEÅ</t>
        </is>
      </c>
      <c r="F204" t="inlineStr">
        <is>
          <t>SCA</t>
        </is>
      </c>
      <c r="G204" t="n">
        <v>4.8</v>
      </c>
      <c r="H204" t="n">
        <v>0</v>
      </c>
      <c r="I204" t="n">
        <v>0</v>
      </c>
      <c r="J204" t="n">
        <v>3</v>
      </c>
      <c r="K204" t="n">
        <v>0</v>
      </c>
      <c r="L204" t="n">
        <v>0</v>
      </c>
      <c r="M204" t="n">
        <v>0</v>
      </c>
      <c r="N204" t="n">
        <v>0</v>
      </c>
      <c r="O204" t="n">
        <v>3</v>
      </c>
      <c r="P204" t="n">
        <v>0</v>
      </c>
      <c r="Q204" t="n">
        <v>3</v>
      </c>
      <c r="R204" s="2" t="inlineStr">
        <is>
          <t>Garnlav
Kolflarnlav
Vedskivlav</t>
        </is>
      </c>
      <c r="S204">
        <f>HYPERLINK("https://klasma.github.io/Logging_2283/artfynd/A 21343-2023 artfynd.xlsx", "A 21343-2023")</f>
        <v/>
      </c>
      <c r="T204">
        <f>HYPERLINK("https://klasma.github.io/Logging_2283/kartor/A 21343-2023 karta.png", "A 21343-2023")</f>
        <v/>
      </c>
      <c r="V204">
        <f>HYPERLINK("https://klasma.github.io/Logging_2283/klagomål/A 21343-2023 FSC-klagomål.docx", "A 21343-2023")</f>
        <v/>
      </c>
      <c r="W204">
        <f>HYPERLINK("https://klasma.github.io/Logging_2283/klagomålsmail/A 21343-2023 FSC-klagomål mail.docx", "A 21343-2023")</f>
        <v/>
      </c>
      <c r="X204">
        <f>HYPERLINK("https://klasma.github.io/Logging_2283/tillsyn/A 21343-2023 tillsynsbegäran.docx", "A 21343-2023")</f>
        <v/>
      </c>
      <c r="Y204">
        <f>HYPERLINK("https://klasma.github.io/Logging_2283/tillsynsmail/A 21343-2023 tillsynsbegäran mail.docx", "A 21343-2023")</f>
        <v/>
      </c>
    </row>
    <row r="205" ht="15" customHeight="1">
      <c r="A205" t="inlineStr">
        <is>
          <t>A 23782-2023</t>
        </is>
      </c>
      <c r="B205" s="1" t="n">
        <v>45077</v>
      </c>
      <c r="C205" s="1" t="n">
        <v>45583</v>
      </c>
      <c r="D205" t="inlineStr">
        <is>
          <t>VÄSTERNORRLANDS LÄN</t>
        </is>
      </c>
      <c r="E205" t="inlineStr">
        <is>
          <t>SOLLEFTEÅ</t>
        </is>
      </c>
      <c r="F205" t="inlineStr">
        <is>
          <t>SCA</t>
        </is>
      </c>
      <c r="G205" t="n">
        <v>6.3</v>
      </c>
      <c r="H205" t="n">
        <v>0</v>
      </c>
      <c r="I205" t="n">
        <v>2</v>
      </c>
      <c r="J205" t="n">
        <v>1</v>
      </c>
      <c r="K205" t="n">
        <v>0</v>
      </c>
      <c r="L205" t="n">
        <v>0</v>
      </c>
      <c r="M205" t="n">
        <v>0</v>
      </c>
      <c r="N205" t="n">
        <v>0</v>
      </c>
      <c r="O205" t="n">
        <v>1</v>
      </c>
      <c r="P205" t="n">
        <v>0</v>
      </c>
      <c r="Q205" t="n">
        <v>3</v>
      </c>
      <c r="R205" s="2" t="inlineStr">
        <is>
          <t>Garnlav
Bollvitmossa
Norrlandslav</t>
        </is>
      </c>
      <c r="S205">
        <f>HYPERLINK("https://klasma.github.io/Logging_2283/artfynd/A 23782-2023 artfynd.xlsx", "A 23782-2023")</f>
        <v/>
      </c>
      <c r="T205">
        <f>HYPERLINK("https://klasma.github.io/Logging_2283/kartor/A 23782-2023 karta.png", "A 23782-2023")</f>
        <v/>
      </c>
      <c r="V205">
        <f>HYPERLINK("https://klasma.github.io/Logging_2283/klagomål/A 23782-2023 FSC-klagomål.docx", "A 23782-2023")</f>
        <v/>
      </c>
      <c r="W205">
        <f>HYPERLINK("https://klasma.github.io/Logging_2283/klagomålsmail/A 23782-2023 FSC-klagomål mail.docx", "A 23782-2023")</f>
        <v/>
      </c>
      <c r="X205">
        <f>HYPERLINK("https://klasma.github.io/Logging_2283/tillsyn/A 23782-2023 tillsynsbegäran.docx", "A 23782-2023")</f>
        <v/>
      </c>
      <c r="Y205">
        <f>HYPERLINK("https://klasma.github.io/Logging_2283/tillsynsmail/A 23782-2023 tillsynsbegäran mail.docx", "A 23782-2023")</f>
        <v/>
      </c>
    </row>
    <row r="206" ht="15" customHeight="1">
      <c r="A206" t="inlineStr">
        <is>
          <t>A 26374-2023</t>
        </is>
      </c>
      <c r="B206" s="1" t="n">
        <v>45092</v>
      </c>
      <c r="C206" s="1" t="n">
        <v>45583</v>
      </c>
      <c r="D206" t="inlineStr">
        <is>
          <t>VÄSTERNORRLANDS LÄN</t>
        </is>
      </c>
      <c r="E206" t="inlineStr">
        <is>
          <t>SOLLEFTEÅ</t>
        </is>
      </c>
      <c r="F206" t="inlineStr">
        <is>
          <t>SCA</t>
        </is>
      </c>
      <c r="G206" t="n">
        <v>0.9</v>
      </c>
      <c r="H206" t="n">
        <v>0</v>
      </c>
      <c r="I206" t="n">
        <v>0</v>
      </c>
      <c r="J206" t="n">
        <v>2</v>
      </c>
      <c r="K206" t="n">
        <v>1</v>
      </c>
      <c r="L206" t="n">
        <v>0</v>
      </c>
      <c r="M206" t="n">
        <v>0</v>
      </c>
      <c r="N206" t="n">
        <v>0</v>
      </c>
      <c r="O206" t="n">
        <v>3</v>
      </c>
      <c r="P206" t="n">
        <v>1</v>
      </c>
      <c r="Q206" t="n">
        <v>3</v>
      </c>
      <c r="R206" s="2" t="inlineStr">
        <is>
          <t>Blackticka
Granticka
Ullticka</t>
        </is>
      </c>
      <c r="S206">
        <f>HYPERLINK("https://klasma.github.io/Logging_2283/artfynd/A 26374-2023 artfynd.xlsx", "A 26374-2023")</f>
        <v/>
      </c>
      <c r="T206">
        <f>HYPERLINK("https://klasma.github.io/Logging_2283/kartor/A 26374-2023 karta.png", "A 26374-2023")</f>
        <v/>
      </c>
      <c r="V206">
        <f>HYPERLINK("https://klasma.github.io/Logging_2283/klagomål/A 26374-2023 FSC-klagomål.docx", "A 26374-2023")</f>
        <v/>
      </c>
      <c r="W206">
        <f>HYPERLINK("https://klasma.github.io/Logging_2283/klagomålsmail/A 26374-2023 FSC-klagomål mail.docx", "A 26374-2023")</f>
        <v/>
      </c>
      <c r="X206">
        <f>HYPERLINK("https://klasma.github.io/Logging_2283/tillsyn/A 26374-2023 tillsynsbegäran.docx", "A 26374-2023")</f>
        <v/>
      </c>
      <c r="Y206">
        <f>HYPERLINK("https://klasma.github.io/Logging_2283/tillsynsmail/A 26374-2023 tillsynsbegäran mail.docx", "A 26374-2023")</f>
        <v/>
      </c>
    </row>
    <row r="207" ht="15" customHeight="1">
      <c r="A207" t="inlineStr">
        <is>
          <t>A 45006-2023</t>
        </is>
      </c>
      <c r="B207" s="1" t="n">
        <v>45190</v>
      </c>
      <c r="C207" s="1" t="n">
        <v>45583</v>
      </c>
      <c r="D207" t="inlineStr">
        <is>
          <t>VÄSTERNORRLANDS LÄN</t>
        </is>
      </c>
      <c r="E207" t="inlineStr">
        <is>
          <t>SOLLEFTEÅ</t>
        </is>
      </c>
      <c r="F207" t="inlineStr">
        <is>
          <t>SCA</t>
        </is>
      </c>
      <c r="G207" t="n">
        <v>5.1</v>
      </c>
      <c r="H207" t="n">
        <v>0</v>
      </c>
      <c r="I207" t="n">
        <v>0</v>
      </c>
      <c r="J207" t="n">
        <v>2</v>
      </c>
      <c r="K207" t="n">
        <v>1</v>
      </c>
      <c r="L207" t="n">
        <v>0</v>
      </c>
      <c r="M207" t="n">
        <v>0</v>
      </c>
      <c r="N207" t="n">
        <v>0</v>
      </c>
      <c r="O207" t="n">
        <v>3</v>
      </c>
      <c r="P207" t="n">
        <v>1</v>
      </c>
      <c r="Q207" t="n">
        <v>3</v>
      </c>
      <c r="R207" s="2" t="inlineStr">
        <is>
          <t>Rynkskinn
Gammelgransskål
Rosenticka</t>
        </is>
      </c>
      <c r="S207">
        <f>HYPERLINK("https://klasma.github.io/Logging_2283/artfynd/A 45006-2023 artfynd.xlsx", "A 45006-2023")</f>
        <v/>
      </c>
      <c r="T207">
        <f>HYPERLINK("https://klasma.github.io/Logging_2283/kartor/A 45006-2023 karta.png", "A 45006-2023")</f>
        <v/>
      </c>
      <c r="V207">
        <f>HYPERLINK("https://klasma.github.io/Logging_2283/klagomål/A 45006-2023 FSC-klagomål.docx", "A 45006-2023")</f>
        <v/>
      </c>
      <c r="W207">
        <f>HYPERLINK("https://klasma.github.io/Logging_2283/klagomålsmail/A 45006-2023 FSC-klagomål mail.docx", "A 45006-2023")</f>
        <v/>
      </c>
      <c r="X207">
        <f>HYPERLINK("https://klasma.github.io/Logging_2283/tillsyn/A 45006-2023 tillsynsbegäran.docx", "A 45006-2023")</f>
        <v/>
      </c>
      <c r="Y207">
        <f>HYPERLINK("https://klasma.github.io/Logging_2283/tillsynsmail/A 45006-2023 tillsynsbegäran mail.docx", "A 45006-2023")</f>
        <v/>
      </c>
    </row>
    <row r="208" ht="15" customHeight="1">
      <c r="A208" t="inlineStr">
        <is>
          <t>A 50838-2023</t>
        </is>
      </c>
      <c r="B208" s="1" t="n">
        <v>45217</v>
      </c>
      <c r="C208" s="1" t="n">
        <v>45583</v>
      </c>
      <c r="D208" t="inlineStr">
        <is>
          <t>VÄSTERNORRLANDS LÄN</t>
        </is>
      </c>
      <c r="E208" t="inlineStr">
        <is>
          <t>SOLLEFTEÅ</t>
        </is>
      </c>
      <c r="F208" t="inlineStr">
        <is>
          <t>SCA</t>
        </is>
      </c>
      <c r="G208" t="n">
        <v>2.1</v>
      </c>
      <c r="H208" t="n">
        <v>2</v>
      </c>
      <c r="I208" t="n">
        <v>0</v>
      </c>
      <c r="J208" t="n">
        <v>1</v>
      </c>
      <c r="K208" t="n">
        <v>2</v>
      </c>
      <c r="L208" t="n">
        <v>0</v>
      </c>
      <c r="M208" t="n">
        <v>0</v>
      </c>
      <c r="N208" t="n">
        <v>0</v>
      </c>
      <c r="O208" t="n">
        <v>3</v>
      </c>
      <c r="P208" t="n">
        <v>2</v>
      </c>
      <c r="Q208" t="n">
        <v>3</v>
      </c>
      <c r="R208" s="2" t="inlineStr">
        <is>
          <t>Doftticka
Knärot
Lunglav</t>
        </is>
      </c>
      <c r="S208">
        <f>HYPERLINK("https://klasma.github.io/Logging_2283/artfynd/A 50838-2023 artfynd.xlsx", "A 50838-2023")</f>
        <v/>
      </c>
      <c r="T208">
        <f>HYPERLINK("https://klasma.github.io/Logging_2283/kartor/A 50838-2023 karta.png", "A 50838-2023")</f>
        <v/>
      </c>
      <c r="U208">
        <f>HYPERLINK("https://klasma.github.io/Logging_2283/knärot/A 50838-2023 karta knärot.png", "A 50838-2023")</f>
        <v/>
      </c>
      <c r="V208">
        <f>HYPERLINK("https://klasma.github.io/Logging_2283/klagomål/A 50838-2023 FSC-klagomål.docx", "A 50838-2023")</f>
        <v/>
      </c>
      <c r="W208">
        <f>HYPERLINK("https://klasma.github.io/Logging_2283/klagomålsmail/A 50838-2023 FSC-klagomål mail.docx", "A 50838-2023")</f>
        <v/>
      </c>
      <c r="X208">
        <f>HYPERLINK("https://klasma.github.io/Logging_2283/tillsyn/A 50838-2023 tillsynsbegäran.docx", "A 50838-2023")</f>
        <v/>
      </c>
      <c r="Y208">
        <f>HYPERLINK("https://klasma.github.io/Logging_2283/tillsynsmail/A 50838-2023 tillsynsbegäran mail.docx", "A 50838-2023")</f>
        <v/>
      </c>
    </row>
    <row r="209" ht="15" customHeight="1">
      <c r="A209" t="inlineStr">
        <is>
          <t>A 52762-2023</t>
        </is>
      </c>
      <c r="B209" s="1" t="n">
        <v>45225</v>
      </c>
      <c r="C209" s="1" t="n">
        <v>45583</v>
      </c>
      <c r="D209" t="inlineStr">
        <is>
          <t>VÄSTERNORRLANDS LÄN</t>
        </is>
      </c>
      <c r="E209" t="inlineStr">
        <is>
          <t>SOLLEFTEÅ</t>
        </is>
      </c>
      <c r="F209" t="inlineStr">
        <is>
          <t>SCA</t>
        </is>
      </c>
      <c r="G209" t="n">
        <v>6.3</v>
      </c>
      <c r="H209" t="n">
        <v>1</v>
      </c>
      <c r="I209" t="n">
        <v>0</v>
      </c>
      <c r="J209" t="n">
        <v>2</v>
      </c>
      <c r="K209" t="n">
        <v>0</v>
      </c>
      <c r="L209" t="n">
        <v>0</v>
      </c>
      <c r="M209" t="n">
        <v>0</v>
      </c>
      <c r="N209" t="n">
        <v>0</v>
      </c>
      <c r="O209" t="n">
        <v>2</v>
      </c>
      <c r="P209" t="n">
        <v>0</v>
      </c>
      <c r="Q209" t="n">
        <v>3</v>
      </c>
      <c r="R209" s="2" t="inlineStr">
        <is>
          <t>Rosenticka
Ullticka
Fläcknycklar</t>
        </is>
      </c>
      <c r="S209">
        <f>HYPERLINK("https://klasma.github.io/Logging_2283/artfynd/A 52762-2023 artfynd.xlsx", "A 52762-2023")</f>
        <v/>
      </c>
      <c r="T209">
        <f>HYPERLINK("https://klasma.github.io/Logging_2283/kartor/A 52762-2023 karta.png", "A 52762-2023")</f>
        <v/>
      </c>
      <c r="V209">
        <f>HYPERLINK("https://klasma.github.io/Logging_2283/klagomål/A 52762-2023 FSC-klagomål.docx", "A 52762-2023")</f>
        <v/>
      </c>
      <c r="W209">
        <f>HYPERLINK("https://klasma.github.io/Logging_2283/klagomålsmail/A 52762-2023 FSC-klagomål mail.docx", "A 52762-2023")</f>
        <v/>
      </c>
      <c r="X209">
        <f>HYPERLINK("https://klasma.github.io/Logging_2283/tillsyn/A 52762-2023 tillsynsbegäran.docx", "A 52762-2023")</f>
        <v/>
      </c>
      <c r="Y209">
        <f>HYPERLINK("https://klasma.github.io/Logging_2283/tillsynsmail/A 52762-2023 tillsynsbegäran mail.docx", "A 52762-2023")</f>
        <v/>
      </c>
    </row>
    <row r="210" ht="15" customHeight="1">
      <c r="A210" t="inlineStr">
        <is>
          <t>A 54030-2023</t>
        </is>
      </c>
      <c r="B210" s="1" t="n">
        <v>45231</v>
      </c>
      <c r="C210" s="1" t="n">
        <v>45583</v>
      </c>
      <c r="D210" t="inlineStr">
        <is>
          <t>VÄSTERNORRLANDS LÄN</t>
        </is>
      </c>
      <c r="E210" t="inlineStr">
        <is>
          <t>SOLLEFTEÅ</t>
        </is>
      </c>
      <c r="G210" t="n">
        <v>4.4</v>
      </c>
      <c r="H210" t="n">
        <v>0</v>
      </c>
      <c r="I210" t="n">
        <v>0</v>
      </c>
      <c r="J210" t="n">
        <v>2</v>
      </c>
      <c r="K210" t="n">
        <v>1</v>
      </c>
      <c r="L210" t="n">
        <v>0</v>
      </c>
      <c r="M210" t="n">
        <v>0</v>
      </c>
      <c r="N210" t="n">
        <v>0</v>
      </c>
      <c r="O210" t="n">
        <v>3</v>
      </c>
      <c r="P210" t="n">
        <v>1</v>
      </c>
      <c r="Q210" t="n">
        <v>3</v>
      </c>
      <c r="R210" s="2" t="inlineStr">
        <is>
          <t>Rynkskinn
Rosenticka
Ullticka</t>
        </is>
      </c>
      <c r="S210">
        <f>HYPERLINK("https://klasma.github.io/Logging_2283/artfynd/A 54030-2023 artfynd.xlsx", "A 54030-2023")</f>
        <v/>
      </c>
      <c r="T210">
        <f>HYPERLINK("https://klasma.github.io/Logging_2283/kartor/A 54030-2023 karta.png", "A 54030-2023")</f>
        <v/>
      </c>
      <c r="V210">
        <f>HYPERLINK("https://klasma.github.io/Logging_2283/klagomål/A 54030-2023 FSC-klagomål.docx", "A 54030-2023")</f>
        <v/>
      </c>
      <c r="W210">
        <f>HYPERLINK("https://klasma.github.io/Logging_2283/klagomålsmail/A 54030-2023 FSC-klagomål mail.docx", "A 54030-2023")</f>
        <v/>
      </c>
      <c r="X210">
        <f>HYPERLINK("https://klasma.github.io/Logging_2283/tillsyn/A 54030-2023 tillsynsbegäran.docx", "A 54030-2023")</f>
        <v/>
      </c>
      <c r="Y210">
        <f>HYPERLINK("https://klasma.github.io/Logging_2283/tillsynsmail/A 54030-2023 tillsynsbegäran mail.docx", "A 54030-2023")</f>
        <v/>
      </c>
    </row>
    <row r="211" ht="15" customHeight="1">
      <c r="A211" t="inlineStr">
        <is>
          <t>A 16702-2024</t>
        </is>
      </c>
      <c r="B211" s="1" t="n">
        <v>45409</v>
      </c>
      <c r="C211" s="1" t="n">
        <v>45583</v>
      </c>
      <c r="D211" t="inlineStr">
        <is>
          <t>VÄSTERNORRLANDS LÄN</t>
        </is>
      </c>
      <c r="E211" t="inlineStr">
        <is>
          <t>SOLLEFTEÅ</t>
        </is>
      </c>
      <c r="F211" t="inlineStr">
        <is>
          <t>SCA</t>
        </is>
      </c>
      <c r="G211" t="n">
        <v>2.4</v>
      </c>
      <c r="H211" t="n">
        <v>0</v>
      </c>
      <c r="I211" t="n">
        <v>0</v>
      </c>
      <c r="J211" t="n">
        <v>3</v>
      </c>
      <c r="K211" t="n">
        <v>0</v>
      </c>
      <c r="L211" t="n">
        <v>0</v>
      </c>
      <c r="M211" t="n">
        <v>0</v>
      </c>
      <c r="N211" t="n">
        <v>0</v>
      </c>
      <c r="O211" t="n">
        <v>3</v>
      </c>
      <c r="P211" t="n">
        <v>0</v>
      </c>
      <c r="Q211" t="n">
        <v>3</v>
      </c>
      <c r="R211" s="2" t="inlineStr">
        <is>
          <t>Gammelgransskål
Rosenticka
Ullticka</t>
        </is>
      </c>
      <c r="S211">
        <f>HYPERLINK("https://klasma.github.io/Logging_2283/artfynd/A 16702-2024 artfynd.xlsx", "A 16702-2024")</f>
        <v/>
      </c>
      <c r="T211">
        <f>HYPERLINK("https://klasma.github.io/Logging_2283/kartor/A 16702-2024 karta.png", "A 16702-2024")</f>
        <v/>
      </c>
      <c r="V211">
        <f>HYPERLINK("https://klasma.github.io/Logging_2283/klagomål/A 16702-2024 FSC-klagomål.docx", "A 16702-2024")</f>
        <v/>
      </c>
      <c r="W211">
        <f>HYPERLINK("https://klasma.github.io/Logging_2283/klagomålsmail/A 16702-2024 FSC-klagomål mail.docx", "A 16702-2024")</f>
        <v/>
      </c>
      <c r="X211">
        <f>HYPERLINK("https://klasma.github.io/Logging_2283/tillsyn/A 16702-2024 tillsynsbegäran.docx", "A 16702-2024")</f>
        <v/>
      </c>
      <c r="Y211">
        <f>HYPERLINK("https://klasma.github.io/Logging_2283/tillsynsmail/A 16702-2024 tillsynsbegäran mail.docx", "A 16702-2024")</f>
        <v/>
      </c>
    </row>
    <row r="212" ht="15" customHeight="1">
      <c r="A212" t="inlineStr">
        <is>
          <t>A 21097-2024</t>
        </is>
      </c>
      <c r="B212" s="1" t="n">
        <v>45440</v>
      </c>
      <c r="C212" s="1" t="n">
        <v>45583</v>
      </c>
      <c r="D212" t="inlineStr">
        <is>
          <t>VÄSTERNORRLANDS LÄN</t>
        </is>
      </c>
      <c r="E212" t="inlineStr">
        <is>
          <t>SOLLEFTEÅ</t>
        </is>
      </c>
      <c r="F212" t="inlineStr">
        <is>
          <t>SCA</t>
        </is>
      </c>
      <c r="G212" t="n">
        <v>7.7</v>
      </c>
      <c r="H212" t="n">
        <v>1</v>
      </c>
      <c r="I212" t="n">
        <v>1</v>
      </c>
      <c r="J212" t="n">
        <v>2</v>
      </c>
      <c r="K212" t="n">
        <v>0</v>
      </c>
      <c r="L212" t="n">
        <v>0</v>
      </c>
      <c r="M212" t="n">
        <v>0</v>
      </c>
      <c r="N212" t="n">
        <v>0</v>
      </c>
      <c r="O212" t="n">
        <v>2</v>
      </c>
      <c r="P212" t="n">
        <v>0</v>
      </c>
      <c r="Q212" t="n">
        <v>3</v>
      </c>
      <c r="R212" s="2" t="inlineStr">
        <is>
          <t>Lunglav
Ullticka
Lappranunkel</t>
        </is>
      </c>
      <c r="S212">
        <f>HYPERLINK("https://klasma.github.io/Logging_2283/artfynd/A 21097-2024 artfynd.xlsx", "A 21097-2024")</f>
        <v/>
      </c>
      <c r="T212">
        <f>HYPERLINK("https://klasma.github.io/Logging_2283/kartor/A 21097-2024 karta.png", "A 21097-2024")</f>
        <v/>
      </c>
      <c r="V212">
        <f>HYPERLINK("https://klasma.github.io/Logging_2283/klagomål/A 21097-2024 FSC-klagomål.docx", "A 21097-2024")</f>
        <v/>
      </c>
      <c r="W212">
        <f>HYPERLINK("https://klasma.github.io/Logging_2283/klagomålsmail/A 21097-2024 FSC-klagomål mail.docx", "A 21097-2024")</f>
        <v/>
      </c>
      <c r="X212">
        <f>HYPERLINK("https://klasma.github.io/Logging_2283/tillsyn/A 21097-2024 tillsynsbegäran.docx", "A 21097-2024")</f>
        <v/>
      </c>
      <c r="Y212">
        <f>HYPERLINK("https://klasma.github.io/Logging_2283/tillsynsmail/A 21097-2024 tillsynsbegäran mail.docx", "A 21097-2024")</f>
        <v/>
      </c>
    </row>
    <row r="213" ht="15" customHeight="1">
      <c r="A213" t="inlineStr">
        <is>
          <t>A 24757-2024</t>
        </is>
      </c>
      <c r="B213" s="1" t="n">
        <v>45460</v>
      </c>
      <c r="C213" s="1" t="n">
        <v>45583</v>
      </c>
      <c r="D213" t="inlineStr">
        <is>
          <t>VÄSTERNORRLANDS LÄN</t>
        </is>
      </c>
      <c r="E213" t="inlineStr">
        <is>
          <t>SOLLEFTEÅ</t>
        </is>
      </c>
      <c r="G213" t="n">
        <v>1.4</v>
      </c>
      <c r="H213" t="n">
        <v>1</v>
      </c>
      <c r="I213" t="n">
        <v>0</v>
      </c>
      <c r="J213" t="n">
        <v>2</v>
      </c>
      <c r="K213" t="n">
        <v>0</v>
      </c>
      <c r="L213" t="n">
        <v>0</v>
      </c>
      <c r="M213" t="n">
        <v>0</v>
      </c>
      <c r="N213" t="n">
        <v>0</v>
      </c>
      <c r="O213" t="n">
        <v>2</v>
      </c>
      <c r="P213" t="n">
        <v>0</v>
      </c>
      <c r="Q213" t="n">
        <v>3</v>
      </c>
      <c r="R213" s="2" t="inlineStr">
        <is>
          <t>Harticka
Lunglav
Revlummer</t>
        </is>
      </c>
      <c r="S213">
        <f>HYPERLINK("https://klasma.github.io/Logging_2283/artfynd/A 24757-2024 artfynd.xlsx", "A 24757-2024")</f>
        <v/>
      </c>
      <c r="T213">
        <f>HYPERLINK("https://klasma.github.io/Logging_2283/kartor/A 24757-2024 karta.png", "A 24757-2024")</f>
        <v/>
      </c>
      <c r="V213">
        <f>HYPERLINK("https://klasma.github.io/Logging_2283/klagomål/A 24757-2024 FSC-klagomål.docx", "A 24757-2024")</f>
        <v/>
      </c>
      <c r="W213">
        <f>HYPERLINK("https://klasma.github.io/Logging_2283/klagomålsmail/A 24757-2024 FSC-klagomål mail.docx", "A 24757-2024")</f>
        <v/>
      </c>
      <c r="X213">
        <f>HYPERLINK("https://klasma.github.io/Logging_2283/tillsyn/A 24757-2024 tillsynsbegäran.docx", "A 24757-2024")</f>
        <v/>
      </c>
      <c r="Y213">
        <f>HYPERLINK("https://klasma.github.io/Logging_2283/tillsynsmail/A 24757-2024 tillsynsbegäran mail.docx", "A 24757-2024")</f>
        <v/>
      </c>
    </row>
    <row r="214" ht="15" customHeight="1">
      <c r="A214" t="inlineStr">
        <is>
          <t>A 28875-2024</t>
        </is>
      </c>
      <c r="B214" s="1" t="n">
        <v>45478</v>
      </c>
      <c r="C214" s="1" t="n">
        <v>45583</v>
      </c>
      <c r="D214" t="inlineStr">
        <is>
          <t>VÄSTERNORRLANDS LÄN</t>
        </is>
      </c>
      <c r="E214" t="inlineStr">
        <is>
          <t>SOLLEFTEÅ</t>
        </is>
      </c>
      <c r="F214" t="inlineStr">
        <is>
          <t>SCA</t>
        </is>
      </c>
      <c r="G214" t="n">
        <v>14.2</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HYPERLINK("https://klasma.github.io/Logging_2283/artfynd/A 28875-2024 artfynd.xlsx", "A 28875-2024")</f>
        <v/>
      </c>
      <c r="T214">
        <f>HYPERLINK("https://klasma.github.io/Logging_2283/kartor/A 28875-2024 karta.png", "A 28875-2024")</f>
        <v/>
      </c>
      <c r="V214">
        <f>HYPERLINK("https://klasma.github.io/Logging_2283/klagomål/A 28875-2024 FSC-klagomål.docx", "A 28875-2024")</f>
        <v/>
      </c>
      <c r="W214">
        <f>HYPERLINK("https://klasma.github.io/Logging_2283/klagomålsmail/A 28875-2024 FSC-klagomål mail.docx", "A 28875-2024")</f>
        <v/>
      </c>
      <c r="X214">
        <f>HYPERLINK("https://klasma.github.io/Logging_2283/tillsyn/A 28875-2024 tillsynsbegäran.docx", "A 28875-2024")</f>
        <v/>
      </c>
      <c r="Y214">
        <f>HYPERLINK("https://klasma.github.io/Logging_2283/tillsynsmail/A 28875-2024 tillsynsbegäran mail.docx", "A 28875-2024")</f>
        <v/>
      </c>
      <c r="Z214">
        <f>HYPERLINK("https://klasma.github.io/Logging_2283/fåglar/A 28875-2024 prioriterade fågelarter.docx", "A 28875-2024")</f>
        <v/>
      </c>
    </row>
    <row r="215" ht="15" customHeight="1">
      <c r="A215" t="inlineStr">
        <is>
          <t>A 32256-2024</t>
        </is>
      </c>
      <c r="B215" s="1" t="n">
        <v>45511</v>
      </c>
      <c r="C215" s="1" t="n">
        <v>45583</v>
      </c>
      <c r="D215" t="inlineStr">
        <is>
          <t>VÄSTERNORRLANDS LÄN</t>
        </is>
      </c>
      <c r="E215" t="inlineStr">
        <is>
          <t>SOLLEFTEÅ</t>
        </is>
      </c>
      <c r="F215" t="inlineStr">
        <is>
          <t>SCA</t>
        </is>
      </c>
      <c r="G215" t="n">
        <v>3.9</v>
      </c>
      <c r="H215" t="n">
        <v>1</v>
      </c>
      <c r="I215" t="n">
        <v>1</v>
      </c>
      <c r="J215" t="n">
        <v>2</v>
      </c>
      <c r="K215" t="n">
        <v>0</v>
      </c>
      <c r="L215" t="n">
        <v>0</v>
      </c>
      <c r="M215" t="n">
        <v>0</v>
      </c>
      <c r="N215" t="n">
        <v>0</v>
      </c>
      <c r="O215" t="n">
        <v>2</v>
      </c>
      <c r="P215" t="n">
        <v>0</v>
      </c>
      <c r="Q215" t="n">
        <v>3</v>
      </c>
      <c r="R215" s="2" t="inlineStr">
        <is>
          <t>Tretåig hackspett
Vedtrappmossa
Fjällig taggsvamp s.str.</t>
        </is>
      </c>
      <c r="S215">
        <f>HYPERLINK("https://klasma.github.io/Logging_2283/artfynd/A 32256-2024 artfynd.xlsx", "A 32256-2024")</f>
        <v/>
      </c>
      <c r="T215">
        <f>HYPERLINK("https://klasma.github.io/Logging_2283/kartor/A 32256-2024 karta.png", "A 32256-2024")</f>
        <v/>
      </c>
      <c r="V215">
        <f>HYPERLINK("https://klasma.github.io/Logging_2283/klagomål/A 32256-2024 FSC-klagomål.docx", "A 32256-2024")</f>
        <v/>
      </c>
      <c r="W215">
        <f>HYPERLINK("https://klasma.github.io/Logging_2283/klagomålsmail/A 32256-2024 FSC-klagomål mail.docx", "A 32256-2024")</f>
        <v/>
      </c>
      <c r="X215">
        <f>HYPERLINK("https://klasma.github.io/Logging_2283/tillsyn/A 32256-2024 tillsynsbegäran.docx", "A 32256-2024")</f>
        <v/>
      </c>
      <c r="Y215">
        <f>HYPERLINK("https://klasma.github.io/Logging_2283/tillsynsmail/A 32256-2024 tillsynsbegäran mail.docx", "A 32256-2024")</f>
        <v/>
      </c>
      <c r="Z215">
        <f>HYPERLINK("https://klasma.github.io/Logging_2283/fåglar/A 32256-2024 prioriterade fågelarter.docx", "A 32256-2024")</f>
        <v/>
      </c>
    </row>
    <row r="216" ht="15" customHeight="1">
      <c r="A216" t="inlineStr">
        <is>
          <t>A 38096-2024</t>
        </is>
      </c>
      <c r="B216" s="1" t="n">
        <v>45545</v>
      </c>
      <c r="C216" s="1" t="n">
        <v>45583</v>
      </c>
      <c r="D216" t="inlineStr">
        <is>
          <t>VÄSTERNORRLANDS LÄN</t>
        </is>
      </c>
      <c r="E216" t="inlineStr">
        <is>
          <t>SOLLEFTEÅ</t>
        </is>
      </c>
      <c r="F216" t="inlineStr">
        <is>
          <t>SCA</t>
        </is>
      </c>
      <c r="G216" t="n">
        <v>5.2</v>
      </c>
      <c r="H216" t="n">
        <v>1</v>
      </c>
      <c r="I216" t="n">
        <v>2</v>
      </c>
      <c r="J216" t="n">
        <v>1</v>
      </c>
      <c r="K216" t="n">
        <v>0</v>
      </c>
      <c r="L216" t="n">
        <v>0</v>
      </c>
      <c r="M216" t="n">
        <v>0</v>
      </c>
      <c r="N216" t="n">
        <v>0</v>
      </c>
      <c r="O216" t="n">
        <v>1</v>
      </c>
      <c r="P216" t="n">
        <v>0</v>
      </c>
      <c r="Q216" t="n">
        <v>3</v>
      </c>
      <c r="R216" s="2" t="inlineStr">
        <is>
          <t>Lunglav
Bollvitmossa
Lappranunkel</t>
        </is>
      </c>
      <c r="S216">
        <f>HYPERLINK("https://klasma.github.io/Logging_2283/artfynd/A 38096-2024 artfynd.xlsx", "A 38096-2024")</f>
        <v/>
      </c>
      <c r="T216">
        <f>HYPERLINK("https://klasma.github.io/Logging_2283/kartor/A 38096-2024 karta.png", "A 38096-2024")</f>
        <v/>
      </c>
      <c r="V216">
        <f>HYPERLINK("https://klasma.github.io/Logging_2283/klagomål/A 38096-2024 FSC-klagomål.docx", "A 38096-2024")</f>
        <v/>
      </c>
      <c r="W216">
        <f>HYPERLINK("https://klasma.github.io/Logging_2283/klagomålsmail/A 38096-2024 FSC-klagomål mail.docx", "A 38096-2024")</f>
        <v/>
      </c>
      <c r="X216">
        <f>HYPERLINK("https://klasma.github.io/Logging_2283/tillsyn/A 38096-2024 tillsynsbegäran.docx", "A 38096-2024")</f>
        <v/>
      </c>
      <c r="Y216">
        <f>HYPERLINK("https://klasma.github.io/Logging_2283/tillsynsmail/A 38096-2024 tillsynsbegäran mail.docx", "A 38096-2024")</f>
        <v/>
      </c>
    </row>
    <row r="217" ht="15" customHeight="1">
      <c r="A217" t="inlineStr">
        <is>
          <t>A 42099-2024</t>
        </is>
      </c>
      <c r="B217" s="1" t="n">
        <v>45562</v>
      </c>
      <c r="C217" s="1" t="n">
        <v>45583</v>
      </c>
      <c r="D217" t="inlineStr">
        <is>
          <t>VÄSTERNORRLANDS LÄN</t>
        </is>
      </c>
      <c r="E217" t="inlineStr">
        <is>
          <t>SOLLEFTEÅ</t>
        </is>
      </c>
      <c r="F217" t="inlineStr">
        <is>
          <t>SCA</t>
        </is>
      </c>
      <c r="G217" t="n">
        <v>23.8</v>
      </c>
      <c r="H217" t="n">
        <v>0</v>
      </c>
      <c r="I217" t="n">
        <v>0</v>
      </c>
      <c r="J217" t="n">
        <v>3</v>
      </c>
      <c r="K217" t="n">
        <v>0</v>
      </c>
      <c r="L217" t="n">
        <v>0</v>
      </c>
      <c r="M217" t="n">
        <v>0</v>
      </c>
      <c r="N217" t="n">
        <v>0</v>
      </c>
      <c r="O217" t="n">
        <v>3</v>
      </c>
      <c r="P217" t="n">
        <v>0</v>
      </c>
      <c r="Q217" t="n">
        <v>3</v>
      </c>
      <c r="R217" s="2" t="inlineStr">
        <is>
          <t>Granticka
Lunglav
Ullticka</t>
        </is>
      </c>
      <c r="S217">
        <f>HYPERLINK("https://klasma.github.io/Logging_2283/artfynd/A 42099-2024 artfynd.xlsx", "A 42099-2024")</f>
        <v/>
      </c>
      <c r="T217">
        <f>HYPERLINK("https://klasma.github.io/Logging_2283/kartor/A 42099-2024 karta.png", "A 42099-2024")</f>
        <v/>
      </c>
      <c r="V217">
        <f>HYPERLINK("https://klasma.github.io/Logging_2283/klagomål/A 42099-2024 FSC-klagomål.docx", "A 42099-2024")</f>
        <v/>
      </c>
      <c r="W217">
        <f>HYPERLINK("https://klasma.github.io/Logging_2283/klagomålsmail/A 42099-2024 FSC-klagomål mail.docx", "A 42099-2024")</f>
        <v/>
      </c>
      <c r="X217">
        <f>HYPERLINK("https://klasma.github.io/Logging_2283/tillsyn/A 42099-2024 tillsynsbegäran.docx", "A 42099-2024")</f>
        <v/>
      </c>
      <c r="Y217">
        <f>HYPERLINK("https://klasma.github.io/Logging_2283/tillsynsmail/A 42099-2024 tillsynsbegäran mail.docx", "A 42099-2024")</f>
        <v/>
      </c>
    </row>
    <row r="218" ht="15" customHeight="1">
      <c r="A218" t="inlineStr">
        <is>
          <t>A 42951-2024</t>
        </is>
      </c>
      <c r="B218" s="1" t="n">
        <v>45567</v>
      </c>
      <c r="C218" s="1" t="n">
        <v>45583</v>
      </c>
      <c r="D218" t="inlineStr">
        <is>
          <t>VÄSTERNORRLANDS LÄN</t>
        </is>
      </c>
      <c r="E218" t="inlineStr">
        <is>
          <t>SOLLEFTEÅ</t>
        </is>
      </c>
      <c r="F218" t="inlineStr">
        <is>
          <t>SCA</t>
        </is>
      </c>
      <c r="G218" t="n">
        <v>8</v>
      </c>
      <c r="H218" t="n">
        <v>2</v>
      </c>
      <c r="I218" t="n">
        <v>0</v>
      </c>
      <c r="J218" t="n">
        <v>1</v>
      </c>
      <c r="K218" t="n">
        <v>1</v>
      </c>
      <c r="L218" t="n">
        <v>0</v>
      </c>
      <c r="M218" t="n">
        <v>0</v>
      </c>
      <c r="N218" t="n">
        <v>0</v>
      </c>
      <c r="O218" t="n">
        <v>2</v>
      </c>
      <c r="P218" t="n">
        <v>1</v>
      </c>
      <c r="Q218" t="n">
        <v>3</v>
      </c>
      <c r="R218" s="2" t="inlineStr">
        <is>
          <t>Knärot
Rosenticka
Revlummer</t>
        </is>
      </c>
      <c r="S218">
        <f>HYPERLINK("https://klasma.github.io/Logging_2283/artfynd/A 42951-2024 artfynd.xlsx", "A 42951-2024")</f>
        <v/>
      </c>
      <c r="T218">
        <f>HYPERLINK("https://klasma.github.io/Logging_2283/kartor/A 42951-2024 karta.png", "A 42951-2024")</f>
        <v/>
      </c>
      <c r="U218">
        <f>HYPERLINK("https://klasma.github.io/Logging_2283/knärot/A 42951-2024 karta knärot.png", "A 42951-2024")</f>
        <v/>
      </c>
      <c r="V218">
        <f>HYPERLINK("https://klasma.github.io/Logging_2283/klagomål/A 42951-2024 FSC-klagomål.docx", "A 42951-2024")</f>
        <v/>
      </c>
      <c r="W218">
        <f>HYPERLINK("https://klasma.github.io/Logging_2283/klagomålsmail/A 42951-2024 FSC-klagomål mail.docx", "A 42951-2024")</f>
        <v/>
      </c>
      <c r="X218">
        <f>HYPERLINK("https://klasma.github.io/Logging_2283/tillsyn/A 42951-2024 tillsynsbegäran.docx", "A 42951-2024")</f>
        <v/>
      </c>
      <c r="Y218">
        <f>HYPERLINK("https://klasma.github.io/Logging_2283/tillsynsmail/A 42951-2024 tillsynsbegäran mail.docx", "A 42951-2024")</f>
        <v/>
      </c>
    </row>
    <row r="219" ht="15" customHeight="1">
      <c r="A219" t="inlineStr">
        <is>
          <t>A 18452-2019</t>
        </is>
      </c>
      <c r="B219" s="1" t="n">
        <v>43559</v>
      </c>
      <c r="C219" s="1" t="n">
        <v>45583</v>
      </c>
      <c r="D219" t="inlineStr">
        <is>
          <t>VÄSTERNORRLANDS LÄN</t>
        </is>
      </c>
      <c r="E219" t="inlineStr">
        <is>
          <t>SOLLEFTEÅ</t>
        </is>
      </c>
      <c r="G219" t="n">
        <v>2.2</v>
      </c>
      <c r="H219" t="n">
        <v>0</v>
      </c>
      <c r="I219" t="n">
        <v>1</v>
      </c>
      <c r="J219" t="n">
        <v>1</v>
      </c>
      <c r="K219" t="n">
        <v>0</v>
      </c>
      <c r="L219" t="n">
        <v>0</v>
      </c>
      <c r="M219" t="n">
        <v>0</v>
      </c>
      <c r="N219" t="n">
        <v>0</v>
      </c>
      <c r="O219" t="n">
        <v>1</v>
      </c>
      <c r="P219" t="n">
        <v>0</v>
      </c>
      <c r="Q219" t="n">
        <v>2</v>
      </c>
      <c r="R219" s="2" t="inlineStr">
        <is>
          <t>Lunglav
Bollvitmossa</t>
        </is>
      </c>
      <c r="S219">
        <f>HYPERLINK("https://klasma.github.io/Logging_2283/artfynd/A 18452-2019 artfynd.xlsx", "A 18452-2019")</f>
        <v/>
      </c>
      <c r="T219">
        <f>HYPERLINK("https://klasma.github.io/Logging_2283/kartor/A 18452-2019 karta.png", "A 18452-2019")</f>
        <v/>
      </c>
      <c r="V219">
        <f>HYPERLINK("https://klasma.github.io/Logging_2283/klagomål/A 18452-2019 FSC-klagomål.docx", "A 18452-2019")</f>
        <v/>
      </c>
      <c r="W219">
        <f>HYPERLINK("https://klasma.github.io/Logging_2283/klagomålsmail/A 18452-2019 FSC-klagomål mail.docx", "A 18452-2019")</f>
        <v/>
      </c>
      <c r="X219">
        <f>HYPERLINK("https://klasma.github.io/Logging_2283/tillsyn/A 18452-2019 tillsynsbegäran.docx", "A 18452-2019")</f>
        <v/>
      </c>
      <c r="Y219">
        <f>HYPERLINK("https://klasma.github.io/Logging_2283/tillsynsmail/A 18452-2019 tillsynsbegäran mail.docx", "A 18452-2019")</f>
        <v/>
      </c>
    </row>
    <row r="220" ht="15" customHeight="1">
      <c r="A220" t="inlineStr">
        <is>
          <t>A 34918-2019</t>
        </is>
      </c>
      <c r="B220" s="1" t="n">
        <v>43658</v>
      </c>
      <c r="C220" s="1" t="n">
        <v>45583</v>
      </c>
      <c r="D220" t="inlineStr">
        <is>
          <t>VÄSTERNORRLANDS LÄN</t>
        </is>
      </c>
      <c r="E220" t="inlineStr">
        <is>
          <t>SOLLEFTEÅ</t>
        </is>
      </c>
      <c r="G220" t="n">
        <v>2.7</v>
      </c>
      <c r="H220" t="n">
        <v>0</v>
      </c>
      <c r="I220" t="n">
        <v>0</v>
      </c>
      <c r="J220" t="n">
        <v>2</v>
      </c>
      <c r="K220" t="n">
        <v>0</v>
      </c>
      <c r="L220" t="n">
        <v>0</v>
      </c>
      <c r="M220" t="n">
        <v>0</v>
      </c>
      <c r="N220" t="n">
        <v>0</v>
      </c>
      <c r="O220" t="n">
        <v>2</v>
      </c>
      <c r="P220" t="n">
        <v>0</v>
      </c>
      <c r="Q220" t="n">
        <v>2</v>
      </c>
      <c r="R220" s="2" t="inlineStr">
        <is>
          <t>Granticka
Ullticka</t>
        </is>
      </c>
      <c r="S220">
        <f>HYPERLINK("https://klasma.github.io/Logging_2283/artfynd/A 34918-2019 artfynd.xlsx", "A 34918-2019")</f>
        <v/>
      </c>
      <c r="T220">
        <f>HYPERLINK("https://klasma.github.io/Logging_2283/kartor/A 34918-2019 karta.png", "A 34918-2019")</f>
        <v/>
      </c>
      <c r="V220">
        <f>HYPERLINK("https://klasma.github.io/Logging_2283/klagomål/A 34918-2019 FSC-klagomål.docx", "A 34918-2019")</f>
        <v/>
      </c>
      <c r="W220">
        <f>HYPERLINK("https://klasma.github.io/Logging_2283/klagomålsmail/A 34918-2019 FSC-klagomål mail.docx", "A 34918-2019")</f>
        <v/>
      </c>
      <c r="X220">
        <f>HYPERLINK("https://klasma.github.io/Logging_2283/tillsyn/A 34918-2019 tillsynsbegäran.docx", "A 34918-2019")</f>
        <v/>
      </c>
      <c r="Y220">
        <f>HYPERLINK("https://klasma.github.io/Logging_2283/tillsynsmail/A 34918-2019 tillsynsbegäran mail.docx", "A 34918-2019")</f>
        <v/>
      </c>
    </row>
    <row r="221" ht="15" customHeight="1">
      <c r="A221" t="inlineStr">
        <is>
          <t>A 40512-2019</t>
        </is>
      </c>
      <c r="B221" s="1" t="n">
        <v>43696</v>
      </c>
      <c r="C221" s="1" t="n">
        <v>45583</v>
      </c>
      <c r="D221" t="inlineStr">
        <is>
          <t>VÄSTERNORRLANDS LÄN</t>
        </is>
      </c>
      <c r="E221" t="inlineStr">
        <is>
          <t>SOLLEFTEÅ</t>
        </is>
      </c>
      <c r="F221" t="inlineStr">
        <is>
          <t>SCA</t>
        </is>
      </c>
      <c r="G221" t="n">
        <v>5.8</v>
      </c>
      <c r="H221" t="n">
        <v>0</v>
      </c>
      <c r="I221" t="n">
        <v>0</v>
      </c>
      <c r="J221" t="n">
        <v>2</v>
      </c>
      <c r="K221" t="n">
        <v>0</v>
      </c>
      <c r="L221" t="n">
        <v>0</v>
      </c>
      <c r="M221" t="n">
        <v>0</v>
      </c>
      <c r="N221" t="n">
        <v>0</v>
      </c>
      <c r="O221" t="n">
        <v>2</v>
      </c>
      <c r="P221" t="n">
        <v>0</v>
      </c>
      <c r="Q221" t="n">
        <v>2</v>
      </c>
      <c r="R221" s="2" t="inlineStr">
        <is>
          <t>Granticka
Orange taggsvamp</t>
        </is>
      </c>
      <c r="S221">
        <f>HYPERLINK("https://klasma.github.io/Logging_2283/artfynd/A 40512-2019 artfynd.xlsx", "A 40512-2019")</f>
        <v/>
      </c>
      <c r="T221">
        <f>HYPERLINK("https://klasma.github.io/Logging_2283/kartor/A 40512-2019 karta.png", "A 40512-2019")</f>
        <v/>
      </c>
      <c r="V221">
        <f>HYPERLINK("https://klasma.github.io/Logging_2283/klagomål/A 40512-2019 FSC-klagomål.docx", "A 40512-2019")</f>
        <v/>
      </c>
      <c r="W221">
        <f>HYPERLINK("https://klasma.github.io/Logging_2283/klagomålsmail/A 40512-2019 FSC-klagomål mail.docx", "A 40512-2019")</f>
        <v/>
      </c>
      <c r="X221">
        <f>HYPERLINK("https://klasma.github.io/Logging_2283/tillsyn/A 40512-2019 tillsynsbegäran.docx", "A 40512-2019")</f>
        <v/>
      </c>
      <c r="Y221">
        <f>HYPERLINK("https://klasma.github.io/Logging_2283/tillsynsmail/A 40512-2019 tillsynsbegäran mail.docx", "A 40512-2019")</f>
        <v/>
      </c>
    </row>
    <row r="222" ht="15" customHeight="1">
      <c r="A222" t="inlineStr">
        <is>
          <t>A 66366-2019</t>
        </is>
      </c>
      <c r="B222" s="1" t="n">
        <v>43808</v>
      </c>
      <c r="C222" s="1" t="n">
        <v>45583</v>
      </c>
      <c r="D222" t="inlineStr">
        <is>
          <t>VÄSTERNORRLANDS LÄN</t>
        </is>
      </c>
      <c r="E222" t="inlineStr">
        <is>
          <t>SOLLEFTEÅ</t>
        </is>
      </c>
      <c r="G222" t="n">
        <v>2.9</v>
      </c>
      <c r="H222" t="n">
        <v>0</v>
      </c>
      <c r="I222" t="n">
        <v>1</v>
      </c>
      <c r="J222" t="n">
        <v>1</v>
      </c>
      <c r="K222" t="n">
        <v>0</v>
      </c>
      <c r="L222" t="n">
        <v>0</v>
      </c>
      <c r="M222" t="n">
        <v>0</v>
      </c>
      <c r="N222" t="n">
        <v>0</v>
      </c>
      <c r="O222" t="n">
        <v>1</v>
      </c>
      <c r="P222" t="n">
        <v>0</v>
      </c>
      <c r="Q222" t="n">
        <v>2</v>
      </c>
      <c r="R222" s="2" t="inlineStr">
        <is>
          <t>Lunglav
Stor aspticka</t>
        </is>
      </c>
      <c r="S222">
        <f>HYPERLINK("https://klasma.github.io/Logging_2283/artfynd/A 66366-2019 artfynd.xlsx", "A 66366-2019")</f>
        <v/>
      </c>
      <c r="T222">
        <f>HYPERLINK("https://klasma.github.io/Logging_2283/kartor/A 66366-2019 karta.png", "A 66366-2019")</f>
        <v/>
      </c>
      <c r="V222">
        <f>HYPERLINK("https://klasma.github.io/Logging_2283/klagomål/A 66366-2019 FSC-klagomål.docx", "A 66366-2019")</f>
        <v/>
      </c>
      <c r="W222">
        <f>HYPERLINK("https://klasma.github.io/Logging_2283/klagomålsmail/A 66366-2019 FSC-klagomål mail.docx", "A 66366-2019")</f>
        <v/>
      </c>
      <c r="X222">
        <f>HYPERLINK("https://klasma.github.io/Logging_2283/tillsyn/A 66366-2019 tillsynsbegäran.docx", "A 66366-2019")</f>
        <v/>
      </c>
      <c r="Y222">
        <f>HYPERLINK("https://klasma.github.io/Logging_2283/tillsynsmail/A 66366-2019 tillsynsbegäran mail.docx", "A 66366-2019")</f>
        <v/>
      </c>
    </row>
    <row r="223" ht="15" customHeight="1">
      <c r="A223" t="inlineStr">
        <is>
          <t>A 5314-2020</t>
        </is>
      </c>
      <c r="B223" s="1" t="n">
        <v>43857</v>
      </c>
      <c r="C223" s="1" t="n">
        <v>45583</v>
      </c>
      <c r="D223" t="inlineStr">
        <is>
          <t>VÄSTERNORRLANDS LÄN</t>
        </is>
      </c>
      <c r="E223" t="inlineStr">
        <is>
          <t>SOLLEFTEÅ</t>
        </is>
      </c>
      <c r="G223" t="n">
        <v>1.1</v>
      </c>
      <c r="H223" t="n">
        <v>0</v>
      </c>
      <c r="I223" t="n">
        <v>0</v>
      </c>
      <c r="J223" t="n">
        <v>2</v>
      </c>
      <c r="K223" t="n">
        <v>0</v>
      </c>
      <c r="L223" t="n">
        <v>0</v>
      </c>
      <c r="M223" t="n">
        <v>0</v>
      </c>
      <c r="N223" t="n">
        <v>0</v>
      </c>
      <c r="O223" t="n">
        <v>2</v>
      </c>
      <c r="P223" t="n">
        <v>0</v>
      </c>
      <c r="Q223" t="n">
        <v>2</v>
      </c>
      <c r="R223" s="2" t="inlineStr">
        <is>
          <t>Kolflarnlav
Vedskivlav</t>
        </is>
      </c>
      <c r="S223">
        <f>HYPERLINK("https://klasma.github.io/Logging_2283/artfynd/A 5314-2020 artfynd.xlsx", "A 5314-2020")</f>
        <v/>
      </c>
      <c r="T223">
        <f>HYPERLINK("https://klasma.github.io/Logging_2283/kartor/A 5314-2020 karta.png", "A 5314-2020")</f>
        <v/>
      </c>
      <c r="V223">
        <f>HYPERLINK("https://klasma.github.io/Logging_2283/klagomål/A 5314-2020 FSC-klagomål.docx", "A 5314-2020")</f>
        <v/>
      </c>
      <c r="W223">
        <f>HYPERLINK("https://klasma.github.io/Logging_2283/klagomålsmail/A 5314-2020 FSC-klagomål mail.docx", "A 5314-2020")</f>
        <v/>
      </c>
      <c r="X223">
        <f>HYPERLINK("https://klasma.github.io/Logging_2283/tillsyn/A 5314-2020 tillsynsbegäran.docx", "A 5314-2020")</f>
        <v/>
      </c>
      <c r="Y223">
        <f>HYPERLINK("https://klasma.github.io/Logging_2283/tillsynsmail/A 5314-2020 tillsynsbegäran mail.docx", "A 5314-2020")</f>
        <v/>
      </c>
    </row>
    <row r="224" ht="15" customHeight="1">
      <c r="A224" t="inlineStr">
        <is>
          <t>A 29505-2020</t>
        </is>
      </c>
      <c r="B224" s="1" t="n">
        <v>44004</v>
      </c>
      <c r="C224" s="1" t="n">
        <v>45583</v>
      </c>
      <c r="D224" t="inlineStr">
        <is>
          <t>VÄSTERNORRLANDS LÄN</t>
        </is>
      </c>
      <c r="E224" t="inlineStr">
        <is>
          <t>SOLLEFTEÅ</t>
        </is>
      </c>
      <c r="F224" t="inlineStr">
        <is>
          <t>SCA</t>
        </is>
      </c>
      <c r="G224" t="n">
        <v>1.9</v>
      </c>
      <c r="H224" t="n">
        <v>0</v>
      </c>
      <c r="I224" t="n">
        <v>1</v>
      </c>
      <c r="J224" t="n">
        <v>1</v>
      </c>
      <c r="K224" t="n">
        <v>0</v>
      </c>
      <c r="L224" t="n">
        <v>0</v>
      </c>
      <c r="M224" t="n">
        <v>0</v>
      </c>
      <c r="N224" t="n">
        <v>0</v>
      </c>
      <c r="O224" t="n">
        <v>1</v>
      </c>
      <c r="P224" t="n">
        <v>0</v>
      </c>
      <c r="Q224" t="n">
        <v>2</v>
      </c>
      <c r="R224" s="2" t="inlineStr">
        <is>
          <t>Lunglav
Bårdlav</t>
        </is>
      </c>
      <c r="S224">
        <f>HYPERLINK("https://klasma.github.io/Logging_2283/artfynd/A 29505-2020 artfynd.xlsx", "A 29505-2020")</f>
        <v/>
      </c>
      <c r="T224">
        <f>HYPERLINK("https://klasma.github.io/Logging_2283/kartor/A 29505-2020 karta.png", "A 29505-2020")</f>
        <v/>
      </c>
      <c r="V224">
        <f>HYPERLINK("https://klasma.github.io/Logging_2283/klagomål/A 29505-2020 FSC-klagomål.docx", "A 29505-2020")</f>
        <v/>
      </c>
      <c r="W224">
        <f>HYPERLINK("https://klasma.github.io/Logging_2283/klagomålsmail/A 29505-2020 FSC-klagomål mail.docx", "A 29505-2020")</f>
        <v/>
      </c>
      <c r="X224">
        <f>HYPERLINK("https://klasma.github.io/Logging_2283/tillsyn/A 29505-2020 tillsynsbegäran.docx", "A 29505-2020")</f>
        <v/>
      </c>
      <c r="Y224">
        <f>HYPERLINK("https://klasma.github.io/Logging_2283/tillsynsmail/A 29505-2020 tillsynsbegäran mail.docx", "A 29505-2020")</f>
        <v/>
      </c>
    </row>
    <row r="225" ht="15" customHeight="1">
      <c r="A225" t="inlineStr">
        <is>
          <t>A 35220-2020</t>
        </is>
      </c>
      <c r="B225" s="1" t="n">
        <v>44041</v>
      </c>
      <c r="C225" s="1" t="n">
        <v>45583</v>
      </c>
      <c r="D225" t="inlineStr">
        <is>
          <t>VÄSTERNORRLANDS LÄN</t>
        </is>
      </c>
      <c r="E225" t="inlineStr">
        <is>
          <t>SOLLEFTEÅ</t>
        </is>
      </c>
      <c r="F225" t="inlineStr">
        <is>
          <t>SCA</t>
        </is>
      </c>
      <c r="G225" t="n">
        <v>3.4</v>
      </c>
      <c r="H225" t="n">
        <v>2</v>
      </c>
      <c r="I225" t="n">
        <v>0</v>
      </c>
      <c r="J225" t="n">
        <v>1</v>
      </c>
      <c r="K225" t="n">
        <v>0</v>
      </c>
      <c r="L225" t="n">
        <v>0</v>
      </c>
      <c r="M225" t="n">
        <v>0</v>
      </c>
      <c r="N225" t="n">
        <v>0</v>
      </c>
      <c r="O225" t="n">
        <v>1</v>
      </c>
      <c r="P225" t="n">
        <v>0</v>
      </c>
      <c r="Q225" t="n">
        <v>2</v>
      </c>
      <c r="R225" s="2" t="inlineStr">
        <is>
          <t>Järpe
Tjäder</t>
        </is>
      </c>
      <c r="S225">
        <f>HYPERLINK("https://klasma.github.io/Logging_2283/artfynd/A 35220-2020 artfynd.xlsx", "A 35220-2020")</f>
        <v/>
      </c>
      <c r="T225">
        <f>HYPERLINK("https://klasma.github.io/Logging_2283/kartor/A 35220-2020 karta.png", "A 35220-2020")</f>
        <v/>
      </c>
      <c r="V225">
        <f>HYPERLINK("https://klasma.github.io/Logging_2283/klagomål/A 35220-2020 FSC-klagomål.docx", "A 35220-2020")</f>
        <v/>
      </c>
      <c r="W225">
        <f>HYPERLINK("https://klasma.github.io/Logging_2283/klagomålsmail/A 35220-2020 FSC-klagomål mail.docx", "A 35220-2020")</f>
        <v/>
      </c>
      <c r="X225">
        <f>HYPERLINK("https://klasma.github.io/Logging_2283/tillsyn/A 35220-2020 tillsynsbegäran.docx", "A 35220-2020")</f>
        <v/>
      </c>
      <c r="Y225">
        <f>HYPERLINK("https://klasma.github.io/Logging_2283/tillsynsmail/A 35220-2020 tillsynsbegäran mail.docx", "A 35220-2020")</f>
        <v/>
      </c>
      <c r="Z225">
        <f>HYPERLINK("https://klasma.github.io/Logging_2283/fåglar/A 35220-2020 prioriterade fågelarter.docx", "A 35220-2020")</f>
        <v/>
      </c>
    </row>
    <row r="226" ht="15" customHeight="1">
      <c r="A226" t="inlineStr">
        <is>
          <t>A 2309-2021</t>
        </is>
      </c>
      <c r="B226" s="1" t="n">
        <v>44213</v>
      </c>
      <c r="C226" s="1" t="n">
        <v>45583</v>
      </c>
      <c r="D226" t="inlineStr">
        <is>
          <t>VÄSTERNORRLANDS LÄN</t>
        </is>
      </c>
      <c r="E226" t="inlineStr">
        <is>
          <t>SOLLEFTEÅ</t>
        </is>
      </c>
      <c r="G226" t="n">
        <v>2.1</v>
      </c>
      <c r="H226" t="n">
        <v>1</v>
      </c>
      <c r="I226" t="n">
        <v>0</v>
      </c>
      <c r="J226" t="n">
        <v>2</v>
      </c>
      <c r="K226" t="n">
        <v>0</v>
      </c>
      <c r="L226" t="n">
        <v>0</v>
      </c>
      <c r="M226" t="n">
        <v>0</v>
      </c>
      <c r="N226" t="n">
        <v>0</v>
      </c>
      <c r="O226" t="n">
        <v>2</v>
      </c>
      <c r="P226" t="n">
        <v>0</v>
      </c>
      <c r="Q226" t="n">
        <v>2</v>
      </c>
      <c r="R226" s="2" t="inlineStr">
        <is>
          <t>Tretåig hackspett
Ullticka</t>
        </is>
      </c>
      <c r="S226">
        <f>HYPERLINK("https://klasma.github.io/Logging_2283/artfynd/A 2309-2021 artfynd.xlsx", "A 2309-2021")</f>
        <v/>
      </c>
      <c r="T226">
        <f>HYPERLINK("https://klasma.github.io/Logging_2283/kartor/A 2309-2021 karta.png", "A 2309-2021")</f>
        <v/>
      </c>
      <c r="V226">
        <f>HYPERLINK("https://klasma.github.io/Logging_2283/klagomål/A 2309-2021 FSC-klagomål.docx", "A 2309-2021")</f>
        <v/>
      </c>
      <c r="W226">
        <f>HYPERLINK("https://klasma.github.io/Logging_2283/klagomålsmail/A 2309-2021 FSC-klagomål mail.docx", "A 2309-2021")</f>
        <v/>
      </c>
      <c r="X226">
        <f>HYPERLINK("https://klasma.github.io/Logging_2283/tillsyn/A 2309-2021 tillsynsbegäran.docx", "A 2309-2021")</f>
        <v/>
      </c>
      <c r="Y226">
        <f>HYPERLINK("https://klasma.github.io/Logging_2283/tillsynsmail/A 2309-2021 tillsynsbegäran mail.docx", "A 2309-2021")</f>
        <v/>
      </c>
      <c r="Z226">
        <f>HYPERLINK("https://klasma.github.io/Logging_2283/fåglar/A 2309-2021 prioriterade fågelarter.docx", "A 2309-2021")</f>
        <v/>
      </c>
    </row>
    <row r="227" ht="15" customHeight="1">
      <c r="A227" t="inlineStr">
        <is>
          <t>A 20836-2021</t>
        </is>
      </c>
      <c r="B227" s="1" t="n">
        <v>44318</v>
      </c>
      <c r="C227" s="1" t="n">
        <v>45583</v>
      </c>
      <c r="D227" t="inlineStr">
        <is>
          <t>VÄSTERNORRLANDS LÄN</t>
        </is>
      </c>
      <c r="E227" t="inlineStr">
        <is>
          <t>SOLLEFTEÅ</t>
        </is>
      </c>
      <c r="F227" t="inlineStr">
        <is>
          <t>SCA</t>
        </is>
      </c>
      <c r="G227" t="n">
        <v>4.8</v>
      </c>
      <c r="H227" t="n">
        <v>1</v>
      </c>
      <c r="I227" t="n">
        <v>0</v>
      </c>
      <c r="J227" t="n">
        <v>2</v>
      </c>
      <c r="K227" t="n">
        <v>0</v>
      </c>
      <c r="L227" t="n">
        <v>0</v>
      </c>
      <c r="M227" t="n">
        <v>0</v>
      </c>
      <c r="N227" t="n">
        <v>0</v>
      </c>
      <c r="O227" t="n">
        <v>2</v>
      </c>
      <c r="P227" t="n">
        <v>0</v>
      </c>
      <c r="Q227" t="n">
        <v>2</v>
      </c>
      <c r="R227" s="2" t="inlineStr">
        <is>
          <t>Garnlav
Talltita</t>
        </is>
      </c>
      <c r="S227">
        <f>HYPERLINK("https://klasma.github.io/Logging_2283/artfynd/A 20836-2021 artfynd.xlsx", "A 20836-2021")</f>
        <v/>
      </c>
      <c r="T227">
        <f>HYPERLINK("https://klasma.github.io/Logging_2283/kartor/A 20836-2021 karta.png", "A 20836-2021")</f>
        <v/>
      </c>
      <c r="V227">
        <f>HYPERLINK("https://klasma.github.io/Logging_2283/klagomål/A 20836-2021 FSC-klagomål.docx", "A 20836-2021")</f>
        <v/>
      </c>
      <c r="W227">
        <f>HYPERLINK("https://klasma.github.io/Logging_2283/klagomålsmail/A 20836-2021 FSC-klagomål mail.docx", "A 20836-2021")</f>
        <v/>
      </c>
      <c r="X227">
        <f>HYPERLINK("https://klasma.github.io/Logging_2283/tillsyn/A 20836-2021 tillsynsbegäran.docx", "A 20836-2021")</f>
        <v/>
      </c>
      <c r="Y227">
        <f>HYPERLINK("https://klasma.github.io/Logging_2283/tillsynsmail/A 20836-2021 tillsynsbegäran mail.docx", "A 20836-2021")</f>
        <v/>
      </c>
      <c r="Z227">
        <f>HYPERLINK("https://klasma.github.io/Logging_2283/fåglar/A 20836-2021 prioriterade fågelarter.docx", "A 20836-2021")</f>
        <v/>
      </c>
    </row>
    <row r="228" ht="15" customHeight="1">
      <c r="A228" t="inlineStr">
        <is>
          <t>A 27983-2021</t>
        </is>
      </c>
      <c r="B228" s="1" t="n">
        <v>44354</v>
      </c>
      <c r="C228" s="1" t="n">
        <v>45583</v>
      </c>
      <c r="D228" t="inlineStr">
        <is>
          <t>VÄSTERNORRLANDS LÄN</t>
        </is>
      </c>
      <c r="E228" t="inlineStr">
        <is>
          <t>SOLLEFTEÅ</t>
        </is>
      </c>
      <c r="F228" t="inlineStr">
        <is>
          <t>SCA</t>
        </is>
      </c>
      <c r="G228" t="n">
        <v>5.4</v>
      </c>
      <c r="H228" t="n">
        <v>0</v>
      </c>
      <c r="I228" t="n">
        <v>0</v>
      </c>
      <c r="J228" t="n">
        <v>2</v>
      </c>
      <c r="K228" t="n">
        <v>0</v>
      </c>
      <c r="L228" t="n">
        <v>0</v>
      </c>
      <c r="M228" t="n">
        <v>0</v>
      </c>
      <c r="N228" t="n">
        <v>0</v>
      </c>
      <c r="O228" t="n">
        <v>2</v>
      </c>
      <c r="P228" t="n">
        <v>0</v>
      </c>
      <c r="Q228" t="n">
        <v>2</v>
      </c>
      <c r="R228" s="2" t="inlineStr">
        <is>
          <t>Rosenticka
Ullticka</t>
        </is>
      </c>
      <c r="S228">
        <f>HYPERLINK("https://klasma.github.io/Logging_2283/artfynd/A 27983-2021 artfynd.xlsx", "A 27983-2021")</f>
        <v/>
      </c>
      <c r="T228">
        <f>HYPERLINK("https://klasma.github.io/Logging_2283/kartor/A 27983-2021 karta.png", "A 27983-2021")</f>
        <v/>
      </c>
      <c r="V228">
        <f>HYPERLINK("https://klasma.github.io/Logging_2283/klagomål/A 27983-2021 FSC-klagomål.docx", "A 27983-2021")</f>
        <v/>
      </c>
      <c r="W228">
        <f>HYPERLINK("https://klasma.github.io/Logging_2283/klagomålsmail/A 27983-2021 FSC-klagomål mail.docx", "A 27983-2021")</f>
        <v/>
      </c>
      <c r="X228">
        <f>HYPERLINK("https://klasma.github.io/Logging_2283/tillsyn/A 27983-2021 tillsynsbegäran.docx", "A 27983-2021")</f>
        <v/>
      </c>
      <c r="Y228">
        <f>HYPERLINK("https://klasma.github.io/Logging_2283/tillsynsmail/A 27983-2021 tillsynsbegäran mail.docx", "A 27983-2021")</f>
        <v/>
      </c>
    </row>
    <row r="229" ht="15" customHeight="1">
      <c r="A229" t="inlineStr">
        <is>
          <t>A 35071-2021</t>
        </is>
      </c>
      <c r="B229" s="1" t="n">
        <v>44383</v>
      </c>
      <c r="C229" s="1" t="n">
        <v>45583</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39329-2021</t>
        </is>
      </c>
      <c r="B230" s="1" t="n">
        <v>44414</v>
      </c>
      <c r="C230" s="1" t="n">
        <v>45583</v>
      </c>
      <c r="D230" t="inlineStr">
        <is>
          <t>VÄSTERNORRLANDS LÄN</t>
        </is>
      </c>
      <c r="E230" t="inlineStr">
        <is>
          <t>SOLLEFTEÅ</t>
        </is>
      </c>
      <c r="F230" t="inlineStr">
        <is>
          <t>SCA</t>
        </is>
      </c>
      <c r="G230" t="n">
        <v>2.7</v>
      </c>
      <c r="H230" t="n">
        <v>0</v>
      </c>
      <c r="I230" t="n">
        <v>1</v>
      </c>
      <c r="J230" t="n">
        <v>1</v>
      </c>
      <c r="K230" t="n">
        <v>0</v>
      </c>
      <c r="L230" t="n">
        <v>0</v>
      </c>
      <c r="M230" t="n">
        <v>0</v>
      </c>
      <c r="N230" t="n">
        <v>0</v>
      </c>
      <c r="O230" t="n">
        <v>1</v>
      </c>
      <c r="P230" t="n">
        <v>0</v>
      </c>
      <c r="Q230" t="n">
        <v>2</v>
      </c>
      <c r="R230" s="2" t="inlineStr">
        <is>
          <t>Mörk kolflarnlav
Bollvitmossa</t>
        </is>
      </c>
      <c r="S230">
        <f>HYPERLINK("https://klasma.github.io/Logging_2283/artfynd/A 39329-2021 artfynd.xlsx", "A 39329-2021")</f>
        <v/>
      </c>
      <c r="T230">
        <f>HYPERLINK("https://klasma.github.io/Logging_2283/kartor/A 39329-2021 karta.png", "A 39329-2021")</f>
        <v/>
      </c>
      <c r="V230">
        <f>HYPERLINK("https://klasma.github.io/Logging_2283/klagomål/A 39329-2021 FSC-klagomål.docx", "A 39329-2021")</f>
        <v/>
      </c>
      <c r="W230">
        <f>HYPERLINK("https://klasma.github.io/Logging_2283/klagomålsmail/A 39329-2021 FSC-klagomål mail.docx", "A 39329-2021")</f>
        <v/>
      </c>
      <c r="X230">
        <f>HYPERLINK("https://klasma.github.io/Logging_2283/tillsyn/A 39329-2021 tillsynsbegäran.docx", "A 39329-2021")</f>
        <v/>
      </c>
      <c r="Y230">
        <f>HYPERLINK("https://klasma.github.io/Logging_2283/tillsynsmail/A 39329-2021 tillsynsbegäran mail.docx", "A 39329-2021")</f>
        <v/>
      </c>
    </row>
    <row r="231" ht="15" customHeight="1">
      <c r="A231" t="inlineStr">
        <is>
          <t>A 45213-2021</t>
        </is>
      </c>
      <c r="B231" s="1" t="n">
        <v>44431</v>
      </c>
      <c r="C231" s="1" t="n">
        <v>45583</v>
      </c>
      <c r="D231" t="inlineStr">
        <is>
          <t>VÄSTERNORRLANDS LÄN</t>
        </is>
      </c>
      <c r="E231" t="inlineStr">
        <is>
          <t>SOLLEFTEÅ</t>
        </is>
      </c>
      <c r="F231" t="inlineStr">
        <is>
          <t>SCA</t>
        </is>
      </c>
      <c r="G231" t="n">
        <v>2.3</v>
      </c>
      <c r="H231" t="n">
        <v>0</v>
      </c>
      <c r="I231" t="n">
        <v>0</v>
      </c>
      <c r="J231" t="n">
        <v>2</v>
      </c>
      <c r="K231" t="n">
        <v>0</v>
      </c>
      <c r="L231" t="n">
        <v>0</v>
      </c>
      <c r="M231" t="n">
        <v>0</v>
      </c>
      <c r="N231" t="n">
        <v>0</v>
      </c>
      <c r="O231" t="n">
        <v>2</v>
      </c>
      <c r="P231" t="n">
        <v>0</v>
      </c>
      <c r="Q231" t="n">
        <v>2</v>
      </c>
      <c r="R231" s="2" t="inlineStr">
        <is>
          <t>Garnlav
Granticka</t>
        </is>
      </c>
      <c r="S231">
        <f>HYPERLINK("https://klasma.github.io/Logging_2283/artfynd/A 45213-2021 artfynd.xlsx", "A 45213-2021")</f>
        <v/>
      </c>
      <c r="T231">
        <f>HYPERLINK("https://klasma.github.io/Logging_2283/kartor/A 45213-2021 karta.png", "A 45213-2021")</f>
        <v/>
      </c>
      <c r="V231">
        <f>HYPERLINK("https://klasma.github.io/Logging_2283/klagomål/A 45213-2021 FSC-klagomål.docx", "A 45213-2021")</f>
        <v/>
      </c>
      <c r="W231">
        <f>HYPERLINK("https://klasma.github.io/Logging_2283/klagomålsmail/A 45213-2021 FSC-klagomål mail.docx", "A 45213-2021")</f>
        <v/>
      </c>
      <c r="X231">
        <f>HYPERLINK("https://klasma.github.io/Logging_2283/tillsyn/A 45213-2021 tillsynsbegäran.docx", "A 45213-2021")</f>
        <v/>
      </c>
      <c r="Y231">
        <f>HYPERLINK("https://klasma.github.io/Logging_2283/tillsynsmail/A 45213-2021 tillsynsbegäran mail.docx", "A 45213-2021")</f>
        <v/>
      </c>
    </row>
    <row r="232" ht="15" customHeight="1">
      <c r="A232" t="inlineStr">
        <is>
          <t>A 47858-2021</t>
        </is>
      </c>
      <c r="B232" s="1" t="n">
        <v>44448</v>
      </c>
      <c r="C232" s="1" t="n">
        <v>45583</v>
      </c>
      <c r="D232" t="inlineStr">
        <is>
          <t>VÄSTERNORRLANDS LÄN</t>
        </is>
      </c>
      <c r="E232" t="inlineStr">
        <is>
          <t>SOLLEFTEÅ</t>
        </is>
      </c>
      <c r="G232" t="n">
        <v>7.7</v>
      </c>
      <c r="H232" t="n">
        <v>0</v>
      </c>
      <c r="I232" t="n">
        <v>0</v>
      </c>
      <c r="J232" t="n">
        <v>2</v>
      </c>
      <c r="K232" t="n">
        <v>0</v>
      </c>
      <c r="L232" t="n">
        <v>0</v>
      </c>
      <c r="M232" t="n">
        <v>0</v>
      </c>
      <c r="N232" t="n">
        <v>0</v>
      </c>
      <c r="O232" t="n">
        <v>2</v>
      </c>
      <c r="P232" t="n">
        <v>0</v>
      </c>
      <c r="Q232" t="n">
        <v>2</v>
      </c>
      <c r="R232" s="2" t="inlineStr">
        <is>
          <t>Rosenticka
Ullticka</t>
        </is>
      </c>
      <c r="S232">
        <f>HYPERLINK("https://klasma.github.io/Logging_2283/artfynd/A 47858-2021 artfynd.xlsx", "A 47858-2021")</f>
        <v/>
      </c>
      <c r="T232">
        <f>HYPERLINK("https://klasma.github.io/Logging_2283/kartor/A 47858-2021 karta.png", "A 47858-2021")</f>
        <v/>
      </c>
      <c r="V232">
        <f>HYPERLINK("https://klasma.github.io/Logging_2283/klagomål/A 47858-2021 FSC-klagomål.docx", "A 47858-2021")</f>
        <v/>
      </c>
      <c r="W232">
        <f>HYPERLINK("https://klasma.github.io/Logging_2283/klagomålsmail/A 47858-2021 FSC-klagomål mail.docx", "A 47858-2021")</f>
        <v/>
      </c>
      <c r="X232">
        <f>HYPERLINK("https://klasma.github.io/Logging_2283/tillsyn/A 47858-2021 tillsynsbegäran.docx", "A 47858-2021")</f>
        <v/>
      </c>
      <c r="Y232">
        <f>HYPERLINK("https://klasma.github.io/Logging_2283/tillsynsmail/A 47858-2021 tillsynsbegäran mail.docx", "A 47858-2021")</f>
        <v/>
      </c>
    </row>
    <row r="233" ht="15" customHeight="1">
      <c r="A233" t="inlineStr">
        <is>
          <t>A 51024-2021</t>
        </is>
      </c>
      <c r="B233" s="1" t="n">
        <v>44461</v>
      </c>
      <c r="C233" s="1" t="n">
        <v>45583</v>
      </c>
      <c r="D233" t="inlineStr">
        <is>
          <t>VÄSTERNORRLANDS LÄN</t>
        </is>
      </c>
      <c r="E233" t="inlineStr">
        <is>
          <t>SOLLEFTEÅ</t>
        </is>
      </c>
      <c r="F233" t="inlineStr">
        <is>
          <t>SCA</t>
        </is>
      </c>
      <c r="G233" t="n">
        <v>7.1</v>
      </c>
      <c r="H233" t="n">
        <v>0</v>
      </c>
      <c r="I233" t="n">
        <v>0</v>
      </c>
      <c r="J233" t="n">
        <v>2</v>
      </c>
      <c r="K233" t="n">
        <v>0</v>
      </c>
      <c r="L233" t="n">
        <v>0</v>
      </c>
      <c r="M233" t="n">
        <v>0</v>
      </c>
      <c r="N233" t="n">
        <v>0</v>
      </c>
      <c r="O233" t="n">
        <v>2</v>
      </c>
      <c r="P233" t="n">
        <v>0</v>
      </c>
      <c r="Q233" t="n">
        <v>2</v>
      </c>
      <c r="R233" s="2" t="inlineStr">
        <is>
          <t>Tallticka
Ullticka</t>
        </is>
      </c>
      <c r="S233">
        <f>HYPERLINK("https://klasma.github.io/Logging_2283/artfynd/A 51024-2021 artfynd.xlsx", "A 51024-2021")</f>
        <v/>
      </c>
      <c r="T233">
        <f>HYPERLINK("https://klasma.github.io/Logging_2283/kartor/A 51024-2021 karta.png", "A 51024-2021")</f>
        <v/>
      </c>
      <c r="V233">
        <f>HYPERLINK("https://klasma.github.io/Logging_2283/klagomål/A 51024-2021 FSC-klagomål.docx", "A 51024-2021")</f>
        <v/>
      </c>
      <c r="W233">
        <f>HYPERLINK("https://klasma.github.io/Logging_2283/klagomålsmail/A 51024-2021 FSC-klagomål mail.docx", "A 51024-2021")</f>
        <v/>
      </c>
      <c r="X233">
        <f>HYPERLINK("https://klasma.github.io/Logging_2283/tillsyn/A 51024-2021 tillsynsbegäran.docx", "A 51024-2021")</f>
        <v/>
      </c>
      <c r="Y233">
        <f>HYPERLINK("https://klasma.github.io/Logging_2283/tillsynsmail/A 51024-2021 tillsynsbegäran mail.docx", "A 51024-2021")</f>
        <v/>
      </c>
    </row>
    <row r="234" ht="15" customHeight="1">
      <c r="A234" t="inlineStr">
        <is>
          <t>A 54153-2021</t>
        </is>
      </c>
      <c r="B234" s="1" t="n">
        <v>44469</v>
      </c>
      <c r="C234" s="1" t="n">
        <v>45583</v>
      </c>
      <c r="D234" t="inlineStr">
        <is>
          <t>VÄSTERNORRLANDS LÄN</t>
        </is>
      </c>
      <c r="E234" t="inlineStr">
        <is>
          <t>SOLLEFTEÅ</t>
        </is>
      </c>
      <c r="G234" t="n">
        <v>1.4</v>
      </c>
      <c r="H234" t="n">
        <v>0</v>
      </c>
      <c r="I234" t="n">
        <v>0</v>
      </c>
      <c r="J234" t="n">
        <v>2</v>
      </c>
      <c r="K234" t="n">
        <v>0</v>
      </c>
      <c r="L234" t="n">
        <v>0</v>
      </c>
      <c r="M234" t="n">
        <v>0</v>
      </c>
      <c r="N234" t="n">
        <v>0</v>
      </c>
      <c r="O234" t="n">
        <v>2</v>
      </c>
      <c r="P234" t="n">
        <v>0</v>
      </c>
      <c r="Q234" t="n">
        <v>2</v>
      </c>
      <c r="R234" s="2" t="inlineStr">
        <is>
          <t>Garnlav
Rosenticka</t>
        </is>
      </c>
      <c r="S234">
        <f>HYPERLINK("https://klasma.github.io/Logging_2283/artfynd/A 54153-2021 artfynd.xlsx", "A 54153-2021")</f>
        <v/>
      </c>
      <c r="T234">
        <f>HYPERLINK("https://klasma.github.io/Logging_2283/kartor/A 54153-2021 karta.png", "A 54153-2021")</f>
        <v/>
      </c>
      <c r="V234">
        <f>HYPERLINK("https://klasma.github.io/Logging_2283/klagomål/A 54153-2021 FSC-klagomål.docx", "A 54153-2021")</f>
        <v/>
      </c>
      <c r="W234">
        <f>HYPERLINK("https://klasma.github.io/Logging_2283/klagomålsmail/A 54153-2021 FSC-klagomål mail.docx", "A 54153-2021")</f>
        <v/>
      </c>
      <c r="X234">
        <f>HYPERLINK("https://klasma.github.io/Logging_2283/tillsyn/A 54153-2021 tillsynsbegäran.docx", "A 54153-2021")</f>
        <v/>
      </c>
      <c r="Y234">
        <f>HYPERLINK("https://klasma.github.io/Logging_2283/tillsynsmail/A 54153-2021 tillsynsbegäran mail.docx", "A 54153-2021")</f>
        <v/>
      </c>
    </row>
    <row r="235" ht="15" customHeight="1">
      <c r="A235" t="inlineStr">
        <is>
          <t>A 65419-2021</t>
        </is>
      </c>
      <c r="B235" s="1" t="n">
        <v>44515</v>
      </c>
      <c r="C235" s="1" t="n">
        <v>45583</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65419-2021 artfynd.xlsx", "A 65419-2021")</f>
        <v/>
      </c>
      <c r="T235">
        <f>HYPERLINK("https://klasma.github.io/Logging_2283/kartor/A 65419-2021 karta.png", "A 65419-2021")</f>
        <v/>
      </c>
      <c r="V235">
        <f>HYPERLINK("https://klasma.github.io/Logging_2283/klagomål/A 65419-2021 FSC-klagomål.docx", "A 65419-2021")</f>
        <v/>
      </c>
      <c r="W235">
        <f>HYPERLINK("https://klasma.github.io/Logging_2283/klagomålsmail/A 65419-2021 FSC-klagomål mail.docx", "A 65419-2021")</f>
        <v/>
      </c>
      <c r="X235">
        <f>HYPERLINK("https://klasma.github.io/Logging_2283/tillsyn/A 65419-2021 tillsynsbegäran.docx", "A 65419-2021")</f>
        <v/>
      </c>
      <c r="Y235">
        <f>HYPERLINK("https://klasma.github.io/Logging_2283/tillsynsmail/A 65419-2021 tillsynsbegäran mail.docx", "A 65419-2021")</f>
        <v/>
      </c>
    </row>
    <row r="236" ht="15" customHeight="1">
      <c r="A236" t="inlineStr">
        <is>
          <t>A 9583-2022</t>
        </is>
      </c>
      <c r="B236" s="1" t="n">
        <v>44617</v>
      </c>
      <c r="C236" s="1" t="n">
        <v>45583</v>
      </c>
      <c r="D236" t="inlineStr">
        <is>
          <t>VÄSTERNORRLANDS LÄN</t>
        </is>
      </c>
      <c r="E236" t="inlineStr">
        <is>
          <t>SOLLEFTEÅ</t>
        </is>
      </c>
      <c r="F236" t="inlineStr">
        <is>
          <t>Övriga Aktiebolag</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9583-2022 artfynd.xlsx", "A 9583-2022")</f>
        <v/>
      </c>
      <c r="T236">
        <f>HYPERLINK("https://klasma.github.io/Logging_2283/kartor/A 9583-2022 karta.png", "A 9583-2022")</f>
        <v/>
      </c>
      <c r="V236">
        <f>HYPERLINK("https://klasma.github.io/Logging_2283/klagomål/A 9583-2022 FSC-klagomål.docx", "A 9583-2022")</f>
        <v/>
      </c>
      <c r="W236">
        <f>HYPERLINK("https://klasma.github.io/Logging_2283/klagomålsmail/A 9583-2022 FSC-klagomål mail.docx", "A 9583-2022")</f>
        <v/>
      </c>
      <c r="X236">
        <f>HYPERLINK("https://klasma.github.io/Logging_2283/tillsyn/A 9583-2022 tillsynsbegäran.docx", "A 9583-2022")</f>
        <v/>
      </c>
      <c r="Y236">
        <f>HYPERLINK("https://klasma.github.io/Logging_2283/tillsynsmail/A 9583-2022 tillsynsbegäran mail.docx", "A 9583-2022")</f>
        <v/>
      </c>
    </row>
    <row r="237" ht="15" customHeight="1">
      <c r="A237" t="inlineStr">
        <is>
          <t>A 13059-2022</t>
        </is>
      </c>
      <c r="B237" s="1" t="n">
        <v>44643</v>
      </c>
      <c r="C237" s="1" t="n">
        <v>45583</v>
      </c>
      <c r="D237" t="inlineStr">
        <is>
          <t>VÄSTERNORRLANDS LÄN</t>
        </is>
      </c>
      <c r="E237" t="inlineStr">
        <is>
          <t>SOLLEFTEÅ</t>
        </is>
      </c>
      <c r="G237" t="n">
        <v>9.9</v>
      </c>
      <c r="H237" t="n">
        <v>0</v>
      </c>
      <c r="I237" t="n">
        <v>0</v>
      </c>
      <c r="J237" t="n">
        <v>2</v>
      </c>
      <c r="K237" t="n">
        <v>0</v>
      </c>
      <c r="L237" t="n">
        <v>0</v>
      </c>
      <c r="M237" t="n">
        <v>0</v>
      </c>
      <c r="N237" t="n">
        <v>0</v>
      </c>
      <c r="O237" t="n">
        <v>2</v>
      </c>
      <c r="P237" t="n">
        <v>0</v>
      </c>
      <c r="Q237" t="n">
        <v>2</v>
      </c>
      <c r="R237" s="2" t="inlineStr">
        <is>
          <t>Garnlav
Ullticka</t>
        </is>
      </c>
      <c r="S237">
        <f>HYPERLINK("https://klasma.github.io/Logging_2283/artfynd/A 13059-2022 artfynd.xlsx", "A 13059-2022")</f>
        <v/>
      </c>
      <c r="T237">
        <f>HYPERLINK("https://klasma.github.io/Logging_2283/kartor/A 13059-2022 karta.png", "A 13059-2022")</f>
        <v/>
      </c>
      <c r="V237">
        <f>HYPERLINK("https://klasma.github.io/Logging_2283/klagomål/A 13059-2022 FSC-klagomål.docx", "A 13059-2022")</f>
        <v/>
      </c>
      <c r="W237">
        <f>HYPERLINK("https://klasma.github.io/Logging_2283/klagomålsmail/A 13059-2022 FSC-klagomål mail.docx", "A 13059-2022")</f>
        <v/>
      </c>
      <c r="X237">
        <f>HYPERLINK("https://klasma.github.io/Logging_2283/tillsyn/A 13059-2022 tillsynsbegäran.docx", "A 13059-2022")</f>
        <v/>
      </c>
      <c r="Y237">
        <f>HYPERLINK("https://klasma.github.io/Logging_2283/tillsynsmail/A 13059-2022 tillsynsbegäran mail.docx", "A 13059-2022")</f>
        <v/>
      </c>
    </row>
    <row r="238" ht="15" customHeight="1">
      <c r="A238" t="inlineStr">
        <is>
          <t>A 18019-2022</t>
        </is>
      </c>
      <c r="B238" s="1" t="n">
        <v>44684</v>
      </c>
      <c r="C238" s="1" t="n">
        <v>45583</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20956-2022</t>
        </is>
      </c>
      <c r="B239" s="1" t="n">
        <v>44701</v>
      </c>
      <c r="C239" s="1" t="n">
        <v>45583</v>
      </c>
      <c r="D239" t="inlineStr">
        <is>
          <t>VÄSTERNORRLANDS LÄN</t>
        </is>
      </c>
      <c r="E239" t="inlineStr">
        <is>
          <t>SOLLEFTEÅ</t>
        </is>
      </c>
      <c r="F239" t="inlineStr">
        <is>
          <t>SCA</t>
        </is>
      </c>
      <c r="G239" t="n">
        <v>2.5</v>
      </c>
      <c r="H239" t="n">
        <v>0</v>
      </c>
      <c r="I239" t="n">
        <v>0</v>
      </c>
      <c r="J239" t="n">
        <v>2</v>
      </c>
      <c r="K239" t="n">
        <v>0</v>
      </c>
      <c r="L239" t="n">
        <v>0</v>
      </c>
      <c r="M239" t="n">
        <v>0</v>
      </c>
      <c r="N239" t="n">
        <v>0</v>
      </c>
      <c r="O239" t="n">
        <v>2</v>
      </c>
      <c r="P239" t="n">
        <v>0</v>
      </c>
      <c r="Q239" t="n">
        <v>2</v>
      </c>
      <c r="R239" s="2" t="inlineStr">
        <is>
          <t>Kandelabersvamp
Stiftgelélav</t>
        </is>
      </c>
      <c r="S239">
        <f>HYPERLINK("https://klasma.github.io/Logging_2283/artfynd/A 20956-2022 artfynd.xlsx", "A 20956-2022")</f>
        <v/>
      </c>
      <c r="T239">
        <f>HYPERLINK("https://klasma.github.io/Logging_2283/kartor/A 20956-2022 karta.png", "A 20956-2022")</f>
        <v/>
      </c>
      <c r="V239">
        <f>HYPERLINK("https://klasma.github.io/Logging_2283/klagomål/A 20956-2022 FSC-klagomål.docx", "A 20956-2022")</f>
        <v/>
      </c>
      <c r="W239">
        <f>HYPERLINK("https://klasma.github.io/Logging_2283/klagomålsmail/A 20956-2022 FSC-klagomål mail.docx", "A 20956-2022")</f>
        <v/>
      </c>
      <c r="X239">
        <f>HYPERLINK("https://klasma.github.io/Logging_2283/tillsyn/A 20956-2022 tillsynsbegäran.docx", "A 20956-2022")</f>
        <v/>
      </c>
      <c r="Y239">
        <f>HYPERLINK("https://klasma.github.io/Logging_2283/tillsynsmail/A 20956-2022 tillsynsbegäran mail.docx", "A 20956-2022")</f>
        <v/>
      </c>
    </row>
    <row r="240" ht="15" customHeight="1">
      <c r="A240" t="inlineStr">
        <is>
          <t>A 24321-2022</t>
        </is>
      </c>
      <c r="B240" s="1" t="n">
        <v>44725</v>
      </c>
      <c r="C240" s="1" t="n">
        <v>45583</v>
      </c>
      <c r="D240" t="inlineStr">
        <is>
          <t>VÄSTERNORRLANDS LÄN</t>
        </is>
      </c>
      <c r="E240" t="inlineStr">
        <is>
          <t>SOLLEFTEÅ</t>
        </is>
      </c>
      <c r="F240" t="inlineStr">
        <is>
          <t>SCA</t>
        </is>
      </c>
      <c r="G240" t="n">
        <v>1.1</v>
      </c>
      <c r="H240" t="n">
        <v>1</v>
      </c>
      <c r="I240" t="n">
        <v>0</v>
      </c>
      <c r="J240" t="n">
        <v>1</v>
      </c>
      <c r="K240" t="n">
        <v>1</v>
      </c>
      <c r="L240" t="n">
        <v>0</v>
      </c>
      <c r="M240" t="n">
        <v>0</v>
      </c>
      <c r="N240" t="n">
        <v>0</v>
      </c>
      <c r="O240" t="n">
        <v>2</v>
      </c>
      <c r="P240" t="n">
        <v>1</v>
      </c>
      <c r="Q240" t="n">
        <v>2</v>
      </c>
      <c r="R240" s="2" t="inlineStr">
        <is>
          <t>Knärot
Garnlav</t>
        </is>
      </c>
      <c r="S240">
        <f>HYPERLINK("https://klasma.github.io/Logging_2283/artfynd/A 24321-2022 artfynd.xlsx", "A 24321-2022")</f>
        <v/>
      </c>
      <c r="T240">
        <f>HYPERLINK("https://klasma.github.io/Logging_2283/kartor/A 24321-2022 karta.png", "A 24321-2022")</f>
        <v/>
      </c>
      <c r="U240">
        <f>HYPERLINK("https://klasma.github.io/Logging_2283/knärot/A 24321-2022 karta knärot.png", "A 24321-2022")</f>
        <v/>
      </c>
      <c r="V240">
        <f>HYPERLINK("https://klasma.github.io/Logging_2283/klagomål/A 24321-2022 FSC-klagomål.docx", "A 24321-2022")</f>
        <v/>
      </c>
      <c r="W240">
        <f>HYPERLINK("https://klasma.github.io/Logging_2283/klagomålsmail/A 24321-2022 FSC-klagomål mail.docx", "A 24321-2022")</f>
        <v/>
      </c>
      <c r="X240">
        <f>HYPERLINK("https://klasma.github.io/Logging_2283/tillsyn/A 24321-2022 tillsynsbegäran.docx", "A 24321-2022")</f>
        <v/>
      </c>
      <c r="Y240">
        <f>HYPERLINK("https://klasma.github.io/Logging_2283/tillsynsmail/A 24321-2022 tillsynsbegäran mail.docx", "A 24321-2022")</f>
        <v/>
      </c>
    </row>
    <row r="241" ht="15" customHeight="1">
      <c r="A241" t="inlineStr">
        <is>
          <t>A 29549-2022</t>
        </is>
      </c>
      <c r="B241" s="1" t="n">
        <v>44753</v>
      </c>
      <c r="C241" s="1" t="n">
        <v>45583</v>
      </c>
      <c r="D241" t="inlineStr">
        <is>
          <t>VÄSTERNORRLANDS LÄN</t>
        </is>
      </c>
      <c r="E241" t="inlineStr">
        <is>
          <t>SOLLEFTEÅ</t>
        </is>
      </c>
      <c r="F241" t="inlineStr">
        <is>
          <t>SCA</t>
        </is>
      </c>
      <c r="G241" t="n">
        <v>36.7</v>
      </c>
      <c r="H241" t="n">
        <v>0</v>
      </c>
      <c r="I241" t="n">
        <v>0</v>
      </c>
      <c r="J241" t="n">
        <v>2</v>
      </c>
      <c r="K241" t="n">
        <v>0</v>
      </c>
      <c r="L241" t="n">
        <v>0</v>
      </c>
      <c r="M241" t="n">
        <v>0</v>
      </c>
      <c r="N241" t="n">
        <v>0</v>
      </c>
      <c r="O241" t="n">
        <v>2</v>
      </c>
      <c r="P241" t="n">
        <v>0</v>
      </c>
      <c r="Q241" t="n">
        <v>2</v>
      </c>
      <c r="R241" s="2" t="inlineStr">
        <is>
          <t>Kolflarnlav
Skrovlig taggsvamp</t>
        </is>
      </c>
      <c r="S241">
        <f>HYPERLINK("https://klasma.github.io/Logging_2283/artfynd/A 29549-2022 artfynd.xlsx", "A 29549-2022")</f>
        <v/>
      </c>
      <c r="T241">
        <f>HYPERLINK("https://klasma.github.io/Logging_2283/kartor/A 29549-2022 karta.png", "A 29549-2022")</f>
        <v/>
      </c>
      <c r="V241">
        <f>HYPERLINK("https://klasma.github.io/Logging_2283/klagomål/A 29549-2022 FSC-klagomål.docx", "A 29549-2022")</f>
        <v/>
      </c>
      <c r="W241">
        <f>HYPERLINK("https://klasma.github.io/Logging_2283/klagomålsmail/A 29549-2022 FSC-klagomål mail.docx", "A 29549-2022")</f>
        <v/>
      </c>
      <c r="X241">
        <f>HYPERLINK("https://klasma.github.io/Logging_2283/tillsyn/A 29549-2022 tillsynsbegäran.docx", "A 29549-2022")</f>
        <v/>
      </c>
      <c r="Y241">
        <f>HYPERLINK("https://klasma.github.io/Logging_2283/tillsynsmail/A 29549-2022 tillsynsbegäran mail.docx", "A 29549-2022")</f>
        <v/>
      </c>
    </row>
    <row r="242" ht="15" customHeight="1">
      <c r="A242" t="inlineStr">
        <is>
          <t>A 33087-2022</t>
        </is>
      </c>
      <c r="B242" s="1" t="n">
        <v>44785</v>
      </c>
      <c r="C242" s="1" t="n">
        <v>45583</v>
      </c>
      <c r="D242" t="inlineStr">
        <is>
          <t>VÄSTERNORRLANDS LÄN</t>
        </is>
      </c>
      <c r="E242" t="inlineStr">
        <is>
          <t>SOLLEFTEÅ</t>
        </is>
      </c>
      <c r="G242" t="n">
        <v>0.5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33087-2022 artfynd.xlsx", "A 33087-2022")</f>
        <v/>
      </c>
      <c r="T242">
        <f>HYPERLINK("https://klasma.github.io/Logging_2283/kartor/A 33087-2022 karta.png", "A 33087-2022")</f>
        <v/>
      </c>
      <c r="V242">
        <f>HYPERLINK("https://klasma.github.io/Logging_2283/klagomål/A 33087-2022 FSC-klagomål.docx", "A 33087-2022")</f>
        <v/>
      </c>
      <c r="W242">
        <f>HYPERLINK("https://klasma.github.io/Logging_2283/klagomålsmail/A 33087-2022 FSC-klagomål mail.docx", "A 33087-2022")</f>
        <v/>
      </c>
      <c r="X242">
        <f>HYPERLINK("https://klasma.github.io/Logging_2283/tillsyn/A 33087-2022 tillsynsbegäran.docx", "A 33087-2022")</f>
        <v/>
      </c>
      <c r="Y242">
        <f>HYPERLINK("https://klasma.github.io/Logging_2283/tillsynsmail/A 33087-2022 tillsynsbegäran mail.docx", "A 33087-2022")</f>
        <v/>
      </c>
    </row>
    <row r="243" ht="15" customHeight="1">
      <c r="A243" t="inlineStr">
        <is>
          <t>A 34526-2022</t>
        </is>
      </c>
      <c r="B243" s="1" t="n">
        <v>44792</v>
      </c>
      <c r="C243" s="1" t="n">
        <v>45583</v>
      </c>
      <c r="D243" t="inlineStr">
        <is>
          <t>VÄSTERNORRLANDS LÄN</t>
        </is>
      </c>
      <c r="E243" t="inlineStr">
        <is>
          <t>SOLLEFTEÅ</t>
        </is>
      </c>
      <c r="F243" t="inlineStr">
        <is>
          <t>SCA</t>
        </is>
      </c>
      <c r="G243" t="n">
        <v>1.4</v>
      </c>
      <c r="H243" t="n">
        <v>0</v>
      </c>
      <c r="I243" t="n">
        <v>0</v>
      </c>
      <c r="J243" t="n">
        <v>2</v>
      </c>
      <c r="K243" t="n">
        <v>0</v>
      </c>
      <c r="L243" t="n">
        <v>0</v>
      </c>
      <c r="M243" t="n">
        <v>0</v>
      </c>
      <c r="N243" t="n">
        <v>0</v>
      </c>
      <c r="O243" t="n">
        <v>2</v>
      </c>
      <c r="P243" t="n">
        <v>0</v>
      </c>
      <c r="Q243" t="n">
        <v>2</v>
      </c>
      <c r="R243" s="2" t="inlineStr">
        <is>
          <t>Garnlav
Mörk kolflarnlav</t>
        </is>
      </c>
      <c r="S243">
        <f>HYPERLINK("https://klasma.github.io/Logging_2283/artfynd/A 34526-2022 artfynd.xlsx", "A 34526-2022")</f>
        <v/>
      </c>
      <c r="T243">
        <f>HYPERLINK("https://klasma.github.io/Logging_2283/kartor/A 34526-2022 karta.png", "A 34526-2022")</f>
        <v/>
      </c>
      <c r="V243">
        <f>HYPERLINK("https://klasma.github.io/Logging_2283/klagomål/A 34526-2022 FSC-klagomål.docx", "A 34526-2022")</f>
        <v/>
      </c>
      <c r="W243">
        <f>HYPERLINK("https://klasma.github.io/Logging_2283/klagomålsmail/A 34526-2022 FSC-klagomål mail.docx", "A 34526-2022")</f>
        <v/>
      </c>
      <c r="X243">
        <f>HYPERLINK("https://klasma.github.io/Logging_2283/tillsyn/A 34526-2022 tillsynsbegäran.docx", "A 34526-2022")</f>
        <v/>
      </c>
      <c r="Y243">
        <f>HYPERLINK("https://klasma.github.io/Logging_2283/tillsynsmail/A 34526-2022 tillsynsbegäran mail.docx", "A 34526-2022")</f>
        <v/>
      </c>
    </row>
    <row r="244" ht="15" customHeight="1">
      <c r="A244" t="inlineStr">
        <is>
          <t>A 37243-2022</t>
        </is>
      </c>
      <c r="B244" s="1" t="n">
        <v>44806</v>
      </c>
      <c r="C244" s="1" t="n">
        <v>45583</v>
      </c>
      <c r="D244" t="inlineStr">
        <is>
          <t>VÄSTERNORRLANDS LÄN</t>
        </is>
      </c>
      <c r="E244" t="inlineStr">
        <is>
          <t>SOLLEFTEÅ</t>
        </is>
      </c>
      <c r="F244" t="inlineStr">
        <is>
          <t>SCA</t>
        </is>
      </c>
      <c r="G244" t="n">
        <v>7.1</v>
      </c>
      <c r="H244" t="n">
        <v>0</v>
      </c>
      <c r="I244" t="n">
        <v>1</v>
      </c>
      <c r="J244" t="n">
        <v>1</v>
      </c>
      <c r="K244" t="n">
        <v>0</v>
      </c>
      <c r="L244" t="n">
        <v>0</v>
      </c>
      <c r="M244" t="n">
        <v>0</v>
      </c>
      <c r="N244" t="n">
        <v>0</v>
      </c>
      <c r="O244" t="n">
        <v>1</v>
      </c>
      <c r="P244" t="n">
        <v>0</v>
      </c>
      <c r="Q244" t="n">
        <v>2</v>
      </c>
      <c r="R244" s="2" t="inlineStr">
        <is>
          <t>Violettgrå tagellav
Dropptaggsvamp</t>
        </is>
      </c>
      <c r="S244">
        <f>HYPERLINK("https://klasma.github.io/Logging_2283/artfynd/A 37243-2022 artfynd.xlsx", "A 37243-2022")</f>
        <v/>
      </c>
      <c r="T244">
        <f>HYPERLINK("https://klasma.github.io/Logging_2283/kartor/A 37243-2022 karta.png", "A 37243-2022")</f>
        <v/>
      </c>
      <c r="V244">
        <f>HYPERLINK("https://klasma.github.io/Logging_2283/klagomål/A 37243-2022 FSC-klagomål.docx", "A 37243-2022")</f>
        <v/>
      </c>
      <c r="W244">
        <f>HYPERLINK("https://klasma.github.io/Logging_2283/klagomålsmail/A 37243-2022 FSC-klagomål mail.docx", "A 37243-2022")</f>
        <v/>
      </c>
      <c r="X244">
        <f>HYPERLINK("https://klasma.github.io/Logging_2283/tillsyn/A 37243-2022 tillsynsbegäran.docx", "A 37243-2022")</f>
        <v/>
      </c>
      <c r="Y244">
        <f>HYPERLINK("https://klasma.github.io/Logging_2283/tillsynsmail/A 37243-2022 tillsynsbegäran mail.docx", "A 37243-2022")</f>
        <v/>
      </c>
    </row>
    <row r="245" ht="15" customHeight="1">
      <c r="A245" t="inlineStr">
        <is>
          <t>A 45083-2022</t>
        </is>
      </c>
      <c r="B245" s="1" t="n">
        <v>44841</v>
      </c>
      <c r="C245" s="1" t="n">
        <v>45583</v>
      </c>
      <c r="D245" t="inlineStr">
        <is>
          <t>VÄSTERNORRLANDS LÄN</t>
        </is>
      </c>
      <c r="E245" t="inlineStr">
        <is>
          <t>SOLLEFTEÅ</t>
        </is>
      </c>
      <c r="F245" t="inlineStr">
        <is>
          <t>SCA</t>
        </is>
      </c>
      <c r="G245" t="n">
        <v>4.3</v>
      </c>
      <c r="H245" t="n">
        <v>2</v>
      </c>
      <c r="I245" t="n">
        <v>0</v>
      </c>
      <c r="J245" t="n">
        <v>1</v>
      </c>
      <c r="K245" t="n">
        <v>0</v>
      </c>
      <c r="L245" t="n">
        <v>0</v>
      </c>
      <c r="M245" t="n">
        <v>0</v>
      </c>
      <c r="N245" t="n">
        <v>0</v>
      </c>
      <c r="O245" t="n">
        <v>1</v>
      </c>
      <c r="P245" t="n">
        <v>0</v>
      </c>
      <c r="Q245" t="n">
        <v>2</v>
      </c>
      <c r="R245" s="2" t="inlineStr">
        <is>
          <t>Talltita
Blåsippa</t>
        </is>
      </c>
      <c r="S245">
        <f>HYPERLINK("https://klasma.github.io/Logging_2283/artfynd/A 45083-2022 artfynd.xlsx", "A 45083-2022")</f>
        <v/>
      </c>
      <c r="T245">
        <f>HYPERLINK("https://klasma.github.io/Logging_2283/kartor/A 45083-2022 karta.png", "A 45083-2022")</f>
        <v/>
      </c>
      <c r="V245">
        <f>HYPERLINK("https://klasma.github.io/Logging_2283/klagomål/A 45083-2022 FSC-klagomål.docx", "A 45083-2022")</f>
        <v/>
      </c>
      <c r="W245">
        <f>HYPERLINK("https://klasma.github.io/Logging_2283/klagomålsmail/A 45083-2022 FSC-klagomål mail.docx", "A 45083-2022")</f>
        <v/>
      </c>
      <c r="X245">
        <f>HYPERLINK("https://klasma.github.io/Logging_2283/tillsyn/A 45083-2022 tillsynsbegäran.docx", "A 45083-2022")</f>
        <v/>
      </c>
      <c r="Y245">
        <f>HYPERLINK("https://klasma.github.io/Logging_2283/tillsynsmail/A 45083-2022 tillsynsbegäran mail.docx", "A 45083-2022")</f>
        <v/>
      </c>
      <c r="Z245">
        <f>HYPERLINK("https://klasma.github.io/Logging_2283/fåglar/A 45083-2022 prioriterade fågelarter.docx", "A 45083-2022")</f>
        <v/>
      </c>
    </row>
    <row r="246" ht="15" customHeight="1">
      <c r="A246" t="inlineStr">
        <is>
          <t>A 45084-2022</t>
        </is>
      </c>
      <c r="B246" s="1" t="n">
        <v>44841</v>
      </c>
      <c r="C246" s="1" t="n">
        <v>45583</v>
      </c>
      <c r="D246" t="inlineStr">
        <is>
          <t>VÄSTERNORRLANDS LÄN</t>
        </is>
      </c>
      <c r="E246" t="inlineStr">
        <is>
          <t>SOLLEFTEÅ</t>
        </is>
      </c>
      <c r="F246" t="inlineStr">
        <is>
          <t>SCA</t>
        </is>
      </c>
      <c r="G246" t="n">
        <v>5.5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45084-2022 artfynd.xlsx", "A 45084-2022")</f>
        <v/>
      </c>
      <c r="T246">
        <f>HYPERLINK("https://klasma.github.io/Logging_2283/kartor/A 45084-2022 karta.png",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48073-2022</t>
        </is>
      </c>
      <c r="B247" s="1" t="n">
        <v>44855</v>
      </c>
      <c r="C247" s="1" t="n">
        <v>45583</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48073-2022 artfynd.xlsx", "A 48073-2022")</f>
        <v/>
      </c>
      <c r="T247">
        <f>HYPERLINK("https://klasma.github.io/Logging_2283/kartor/A 48073-2022 karta.png", "A 48073-2022")</f>
        <v/>
      </c>
      <c r="V247">
        <f>HYPERLINK("https://klasma.github.io/Logging_2283/klagomål/A 48073-2022 FSC-klagomål.docx", "A 48073-2022")</f>
        <v/>
      </c>
      <c r="W247">
        <f>HYPERLINK("https://klasma.github.io/Logging_2283/klagomålsmail/A 48073-2022 FSC-klagomål mail.docx", "A 48073-2022")</f>
        <v/>
      </c>
      <c r="X247">
        <f>HYPERLINK("https://klasma.github.io/Logging_2283/tillsyn/A 48073-2022 tillsynsbegäran.docx", "A 48073-2022")</f>
        <v/>
      </c>
      <c r="Y247">
        <f>HYPERLINK("https://klasma.github.io/Logging_2283/tillsynsmail/A 48073-2022 tillsynsbegäran mail.docx", "A 48073-2022")</f>
        <v/>
      </c>
      <c r="Z247">
        <f>HYPERLINK("https://klasma.github.io/Logging_2283/fåglar/A 48073-2022 prioriterade fågelarter.docx", "A 48073-2022")</f>
        <v/>
      </c>
    </row>
    <row r="248" ht="15" customHeight="1">
      <c r="A248" t="inlineStr">
        <is>
          <t>A 55727-2022</t>
        </is>
      </c>
      <c r="B248" s="1" t="n">
        <v>44883</v>
      </c>
      <c r="C248" s="1" t="n">
        <v>45583</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45583</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45583</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45583</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45583</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45583</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45583</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45583</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45583</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45583</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45583</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45583</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45583</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45583</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45583</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45583</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45583</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45583</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45583</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45583</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45583</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45583</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45583</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45583</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45583</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45583</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45583</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45583</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41337-2024</t>
        </is>
      </c>
      <c r="B276" s="1" t="n">
        <v>45559</v>
      </c>
      <c r="C276" s="1" t="n">
        <v>45583</v>
      </c>
      <c r="D276" t="inlineStr">
        <is>
          <t>VÄSTERNORRLANDS LÄN</t>
        </is>
      </c>
      <c r="E276" t="inlineStr">
        <is>
          <t>SOLLEFTEÅ</t>
        </is>
      </c>
      <c r="G276" t="n">
        <v>30.1</v>
      </c>
      <c r="H276" t="n">
        <v>0</v>
      </c>
      <c r="I276" t="n">
        <v>0</v>
      </c>
      <c r="J276" t="n">
        <v>2</v>
      </c>
      <c r="K276" t="n">
        <v>0</v>
      </c>
      <c r="L276" t="n">
        <v>0</v>
      </c>
      <c r="M276" t="n">
        <v>0</v>
      </c>
      <c r="N276" t="n">
        <v>0</v>
      </c>
      <c r="O276" t="n">
        <v>2</v>
      </c>
      <c r="P276" t="n">
        <v>0</v>
      </c>
      <c r="Q276" t="n">
        <v>2</v>
      </c>
      <c r="R276" s="2" t="inlineStr">
        <is>
          <t>Granticka
Rosenticka</t>
        </is>
      </c>
      <c r="S276">
        <f>HYPERLINK("https://klasma.github.io/Logging_2283/artfynd/A 41337-2024 artfynd.xlsx", "A 41337-2024")</f>
        <v/>
      </c>
      <c r="T276">
        <f>HYPERLINK("https://klasma.github.io/Logging_2283/kartor/A 41337-2024 karta.png", "A 41337-2024")</f>
        <v/>
      </c>
      <c r="V276">
        <f>HYPERLINK("https://klasma.github.io/Logging_2283/klagomål/A 41337-2024 FSC-klagomål.docx", "A 41337-2024")</f>
        <v/>
      </c>
      <c r="W276">
        <f>HYPERLINK("https://klasma.github.io/Logging_2283/klagomålsmail/A 41337-2024 FSC-klagomål mail.docx", "A 41337-2024")</f>
        <v/>
      </c>
      <c r="X276">
        <f>HYPERLINK("https://klasma.github.io/Logging_2283/tillsyn/A 41337-2024 tillsynsbegäran.docx", "A 41337-2024")</f>
        <v/>
      </c>
      <c r="Y276">
        <f>HYPERLINK("https://klasma.github.io/Logging_2283/tillsynsmail/A 41337-2024 tillsynsbegäran mail.docx", "A 41337-2024")</f>
        <v/>
      </c>
    </row>
    <row r="277" ht="15" customHeight="1">
      <c r="A277" t="inlineStr">
        <is>
          <t>A 21120-2019</t>
        </is>
      </c>
      <c r="B277" s="1" t="n">
        <v>43578</v>
      </c>
      <c r="C277" s="1" t="n">
        <v>45583</v>
      </c>
      <c r="D277" t="inlineStr">
        <is>
          <t>VÄSTERNORRLANDS LÄN</t>
        </is>
      </c>
      <c r="E277" t="inlineStr">
        <is>
          <t>SOLLEFTEÅ</t>
        </is>
      </c>
      <c r="F277" t="inlineStr">
        <is>
          <t>SCA</t>
        </is>
      </c>
      <c r="G277" t="n">
        <v>54.4</v>
      </c>
      <c r="H277" t="n">
        <v>1</v>
      </c>
      <c r="I277" t="n">
        <v>0</v>
      </c>
      <c r="J277" t="n">
        <v>0</v>
      </c>
      <c r="K277" t="n">
        <v>0</v>
      </c>
      <c r="L277" t="n">
        <v>0</v>
      </c>
      <c r="M277" t="n">
        <v>0</v>
      </c>
      <c r="N277" t="n">
        <v>0</v>
      </c>
      <c r="O277" t="n">
        <v>0</v>
      </c>
      <c r="P277" t="n">
        <v>0</v>
      </c>
      <c r="Q277" t="n">
        <v>1</v>
      </c>
      <c r="R277" s="2" t="inlineStr">
        <is>
          <t>Revlummer</t>
        </is>
      </c>
      <c r="S277">
        <f>HYPERLINK("https://klasma.github.io/Logging_2283/artfynd/A 21120-2019 artfynd.xlsx", "A 21120-2019")</f>
        <v/>
      </c>
      <c r="T277">
        <f>HYPERLINK("https://klasma.github.io/Logging_2283/kartor/A 21120-2019 karta.png", "A 21120-2019")</f>
        <v/>
      </c>
      <c r="V277">
        <f>HYPERLINK("https://klasma.github.io/Logging_2283/klagomål/A 21120-2019 FSC-klagomål.docx", "A 21120-2019")</f>
        <v/>
      </c>
      <c r="W277">
        <f>HYPERLINK("https://klasma.github.io/Logging_2283/klagomålsmail/A 21120-2019 FSC-klagomål mail.docx", "A 21120-2019")</f>
        <v/>
      </c>
      <c r="X277">
        <f>HYPERLINK("https://klasma.github.io/Logging_2283/tillsyn/A 21120-2019 tillsynsbegäran.docx", "A 21120-2019")</f>
        <v/>
      </c>
      <c r="Y277">
        <f>HYPERLINK("https://klasma.github.io/Logging_2283/tillsynsmail/A 21120-2019 tillsynsbegäran mail.docx", "A 21120-2019")</f>
        <v/>
      </c>
    </row>
    <row r="278" ht="15" customHeight="1">
      <c r="A278" t="inlineStr">
        <is>
          <t>A 28600-2019</t>
        </is>
      </c>
      <c r="B278" s="1" t="n">
        <v>43626</v>
      </c>
      <c r="C278" s="1" t="n">
        <v>45583</v>
      </c>
      <c r="D278" t="inlineStr">
        <is>
          <t>VÄSTERNORRLANDS LÄN</t>
        </is>
      </c>
      <c r="E278" t="inlineStr">
        <is>
          <t>SOLLEFTEÅ</t>
        </is>
      </c>
      <c r="F278" t="inlineStr">
        <is>
          <t>SCA</t>
        </is>
      </c>
      <c r="G278" t="n">
        <v>5.9</v>
      </c>
      <c r="H278" t="n">
        <v>0</v>
      </c>
      <c r="I278" t="n">
        <v>0</v>
      </c>
      <c r="J278" t="n">
        <v>1</v>
      </c>
      <c r="K278" t="n">
        <v>0</v>
      </c>
      <c r="L278" t="n">
        <v>0</v>
      </c>
      <c r="M278" t="n">
        <v>0</v>
      </c>
      <c r="N278" t="n">
        <v>0</v>
      </c>
      <c r="O278" t="n">
        <v>1</v>
      </c>
      <c r="P278" t="n">
        <v>0</v>
      </c>
      <c r="Q278" t="n">
        <v>1</v>
      </c>
      <c r="R278" s="2" t="inlineStr">
        <is>
          <t>Tallriska</t>
        </is>
      </c>
      <c r="S278">
        <f>HYPERLINK("https://klasma.github.io/Logging_2283/artfynd/A 28600-2019 artfynd.xlsx", "A 28600-2019")</f>
        <v/>
      </c>
      <c r="T278">
        <f>HYPERLINK("https://klasma.github.io/Logging_2283/kartor/A 28600-2019 karta.png", "A 28600-2019")</f>
        <v/>
      </c>
      <c r="V278">
        <f>HYPERLINK("https://klasma.github.io/Logging_2283/klagomål/A 28600-2019 FSC-klagomål.docx", "A 28600-2019")</f>
        <v/>
      </c>
      <c r="W278">
        <f>HYPERLINK("https://klasma.github.io/Logging_2283/klagomålsmail/A 28600-2019 FSC-klagomål mail.docx", "A 28600-2019")</f>
        <v/>
      </c>
      <c r="X278">
        <f>HYPERLINK("https://klasma.github.io/Logging_2283/tillsyn/A 28600-2019 tillsynsbegäran.docx", "A 28600-2019")</f>
        <v/>
      </c>
      <c r="Y278">
        <f>HYPERLINK("https://klasma.github.io/Logging_2283/tillsynsmail/A 28600-2019 tillsynsbegäran mail.docx", "A 28600-2019")</f>
        <v/>
      </c>
    </row>
    <row r="279" ht="15" customHeight="1">
      <c r="A279" t="inlineStr">
        <is>
          <t>A 36982-2019</t>
        </is>
      </c>
      <c r="B279" s="1" t="n">
        <v>43676</v>
      </c>
      <c r="C279" s="1" t="n">
        <v>45583</v>
      </c>
      <c r="D279" t="inlineStr">
        <is>
          <t>VÄSTERNORRLANDS LÄN</t>
        </is>
      </c>
      <c r="E279" t="inlineStr">
        <is>
          <t>SOLLEFTEÅ</t>
        </is>
      </c>
      <c r="G279" t="n">
        <v>1.2</v>
      </c>
      <c r="H279" t="n">
        <v>0</v>
      </c>
      <c r="I279" t="n">
        <v>1</v>
      </c>
      <c r="J279" t="n">
        <v>0</v>
      </c>
      <c r="K279" t="n">
        <v>0</v>
      </c>
      <c r="L279" t="n">
        <v>0</v>
      </c>
      <c r="M279" t="n">
        <v>0</v>
      </c>
      <c r="N279" t="n">
        <v>0</v>
      </c>
      <c r="O279" t="n">
        <v>0</v>
      </c>
      <c r="P279" t="n">
        <v>0</v>
      </c>
      <c r="Q279" t="n">
        <v>1</v>
      </c>
      <c r="R279" s="2" t="inlineStr">
        <is>
          <t>Trådticka</t>
        </is>
      </c>
      <c r="S279">
        <f>HYPERLINK("https://klasma.github.io/Logging_2283/artfynd/A 36982-2019 artfynd.xlsx", "A 36982-2019")</f>
        <v/>
      </c>
      <c r="T279">
        <f>HYPERLINK("https://klasma.github.io/Logging_2283/kartor/A 36982-2019 karta.png", "A 36982-2019")</f>
        <v/>
      </c>
      <c r="V279">
        <f>HYPERLINK("https://klasma.github.io/Logging_2283/klagomål/A 36982-2019 FSC-klagomål.docx", "A 36982-2019")</f>
        <v/>
      </c>
      <c r="W279">
        <f>HYPERLINK("https://klasma.github.io/Logging_2283/klagomålsmail/A 36982-2019 FSC-klagomål mail.docx", "A 36982-2019")</f>
        <v/>
      </c>
      <c r="X279">
        <f>HYPERLINK("https://klasma.github.io/Logging_2283/tillsyn/A 36982-2019 tillsynsbegäran.docx", "A 36982-2019")</f>
        <v/>
      </c>
      <c r="Y279">
        <f>HYPERLINK("https://klasma.github.io/Logging_2283/tillsynsmail/A 36982-2019 tillsynsbegäran mail.docx", "A 36982-2019")</f>
        <v/>
      </c>
    </row>
    <row r="280" ht="15" customHeight="1">
      <c r="A280" t="inlineStr">
        <is>
          <t>A 38091-2019</t>
        </is>
      </c>
      <c r="B280" s="1" t="n">
        <v>43682</v>
      </c>
      <c r="C280" s="1" t="n">
        <v>45583</v>
      </c>
      <c r="D280" t="inlineStr">
        <is>
          <t>VÄSTERNORRLANDS LÄN</t>
        </is>
      </c>
      <c r="E280" t="inlineStr">
        <is>
          <t>SOLLEFTEÅ</t>
        </is>
      </c>
      <c r="F280" t="inlineStr">
        <is>
          <t>Holmen skog AB</t>
        </is>
      </c>
      <c r="G280" t="n">
        <v>4.7</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38091-2019 artfynd.xlsx", "A 38091-2019")</f>
        <v/>
      </c>
      <c r="T280">
        <f>HYPERLINK("https://klasma.github.io/Logging_2283/kartor/A 38091-2019 karta.png", "A 38091-2019")</f>
        <v/>
      </c>
      <c r="V280">
        <f>HYPERLINK("https://klasma.github.io/Logging_2283/klagomål/A 38091-2019 FSC-klagomål.docx", "A 38091-2019")</f>
        <v/>
      </c>
      <c r="W280">
        <f>HYPERLINK("https://klasma.github.io/Logging_2283/klagomålsmail/A 38091-2019 FSC-klagomål mail.docx", "A 38091-2019")</f>
        <v/>
      </c>
      <c r="X280">
        <f>HYPERLINK("https://klasma.github.io/Logging_2283/tillsyn/A 38091-2019 tillsynsbegäran.docx", "A 38091-2019")</f>
        <v/>
      </c>
      <c r="Y280">
        <f>HYPERLINK("https://klasma.github.io/Logging_2283/tillsynsmail/A 38091-2019 tillsynsbegäran mail.docx", "A 38091-2019")</f>
        <v/>
      </c>
      <c r="Z280">
        <f>HYPERLINK("https://klasma.github.io/Logging_2283/fåglar/A 38091-2019 prioriterade fågelarter.docx", "A 38091-2019")</f>
        <v/>
      </c>
    </row>
    <row r="281" ht="15" customHeight="1">
      <c r="A281" t="inlineStr">
        <is>
          <t>A 51669-2019</t>
        </is>
      </c>
      <c r="B281" s="1" t="n">
        <v>43740</v>
      </c>
      <c r="C281" s="1" t="n">
        <v>45583</v>
      </c>
      <c r="D281" t="inlineStr">
        <is>
          <t>VÄSTERNORRLANDS LÄN</t>
        </is>
      </c>
      <c r="E281" t="inlineStr">
        <is>
          <t>SOLLEFTEÅ</t>
        </is>
      </c>
      <c r="F281" t="inlineStr">
        <is>
          <t>SCA</t>
        </is>
      </c>
      <c r="G281" t="n">
        <v>3.6</v>
      </c>
      <c r="H281" t="n">
        <v>0</v>
      </c>
      <c r="I281" t="n">
        <v>0</v>
      </c>
      <c r="J281" t="n">
        <v>1</v>
      </c>
      <c r="K281" t="n">
        <v>0</v>
      </c>
      <c r="L281" t="n">
        <v>0</v>
      </c>
      <c r="M281" t="n">
        <v>0</v>
      </c>
      <c r="N281" t="n">
        <v>0</v>
      </c>
      <c r="O281" t="n">
        <v>1</v>
      </c>
      <c r="P281" t="n">
        <v>0</v>
      </c>
      <c r="Q281" t="n">
        <v>1</v>
      </c>
      <c r="R281" s="2" t="inlineStr">
        <is>
          <t>Rosenticka</t>
        </is>
      </c>
      <c r="S281">
        <f>HYPERLINK("https://klasma.github.io/Logging_2283/artfynd/A 51669-2019 artfynd.xlsx", "A 51669-2019")</f>
        <v/>
      </c>
      <c r="T281">
        <f>HYPERLINK("https://klasma.github.io/Logging_2283/kartor/A 51669-2019 karta.png", "A 51669-2019")</f>
        <v/>
      </c>
      <c r="V281">
        <f>HYPERLINK("https://klasma.github.io/Logging_2283/klagomål/A 51669-2019 FSC-klagomål.docx", "A 51669-2019")</f>
        <v/>
      </c>
      <c r="W281">
        <f>HYPERLINK("https://klasma.github.io/Logging_2283/klagomålsmail/A 51669-2019 FSC-klagomål mail.docx", "A 51669-2019")</f>
        <v/>
      </c>
      <c r="X281">
        <f>HYPERLINK("https://klasma.github.io/Logging_2283/tillsyn/A 51669-2019 tillsynsbegäran.docx", "A 51669-2019")</f>
        <v/>
      </c>
      <c r="Y281">
        <f>HYPERLINK("https://klasma.github.io/Logging_2283/tillsynsmail/A 51669-2019 tillsynsbegäran mail.docx", "A 51669-2019")</f>
        <v/>
      </c>
    </row>
    <row r="282" ht="15" customHeight="1">
      <c r="A282" t="inlineStr">
        <is>
          <t>A 59511-2019</t>
        </is>
      </c>
      <c r="B282" s="1" t="n">
        <v>43773</v>
      </c>
      <c r="C282" s="1" t="n">
        <v>45583</v>
      </c>
      <c r="D282" t="inlineStr">
        <is>
          <t>VÄSTERNORRLANDS LÄN</t>
        </is>
      </c>
      <c r="E282" t="inlineStr">
        <is>
          <t>SOLLEFTEÅ</t>
        </is>
      </c>
      <c r="F282" t="inlineStr">
        <is>
          <t>Holmen skog AB</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HYPERLINK("https://klasma.github.io/Logging_2283/artfynd/A 59511-2019 artfynd.xlsx", "A 59511-2019")</f>
        <v/>
      </c>
      <c r="T282">
        <f>HYPERLINK("https://klasma.github.io/Logging_2283/kartor/A 59511-2019 karta.png", "A 59511-2019")</f>
        <v/>
      </c>
      <c r="V282">
        <f>HYPERLINK("https://klasma.github.io/Logging_2283/klagomål/A 59511-2019 FSC-klagomål.docx", "A 59511-2019")</f>
        <v/>
      </c>
      <c r="W282">
        <f>HYPERLINK("https://klasma.github.io/Logging_2283/klagomålsmail/A 59511-2019 FSC-klagomål mail.docx", "A 59511-2019")</f>
        <v/>
      </c>
      <c r="X282">
        <f>HYPERLINK("https://klasma.github.io/Logging_2283/tillsyn/A 59511-2019 tillsynsbegäran.docx", "A 59511-2019")</f>
        <v/>
      </c>
      <c r="Y282">
        <f>HYPERLINK("https://klasma.github.io/Logging_2283/tillsynsmail/A 59511-2019 tillsynsbegäran mail.docx", "A 59511-2019")</f>
        <v/>
      </c>
    </row>
    <row r="283" ht="15" customHeight="1">
      <c r="A283" t="inlineStr">
        <is>
          <t>A 9178-2020</t>
        </is>
      </c>
      <c r="B283" s="1" t="n">
        <v>43879</v>
      </c>
      <c r="C283" s="1" t="n">
        <v>45583</v>
      </c>
      <c r="D283" t="inlineStr">
        <is>
          <t>VÄSTERNORRLANDS LÄN</t>
        </is>
      </c>
      <c r="E283" t="inlineStr">
        <is>
          <t>SOLLEFTEÅ</t>
        </is>
      </c>
      <c r="G283" t="n">
        <v>5.3</v>
      </c>
      <c r="H283" t="n">
        <v>1</v>
      </c>
      <c r="I283" t="n">
        <v>0</v>
      </c>
      <c r="J283" t="n">
        <v>0</v>
      </c>
      <c r="K283" t="n">
        <v>0</v>
      </c>
      <c r="L283" t="n">
        <v>0</v>
      </c>
      <c r="M283" t="n">
        <v>0</v>
      </c>
      <c r="N283" t="n">
        <v>0</v>
      </c>
      <c r="O283" t="n">
        <v>0</v>
      </c>
      <c r="P283" t="n">
        <v>0</v>
      </c>
      <c r="Q283" t="n">
        <v>1</v>
      </c>
      <c r="R283" s="2" t="inlineStr">
        <is>
          <t>Fläcknycklar</t>
        </is>
      </c>
      <c r="S283">
        <f>HYPERLINK("https://klasma.github.io/Logging_2283/artfynd/A 9178-2020 artfynd.xlsx", "A 9178-2020")</f>
        <v/>
      </c>
      <c r="T283">
        <f>HYPERLINK("https://klasma.github.io/Logging_2283/kartor/A 9178-2020 karta.png", "A 9178-2020")</f>
        <v/>
      </c>
      <c r="V283">
        <f>HYPERLINK("https://klasma.github.io/Logging_2283/klagomål/A 9178-2020 FSC-klagomål.docx", "A 9178-2020")</f>
        <v/>
      </c>
      <c r="W283">
        <f>HYPERLINK("https://klasma.github.io/Logging_2283/klagomålsmail/A 9178-2020 FSC-klagomål mail.docx", "A 9178-2020")</f>
        <v/>
      </c>
      <c r="X283">
        <f>HYPERLINK("https://klasma.github.io/Logging_2283/tillsyn/A 9178-2020 tillsynsbegäran.docx", "A 9178-2020")</f>
        <v/>
      </c>
      <c r="Y283">
        <f>HYPERLINK("https://klasma.github.io/Logging_2283/tillsynsmail/A 9178-2020 tillsynsbegäran mail.docx", "A 9178-2020")</f>
        <v/>
      </c>
    </row>
    <row r="284" ht="15" customHeight="1">
      <c r="A284" t="inlineStr">
        <is>
          <t>A 12526-2020</t>
        </is>
      </c>
      <c r="B284" s="1" t="n">
        <v>43896</v>
      </c>
      <c r="C284" s="1" t="n">
        <v>45583</v>
      </c>
      <c r="D284" t="inlineStr">
        <is>
          <t>VÄSTERNORRLANDS LÄN</t>
        </is>
      </c>
      <c r="E284" t="inlineStr">
        <is>
          <t>SOLLEFTEÅ</t>
        </is>
      </c>
      <c r="F284" t="inlineStr">
        <is>
          <t>SCA</t>
        </is>
      </c>
      <c r="G284" t="n">
        <v>14.7</v>
      </c>
      <c r="H284" t="n">
        <v>1</v>
      </c>
      <c r="I284" t="n">
        <v>0</v>
      </c>
      <c r="J284" t="n">
        <v>1</v>
      </c>
      <c r="K284" t="n">
        <v>0</v>
      </c>
      <c r="L284" t="n">
        <v>0</v>
      </c>
      <c r="M284" t="n">
        <v>0</v>
      </c>
      <c r="N284" t="n">
        <v>0</v>
      </c>
      <c r="O284" t="n">
        <v>1</v>
      </c>
      <c r="P284" t="n">
        <v>0</v>
      </c>
      <c r="Q284" t="n">
        <v>1</v>
      </c>
      <c r="R284" s="2" t="inlineStr">
        <is>
          <t>Talltita</t>
        </is>
      </c>
      <c r="S284">
        <f>HYPERLINK("https://klasma.github.io/Logging_2283/artfynd/A 12526-2020 artfynd.xlsx", "A 12526-2020")</f>
        <v/>
      </c>
      <c r="T284">
        <f>HYPERLINK("https://klasma.github.io/Logging_2283/kartor/A 12526-2020 karta.png", "A 12526-2020")</f>
        <v/>
      </c>
      <c r="V284">
        <f>HYPERLINK("https://klasma.github.io/Logging_2283/klagomål/A 12526-2020 FSC-klagomål.docx", "A 12526-2020")</f>
        <v/>
      </c>
      <c r="W284">
        <f>HYPERLINK("https://klasma.github.io/Logging_2283/klagomålsmail/A 12526-2020 FSC-klagomål mail.docx", "A 12526-2020")</f>
        <v/>
      </c>
      <c r="X284">
        <f>HYPERLINK("https://klasma.github.io/Logging_2283/tillsyn/A 12526-2020 tillsynsbegäran.docx", "A 12526-2020")</f>
        <v/>
      </c>
      <c r="Y284">
        <f>HYPERLINK("https://klasma.github.io/Logging_2283/tillsynsmail/A 12526-2020 tillsynsbegäran mail.docx", "A 12526-2020")</f>
        <v/>
      </c>
      <c r="Z284">
        <f>HYPERLINK("https://klasma.github.io/Logging_2283/fåglar/A 12526-2020 prioriterade fågelarter.docx", "A 12526-2020")</f>
        <v/>
      </c>
    </row>
    <row r="285" ht="15" customHeight="1">
      <c r="A285" t="inlineStr">
        <is>
          <t>A 19166-2020</t>
        </is>
      </c>
      <c r="B285" s="1" t="n">
        <v>43936</v>
      </c>
      <c r="C285" s="1" t="n">
        <v>45583</v>
      </c>
      <c r="D285" t="inlineStr">
        <is>
          <t>VÄSTERNORRLANDS LÄN</t>
        </is>
      </c>
      <c r="E285" t="inlineStr">
        <is>
          <t>SOLLEFTEÅ</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HYPERLINK("https://klasma.github.io/Logging_2283/artfynd/A 19166-2020 artfynd.xlsx", "A 19166-2020")</f>
        <v/>
      </c>
      <c r="T285">
        <f>HYPERLINK("https://klasma.github.io/Logging_2283/kartor/A 19166-2020 karta.png", "A 19166-2020")</f>
        <v/>
      </c>
      <c r="V285">
        <f>HYPERLINK("https://klasma.github.io/Logging_2283/klagomål/A 19166-2020 FSC-klagomål.docx", "A 19166-2020")</f>
        <v/>
      </c>
      <c r="W285">
        <f>HYPERLINK("https://klasma.github.io/Logging_2283/klagomålsmail/A 19166-2020 FSC-klagomål mail.docx", "A 19166-2020")</f>
        <v/>
      </c>
      <c r="X285">
        <f>HYPERLINK("https://klasma.github.io/Logging_2283/tillsyn/A 19166-2020 tillsynsbegäran.docx", "A 19166-2020")</f>
        <v/>
      </c>
      <c r="Y285">
        <f>HYPERLINK("https://klasma.github.io/Logging_2283/tillsynsmail/A 19166-2020 tillsynsbegäran mail.docx", "A 19166-2020")</f>
        <v/>
      </c>
    </row>
    <row r="286" ht="15" customHeight="1">
      <c r="A286" t="inlineStr">
        <is>
          <t>A 24641-2020</t>
        </is>
      </c>
      <c r="B286" s="1" t="n">
        <v>43977</v>
      </c>
      <c r="C286" s="1" t="n">
        <v>45583</v>
      </c>
      <c r="D286" t="inlineStr">
        <is>
          <t>VÄSTERNORRLANDS LÄN</t>
        </is>
      </c>
      <c r="E286" t="inlineStr">
        <is>
          <t>SOLLEFTEÅ</t>
        </is>
      </c>
      <c r="F286" t="inlineStr">
        <is>
          <t>SCA</t>
        </is>
      </c>
      <c r="G286" t="n">
        <v>3.9</v>
      </c>
      <c r="H286" t="n">
        <v>1</v>
      </c>
      <c r="I286" t="n">
        <v>0</v>
      </c>
      <c r="J286" t="n">
        <v>0</v>
      </c>
      <c r="K286" t="n">
        <v>1</v>
      </c>
      <c r="L286" t="n">
        <v>0</v>
      </c>
      <c r="M286" t="n">
        <v>0</v>
      </c>
      <c r="N286" t="n">
        <v>0</v>
      </c>
      <c r="O286" t="n">
        <v>1</v>
      </c>
      <c r="P286" t="n">
        <v>1</v>
      </c>
      <c r="Q286" t="n">
        <v>1</v>
      </c>
      <c r="R286" s="2" t="inlineStr">
        <is>
          <t>Knärot</t>
        </is>
      </c>
      <c r="S286">
        <f>HYPERLINK("https://klasma.github.io/Logging_2283/artfynd/A 24641-2020 artfynd.xlsx", "A 24641-2020")</f>
        <v/>
      </c>
      <c r="T286">
        <f>HYPERLINK("https://klasma.github.io/Logging_2283/kartor/A 24641-2020 karta.png", "A 24641-2020")</f>
        <v/>
      </c>
      <c r="U286">
        <f>HYPERLINK("https://klasma.github.io/Logging_2283/knärot/A 24641-2020 karta knärot.png", "A 24641-2020")</f>
        <v/>
      </c>
      <c r="V286">
        <f>HYPERLINK("https://klasma.github.io/Logging_2283/klagomål/A 24641-2020 FSC-klagomål.docx", "A 24641-2020")</f>
        <v/>
      </c>
      <c r="W286">
        <f>HYPERLINK("https://klasma.github.io/Logging_2283/klagomålsmail/A 24641-2020 FSC-klagomål mail.docx", "A 24641-2020")</f>
        <v/>
      </c>
      <c r="X286">
        <f>HYPERLINK("https://klasma.github.io/Logging_2283/tillsyn/A 24641-2020 tillsynsbegäran.docx", "A 24641-2020")</f>
        <v/>
      </c>
      <c r="Y286">
        <f>HYPERLINK("https://klasma.github.io/Logging_2283/tillsynsmail/A 24641-2020 tillsynsbegäran mail.docx", "A 24641-2020")</f>
        <v/>
      </c>
    </row>
    <row r="287" ht="15" customHeight="1">
      <c r="A287" t="inlineStr">
        <is>
          <t>A 27177-2020</t>
        </is>
      </c>
      <c r="B287" s="1" t="n">
        <v>43991</v>
      </c>
      <c r="C287" s="1" t="n">
        <v>45583</v>
      </c>
      <c r="D287" t="inlineStr">
        <is>
          <t>VÄSTERNORRLANDS LÄN</t>
        </is>
      </c>
      <c r="E287" t="inlineStr">
        <is>
          <t>SOLLEFTEÅ</t>
        </is>
      </c>
      <c r="F287" t="inlineStr">
        <is>
          <t>Holmen skog AB</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27177-2020 artfynd.xlsx", "A 27177-2020")</f>
        <v/>
      </c>
      <c r="T287">
        <f>HYPERLINK("https://klasma.github.io/Logging_2283/kartor/A 27177-2020 karta.png", "A 27177-2020")</f>
        <v/>
      </c>
      <c r="U287">
        <f>HYPERLINK("https://klasma.github.io/Logging_2283/knärot/A 27177-2020 karta knärot.png", "A 27177-2020")</f>
        <v/>
      </c>
      <c r="V287">
        <f>HYPERLINK("https://klasma.github.io/Logging_2283/klagomål/A 27177-2020 FSC-klagomål.docx", "A 27177-2020")</f>
        <v/>
      </c>
      <c r="W287">
        <f>HYPERLINK("https://klasma.github.io/Logging_2283/klagomålsmail/A 27177-2020 FSC-klagomål mail.docx", "A 27177-2020")</f>
        <v/>
      </c>
      <c r="X287">
        <f>HYPERLINK("https://klasma.github.io/Logging_2283/tillsyn/A 27177-2020 tillsynsbegäran.docx", "A 27177-2020")</f>
        <v/>
      </c>
      <c r="Y287">
        <f>HYPERLINK("https://klasma.github.io/Logging_2283/tillsynsmail/A 27177-2020 tillsynsbegäran mail.docx", "A 27177-2020")</f>
        <v/>
      </c>
      <c r="Z287">
        <f>HYPERLINK("https://klasma.github.io/Logging_2283/fåglar/A 27177-2020 prioriterade fågelarter.docx", "A 27177-2020")</f>
        <v/>
      </c>
    </row>
    <row r="288" ht="15" customHeight="1">
      <c r="A288" t="inlineStr">
        <is>
          <t>A 47840-2020</t>
        </is>
      </c>
      <c r="B288" s="1" t="n">
        <v>44098</v>
      </c>
      <c r="C288" s="1" t="n">
        <v>45583</v>
      </c>
      <c r="D288" t="inlineStr">
        <is>
          <t>VÄSTERNORRLANDS LÄN</t>
        </is>
      </c>
      <c r="E288" t="inlineStr">
        <is>
          <t>SOLLEFTEÅ</t>
        </is>
      </c>
      <c r="F288" t="inlineStr">
        <is>
          <t>SCA</t>
        </is>
      </c>
      <c r="G288" t="n">
        <v>9.699999999999999</v>
      </c>
      <c r="H288" t="n">
        <v>1</v>
      </c>
      <c r="I288" t="n">
        <v>0</v>
      </c>
      <c r="J288" t="n">
        <v>0</v>
      </c>
      <c r="K288" t="n">
        <v>1</v>
      </c>
      <c r="L288" t="n">
        <v>0</v>
      </c>
      <c r="M288" t="n">
        <v>0</v>
      </c>
      <c r="N288" t="n">
        <v>0</v>
      </c>
      <c r="O288" t="n">
        <v>1</v>
      </c>
      <c r="P288" t="n">
        <v>1</v>
      </c>
      <c r="Q288" t="n">
        <v>1</v>
      </c>
      <c r="R288" s="2" t="inlineStr">
        <is>
          <t>Knärot</t>
        </is>
      </c>
      <c r="S288">
        <f>HYPERLINK("https://klasma.github.io/Logging_2283/artfynd/A 47840-2020 artfynd.xlsx", "A 47840-2020")</f>
        <v/>
      </c>
      <c r="T288">
        <f>HYPERLINK("https://klasma.github.io/Logging_2283/kartor/A 47840-2020 karta.png", "A 47840-2020")</f>
        <v/>
      </c>
      <c r="U288">
        <f>HYPERLINK("https://klasma.github.io/Logging_2283/knärot/A 47840-2020 karta knärot.png", "A 47840-2020")</f>
        <v/>
      </c>
      <c r="V288">
        <f>HYPERLINK("https://klasma.github.io/Logging_2283/klagomål/A 47840-2020 FSC-klagomål.docx", "A 47840-2020")</f>
        <v/>
      </c>
      <c r="W288">
        <f>HYPERLINK("https://klasma.github.io/Logging_2283/klagomålsmail/A 47840-2020 FSC-klagomål mail.docx", "A 47840-2020")</f>
        <v/>
      </c>
      <c r="X288">
        <f>HYPERLINK("https://klasma.github.io/Logging_2283/tillsyn/A 47840-2020 tillsynsbegäran.docx", "A 47840-2020")</f>
        <v/>
      </c>
      <c r="Y288">
        <f>HYPERLINK("https://klasma.github.io/Logging_2283/tillsynsmail/A 47840-2020 tillsynsbegäran mail.docx", "A 47840-2020")</f>
        <v/>
      </c>
    </row>
    <row r="289" ht="15" customHeight="1">
      <c r="A289" t="inlineStr">
        <is>
          <t>A 68651-2020</t>
        </is>
      </c>
      <c r="B289" s="1" t="n">
        <v>44186</v>
      </c>
      <c r="C289" s="1" t="n">
        <v>45583</v>
      </c>
      <c r="D289" t="inlineStr">
        <is>
          <t>VÄSTERNORRLANDS LÄN</t>
        </is>
      </c>
      <c r="E289" t="inlineStr">
        <is>
          <t>SOLLEFTEÅ</t>
        </is>
      </c>
      <c r="F289" t="inlineStr">
        <is>
          <t>SCA</t>
        </is>
      </c>
      <c r="G289" t="n">
        <v>1.5</v>
      </c>
      <c r="H289" t="n">
        <v>0</v>
      </c>
      <c r="I289" t="n">
        <v>0</v>
      </c>
      <c r="J289" t="n">
        <v>1</v>
      </c>
      <c r="K289" t="n">
        <v>0</v>
      </c>
      <c r="L289" t="n">
        <v>0</v>
      </c>
      <c r="M289" t="n">
        <v>0</v>
      </c>
      <c r="N289" t="n">
        <v>0</v>
      </c>
      <c r="O289" t="n">
        <v>1</v>
      </c>
      <c r="P289" t="n">
        <v>0</v>
      </c>
      <c r="Q289" t="n">
        <v>1</v>
      </c>
      <c r="R289" s="2" t="inlineStr">
        <is>
          <t>Harticka</t>
        </is>
      </c>
      <c r="S289">
        <f>HYPERLINK("https://klasma.github.io/Logging_2283/artfynd/A 68651-2020 artfynd.xlsx", "A 68651-2020")</f>
        <v/>
      </c>
      <c r="T289">
        <f>HYPERLINK("https://klasma.github.io/Logging_2283/kartor/A 68651-2020 karta.png", "A 68651-2020")</f>
        <v/>
      </c>
      <c r="V289">
        <f>HYPERLINK("https://klasma.github.io/Logging_2283/klagomål/A 68651-2020 FSC-klagomål.docx", "A 68651-2020")</f>
        <v/>
      </c>
      <c r="W289">
        <f>HYPERLINK("https://klasma.github.io/Logging_2283/klagomålsmail/A 68651-2020 FSC-klagomål mail.docx", "A 68651-2020")</f>
        <v/>
      </c>
      <c r="X289">
        <f>HYPERLINK("https://klasma.github.io/Logging_2283/tillsyn/A 68651-2020 tillsynsbegäran.docx", "A 68651-2020")</f>
        <v/>
      </c>
      <c r="Y289">
        <f>HYPERLINK("https://klasma.github.io/Logging_2283/tillsynsmail/A 68651-2020 tillsynsbegäran mail.docx", "A 68651-2020")</f>
        <v/>
      </c>
    </row>
    <row r="290" ht="15" customHeight="1">
      <c r="A290" t="inlineStr">
        <is>
          <t>A 68789-2020</t>
        </is>
      </c>
      <c r="B290" s="1" t="n">
        <v>44186</v>
      </c>
      <c r="C290" s="1" t="n">
        <v>45583</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17377-2021</t>
        </is>
      </c>
      <c r="B291" s="1" t="n">
        <v>44298</v>
      </c>
      <c r="C291" s="1" t="n">
        <v>45583</v>
      </c>
      <c r="D291" t="inlineStr">
        <is>
          <t>VÄSTERNORRLANDS LÄN</t>
        </is>
      </c>
      <c r="E291" t="inlineStr">
        <is>
          <t>SOLLEFTEÅ</t>
        </is>
      </c>
      <c r="G291" t="n">
        <v>5.1</v>
      </c>
      <c r="H291" t="n">
        <v>0</v>
      </c>
      <c r="I291" t="n">
        <v>0</v>
      </c>
      <c r="J291" t="n">
        <v>1</v>
      </c>
      <c r="K291" t="n">
        <v>0</v>
      </c>
      <c r="L291" t="n">
        <v>0</v>
      </c>
      <c r="M291" t="n">
        <v>0</v>
      </c>
      <c r="N291" t="n">
        <v>0</v>
      </c>
      <c r="O291" t="n">
        <v>1</v>
      </c>
      <c r="P291" t="n">
        <v>0</v>
      </c>
      <c r="Q291" t="n">
        <v>1</v>
      </c>
      <c r="R291" s="2" t="inlineStr">
        <is>
          <t>Ullticka</t>
        </is>
      </c>
      <c r="S291">
        <f>HYPERLINK("https://klasma.github.io/Logging_2283/artfynd/A 17377-2021 artfynd.xlsx", "A 17377-2021")</f>
        <v/>
      </c>
      <c r="T291">
        <f>HYPERLINK("https://klasma.github.io/Logging_2283/kartor/A 17377-2021 karta.png", "A 17377-2021")</f>
        <v/>
      </c>
      <c r="V291">
        <f>HYPERLINK("https://klasma.github.io/Logging_2283/klagomål/A 17377-2021 FSC-klagomål.docx", "A 17377-2021")</f>
        <v/>
      </c>
      <c r="W291">
        <f>HYPERLINK("https://klasma.github.io/Logging_2283/klagomålsmail/A 17377-2021 FSC-klagomål mail.docx", "A 17377-2021")</f>
        <v/>
      </c>
      <c r="X291">
        <f>HYPERLINK("https://klasma.github.io/Logging_2283/tillsyn/A 17377-2021 tillsynsbegäran.docx", "A 17377-2021")</f>
        <v/>
      </c>
      <c r="Y291">
        <f>HYPERLINK("https://klasma.github.io/Logging_2283/tillsynsmail/A 17377-2021 tillsynsbegäran mail.docx", "A 17377-2021")</f>
        <v/>
      </c>
    </row>
    <row r="292" ht="15" customHeight="1">
      <c r="A292" t="inlineStr">
        <is>
          <t>A 18461-2021</t>
        </is>
      </c>
      <c r="B292" s="1" t="n">
        <v>44305</v>
      </c>
      <c r="C292" s="1" t="n">
        <v>45583</v>
      </c>
      <c r="D292" t="inlineStr">
        <is>
          <t>VÄSTERNORRLANDS LÄN</t>
        </is>
      </c>
      <c r="E292" t="inlineStr">
        <is>
          <t>SOLLEFTEÅ</t>
        </is>
      </c>
      <c r="F292" t="inlineStr">
        <is>
          <t>SCA</t>
        </is>
      </c>
      <c r="G292" t="n">
        <v>1.7</v>
      </c>
      <c r="H292" t="n">
        <v>1</v>
      </c>
      <c r="I292" t="n">
        <v>0</v>
      </c>
      <c r="J292" t="n">
        <v>1</v>
      </c>
      <c r="K292" t="n">
        <v>0</v>
      </c>
      <c r="L292" t="n">
        <v>0</v>
      </c>
      <c r="M292" t="n">
        <v>0</v>
      </c>
      <c r="N292" t="n">
        <v>0</v>
      </c>
      <c r="O292" t="n">
        <v>1</v>
      </c>
      <c r="P292" t="n">
        <v>0</v>
      </c>
      <c r="Q292" t="n">
        <v>1</v>
      </c>
      <c r="R292" s="2" t="inlineStr">
        <is>
          <t>Nordfladdermus</t>
        </is>
      </c>
      <c r="S292">
        <f>HYPERLINK("https://klasma.github.io/Logging_2283/artfynd/A 18461-2021 artfynd.xlsx", "A 18461-2021")</f>
        <v/>
      </c>
      <c r="T292">
        <f>HYPERLINK("https://klasma.github.io/Logging_2283/kartor/A 18461-2021 karta.png", "A 18461-2021")</f>
        <v/>
      </c>
      <c r="V292">
        <f>HYPERLINK("https://klasma.github.io/Logging_2283/klagomål/A 18461-2021 FSC-klagomål.docx", "A 18461-2021")</f>
        <v/>
      </c>
      <c r="W292">
        <f>HYPERLINK("https://klasma.github.io/Logging_2283/klagomålsmail/A 18461-2021 FSC-klagomål mail.docx", "A 18461-2021")</f>
        <v/>
      </c>
      <c r="X292">
        <f>HYPERLINK("https://klasma.github.io/Logging_2283/tillsyn/A 18461-2021 tillsynsbegäran.docx", "A 18461-2021")</f>
        <v/>
      </c>
      <c r="Y292">
        <f>HYPERLINK("https://klasma.github.io/Logging_2283/tillsynsmail/A 18461-2021 tillsynsbegäran mail.docx", "A 18461-2021")</f>
        <v/>
      </c>
    </row>
    <row r="293" ht="15" customHeight="1">
      <c r="A293" t="inlineStr">
        <is>
          <t>A 21360-2021</t>
        </is>
      </c>
      <c r="B293" s="1" t="n">
        <v>44320</v>
      </c>
      <c r="C293" s="1" t="n">
        <v>45583</v>
      </c>
      <c r="D293" t="inlineStr">
        <is>
          <t>VÄSTERNORRLANDS LÄN</t>
        </is>
      </c>
      <c r="E293" t="inlineStr">
        <is>
          <t>SOLLEFTEÅ</t>
        </is>
      </c>
      <c r="G293" t="n">
        <v>6.8</v>
      </c>
      <c r="H293" t="n">
        <v>1</v>
      </c>
      <c r="I293" t="n">
        <v>0</v>
      </c>
      <c r="J293" t="n">
        <v>0</v>
      </c>
      <c r="K293" t="n">
        <v>1</v>
      </c>
      <c r="L293" t="n">
        <v>0</v>
      </c>
      <c r="M293" t="n">
        <v>0</v>
      </c>
      <c r="N293" t="n">
        <v>0</v>
      </c>
      <c r="O293" t="n">
        <v>1</v>
      </c>
      <c r="P293" t="n">
        <v>1</v>
      </c>
      <c r="Q293" t="n">
        <v>1</v>
      </c>
      <c r="R293" s="2" t="inlineStr">
        <is>
          <t>Knärot</t>
        </is>
      </c>
      <c r="S293">
        <f>HYPERLINK("https://klasma.github.io/Logging_2283/artfynd/A 21360-2021 artfynd.xlsx", "A 21360-2021")</f>
        <v/>
      </c>
      <c r="T293">
        <f>HYPERLINK("https://klasma.github.io/Logging_2283/kartor/A 21360-2021 karta.png", "A 21360-2021")</f>
        <v/>
      </c>
      <c r="U293">
        <f>HYPERLINK("https://klasma.github.io/Logging_2283/knärot/A 21360-2021 karta knärot.png", "A 21360-2021")</f>
        <v/>
      </c>
      <c r="V293">
        <f>HYPERLINK("https://klasma.github.io/Logging_2283/klagomål/A 21360-2021 FSC-klagomål.docx", "A 21360-2021")</f>
        <v/>
      </c>
      <c r="W293">
        <f>HYPERLINK("https://klasma.github.io/Logging_2283/klagomålsmail/A 21360-2021 FSC-klagomål mail.docx", "A 21360-2021")</f>
        <v/>
      </c>
      <c r="X293">
        <f>HYPERLINK("https://klasma.github.io/Logging_2283/tillsyn/A 21360-2021 tillsynsbegäran.docx", "A 21360-2021")</f>
        <v/>
      </c>
      <c r="Y293">
        <f>HYPERLINK("https://klasma.github.io/Logging_2283/tillsynsmail/A 21360-2021 tillsynsbegäran mail.docx", "A 21360-2021")</f>
        <v/>
      </c>
    </row>
    <row r="294" ht="15" customHeight="1">
      <c r="A294" t="inlineStr">
        <is>
          <t>A 22862-2021</t>
        </is>
      </c>
      <c r="B294" s="1" t="n">
        <v>44326</v>
      </c>
      <c r="C294" s="1" t="n">
        <v>45583</v>
      </c>
      <c r="D294" t="inlineStr">
        <is>
          <t>VÄSTERNORRLANDS LÄN</t>
        </is>
      </c>
      <c r="E294" t="inlineStr">
        <is>
          <t>SOLLEFTEÅ</t>
        </is>
      </c>
      <c r="F294" t="inlineStr">
        <is>
          <t>Kommuner</t>
        </is>
      </c>
      <c r="G294" t="n">
        <v>2</v>
      </c>
      <c r="H294" t="n">
        <v>1</v>
      </c>
      <c r="I294" t="n">
        <v>0</v>
      </c>
      <c r="J294" t="n">
        <v>0</v>
      </c>
      <c r="K294" t="n">
        <v>1</v>
      </c>
      <c r="L294" t="n">
        <v>0</v>
      </c>
      <c r="M294" t="n">
        <v>0</v>
      </c>
      <c r="N294" t="n">
        <v>0</v>
      </c>
      <c r="O294" t="n">
        <v>1</v>
      </c>
      <c r="P294" t="n">
        <v>1</v>
      </c>
      <c r="Q294" t="n">
        <v>1</v>
      </c>
      <c r="R294" s="2" t="inlineStr">
        <is>
          <t>Lappuggla</t>
        </is>
      </c>
      <c r="S294">
        <f>HYPERLINK("https://klasma.github.io/Logging_2283/artfynd/A 22862-2021 artfynd.xlsx", "A 22862-2021")</f>
        <v/>
      </c>
      <c r="T294">
        <f>HYPERLINK("https://klasma.github.io/Logging_2283/kartor/A 22862-2021 karta.png", "A 22862-2021")</f>
        <v/>
      </c>
      <c r="V294">
        <f>HYPERLINK("https://klasma.github.io/Logging_2283/klagomål/A 22862-2021 FSC-klagomål.docx", "A 22862-2021")</f>
        <v/>
      </c>
      <c r="W294">
        <f>HYPERLINK("https://klasma.github.io/Logging_2283/klagomålsmail/A 22862-2021 FSC-klagomål mail.docx", "A 22862-2021")</f>
        <v/>
      </c>
      <c r="X294">
        <f>HYPERLINK("https://klasma.github.io/Logging_2283/tillsyn/A 22862-2021 tillsynsbegäran.docx", "A 22862-2021")</f>
        <v/>
      </c>
      <c r="Y294">
        <f>HYPERLINK("https://klasma.github.io/Logging_2283/tillsynsmail/A 22862-2021 tillsynsbegäran mail.docx", "A 22862-2021")</f>
        <v/>
      </c>
      <c r="Z294">
        <f>HYPERLINK("https://klasma.github.io/Logging_2283/fåglar/A 22862-2021 prioriterade fågelarter.docx", "A 22862-2021")</f>
        <v/>
      </c>
    </row>
    <row r="295" ht="15" customHeight="1">
      <c r="A295" t="inlineStr">
        <is>
          <t>A 37043-2021</t>
        </is>
      </c>
      <c r="B295" s="1" t="n">
        <v>44393</v>
      </c>
      <c r="C295" s="1" t="n">
        <v>45583</v>
      </c>
      <c r="D295" t="inlineStr">
        <is>
          <t>VÄSTERNORRLANDS LÄN</t>
        </is>
      </c>
      <c r="E295" t="inlineStr">
        <is>
          <t>SOLLEFTEÅ</t>
        </is>
      </c>
      <c r="F295" t="inlineStr">
        <is>
          <t>SCA</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HYPERLINK("https://klasma.github.io/Logging_2283/artfynd/A 37043-2021 artfynd.xlsx", "A 37043-2021")</f>
        <v/>
      </c>
      <c r="T295">
        <f>HYPERLINK("https://klasma.github.io/Logging_2283/kartor/A 37043-2021 karta.png", "A 37043-2021")</f>
        <v/>
      </c>
      <c r="V295">
        <f>HYPERLINK("https://klasma.github.io/Logging_2283/klagomål/A 37043-2021 FSC-klagomål.docx", "A 37043-2021")</f>
        <v/>
      </c>
      <c r="W295">
        <f>HYPERLINK("https://klasma.github.io/Logging_2283/klagomålsmail/A 37043-2021 FSC-klagomål mail.docx", "A 37043-2021")</f>
        <v/>
      </c>
      <c r="X295">
        <f>HYPERLINK("https://klasma.github.io/Logging_2283/tillsyn/A 37043-2021 tillsynsbegäran.docx", "A 37043-2021")</f>
        <v/>
      </c>
      <c r="Y295">
        <f>HYPERLINK("https://klasma.github.io/Logging_2283/tillsynsmail/A 37043-2021 tillsynsbegäran mail.docx", "A 37043-2021")</f>
        <v/>
      </c>
    </row>
    <row r="296" ht="15" customHeight="1">
      <c r="A296" t="inlineStr">
        <is>
          <t>A 42224-2021</t>
        </is>
      </c>
      <c r="B296" s="1" t="n">
        <v>44426</v>
      </c>
      <c r="C296" s="1" t="n">
        <v>45583</v>
      </c>
      <c r="D296" t="inlineStr">
        <is>
          <t>VÄSTERNORRLANDS LÄN</t>
        </is>
      </c>
      <c r="E296" t="inlineStr">
        <is>
          <t>SOLLEFTEÅ</t>
        </is>
      </c>
      <c r="G296" t="n">
        <v>0.6</v>
      </c>
      <c r="H296" t="n">
        <v>0</v>
      </c>
      <c r="I296" t="n">
        <v>1</v>
      </c>
      <c r="J296" t="n">
        <v>0</v>
      </c>
      <c r="K296" t="n">
        <v>0</v>
      </c>
      <c r="L296" t="n">
        <v>0</v>
      </c>
      <c r="M296" t="n">
        <v>0</v>
      </c>
      <c r="N296" t="n">
        <v>0</v>
      </c>
      <c r="O296" t="n">
        <v>0</v>
      </c>
      <c r="P296" t="n">
        <v>0</v>
      </c>
      <c r="Q296" t="n">
        <v>1</v>
      </c>
      <c r="R296" s="2" t="inlineStr">
        <is>
          <t>Svart trolldruva</t>
        </is>
      </c>
      <c r="S296">
        <f>HYPERLINK("https://klasma.github.io/Logging_2283/artfynd/A 42224-2021 artfynd.xlsx", "A 42224-2021")</f>
        <v/>
      </c>
      <c r="T296">
        <f>HYPERLINK("https://klasma.github.io/Logging_2283/kartor/A 42224-2021 karta.png", "A 42224-2021")</f>
        <v/>
      </c>
      <c r="V296">
        <f>HYPERLINK("https://klasma.github.io/Logging_2283/klagomål/A 42224-2021 FSC-klagomål.docx", "A 42224-2021")</f>
        <v/>
      </c>
      <c r="W296">
        <f>HYPERLINK("https://klasma.github.io/Logging_2283/klagomålsmail/A 42224-2021 FSC-klagomål mail.docx", "A 42224-2021")</f>
        <v/>
      </c>
      <c r="X296">
        <f>HYPERLINK("https://klasma.github.io/Logging_2283/tillsyn/A 42224-2021 tillsynsbegäran.docx", "A 42224-2021")</f>
        <v/>
      </c>
      <c r="Y296">
        <f>HYPERLINK("https://klasma.github.io/Logging_2283/tillsynsmail/A 42224-2021 tillsynsbegäran mail.docx", "A 42224-2021")</f>
        <v/>
      </c>
    </row>
    <row r="297" ht="15" customHeight="1">
      <c r="A297" t="inlineStr">
        <is>
          <t>A 51019-2021</t>
        </is>
      </c>
      <c r="B297" s="1" t="n">
        <v>44460</v>
      </c>
      <c r="C297" s="1" t="n">
        <v>45583</v>
      </c>
      <c r="D297" t="inlineStr">
        <is>
          <t>VÄSTERNORRLANDS LÄN</t>
        </is>
      </c>
      <c r="E297" t="inlineStr">
        <is>
          <t>SOLLEFTEÅ</t>
        </is>
      </c>
      <c r="F297" t="inlineStr">
        <is>
          <t>SCA</t>
        </is>
      </c>
      <c r="G297" t="n">
        <v>2.1</v>
      </c>
      <c r="H297" t="n">
        <v>1</v>
      </c>
      <c r="I297" t="n">
        <v>0</v>
      </c>
      <c r="J297" t="n">
        <v>0</v>
      </c>
      <c r="K297" t="n">
        <v>0</v>
      </c>
      <c r="L297" t="n">
        <v>0</v>
      </c>
      <c r="M297" t="n">
        <v>0</v>
      </c>
      <c r="N297" t="n">
        <v>0</v>
      </c>
      <c r="O297" t="n">
        <v>0</v>
      </c>
      <c r="P297" t="n">
        <v>0</v>
      </c>
      <c r="Q297" t="n">
        <v>1</v>
      </c>
      <c r="R297" s="2" t="inlineStr">
        <is>
          <t>Fläcknycklar</t>
        </is>
      </c>
      <c r="S297">
        <f>HYPERLINK("https://klasma.github.io/Logging_2283/artfynd/A 51019-2021 artfynd.xlsx", "A 51019-2021")</f>
        <v/>
      </c>
      <c r="T297">
        <f>HYPERLINK("https://klasma.github.io/Logging_2283/kartor/A 51019-2021 karta.png", "A 51019-2021")</f>
        <v/>
      </c>
      <c r="V297">
        <f>HYPERLINK("https://klasma.github.io/Logging_2283/klagomål/A 51019-2021 FSC-klagomål.docx", "A 51019-2021")</f>
        <v/>
      </c>
      <c r="W297">
        <f>HYPERLINK("https://klasma.github.io/Logging_2283/klagomålsmail/A 51019-2021 FSC-klagomål mail.docx", "A 51019-2021")</f>
        <v/>
      </c>
      <c r="X297">
        <f>HYPERLINK("https://klasma.github.io/Logging_2283/tillsyn/A 51019-2021 tillsynsbegäran.docx", "A 51019-2021")</f>
        <v/>
      </c>
      <c r="Y297">
        <f>HYPERLINK("https://klasma.github.io/Logging_2283/tillsynsmail/A 51019-2021 tillsynsbegäran mail.docx", "A 51019-2021")</f>
        <v/>
      </c>
    </row>
    <row r="298" ht="15" customHeight="1">
      <c r="A298" t="inlineStr">
        <is>
          <t>A 58572-2021</t>
        </is>
      </c>
      <c r="B298" s="1" t="n">
        <v>44488</v>
      </c>
      <c r="C298" s="1" t="n">
        <v>45583</v>
      </c>
      <c r="D298" t="inlineStr">
        <is>
          <t>VÄSTERNORRLANDS LÄN</t>
        </is>
      </c>
      <c r="E298" t="inlineStr">
        <is>
          <t>SOLLEFTEÅ</t>
        </is>
      </c>
      <c r="G298" t="n">
        <v>0.1</v>
      </c>
      <c r="H298" t="n">
        <v>0</v>
      </c>
      <c r="I298" t="n">
        <v>0</v>
      </c>
      <c r="J298" t="n">
        <v>1</v>
      </c>
      <c r="K298" t="n">
        <v>0</v>
      </c>
      <c r="L298" t="n">
        <v>0</v>
      </c>
      <c r="M298" t="n">
        <v>0</v>
      </c>
      <c r="N298" t="n">
        <v>0</v>
      </c>
      <c r="O298" t="n">
        <v>1</v>
      </c>
      <c r="P298" t="n">
        <v>0</v>
      </c>
      <c r="Q298" t="n">
        <v>1</v>
      </c>
      <c r="R298" s="2" t="inlineStr">
        <is>
          <t>Brunklöver</t>
        </is>
      </c>
      <c r="S298">
        <f>HYPERLINK("https://klasma.github.io/Logging_2283/artfynd/A 58572-2021 artfynd.xlsx", "A 58572-2021")</f>
        <v/>
      </c>
      <c r="T298">
        <f>HYPERLINK("https://klasma.github.io/Logging_2283/kartor/A 58572-2021 karta.png", "A 58572-2021")</f>
        <v/>
      </c>
      <c r="V298">
        <f>HYPERLINK("https://klasma.github.io/Logging_2283/klagomål/A 58572-2021 FSC-klagomål.docx", "A 58572-2021")</f>
        <v/>
      </c>
      <c r="W298">
        <f>HYPERLINK("https://klasma.github.io/Logging_2283/klagomålsmail/A 58572-2021 FSC-klagomål mail.docx", "A 58572-2021")</f>
        <v/>
      </c>
      <c r="X298">
        <f>HYPERLINK("https://klasma.github.io/Logging_2283/tillsyn/A 58572-2021 tillsynsbegäran.docx", "A 58572-2021")</f>
        <v/>
      </c>
      <c r="Y298">
        <f>HYPERLINK("https://klasma.github.io/Logging_2283/tillsynsmail/A 58572-2021 tillsynsbegäran mail.docx", "A 58572-2021")</f>
        <v/>
      </c>
    </row>
    <row r="299" ht="15" customHeight="1">
      <c r="A299" t="inlineStr">
        <is>
          <t>A 67402-2021</t>
        </is>
      </c>
      <c r="B299" s="1" t="n">
        <v>44523</v>
      </c>
      <c r="C299" s="1" t="n">
        <v>45583</v>
      </c>
      <c r="D299" t="inlineStr">
        <is>
          <t>VÄSTERNORRLANDS LÄN</t>
        </is>
      </c>
      <c r="E299" t="inlineStr">
        <is>
          <t>SOLLEFTEÅ</t>
        </is>
      </c>
      <c r="F299" t="inlineStr">
        <is>
          <t>SCA</t>
        </is>
      </c>
      <c r="G299" t="n">
        <v>11</v>
      </c>
      <c r="H299" t="n">
        <v>1</v>
      </c>
      <c r="I299" t="n">
        <v>0</v>
      </c>
      <c r="J299" t="n">
        <v>0</v>
      </c>
      <c r="K299" t="n">
        <v>1</v>
      </c>
      <c r="L299" t="n">
        <v>0</v>
      </c>
      <c r="M299" t="n">
        <v>0</v>
      </c>
      <c r="N299" t="n">
        <v>0</v>
      </c>
      <c r="O299" t="n">
        <v>1</v>
      </c>
      <c r="P299" t="n">
        <v>1</v>
      </c>
      <c r="Q299" t="n">
        <v>1</v>
      </c>
      <c r="R299" s="2" t="inlineStr">
        <is>
          <t>Knärot</t>
        </is>
      </c>
      <c r="S299">
        <f>HYPERLINK("https://klasma.github.io/Logging_2283/artfynd/A 67402-2021 artfynd.xlsx", "A 67402-2021")</f>
        <v/>
      </c>
      <c r="T299">
        <f>HYPERLINK("https://klasma.github.io/Logging_2283/kartor/A 67402-2021 karta.png", "A 67402-2021")</f>
        <v/>
      </c>
      <c r="U299">
        <f>HYPERLINK("https://klasma.github.io/Logging_2283/knärot/A 67402-2021 karta knärot.png", "A 67402-2021")</f>
        <v/>
      </c>
      <c r="V299">
        <f>HYPERLINK("https://klasma.github.io/Logging_2283/klagomål/A 67402-2021 FSC-klagomål.docx", "A 67402-2021")</f>
        <v/>
      </c>
      <c r="W299">
        <f>HYPERLINK("https://klasma.github.io/Logging_2283/klagomålsmail/A 67402-2021 FSC-klagomål mail.docx", "A 67402-2021")</f>
        <v/>
      </c>
      <c r="X299">
        <f>HYPERLINK("https://klasma.github.io/Logging_2283/tillsyn/A 67402-2021 tillsynsbegäran.docx", "A 67402-2021")</f>
        <v/>
      </c>
      <c r="Y299">
        <f>HYPERLINK("https://klasma.github.io/Logging_2283/tillsynsmail/A 67402-2021 tillsynsbegäran mail.docx", "A 67402-2021")</f>
        <v/>
      </c>
    </row>
    <row r="300" ht="15" customHeight="1">
      <c r="A300" t="inlineStr">
        <is>
          <t>A 68781-2021</t>
        </is>
      </c>
      <c r="B300" s="1" t="n">
        <v>44529</v>
      </c>
      <c r="C300" s="1" t="n">
        <v>45583</v>
      </c>
      <c r="D300" t="inlineStr">
        <is>
          <t>VÄSTERNORRLANDS LÄN</t>
        </is>
      </c>
      <c r="E300" t="inlineStr">
        <is>
          <t>SOLLEFTEÅ</t>
        </is>
      </c>
      <c r="F300" t="inlineStr">
        <is>
          <t>SCA</t>
        </is>
      </c>
      <c r="G300" t="n">
        <v>1.9</v>
      </c>
      <c r="H300" t="n">
        <v>1</v>
      </c>
      <c r="I300" t="n">
        <v>0</v>
      </c>
      <c r="J300" t="n">
        <v>0</v>
      </c>
      <c r="K300" t="n">
        <v>1</v>
      </c>
      <c r="L300" t="n">
        <v>0</v>
      </c>
      <c r="M300" t="n">
        <v>0</v>
      </c>
      <c r="N300" t="n">
        <v>0</v>
      </c>
      <c r="O300" t="n">
        <v>1</v>
      </c>
      <c r="P300" t="n">
        <v>1</v>
      </c>
      <c r="Q300" t="n">
        <v>1</v>
      </c>
      <c r="R300" s="2" t="inlineStr">
        <is>
          <t>Doftticka</t>
        </is>
      </c>
      <c r="S300">
        <f>HYPERLINK("https://klasma.github.io/Logging_2283/artfynd/A 68781-2021 artfynd.xlsx", "A 68781-2021")</f>
        <v/>
      </c>
      <c r="T300">
        <f>HYPERLINK("https://klasma.github.io/Logging_2283/kartor/A 68781-2021 karta.png", "A 68781-2021")</f>
        <v/>
      </c>
      <c r="V300">
        <f>HYPERLINK("https://klasma.github.io/Logging_2283/klagomål/A 68781-2021 FSC-klagomål.docx", "A 68781-2021")</f>
        <v/>
      </c>
      <c r="W300">
        <f>HYPERLINK("https://klasma.github.io/Logging_2283/klagomålsmail/A 68781-2021 FSC-klagomål mail.docx", "A 68781-2021")</f>
        <v/>
      </c>
      <c r="X300">
        <f>HYPERLINK("https://klasma.github.io/Logging_2283/tillsyn/A 68781-2021 tillsynsbegäran.docx", "A 68781-2021")</f>
        <v/>
      </c>
      <c r="Y300">
        <f>HYPERLINK("https://klasma.github.io/Logging_2283/tillsynsmail/A 68781-2021 tillsynsbegäran mail.docx", "A 68781-2021")</f>
        <v/>
      </c>
    </row>
    <row r="301" ht="15" customHeight="1">
      <c r="A301" t="inlineStr">
        <is>
          <t>A 71349-2021</t>
        </is>
      </c>
      <c r="B301" s="1" t="n">
        <v>44539</v>
      </c>
      <c r="C301" s="1" t="n">
        <v>45583</v>
      </c>
      <c r="D301" t="inlineStr">
        <is>
          <t>VÄSTERNORRLANDS LÄN</t>
        </is>
      </c>
      <c r="E301" t="inlineStr">
        <is>
          <t>SOLLEFTEÅ</t>
        </is>
      </c>
      <c r="G301" t="n">
        <v>0.5</v>
      </c>
      <c r="H301" t="n">
        <v>1</v>
      </c>
      <c r="I301" t="n">
        <v>0</v>
      </c>
      <c r="J301" t="n">
        <v>1</v>
      </c>
      <c r="K301" t="n">
        <v>0</v>
      </c>
      <c r="L301" t="n">
        <v>0</v>
      </c>
      <c r="M301" t="n">
        <v>0</v>
      </c>
      <c r="N301" t="n">
        <v>0</v>
      </c>
      <c r="O301" t="n">
        <v>1</v>
      </c>
      <c r="P301" t="n">
        <v>0</v>
      </c>
      <c r="Q301" t="n">
        <v>1</v>
      </c>
      <c r="R301" s="2" t="inlineStr">
        <is>
          <t>Björktrast</t>
        </is>
      </c>
      <c r="S301">
        <f>HYPERLINK("https://klasma.github.io/Logging_2283/artfynd/A 71349-2021 artfynd.xlsx", "A 71349-2021")</f>
        <v/>
      </c>
      <c r="T301">
        <f>HYPERLINK("https://klasma.github.io/Logging_2283/kartor/A 71349-2021 karta.png", "A 71349-2021")</f>
        <v/>
      </c>
      <c r="V301">
        <f>HYPERLINK("https://klasma.github.io/Logging_2283/klagomål/A 71349-2021 FSC-klagomål.docx", "A 71349-2021")</f>
        <v/>
      </c>
      <c r="W301">
        <f>HYPERLINK("https://klasma.github.io/Logging_2283/klagomålsmail/A 71349-2021 FSC-klagomål mail.docx", "A 71349-2021")</f>
        <v/>
      </c>
      <c r="X301">
        <f>HYPERLINK("https://klasma.github.io/Logging_2283/tillsyn/A 71349-2021 tillsynsbegäran.docx", "A 71349-2021")</f>
        <v/>
      </c>
      <c r="Y301">
        <f>HYPERLINK("https://klasma.github.io/Logging_2283/tillsynsmail/A 71349-2021 tillsynsbegäran mail.docx", "A 71349-2021")</f>
        <v/>
      </c>
      <c r="Z301">
        <f>HYPERLINK("https://klasma.github.io/Logging_2283/fåglar/A 71349-2021 prioriterade fågelarter.docx", "A 71349-2021")</f>
        <v/>
      </c>
    </row>
    <row r="302" ht="15" customHeight="1">
      <c r="A302" t="inlineStr">
        <is>
          <t>A 15669-2022</t>
        </is>
      </c>
      <c r="B302" s="1" t="n">
        <v>44662</v>
      </c>
      <c r="C302" s="1" t="n">
        <v>45583</v>
      </c>
      <c r="D302" t="inlineStr">
        <is>
          <t>VÄSTERNORRLANDS LÄN</t>
        </is>
      </c>
      <c r="E302" t="inlineStr">
        <is>
          <t>SOLLEFTEÅ</t>
        </is>
      </c>
      <c r="G302" t="n">
        <v>12.1</v>
      </c>
      <c r="H302" t="n">
        <v>0</v>
      </c>
      <c r="I302" t="n">
        <v>1</v>
      </c>
      <c r="J302" t="n">
        <v>0</v>
      </c>
      <c r="K302" t="n">
        <v>0</v>
      </c>
      <c r="L302" t="n">
        <v>0</v>
      </c>
      <c r="M302" t="n">
        <v>0</v>
      </c>
      <c r="N302" t="n">
        <v>0</v>
      </c>
      <c r="O302" t="n">
        <v>0</v>
      </c>
      <c r="P302" t="n">
        <v>0</v>
      </c>
      <c r="Q302" t="n">
        <v>1</v>
      </c>
      <c r="R302" s="2" t="inlineStr">
        <is>
          <t>Skinnlav</t>
        </is>
      </c>
      <c r="S302">
        <f>HYPERLINK("https://klasma.github.io/Logging_2283/artfynd/A 15669-2022 artfynd.xlsx", "A 15669-2022")</f>
        <v/>
      </c>
      <c r="T302">
        <f>HYPERLINK("https://klasma.github.io/Logging_2283/kartor/A 15669-2022 karta.png", "A 15669-2022")</f>
        <v/>
      </c>
      <c r="V302">
        <f>HYPERLINK("https://klasma.github.io/Logging_2283/klagomål/A 15669-2022 FSC-klagomål.docx", "A 15669-2022")</f>
        <v/>
      </c>
      <c r="W302">
        <f>HYPERLINK("https://klasma.github.io/Logging_2283/klagomålsmail/A 15669-2022 FSC-klagomål mail.docx", "A 15669-2022")</f>
        <v/>
      </c>
      <c r="X302">
        <f>HYPERLINK("https://klasma.github.io/Logging_2283/tillsyn/A 15669-2022 tillsynsbegäran.docx", "A 15669-2022")</f>
        <v/>
      </c>
      <c r="Y302">
        <f>HYPERLINK("https://klasma.github.io/Logging_2283/tillsynsmail/A 15669-2022 tillsynsbegäran mail.docx", "A 15669-2022")</f>
        <v/>
      </c>
    </row>
    <row r="303" ht="15" customHeight="1">
      <c r="A303" t="inlineStr">
        <is>
          <t>A 16269-2022</t>
        </is>
      </c>
      <c r="B303" s="1" t="n">
        <v>44670</v>
      </c>
      <c r="C303" s="1" t="n">
        <v>45583</v>
      </c>
      <c r="D303" t="inlineStr">
        <is>
          <t>VÄSTERNORRLANDS LÄN</t>
        </is>
      </c>
      <c r="E303" t="inlineStr">
        <is>
          <t>SOLLEFTEÅ</t>
        </is>
      </c>
      <c r="F303" t="inlineStr">
        <is>
          <t>Holmen skog AB</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16269-2022 artfynd.xlsx", "A 16269-2022")</f>
        <v/>
      </c>
      <c r="T303">
        <f>HYPERLINK("https://klasma.github.io/Logging_2283/kartor/A 16269-2022 karta.png", "A 16269-2022")</f>
        <v/>
      </c>
      <c r="V303">
        <f>HYPERLINK("https://klasma.github.io/Logging_2283/klagomål/A 16269-2022 FSC-klagomål.docx", "A 16269-2022")</f>
        <v/>
      </c>
      <c r="W303">
        <f>HYPERLINK("https://klasma.github.io/Logging_2283/klagomålsmail/A 16269-2022 FSC-klagomål mail.docx", "A 16269-2022")</f>
        <v/>
      </c>
      <c r="X303">
        <f>HYPERLINK("https://klasma.github.io/Logging_2283/tillsyn/A 16269-2022 tillsynsbegäran.docx", "A 16269-2022")</f>
        <v/>
      </c>
      <c r="Y303">
        <f>HYPERLINK("https://klasma.github.io/Logging_2283/tillsynsmail/A 16269-2022 tillsynsbegäran mail.docx", "A 16269-2022")</f>
        <v/>
      </c>
      <c r="Z303">
        <f>HYPERLINK("https://klasma.github.io/Logging_2283/fåglar/A 16269-2022 prioriterade fågelarter.docx", "A 16269-2022")</f>
        <v/>
      </c>
    </row>
    <row r="304" ht="15" customHeight="1">
      <c r="A304" t="inlineStr">
        <is>
          <t>A 21708-2022</t>
        </is>
      </c>
      <c r="B304" s="1" t="n">
        <v>44707</v>
      </c>
      <c r="C304" s="1" t="n">
        <v>45583</v>
      </c>
      <c r="D304" t="inlineStr">
        <is>
          <t>VÄSTERNORRLANDS LÄN</t>
        </is>
      </c>
      <c r="E304" t="inlineStr">
        <is>
          <t>SOLLEFTEÅ</t>
        </is>
      </c>
      <c r="F304" t="inlineStr">
        <is>
          <t>SCA</t>
        </is>
      </c>
      <c r="G304" t="n">
        <v>2.6</v>
      </c>
      <c r="H304" t="n">
        <v>0</v>
      </c>
      <c r="I304" t="n">
        <v>0</v>
      </c>
      <c r="J304" t="n">
        <v>1</v>
      </c>
      <c r="K304" t="n">
        <v>0</v>
      </c>
      <c r="L304" t="n">
        <v>0</v>
      </c>
      <c r="M304" t="n">
        <v>0</v>
      </c>
      <c r="N304" t="n">
        <v>0</v>
      </c>
      <c r="O304" t="n">
        <v>1</v>
      </c>
      <c r="P304" t="n">
        <v>0</v>
      </c>
      <c r="Q304" t="n">
        <v>1</v>
      </c>
      <c r="R304" s="2" t="inlineStr">
        <is>
          <t>Lunglav</t>
        </is>
      </c>
      <c r="S304">
        <f>HYPERLINK("https://klasma.github.io/Logging_2283/artfynd/A 21708-2022 artfynd.xlsx", "A 21708-2022")</f>
        <v/>
      </c>
      <c r="T304">
        <f>HYPERLINK("https://klasma.github.io/Logging_2283/kartor/A 21708-2022 karta.png", "A 21708-2022")</f>
        <v/>
      </c>
      <c r="V304">
        <f>HYPERLINK("https://klasma.github.io/Logging_2283/klagomål/A 21708-2022 FSC-klagomål.docx", "A 21708-2022")</f>
        <v/>
      </c>
      <c r="W304">
        <f>HYPERLINK("https://klasma.github.io/Logging_2283/klagomålsmail/A 21708-2022 FSC-klagomål mail.docx", "A 21708-2022")</f>
        <v/>
      </c>
      <c r="X304">
        <f>HYPERLINK("https://klasma.github.io/Logging_2283/tillsyn/A 21708-2022 tillsynsbegäran.docx", "A 21708-2022")</f>
        <v/>
      </c>
      <c r="Y304">
        <f>HYPERLINK("https://klasma.github.io/Logging_2283/tillsynsmail/A 21708-2022 tillsynsbegäran mail.docx", "A 21708-2022")</f>
        <v/>
      </c>
    </row>
    <row r="305" ht="15" customHeight="1">
      <c r="A305" t="inlineStr">
        <is>
          <t>A 22323-2022</t>
        </is>
      </c>
      <c r="B305" s="1" t="n">
        <v>44713</v>
      </c>
      <c r="C305" s="1" t="n">
        <v>45583</v>
      </c>
      <c r="D305" t="inlineStr">
        <is>
          <t>VÄSTERNORRLANDS LÄN</t>
        </is>
      </c>
      <c r="E305" t="inlineStr">
        <is>
          <t>SOLLEFTEÅ</t>
        </is>
      </c>
      <c r="F305" t="inlineStr">
        <is>
          <t>SCA</t>
        </is>
      </c>
      <c r="G305" t="n">
        <v>1.8</v>
      </c>
      <c r="H305" t="n">
        <v>0</v>
      </c>
      <c r="I305" t="n">
        <v>0</v>
      </c>
      <c r="J305" t="n">
        <v>1</v>
      </c>
      <c r="K305" t="n">
        <v>0</v>
      </c>
      <c r="L305" t="n">
        <v>0</v>
      </c>
      <c r="M305" t="n">
        <v>0</v>
      </c>
      <c r="N305" t="n">
        <v>0</v>
      </c>
      <c r="O305" t="n">
        <v>1</v>
      </c>
      <c r="P305" t="n">
        <v>0</v>
      </c>
      <c r="Q305" t="n">
        <v>1</v>
      </c>
      <c r="R305" s="2" t="inlineStr">
        <is>
          <t>Granticka</t>
        </is>
      </c>
      <c r="S305">
        <f>HYPERLINK("https://klasma.github.io/Logging_2283/artfynd/A 22323-2022 artfynd.xlsx", "A 22323-2022")</f>
        <v/>
      </c>
      <c r="T305">
        <f>HYPERLINK("https://klasma.github.io/Logging_2283/kartor/A 22323-2022 karta.png", "A 22323-2022")</f>
        <v/>
      </c>
      <c r="V305">
        <f>HYPERLINK("https://klasma.github.io/Logging_2283/klagomål/A 22323-2022 FSC-klagomål.docx", "A 22323-2022")</f>
        <v/>
      </c>
      <c r="W305">
        <f>HYPERLINK("https://klasma.github.io/Logging_2283/klagomålsmail/A 22323-2022 FSC-klagomål mail.docx", "A 22323-2022")</f>
        <v/>
      </c>
      <c r="X305">
        <f>HYPERLINK("https://klasma.github.io/Logging_2283/tillsyn/A 22323-2022 tillsynsbegäran.docx", "A 22323-2022")</f>
        <v/>
      </c>
      <c r="Y305">
        <f>HYPERLINK("https://klasma.github.io/Logging_2283/tillsynsmail/A 22323-2022 tillsynsbegäran mail.docx", "A 22323-2022")</f>
        <v/>
      </c>
    </row>
    <row r="306" ht="15" customHeight="1">
      <c r="A306" t="inlineStr">
        <is>
          <t>A 26121-2022</t>
        </is>
      </c>
      <c r="B306" s="1" t="n">
        <v>44734</v>
      </c>
      <c r="C306" s="1" t="n">
        <v>45583</v>
      </c>
      <c r="D306" t="inlineStr">
        <is>
          <t>VÄSTERNORRLANDS LÄN</t>
        </is>
      </c>
      <c r="E306" t="inlineStr">
        <is>
          <t>SOLLEFTEÅ</t>
        </is>
      </c>
      <c r="F306" t="inlineStr">
        <is>
          <t>SCA</t>
        </is>
      </c>
      <c r="G306" t="n">
        <v>6.3</v>
      </c>
      <c r="H306" t="n">
        <v>0</v>
      </c>
      <c r="I306" t="n">
        <v>0</v>
      </c>
      <c r="J306" t="n">
        <v>1</v>
      </c>
      <c r="K306" t="n">
        <v>0</v>
      </c>
      <c r="L306" t="n">
        <v>0</v>
      </c>
      <c r="M306" t="n">
        <v>0</v>
      </c>
      <c r="N306" t="n">
        <v>0</v>
      </c>
      <c r="O306" t="n">
        <v>1</v>
      </c>
      <c r="P306" t="n">
        <v>0</v>
      </c>
      <c r="Q306" t="n">
        <v>1</v>
      </c>
      <c r="R306" s="2" t="inlineStr">
        <is>
          <t>Veckticka</t>
        </is>
      </c>
      <c r="S306">
        <f>HYPERLINK("https://klasma.github.io/Logging_2283/artfynd/A 26121-2022 artfynd.xlsx", "A 26121-2022")</f>
        <v/>
      </c>
      <c r="T306">
        <f>HYPERLINK("https://klasma.github.io/Logging_2283/kartor/A 26121-2022 karta.png", "A 26121-2022")</f>
        <v/>
      </c>
      <c r="V306">
        <f>HYPERLINK("https://klasma.github.io/Logging_2283/klagomål/A 26121-2022 FSC-klagomål.docx", "A 26121-2022")</f>
        <v/>
      </c>
      <c r="W306">
        <f>HYPERLINK("https://klasma.github.io/Logging_2283/klagomålsmail/A 26121-2022 FSC-klagomål mail.docx", "A 26121-2022")</f>
        <v/>
      </c>
      <c r="X306">
        <f>HYPERLINK("https://klasma.github.io/Logging_2283/tillsyn/A 26121-2022 tillsynsbegäran.docx", "A 26121-2022")</f>
        <v/>
      </c>
      <c r="Y306">
        <f>HYPERLINK("https://klasma.github.io/Logging_2283/tillsynsmail/A 26121-2022 tillsynsbegäran mail.docx", "A 26121-2022")</f>
        <v/>
      </c>
    </row>
    <row r="307" ht="15" customHeight="1">
      <c r="A307" t="inlineStr">
        <is>
          <t>A 27106-2022</t>
        </is>
      </c>
      <c r="B307" s="1" t="n">
        <v>44741</v>
      </c>
      <c r="C307" s="1" t="n">
        <v>45583</v>
      </c>
      <c r="D307" t="inlineStr">
        <is>
          <t>VÄSTERNORRLANDS LÄN</t>
        </is>
      </c>
      <c r="E307" t="inlineStr">
        <is>
          <t>SOLLEFTEÅ</t>
        </is>
      </c>
      <c r="G307" t="n">
        <v>1.3</v>
      </c>
      <c r="H307" t="n">
        <v>1</v>
      </c>
      <c r="I307" t="n">
        <v>0</v>
      </c>
      <c r="J307" t="n">
        <v>0</v>
      </c>
      <c r="K307" t="n">
        <v>0</v>
      </c>
      <c r="L307" t="n">
        <v>0</v>
      </c>
      <c r="M307" t="n">
        <v>0</v>
      </c>
      <c r="N307" t="n">
        <v>0</v>
      </c>
      <c r="O307" t="n">
        <v>0</v>
      </c>
      <c r="P307" t="n">
        <v>0</v>
      </c>
      <c r="Q307" t="n">
        <v>1</v>
      </c>
      <c r="R307" s="2" t="inlineStr">
        <is>
          <t>Revlummer</t>
        </is>
      </c>
      <c r="S307">
        <f>HYPERLINK("https://klasma.github.io/Logging_2283/artfynd/A 27106-2022 artfynd.xlsx", "A 27106-2022")</f>
        <v/>
      </c>
      <c r="T307">
        <f>HYPERLINK("https://klasma.github.io/Logging_2283/kartor/A 27106-2022 karta.png", "A 27106-2022")</f>
        <v/>
      </c>
      <c r="V307">
        <f>HYPERLINK("https://klasma.github.io/Logging_2283/klagomål/A 27106-2022 FSC-klagomål.docx", "A 27106-2022")</f>
        <v/>
      </c>
      <c r="W307">
        <f>HYPERLINK("https://klasma.github.io/Logging_2283/klagomålsmail/A 27106-2022 FSC-klagomål mail.docx", "A 27106-2022")</f>
        <v/>
      </c>
      <c r="X307">
        <f>HYPERLINK("https://klasma.github.io/Logging_2283/tillsyn/A 27106-2022 tillsynsbegäran.docx", "A 27106-2022")</f>
        <v/>
      </c>
      <c r="Y307">
        <f>HYPERLINK("https://klasma.github.io/Logging_2283/tillsynsmail/A 27106-2022 tillsynsbegäran mail.docx", "A 27106-2022")</f>
        <v/>
      </c>
    </row>
    <row r="308" ht="15" customHeight="1">
      <c r="A308" t="inlineStr">
        <is>
          <t>A 29037-2022</t>
        </is>
      </c>
      <c r="B308" s="1" t="n">
        <v>44749</v>
      </c>
      <c r="C308" s="1" t="n">
        <v>45583</v>
      </c>
      <c r="D308" t="inlineStr">
        <is>
          <t>VÄSTERNORRLANDS LÄN</t>
        </is>
      </c>
      <c r="E308" t="inlineStr">
        <is>
          <t>SOLLEFTEÅ</t>
        </is>
      </c>
      <c r="F308" t="inlineStr">
        <is>
          <t>SCA</t>
        </is>
      </c>
      <c r="G308" t="n">
        <v>1</v>
      </c>
      <c r="H308" t="n">
        <v>0</v>
      </c>
      <c r="I308" t="n">
        <v>1</v>
      </c>
      <c r="J308" t="n">
        <v>0</v>
      </c>
      <c r="K308" t="n">
        <v>0</v>
      </c>
      <c r="L308" t="n">
        <v>0</v>
      </c>
      <c r="M308" t="n">
        <v>0</v>
      </c>
      <c r="N308" t="n">
        <v>0</v>
      </c>
      <c r="O308" t="n">
        <v>0</v>
      </c>
      <c r="P308" t="n">
        <v>0</v>
      </c>
      <c r="Q308" t="n">
        <v>1</v>
      </c>
      <c r="R308" s="2" t="inlineStr">
        <is>
          <t>Vanlig flatbagge</t>
        </is>
      </c>
      <c r="S308">
        <f>HYPERLINK("https://klasma.github.io/Logging_2283/artfynd/A 29037-2022 artfynd.xlsx", "A 29037-2022")</f>
        <v/>
      </c>
      <c r="T308">
        <f>HYPERLINK("https://klasma.github.io/Logging_2283/kartor/A 29037-2022 karta.png", "A 29037-2022")</f>
        <v/>
      </c>
      <c r="V308">
        <f>HYPERLINK("https://klasma.github.io/Logging_2283/klagomål/A 29037-2022 FSC-klagomål.docx", "A 29037-2022")</f>
        <v/>
      </c>
      <c r="W308">
        <f>HYPERLINK("https://klasma.github.io/Logging_2283/klagomålsmail/A 29037-2022 FSC-klagomål mail.docx", "A 29037-2022")</f>
        <v/>
      </c>
      <c r="X308">
        <f>HYPERLINK("https://klasma.github.io/Logging_2283/tillsyn/A 29037-2022 tillsynsbegäran.docx", "A 29037-2022")</f>
        <v/>
      </c>
      <c r="Y308">
        <f>HYPERLINK("https://klasma.github.io/Logging_2283/tillsynsmail/A 29037-2022 tillsynsbegäran mail.docx", "A 29037-2022")</f>
        <v/>
      </c>
    </row>
    <row r="309" ht="15" customHeight="1">
      <c r="A309" t="inlineStr">
        <is>
          <t>A 30047-2022</t>
        </is>
      </c>
      <c r="B309" s="1" t="n">
        <v>44757</v>
      </c>
      <c r="C309" s="1" t="n">
        <v>45583</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33216-2022</t>
        </is>
      </c>
      <c r="B310" s="1" t="n">
        <v>44785</v>
      </c>
      <c r="C310" s="1" t="n">
        <v>45583</v>
      </c>
      <c r="D310" t="inlineStr">
        <is>
          <t>VÄSTERNORRLANDS LÄN</t>
        </is>
      </c>
      <c r="E310" t="inlineStr">
        <is>
          <t>SOLLEFTEÅ</t>
        </is>
      </c>
      <c r="F310" t="inlineStr">
        <is>
          <t>SCA</t>
        </is>
      </c>
      <c r="G310" t="n">
        <v>4.4</v>
      </c>
      <c r="H310" t="n">
        <v>0</v>
      </c>
      <c r="I310" t="n">
        <v>0</v>
      </c>
      <c r="J310" t="n">
        <v>0</v>
      </c>
      <c r="K310" t="n">
        <v>1</v>
      </c>
      <c r="L310" t="n">
        <v>0</v>
      </c>
      <c r="M310" t="n">
        <v>0</v>
      </c>
      <c r="N310" t="n">
        <v>0</v>
      </c>
      <c r="O310" t="n">
        <v>1</v>
      </c>
      <c r="P310" t="n">
        <v>1</v>
      </c>
      <c r="Q310" t="n">
        <v>1</v>
      </c>
      <c r="R310" s="2" t="inlineStr">
        <is>
          <t>Rynkskinn</t>
        </is>
      </c>
      <c r="S310">
        <f>HYPERLINK("https://klasma.github.io/Logging_2283/artfynd/A 33216-2022 artfynd.xlsx", "A 33216-2022")</f>
        <v/>
      </c>
      <c r="T310">
        <f>HYPERLINK("https://klasma.github.io/Logging_2283/kartor/A 33216-2022 karta.png", "A 33216-2022")</f>
        <v/>
      </c>
      <c r="V310">
        <f>HYPERLINK("https://klasma.github.io/Logging_2283/klagomål/A 33216-2022 FSC-klagomål.docx", "A 33216-2022")</f>
        <v/>
      </c>
      <c r="W310">
        <f>HYPERLINK("https://klasma.github.io/Logging_2283/klagomålsmail/A 33216-2022 FSC-klagomål mail.docx", "A 33216-2022")</f>
        <v/>
      </c>
      <c r="X310">
        <f>HYPERLINK("https://klasma.github.io/Logging_2283/tillsyn/A 33216-2022 tillsynsbegäran.docx", "A 33216-2022")</f>
        <v/>
      </c>
      <c r="Y310">
        <f>HYPERLINK("https://klasma.github.io/Logging_2283/tillsynsmail/A 33216-2022 tillsynsbegäran mail.docx", "A 33216-2022")</f>
        <v/>
      </c>
    </row>
    <row r="311" ht="15" customHeight="1">
      <c r="A311" t="inlineStr">
        <is>
          <t>A 33504-2022</t>
        </is>
      </c>
      <c r="B311" s="1" t="n">
        <v>44788</v>
      </c>
      <c r="C311" s="1" t="n">
        <v>45583</v>
      </c>
      <c r="D311" t="inlineStr">
        <is>
          <t>VÄSTERNORRLANDS LÄN</t>
        </is>
      </c>
      <c r="E311" t="inlineStr">
        <is>
          <t>SOLLEFTEÅ</t>
        </is>
      </c>
      <c r="F311" t="inlineStr">
        <is>
          <t>SCA</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HYPERLINK("https://klasma.github.io/Logging_2283/artfynd/A 33504-2022 artfynd.xlsx", "A 33504-2022")</f>
        <v/>
      </c>
      <c r="T311">
        <f>HYPERLINK("https://klasma.github.io/Logging_2283/kartor/A 33504-2022 karta.png", "A 33504-2022")</f>
        <v/>
      </c>
      <c r="U311">
        <f>HYPERLINK("https://klasma.github.io/Logging_2283/knärot/A 33504-2022 karta knärot.png", "A 33504-2022")</f>
        <v/>
      </c>
      <c r="V311">
        <f>HYPERLINK("https://klasma.github.io/Logging_2283/klagomål/A 33504-2022 FSC-klagomål.docx", "A 33504-2022")</f>
        <v/>
      </c>
      <c r="W311">
        <f>HYPERLINK("https://klasma.github.io/Logging_2283/klagomålsmail/A 33504-2022 FSC-klagomål mail.docx", "A 33504-2022")</f>
        <v/>
      </c>
      <c r="X311">
        <f>HYPERLINK("https://klasma.github.io/Logging_2283/tillsyn/A 33504-2022 tillsynsbegäran.docx", "A 33504-2022")</f>
        <v/>
      </c>
      <c r="Y311">
        <f>HYPERLINK("https://klasma.github.io/Logging_2283/tillsynsmail/A 33504-2022 tillsynsbegäran mail.docx", "A 33504-2022")</f>
        <v/>
      </c>
    </row>
    <row r="312" ht="15" customHeight="1">
      <c r="A312" t="inlineStr">
        <is>
          <t>A 35013-2022</t>
        </is>
      </c>
      <c r="B312" s="1" t="n">
        <v>44796</v>
      </c>
      <c r="C312" s="1" t="n">
        <v>45583</v>
      </c>
      <c r="D312" t="inlineStr">
        <is>
          <t>VÄSTERNORRLANDS LÄN</t>
        </is>
      </c>
      <c r="E312" t="inlineStr">
        <is>
          <t>SOLLEFTEÅ</t>
        </is>
      </c>
      <c r="F312" t="inlineStr">
        <is>
          <t>SCA</t>
        </is>
      </c>
      <c r="G312" t="n">
        <v>2.1</v>
      </c>
      <c r="H312" t="n">
        <v>0</v>
      </c>
      <c r="I312" t="n">
        <v>0</v>
      </c>
      <c r="J312" t="n">
        <v>1</v>
      </c>
      <c r="K312" t="n">
        <v>0</v>
      </c>
      <c r="L312" t="n">
        <v>0</v>
      </c>
      <c r="M312" t="n">
        <v>0</v>
      </c>
      <c r="N312" t="n">
        <v>0</v>
      </c>
      <c r="O312" t="n">
        <v>1</v>
      </c>
      <c r="P312" t="n">
        <v>0</v>
      </c>
      <c r="Q312" t="n">
        <v>1</v>
      </c>
      <c r="R312" s="2" t="inlineStr">
        <is>
          <t>Rosenticka</t>
        </is>
      </c>
      <c r="S312">
        <f>HYPERLINK("https://klasma.github.io/Logging_2283/artfynd/A 35013-2022 artfynd.xlsx", "A 35013-2022")</f>
        <v/>
      </c>
      <c r="T312">
        <f>HYPERLINK("https://klasma.github.io/Logging_2283/kartor/A 35013-2022 karta.png", "A 35013-2022")</f>
        <v/>
      </c>
      <c r="V312">
        <f>HYPERLINK("https://klasma.github.io/Logging_2283/klagomål/A 35013-2022 FSC-klagomål.docx", "A 35013-2022")</f>
        <v/>
      </c>
      <c r="W312">
        <f>HYPERLINK("https://klasma.github.io/Logging_2283/klagomålsmail/A 35013-2022 FSC-klagomål mail.docx", "A 35013-2022")</f>
        <v/>
      </c>
      <c r="X312">
        <f>HYPERLINK("https://klasma.github.io/Logging_2283/tillsyn/A 35013-2022 tillsynsbegäran.docx", "A 35013-2022")</f>
        <v/>
      </c>
      <c r="Y312">
        <f>HYPERLINK("https://klasma.github.io/Logging_2283/tillsynsmail/A 35013-2022 tillsynsbegäran mail.docx", "A 35013-2022")</f>
        <v/>
      </c>
    </row>
    <row r="313" ht="15" customHeight="1">
      <c r="A313" t="inlineStr">
        <is>
          <t>A 38367-2022</t>
        </is>
      </c>
      <c r="B313" s="1" t="n">
        <v>44812</v>
      </c>
      <c r="C313" s="1" t="n">
        <v>45583</v>
      </c>
      <c r="D313" t="inlineStr">
        <is>
          <t>VÄSTERNORRLANDS LÄN</t>
        </is>
      </c>
      <c r="E313" t="inlineStr">
        <is>
          <t>SOLLEFTEÅ</t>
        </is>
      </c>
      <c r="F313" t="inlineStr">
        <is>
          <t>Kommuner</t>
        </is>
      </c>
      <c r="G313" t="n">
        <v>19.6</v>
      </c>
      <c r="H313" t="n">
        <v>0</v>
      </c>
      <c r="I313" t="n">
        <v>0</v>
      </c>
      <c r="J313" t="n">
        <v>1</v>
      </c>
      <c r="K313" t="n">
        <v>0</v>
      </c>
      <c r="L313" t="n">
        <v>0</v>
      </c>
      <c r="M313" t="n">
        <v>0</v>
      </c>
      <c r="N313" t="n">
        <v>0</v>
      </c>
      <c r="O313" t="n">
        <v>1</v>
      </c>
      <c r="P313" t="n">
        <v>0</v>
      </c>
      <c r="Q313" t="n">
        <v>1</v>
      </c>
      <c r="R313" s="2" t="inlineStr">
        <is>
          <t>Garnlav</t>
        </is>
      </c>
      <c r="S313">
        <f>HYPERLINK("https://klasma.github.io/Logging_2283/artfynd/A 38367-2022 artfynd.xlsx", "A 38367-2022")</f>
        <v/>
      </c>
      <c r="T313">
        <f>HYPERLINK("https://klasma.github.io/Logging_2283/kartor/A 38367-2022 karta.png", "A 38367-2022")</f>
        <v/>
      </c>
      <c r="V313">
        <f>HYPERLINK("https://klasma.github.io/Logging_2283/klagomål/A 38367-2022 FSC-klagomål.docx", "A 38367-2022")</f>
        <v/>
      </c>
      <c r="W313">
        <f>HYPERLINK("https://klasma.github.io/Logging_2283/klagomålsmail/A 38367-2022 FSC-klagomål mail.docx", "A 38367-2022")</f>
        <v/>
      </c>
      <c r="X313">
        <f>HYPERLINK("https://klasma.github.io/Logging_2283/tillsyn/A 38367-2022 tillsynsbegäran.docx", "A 38367-2022")</f>
        <v/>
      </c>
      <c r="Y313">
        <f>HYPERLINK("https://klasma.github.io/Logging_2283/tillsynsmail/A 38367-2022 tillsynsbegäran mail.docx", "A 38367-2022")</f>
        <v/>
      </c>
    </row>
    <row r="314" ht="15" customHeight="1">
      <c r="A314" t="inlineStr">
        <is>
          <t>A 38363-2022</t>
        </is>
      </c>
      <c r="B314" s="1" t="n">
        <v>44812</v>
      </c>
      <c r="C314" s="1" t="n">
        <v>45583</v>
      </c>
      <c r="D314" t="inlineStr">
        <is>
          <t>VÄSTERNORRLANDS LÄN</t>
        </is>
      </c>
      <c r="E314" t="inlineStr">
        <is>
          <t>SOLLEFTEÅ</t>
        </is>
      </c>
      <c r="F314" t="inlineStr">
        <is>
          <t>Kommuner</t>
        </is>
      </c>
      <c r="G314" t="n">
        <v>16</v>
      </c>
      <c r="H314" t="n">
        <v>0</v>
      </c>
      <c r="I314" t="n">
        <v>0</v>
      </c>
      <c r="J314" t="n">
        <v>1</v>
      </c>
      <c r="K314" t="n">
        <v>0</v>
      </c>
      <c r="L314" t="n">
        <v>0</v>
      </c>
      <c r="M314" t="n">
        <v>0</v>
      </c>
      <c r="N314" t="n">
        <v>0</v>
      </c>
      <c r="O314" t="n">
        <v>1</v>
      </c>
      <c r="P314" t="n">
        <v>0</v>
      </c>
      <c r="Q314" t="n">
        <v>1</v>
      </c>
      <c r="R314" s="2" t="inlineStr">
        <is>
          <t>Garnlav</t>
        </is>
      </c>
      <c r="S314">
        <f>HYPERLINK("https://klasma.github.io/Logging_2283/artfynd/A 38363-2022 artfynd.xlsx", "A 38363-2022")</f>
        <v/>
      </c>
      <c r="T314">
        <f>HYPERLINK("https://klasma.github.io/Logging_2283/kartor/A 38363-2022 karta.png", "A 38363-2022")</f>
        <v/>
      </c>
      <c r="V314">
        <f>HYPERLINK("https://klasma.github.io/Logging_2283/klagomål/A 38363-2022 FSC-klagomål.docx", "A 38363-2022")</f>
        <v/>
      </c>
      <c r="W314">
        <f>HYPERLINK("https://klasma.github.io/Logging_2283/klagomålsmail/A 38363-2022 FSC-klagomål mail.docx", "A 38363-2022")</f>
        <v/>
      </c>
      <c r="X314">
        <f>HYPERLINK("https://klasma.github.io/Logging_2283/tillsyn/A 38363-2022 tillsynsbegäran.docx", "A 38363-2022")</f>
        <v/>
      </c>
      <c r="Y314">
        <f>HYPERLINK("https://klasma.github.io/Logging_2283/tillsynsmail/A 38363-2022 tillsynsbegäran mail.docx", "A 38363-2022")</f>
        <v/>
      </c>
    </row>
    <row r="315" ht="15" customHeight="1">
      <c r="A315" t="inlineStr">
        <is>
          <t>A 40626-2022</t>
        </is>
      </c>
      <c r="B315" s="1" t="n">
        <v>44824</v>
      </c>
      <c r="C315" s="1" t="n">
        <v>45583</v>
      </c>
      <c r="D315" t="inlineStr">
        <is>
          <t>VÄSTERNORRLANDS LÄN</t>
        </is>
      </c>
      <c r="E315" t="inlineStr">
        <is>
          <t>SOLLEFTEÅ</t>
        </is>
      </c>
      <c r="F315" t="inlineStr">
        <is>
          <t>SCA</t>
        </is>
      </c>
      <c r="G315" t="n">
        <v>2.5</v>
      </c>
      <c r="H315" t="n">
        <v>1</v>
      </c>
      <c r="I315" t="n">
        <v>0</v>
      </c>
      <c r="J315" t="n">
        <v>1</v>
      </c>
      <c r="K315" t="n">
        <v>0</v>
      </c>
      <c r="L315" t="n">
        <v>0</v>
      </c>
      <c r="M315" t="n">
        <v>0</v>
      </c>
      <c r="N315" t="n">
        <v>0</v>
      </c>
      <c r="O315" t="n">
        <v>1</v>
      </c>
      <c r="P315" t="n">
        <v>0</v>
      </c>
      <c r="Q315" t="n">
        <v>1</v>
      </c>
      <c r="R315" s="2" t="inlineStr">
        <is>
          <t>Spillkråka</t>
        </is>
      </c>
      <c r="S315">
        <f>HYPERLINK("https://klasma.github.io/Logging_2283/artfynd/A 40626-2022 artfynd.xlsx", "A 40626-2022")</f>
        <v/>
      </c>
      <c r="T315">
        <f>HYPERLINK("https://klasma.github.io/Logging_2283/kartor/A 40626-2022 karta.png", "A 40626-2022")</f>
        <v/>
      </c>
      <c r="V315">
        <f>HYPERLINK("https://klasma.github.io/Logging_2283/klagomål/A 40626-2022 FSC-klagomål.docx", "A 40626-2022")</f>
        <v/>
      </c>
      <c r="W315">
        <f>HYPERLINK("https://klasma.github.io/Logging_2283/klagomålsmail/A 40626-2022 FSC-klagomål mail.docx", "A 40626-2022")</f>
        <v/>
      </c>
      <c r="X315">
        <f>HYPERLINK("https://klasma.github.io/Logging_2283/tillsyn/A 40626-2022 tillsynsbegäran.docx", "A 40626-2022")</f>
        <v/>
      </c>
      <c r="Y315">
        <f>HYPERLINK("https://klasma.github.io/Logging_2283/tillsynsmail/A 40626-2022 tillsynsbegäran mail.docx", "A 40626-2022")</f>
        <v/>
      </c>
      <c r="Z315">
        <f>HYPERLINK("https://klasma.github.io/Logging_2283/fåglar/A 40626-2022 prioriterade fågelarter.docx", "A 40626-2022")</f>
        <v/>
      </c>
    </row>
    <row r="316" ht="15" customHeight="1">
      <c r="A316" t="inlineStr">
        <is>
          <t>A 44763-2022</t>
        </is>
      </c>
      <c r="B316" s="1" t="n">
        <v>44840</v>
      </c>
      <c r="C316" s="1" t="n">
        <v>45583</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46041-2022</t>
        </is>
      </c>
      <c r="B317" s="1" t="n">
        <v>44846</v>
      </c>
      <c r="C317" s="1" t="n">
        <v>45583</v>
      </c>
      <c r="D317" t="inlineStr">
        <is>
          <t>VÄSTERNORRLANDS LÄN</t>
        </is>
      </c>
      <c r="E317" t="inlineStr">
        <is>
          <t>SOLLEFTEÅ</t>
        </is>
      </c>
      <c r="F317" t="inlineStr">
        <is>
          <t>SCA</t>
        </is>
      </c>
      <c r="G317" t="n">
        <v>21.1</v>
      </c>
      <c r="H317" t="n">
        <v>0</v>
      </c>
      <c r="I317" t="n">
        <v>0</v>
      </c>
      <c r="J317" t="n">
        <v>1</v>
      </c>
      <c r="K317" t="n">
        <v>0</v>
      </c>
      <c r="L317" t="n">
        <v>0</v>
      </c>
      <c r="M317" t="n">
        <v>0</v>
      </c>
      <c r="N317" t="n">
        <v>0</v>
      </c>
      <c r="O317" t="n">
        <v>1</v>
      </c>
      <c r="P317" t="n">
        <v>0</v>
      </c>
      <c r="Q317" t="n">
        <v>1</v>
      </c>
      <c r="R317" s="2" t="inlineStr">
        <is>
          <t>Lunglav</t>
        </is>
      </c>
      <c r="S317">
        <f>HYPERLINK("https://klasma.github.io/Logging_2283/artfynd/A 46041-2022 artfynd.xlsx", "A 46041-2022")</f>
        <v/>
      </c>
      <c r="T317">
        <f>HYPERLINK("https://klasma.github.io/Logging_2283/kartor/A 46041-2022 karta.png", "A 46041-2022")</f>
        <v/>
      </c>
      <c r="V317">
        <f>HYPERLINK("https://klasma.github.io/Logging_2283/klagomål/A 46041-2022 FSC-klagomål.docx", "A 46041-2022")</f>
        <v/>
      </c>
      <c r="W317">
        <f>HYPERLINK("https://klasma.github.io/Logging_2283/klagomålsmail/A 46041-2022 FSC-klagomål mail.docx", "A 46041-2022")</f>
        <v/>
      </c>
      <c r="X317">
        <f>HYPERLINK("https://klasma.github.io/Logging_2283/tillsyn/A 46041-2022 tillsynsbegäran.docx", "A 46041-2022")</f>
        <v/>
      </c>
      <c r="Y317">
        <f>HYPERLINK("https://klasma.github.io/Logging_2283/tillsynsmail/A 46041-2022 tillsynsbegäran mail.docx", "A 46041-2022")</f>
        <v/>
      </c>
    </row>
    <row r="318" ht="15" customHeight="1">
      <c r="A318" t="inlineStr">
        <is>
          <t>A 46376-2022</t>
        </is>
      </c>
      <c r="B318" s="1" t="n">
        <v>44848</v>
      </c>
      <c r="C318" s="1" t="n">
        <v>45583</v>
      </c>
      <c r="D318" t="inlineStr">
        <is>
          <t>VÄSTERNORRLANDS LÄN</t>
        </is>
      </c>
      <c r="E318" t="inlineStr">
        <is>
          <t>SOLLEFTEÅ</t>
        </is>
      </c>
      <c r="F318" t="inlineStr">
        <is>
          <t>Holmen skog AB</t>
        </is>
      </c>
      <c r="G318" t="n">
        <v>23.9</v>
      </c>
      <c r="H318" t="n">
        <v>0</v>
      </c>
      <c r="I318" t="n">
        <v>1</v>
      </c>
      <c r="J318" t="n">
        <v>0</v>
      </c>
      <c r="K318" t="n">
        <v>0</v>
      </c>
      <c r="L318" t="n">
        <v>0</v>
      </c>
      <c r="M318" t="n">
        <v>0</v>
      </c>
      <c r="N318" t="n">
        <v>0</v>
      </c>
      <c r="O318" t="n">
        <v>0</v>
      </c>
      <c r="P318" t="n">
        <v>0</v>
      </c>
      <c r="Q318" t="n">
        <v>1</v>
      </c>
      <c r="R318" s="2" t="inlineStr">
        <is>
          <t>Skarp dropptaggsvamp</t>
        </is>
      </c>
      <c r="S318">
        <f>HYPERLINK("https://klasma.github.io/Logging_2283/artfynd/A 46376-2022 artfynd.xlsx", "A 46376-2022")</f>
        <v/>
      </c>
      <c r="T318">
        <f>HYPERLINK("https://klasma.github.io/Logging_2283/kartor/A 46376-2022 karta.png", "A 46376-2022")</f>
        <v/>
      </c>
      <c r="V318">
        <f>HYPERLINK("https://klasma.github.io/Logging_2283/klagomål/A 46376-2022 FSC-klagomål.docx", "A 46376-2022")</f>
        <v/>
      </c>
      <c r="W318">
        <f>HYPERLINK("https://klasma.github.io/Logging_2283/klagomålsmail/A 46376-2022 FSC-klagomål mail.docx", "A 46376-2022")</f>
        <v/>
      </c>
      <c r="X318">
        <f>HYPERLINK("https://klasma.github.io/Logging_2283/tillsyn/A 46376-2022 tillsynsbegäran.docx", "A 46376-2022")</f>
        <v/>
      </c>
      <c r="Y318">
        <f>HYPERLINK("https://klasma.github.io/Logging_2283/tillsynsmail/A 46376-2022 tillsynsbegäran mail.docx", "A 46376-2022")</f>
        <v/>
      </c>
    </row>
    <row r="319" ht="15" customHeight="1">
      <c r="A319" t="inlineStr">
        <is>
          <t>A 46629-2022</t>
        </is>
      </c>
      <c r="B319" s="1" t="n">
        <v>44848</v>
      </c>
      <c r="C319" s="1" t="n">
        <v>45583</v>
      </c>
      <c r="D319" t="inlineStr">
        <is>
          <t>VÄSTERNORRLANDS LÄN</t>
        </is>
      </c>
      <c r="E319" t="inlineStr">
        <is>
          <t>SOLLEFTEÅ</t>
        </is>
      </c>
      <c r="F319" t="inlineStr">
        <is>
          <t>SCA</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HYPERLINK("https://klasma.github.io/Logging_2283/artfynd/A 46629-2022 artfynd.xlsx", "A 46629-2022")</f>
        <v/>
      </c>
      <c r="T319">
        <f>HYPERLINK("https://klasma.github.io/Logging_2283/kartor/A 46629-2022 karta.png", "A 46629-2022")</f>
        <v/>
      </c>
      <c r="U319">
        <f>HYPERLINK("https://klasma.github.io/Logging_2283/knärot/A 46629-2022 karta knärot.png", "A 46629-2022")</f>
        <v/>
      </c>
      <c r="V319">
        <f>HYPERLINK("https://klasma.github.io/Logging_2283/klagomål/A 46629-2022 FSC-klagomål.docx", "A 46629-2022")</f>
        <v/>
      </c>
      <c r="W319">
        <f>HYPERLINK("https://klasma.github.io/Logging_2283/klagomålsmail/A 46629-2022 FSC-klagomål mail.docx", "A 46629-2022")</f>
        <v/>
      </c>
      <c r="X319">
        <f>HYPERLINK("https://klasma.github.io/Logging_2283/tillsyn/A 46629-2022 tillsynsbegäran.docx", "A 46629-2022")</f>
        <v/>
      </c>
      <c r="Y319">
        <f>HYPERLINK("https://klasma.github.io/Logging_2283/tillsynsmail/A 46629-2022 tillsynsbegäran mail.docx", "A 46629-2022")</f>
        <v/>
      </c>
    </row>
    <row r="320" ht="15" customHeight="1">
      <c r="A320" t="inlineStr">
        <is>
          <t>A 46630-2022</t>
        </is>
      </c>
      <c r="B320" s="1" t="n">
        <v>44848</v>
      </c>
      <c r="C320" s="1" t="n">
        <v>45583</v>
      </c>
      <c r="D320" t="inlineStr">
        <is>
          <t>VÄSTERNORRLANDS LÄN</t>
        </is>
      </c>
      <c r="E320" t="inlineStr">
        <is>
          <t>SOLLEFTEÅ</t>
        </is>
      </c>
      <c r="F320" t="inlineStr">
        <is>
          <t>SCA</t>
        </is>
      </c>
      <c r="G320" t="n">
        <v>3.1</v>
      </c>
      <c r="H320" t="n">
        <v>1</v>
      </c>
      <c r="I320" t="n">
        <v>0</v>
      </c>
      <c r="J320" t="n">
        <v>0</v>
      </c>
      <c r="K320" t="n">
        <v>1</v>
      </c>
      <c r="L320" t="n">
        <v>0</v>
      </c>
      <c r="M320" t="n">
        <v>0</v>
      </c>
      <c r="N320" t="n">
        <v>0</v>
      </c>
      <c r="O320" t="n">
        <v>1</v>
      </c>
      <c r="P320" t="n">
        <v>1</v>
      </c>
      <c r="Q320" t="n">
        <v>1</v>
      </c>
      <c r="R320" s="2" t="inlineStr">
        <is>
          <t>Knärot</t>
        </is>
      </c>
      <c r="S320">
        <f>HYPERLINK("https://klasma.github.io/Logging_2283/artfynd/A 46630-2022 artfynd.xlsx", "A 46630-2022")</f>
        <v/>
      </c>
      <c r="T320">
        <f>HYPERLINK("https://klasma.github.io/Logging_2283/kartor/A 46630-2022 karta.png", "A 46630-2022")</f>
        <v/>
      </c>
      <c r="U320">
        <f>HYPERLINK("https://klasma.github.io/Logging_2283/knärot/A 46630-2022 karta knärot.png", "A 46630-2022")</f>
        <v/>
      </c>
      <c r="V320">
        <f>HYPERLINK("https://klasma.github.io/Logging_2283/klagomål/A 46630-2022 FSC-klagomål.docx", "A 46630-2022")</f>
        <v/>
      </c>
      <c r="W320">
        <f>HYPERLINK("https://klasma.github.io/Logging_2283/klagomålsmail/A 46630-2022 FSC-klagomål mail.docx", "A 46630-2022")</f>
        <v/>
      </c>
      <c r="X320">
        <f>HYPERLINK("https://klasma.github.io/Logging_2283/tillsyn/A 46630-2022 tillsynsbegäran.docx", "A 46630-2022")</f>
        <v/>
      </c>
      <c r="Y320">
        <f>HYPERLINK("https://klasma.github.io/Logging_2283/tillsynsmail/A 46630-2022 tillsynsbegäran mail.docx", "A 46630-2022")</f>
        <v/>
      </c>
    </row>
    <row r="321" ht="15" customHeight="1">
      <c r="A321" t="inlineStr">
        <is>
          <t>A 52736-2022</t>
        </is>
      </c>
      <c r="B321" s="1" t="n">
        <v>44874</v>
      </c>
      <c r="C321" s="1" t="n">
        <v>45583</v>
      </c>
      <c r="D321" t="inlineStr">
        <is>
          <t>VÄSTERNORRLANDS LÄN</t>
        </is>
      </c>
      <c r="E321" t="inlineStr">
        <is>
          <t>SOLLEFTEÅ</t>
        </is>
      </c>
      <c r="F321" t="inlineStr">
        <is>
          <t>SCA</t>
        </is>
      </c>
      <c r="G321" t="n">
        <v>15.1</v>
      </c>
      <c r="H321" t="n">
        <v>0</v>
      </c>
      <c r="I321" t="n">
        <v>0</v>
      </c>
      <c r="J321" t="n">
        <v>1</v>
      </c>
      <c r="K321" t="n">
        <v>0</v>
      </c>
      <c r="L321" t="n">
        <v>0</v>
      </c>
      <c r="M321" t="n">
        <v>0</v>
      </c>
      <c r="N321" t="n">
        <v>0</v>
      </c>
      <c r="O321" t="n">
        <v>1</v>
      </c>
      <c r="P321" t="n">
        <v>0</v>
      </c>
      <c r="Q321" t="n">
        <v>1</v>
      </c>
      <c r="R321" s="2" t="inlineStr">
        <is>
          <t>Orange taggsvamp</t>
        </is>
      </c>
      <c r="S321">
        <f>HYPERLINK("https://klasma.github.io/Logging_2283/artfynd/A 52736-2022 artfynd.xlsx", "A 52736-2022")</f>
        <v/>
      </c>
      <c r="T321">
        <f>HYPERLINK("https://klasma.github.io/Logging_2283/kartor/A 52736-2022 karta.png", "A 52736-2022")</f>
        <v/>
      </c>
      <c r="V321">
        <f>HYPERLINK("https://klasma.github.io/Logging_2283/klagomål/A 52736-2022 FSC-klagomål.docx", "A 52736-2022")</f>
        <v/>
      </c>
      <c r="W321">
        <f>HYPERLINK("https://klasma.github.io/Logging_2283/klagomålsmail/A 52736-2022 FSC-klagomål mail.docx", "A 52736-2022")</f>
        <v/>
      </c>
      <c r="X321">
        <f>HYPERLINK("https://klasma.github.io/Logging_2283/tillsyn/A 52736-2022 tillsynsbegäran.docx", "A 52736-2022")</f>
        <v/>
      </c>
      <c r="Y321">
        <f>HYPERLINK("https://klasma.github.io/Logging_2283/tillsynsmail/A 52736-2022 tillsynsbegäran mail.docx", "A 52736-2022")</f>
        <v/>
      </c>
    </row>
    <row r="322" ht="15" customHeight="1">
      <c r="A322" t="inlineStr">
        <is>
          <t>A 54558-2022</t>
        </is>
      </c>
      <c r="B322" s="1" t="n">
        <v>44882</v>
      </c>
      <c r="C322" s="1" t="n">
        <v>45583</v>
      </c>
      <c r="D322" t="inlineStr">
        <is>
          <t>VÄSTERNORRLANDS LÄN</t>
        </is>
      </c>
      <c r="E322" t="inlineStr">
        <is>
          <t>SOLLEFTEÅ</t>
        </is>
      </c>
      <c r="G322" t="n">
        <v>5.8</v>
      </c>
      <c r="H322" t="n">
        <v>0</v>
      </c>
      <c r="I322" t="n">
        <v>1</v>
      </c>
      <c r="J322" t="n">
        <v>0</v>
      </c>
      <c r="K322" t="n">
        <v>0</v>
      </c>
      <c r="L322" t="n">
        <v>0</v>
      </c>
      <c r="M322" t="n">
        <v>0</v>
      </c>
      <c r="N322" t="n">
        <v>0</v>
      </c>
      <c r="O322" t="n">
        <v>0</v>
      </c>
      <c r="P322" t="n">
        <v>0</v>
      </c>
      <c r="Q322" t="n">
        <v>1</v>
      </c>
      <c r="R322" s="2" t="inlineStr">
        <is>
          <t>Strutbräken</t>
        </is>
      </c>
      <c r="S322">
        <f>HYPERLINK("https://klasma.github.io/Logging_2283/artfynd/A 54558-2022 artfynd.xlsx", "A 54558-2022")</f>
        <v/>
      </c>
      <c r="T322">
        <f>HYPERLINK("https://klasma.github.io/Logging_2283/kartor/A 54558-2022 karta.png", "A 54558-2022")</f>
        <v/>
      </c>
      <c r="V322">
        <f>HYPERLINK("https://klasma.github.io/Logging_2283/klagomål/A 54558-2022 FSC-klagomål.docx", "A 54558-2022")</f>
        <v/>
      </c>
      <c r="W322">
        <f>HYPERLINK("https://klasma.github.io/Logging_2283/klagomålsmail/A 54558-2022 FSC-klagomål mail.docx", "A 54558-2022")</f>
        <v/>
      </c>
      <c r="X322">
        <f>HYPERLINK("https://klasma.github.io/Logging_2283/tillsyn/A 54558-2022 tillsynsbegäran.docx", "A 54558-2022")</f>
        <v/>
      </c>
      <c r="Y322">
        <f>HYPERLINK("https://klasma.github.io/Logging_2283/tillsynsmail/A 54558-2022 tillsynsbegäran mail.docx", "A 54558-2022")</f>
        <v/>
      </c>
    </row>
    <row r="323" ht="15" customHeight="1">
      <c r="A323" t="inlineStr">
        <is>
          <t>A 56932-2022</t>
        </is>
      </c>
      <c r="B323" s="1" t="n">
        <v>44894</v>
      </c>
      <c r="C323" s="1" t="n">
        <v>45583</v>
      </c>
      <c r="D323" t="inlineStr">
        <is>
          <t>VÄSTERNORRLANDS LÄN</t>
        </is>
      </c>
      <c r="E323" t="inlineStr">
        <is>
          <t>SOLLEFTEÅ</t>
        </is>
      </c>
      <c r="F323" t="inlineStr">
        <is>
          <t>Holmen skog AB</t>
        </is>
      </c>
      <c r="G323" t="n">
        <v>1.9</v>
      </c>
      <c r="H323" t="n">
        <v>0</v>
      </c>
      <c r="I323" t="n">
        <v>0</v>
      </c>
      <c r="J323" t="n">
        <v>1</v>
      </c>
      <c r="K323" t="n">
        <v>0</v>
      </c>
      <c r="L323" t="n">
        <v>0</v>
      </c>
      <c r="M323" t="n">
        <v>0</v>
      </c>
      <c r="N323" t="n">
        <v>0</v>
      </c>
      <c r="O323" t="n">
        <v>1</v>
      </c>
      <c r="P323" t="n">
        <v>0</v>
      </c>
      <c r="Q323" t="n">
        <v>1</v>
      </c>
      <c r="R323" s="2" t="inlineStr">
        <is>
          <t>Koralltaggsvamp</t>
        </is>
      </c>
      <c r="S323">
        <f>HYPERLINK("https://klasma.github.io/Logging_2283/artfynd/A 56932-2022 artfynd.xlsx", "A 56932-2022")</f>
        <v/>
      </c>
      <c r="T323">
        <f>HYPERLINK("https://klasma.github.io/Logging_2283/kartor/A 56932-2022 karta.png", "A 56932-2022")</f>
        <v/>
      </c>
      <c r="V323">
        <f>HYPERLINK("https://klasma.github.io/Logging_2283/klagomål/A 56932-2022 FSC-klagomål.docx", "A 56932-2022")</f>
        <v/>
      </c>
      <c r="W323">
        <f>HYPERLINK("https://klasma.github.io/Logging_2283/klagomålsmail/A 56932-2022 FSC-klagomål mail.docx", "A 56932-2022")</f>
        <v/>
      </c>
      <c r="X323">
        <f>HYPERLINK("https://klasma.github.io/Logging_2283/tillsyn/A 56932-2022 tillsynsbegäran.docx", "A 56932-2022")</f>
        <v/>
      </c>
      <c r="Y323">
        <f>HYPERLINK("https://klasma.github.io/Logging_2283/tillsynsmail/A 56932-2022 tillsynsbegäran mail.docx", "A 56932-2022")</f>
        <v/>
      </c>
    </row>
    <row r="324" ht="15" customHeight="1">
      <c r="A324" t="inlineStr">
        <is>
          <t>A 60833-2022</t>
        </is>
      </c>
      <c r="B324" s="1" t="n">
        <v>44907</v>
      </c>
      <c r="C324" s="1" t="n">
        <v>45583</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Kolflarnlav</t>
        </is>
      </c>
      <c r="S324">
        <f>HYPERLINK("https://klasma.github.io/Logging_2283/artfynd/A 60833-2022 artfynd.xlsx", "A 60833-2022")</f>
        <v/>
      </c>
      <c r="T324">
        <f>HYPERLINK("https://klasma.github.io/Logging_2283/kartor/A 60833-2022 karta.png", "A 60833-2022")</f>
        <v/>
      </c>
      <c r="V324">
        <f>HYPERLINK("https://klasma.github.io/Logging_2283/klagomål/A 60833-2022 FSC-klagomål.docx", "A 60833-2022")</f>
        <v/>
      </c>
      <c r="W324">
        <f>HYPERLINK("https://klasma.github.io/Logging_2283/klagomålsmail/A 60833-2022 FSC-klagomål mail.docx", "A 60833-2022")</f>
        <v/>
      </c>
      <c r="X324">
        <f>HYPERLINK("https://klasma.github.io/Logging_2283/tillsyn/A 60833-2022 tillsynsbegäran.docx", "A 60833-2022")</f>
        <v/>
      </c>
      <c r="Y324">
        <f>HYPERLINK("https://klasma.github.io/Logging_2283/tillsynsmail/A 60833-2022 tillsynsbegäran mail.docx", "A 60833-2022")</f>
        <v/>
      </c>
    </row>
    <row r="325" ht="15" customHeight="1">
      <c r="A325" t="inlineStr">
        <is>
          <t>A 60939-2022</t>
        </is>
      </c>
      <c r="B325" s="1" t="n">
        <v>44908</v>
      </c>
      <c r="C325" s="1" t="n">
        <v>45583</v>
      </c>
      <c r="D325" t="inlineStr">
        <is>
          <t>VÄSTERNORRLANDS LÄN</t>
        </is>
      </c>
      <c r="E325" t="inlineStr">
        <is>
          <t>SOLLEFTEÅ</t>
        </is>
      </c>
      <c r="G325" t="n">
        <v>4.4</v>
      </c>
      <c r="H325" t="n">
        <v>0</v>
      </c>
      <c r="I325" t="n">
        <v>0</v>
      </c>
      <c r="J325" t="n">
        <v>1</v>
      </c>
      <c r="K325" t="n">
        <v>0</v>
      </c>
      <c r="L325" t="n">
        <v>0</v>
      </c>
      <c r="M325" t="n">
        <v>0</v>
      </c>
      <c r="N325" t="n">
        <v>0</v>
      </c>
      <c r="O325" t="n">
        <v>1</v>
      </c>
      <c r="P325" t="n">
        <v>0</v>
      </c>
      <c r="Q325" t="n">
        <v>1</v>
      </c>
      <c r="R325" s="2" t="inlineStr">
        <is>
          <t>Garnlav</t>
        </is>
      </c>
      <c r="S325">
        <f>HYPERLINK("https://klasma.github.io/Logging_2283/artfynd/A 60939-2022 artfynd.xlsx", "A 60939-2022")</f>
        <v/>
      </c>
      <c r="T325">
        <f>HYPERLINK("https://klasma.github.io/Logging_2283/kartor/A 60939-2022 karta.png", "A 60939-2022")</f>
        <v/>
      </c>
      <c r="V325">
        <f>HYPERLINK("https://klasma.github.io/Logging_2283/klagomål/A 60939-2022 FSC-klagomål.docx", "A 60939-2022")</f>
        <v/>
      </c>
      <c r="W325">
        <f>HYPERLINK("https://klasma.github.io/Logging_2283/klagomålsmail/A 60939-2022 FSC-klagomål mail.docx", "A 60939-2022")</f>
        <v/>
      </c>
      <c r="X325">
        <f>HYPERLINK("https://klasma.github.io/Logging_2283/tillsyn/A 60939-2022 tillsynsbegäran.docx", "A 60939-2022")</f>
        <v/>
      </c>
      <c r="Y325">
        <f>HYPERLINK("https://klasma.github.io/Logging_2283/tillsynsmail/A 60939-2022 tillsynsbegäran mail.docx", "A 60939-2022")</f>
        <v/>
      </c>
    </row>
    <row r="326" ht="15" customHeight="1">
      <c r="A326" t="inlineStr">
        <is>
          <t>A 61660-2022</t>
        </is>
      </c>
      <c r="B326" s="1" t="n">
        <v>44917</v>
      </c>
      <c r="C326" s="1" t="n">
        <v>45583</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Backruta</t>
        </is>
      </c>
      <c r="S326">
        <f>HYPERLINK("https://klasma.github.io/Logging_2283/artfynd/A 61660-2022 artfynd.xlsx", "A 61660-2022")</f>
        <v/>
      </c>
      <c r="T326">
        <f>HYPERLINK("https://klasma.github.io/Logging_2283/kartor/A 61660-2022 karta.png", "A 61660-2022")</f>
        <v/>
      </c>
      <c r="V326">
        <f>HYPERLINK("https://klasma.github.io/Logging_2283/klagomål/A 61660-2022 FSC-klagomål.docx", "A 61660-2022")</f>
        <v/>
      </c>
      <c r="W326">
        <f>HYPERLINK("https://klasma.github.io/Logging_2283/klagomålsmail/A 61660-2022 FSC-klagomål mail.docx", "A 61660-2022")</f>
        <v/>
      </c>
      <c r="X326">
        <f>HYPERLINK("https://klasma.github.io/Logging_2283/tillsyn/A 61660-2022 tillsynsbegäran.docx", "A 61660-2022")</f>
        <v/>
      </c>
      <c r="Y326">
        <f>HYPERLINK("https://klasma.github.io/Logging_2283/tillsynsmail/A 61660-2022 tillsynsbegäran mail.docx", "A 61660-2022")</f>
        <v/>
      </c>
    </row>
    <row r="327" ht="15" customHeight="1">
      <c r="A327" t="inlineStr">
        <is>
          <t>A 986-2023</t>
        </is>
      </c>
      <c r="B327" s="1" t="n">
        <v>44935</v>
      </c>
      <c r="C327" s="1" t="n">
        <v>45583</v>
      </c>
      <c r="D327" t="inlineStr">
        <is>
          <t>VÄSTERNORRLANDS LÄN</t>
        </is>
      </c>
      <c r="E327" t="inlineStr">
        <is>
          <t>SOLLEFTEÅ</t>
        </is>
      </c>
      <c r="G327" t="n">
        <v>2.6</v>
      </c>
      <c r="H327" t="n">
        <v>1</v>
      </c>
      <c r="I327" t="n">
        <v>0</v>
      </c>
      <c r="J327" t="n">
        <v>0</v>
      </c>
      <c r="K327" t="n">
        <v>0</v>
      </c>
      <c r="L327" t="n">
        <v>0</v>
      </c>
      <c r="M327" t="n">
        <v>0</v>
      </c>
      <c r="N327" t="n">
        <v>0</v>
      </c>
      <c r="O327" t="n">
        <v>0</v>
      </c>
      <c r="P327" t="n">
        <v>0</v>
      </c>
      <c r="Q327" t="n">
        <v>1</v>
      </c>
      <c r="R327" s="2" t="inlineStr">
        <is>
          <t>Revlummer</t>
        </is>
      </c>
      <c r="S327">
        <f>HYPERLINK("https://klasma.github.io/Logging_2283/artfynd/A 986-2023 artfynd.xlsx", "A 986-2023")</f>
        <v/>
      </c>
      <c r="T327">
        <f>HYPERLINK("https://klasma.github.io/Logging_2283/kartor/A 986-2023 karta.png", "A 986-2023")</f>
        <v/>
      </c>
      <c r="V327">
        <f>HYPERLINK("https://klasma.github.io/Logging_2283/klagomål/A 986-2023 FSC-klagomål.docx", "A 986-2023")</f>
        <v/>
      </c>
      <c r="W327">
        <f>HYPERLINK("https://klasma.github.io/Logging_2283/klagomålsmail/A 986-2023 FSC-klagomål mail.docx", "A 986-2023")</f>
        <v/>
      </c>
      <c r="X327">
        <f>HYPERLINK("https://klasma.github.io/Logging_2283/tillsyn/A 986-2023 tillsynsbegäran.docx", "A 986-2023")</f>
        <v/>
      </c>
      <c r="Y327">
        <f>HYPERLINK("https://klasma.github.io/Logging_2283/tillsynsmail/A 986-2023 tillsynsbegäran mail.docx", "A 986-2023")</f>
        <v/>
      </c>
    </row>
    <row r="328" ht="15" customHeight="1">
      <c r="A328" t="inlineStr">
        <is>
          <t>A 12862-2023</t>
        </is>
      </c>
      <c r="B328" s="1" t="n">
        <v>45001</v>
      </c>
      <c r="C328" s="1" t="n">
        <v>45583</v>
      </c>
      <c r="D328" t="inlineStr">
        <is>
          <t>VÄSTERNORRLANDS LÄN</t>
        </is>
      </c>
      <c r="E328" t="inlineStr">
        <is>
          <t>SOLLEFTEÅ</t>
        </is>
      </c>
      <c r="F328" t="inlineStr">
        <is>
          <t>Övriga Aktiebolag</t>
        </is>
      </c>
      <c r="G328" t="n">
        <v>10.4</v>
      </c>
      <c r="H328" t="n">
        <v>0</v>
      </c>
      <c r="I328" t="n">
        <v>1</v>
      </c>
      <c r="J328" t="n">
        <v>0</v>
      </c>
      <c r="K328" t="n">
        <v>0</v>
      </c>
      <c r="L328" t="n">
        <v>0</v>
      </c>
      <c r="M328" t="n">
        <v>0</v>
      </c>
      <c r="N328" t="n">
        <v>0</v>
      </c>
      <c r="O328" t="n">
        <v>0</v>
      </c>
      <c r="P328" t="n">
        <v>0</v>
      </c>
      <c r="Q328" t="n">
        <v>1</v>
      </c>
      <c r="R328" s="2" t="inlineStr">
        <is>
          <t>Korallblylav</t>
        </is>
      </c>
      <c r="S328">
        <f>HYPERLINK("https://klasma.github.io/Logging_2283/artfynd/A 12862-2023 artfynd.xlsx", "A 12862-2023")</f>
        <v/>
      </c>
      <c r="T328">
        <f>HYPERLINK("https://klasma.github.io/Logging_2283/kartor/A 12862-2023 karta.png", "A 12862-2023")</f>
        <v/>
      </c>
      <c r="V328">
        <f>HYPERLINK("https://klasma.github.io/Logging_2283/klagomål/A 12862-2023 FSC-klagomål.docx", "A 12862-2023")</f>
        <v/>
      </c>
      <c r="W328">
        <f>HYPERLINK("https://klasma.github.io/Logging_2283/klagomålsmail/A 12862-2023 FSC-klagomål mail.docx", "A 12862-2023")</f>
        <v/>
      </c>
      <c r="X328">
        <f>HYPERLINK("https://klasma.github.io/Logging_2283/tillsyn/A 12862-2023 tillsynsbegäran.docx", "A 12862-2023")</f>
        <v/>
      </c>
      <c r="Y328">
        <f>HYPERLINK("https://klasma.github.io/Logging_2283/tillsynsmail/A 12862-2023 tillsynsbegäran mail.docx", "A 12862-2023")</f>
        <v/>
      </c>
    </row>
    <row r="329" ht="15" customHeight="1">
      <c r="A329" t="inlineStr">
        <is>
          <t>A 14674-2023</t>
        </is>
      </c>
      <c r="B329" s="1" t="n">
        <v>45013</v>
      </c>
      <c r="C329" s="1" t="n">
        <v>45583</v>
      </c>
      <c r="D329" t="inlineStr">
        <is>
          <t>VÄSTERNORRLANDS LÄN</t>
        </is>
      </c>
      <c r="E329" t="inlineStr">
        <is>
          <t>SOLLEFTEÅ</t>
        </is>
      </c>
      <c r="F329" t="inlineStr">
        <is>
          <t>Övriga statliga verk och myndigheter</t>
        </is>
      </c>
      <c r="G329" t="n">
        <v>11.7</v>
      </c>
      <c r="H329" t="n">
        <v>0</v>
      </c>
      <c r="I329" t="n">
        <v>0</v>
      </c>
      <c r="J329" t="n">
        <v>0</v>
      </c>
      <c r="K329" t="n">
        <v>1</v>
      </c>
      <c r="L329" t="n">
        <v>0</v>
      </c>
      <c r="M329" t="n">
        <v>0</v>
      </c>
      <c r="N329" t="n">
        <v>0</v>
      </c>
      <c r="O329" t="n">
        <v>1</v>
      </c>
      <c r="P329" t="n">
        <v>1</v>
      </c>
      <c r="Q329" t="n">
        <v>1</v>
      </c>
      <c r="R329" s="2" t="inlineStr">
        <is>
          <t>Rynkskinn</t>
        </is>
      </c>
      <c r="S329">
        <f>HYPERLINK("https://klasma.github.io/Logging_2283/artfynd/A 14674-2023 artfynd.xlsx", "A 14674-2023")</f>
        <v/>
      </c>
      <c r="T329">
        <f>HYPERLINK("https://klasma.github.io/Logging_2283/kartor/A 14674-2023 karta.png", "A 14674-2023")</f>
        <v/>
      </c>
      <c r="V329">
        <f>HYPERLINK("https://klasma.github.io/Logging_2283/klagomål/A 14674-2023 FSC-klagomål.docx", "A 14674-2023")</f>
        <v/>
      </c>
      <c r="W329">
        <f>HYPERLINK("https://klasma.github.io/Logging_2283/klagomålsmail/A 14674-2023 FSC-klagomål mail.docx", "A 14674-2023")</f>
        <v/>
      </c>
      <c r="X329">
        <f>HYPERLINK("https://klasma.github.io/Logging_2283/tillsyn/A 14674-2023 tillsynsbegäran.docx", "A 14674-2023")</f>
        <v/>
      </c>
      <c r="Y329">
        <f>HYPERLINK("https://klasma.github.io/Logging_2283/tillsynsmail/A 14674-2023 tillsynsbegäran mail.docx", "A 14674-2023")</f>
        <v/>
      </c>
    </row>
    <row r="330" ht="15" customHeight="1">
      <c r="A330" t="inlineStr">
        <is>
          <t>A 24548-2023</t>
        </is>
      </c>
      <c r="B330" s="1" t="n">
        <v>45082</v>
      </c>
      <c r="C330" s="1" t="n">
        <v>45583</v>
      </c>
      <c r="D330" t="inlineStr">
        <is>
          <t>VÄSTERNORRLANDS LÄN</t>
        </is>
      </c>
      <c r="E330" t="inlineStr">
        <is>
          <t>SOLLEFTEÅ</t>
        </is>
      </c>
      <c r="F330" t="inlineStr">
        <is>
          <t>SCA</t>
        </is>
      </c>
      <c r="G330" t="n">
        <v>3</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24548-2023 artfynd.xlsx", "A 24548-2023")</f>
        <v/>
      </c>
      <c r="T330">
        <f>HYPERLINK("https://klasma.github.io/Logging_2283/kartor/A 24548-2023 karta.png", "A 24548-2023")</f>
        <v/>
      </c>
      <c r="U330">
        <f>HYPERLINK("https://klasma.github.io/Logging_2283/knärot/A 24548-2023 karta knärot.png", "A 24548-2023")</f>
        <v/>
      </c>
      <c r="V330">
        <f>HYPERLINK("https://klasma.github.io/Logging_2283/klagomål/A 24548-2023 FSC-klagomål.docx", "A 24548-2023")</f>
        <v/>
      </c>
      <c r="W330">
        <f>HYPERLINK("https://klasma.github.io/Logging_2283/klagomålsmail/A 24548-2023 FSC-klagomål mail.docx", "A 24548-2023")</f>
        <v/>
      </c>
      <c r="X330">
        <f>HYPERLINK("https://klasma.github.io/Logging_2283/tillsyn/A 24548-2023 tillsynsbegäran.docx", "A 24548-2023")</f>
        <v/>
      </c>
      <c r="Y330">
        <f>HYPERLINK("https://klasma.github.io/Logging_2283/tillsynsmail/A 24548-2023 tillsynsbegäran mail.docx", "A 24548-2023")</f>
        <v/>
      </c>
      <c r="Z330">
        <f>HYPERLINK("https://klasma.github.io/Logging_2283/fåglar/A 24548-2023 prioriterade fågelarter.docx", "A 24548-2023")</f>
        <v/>
      </c>
    </row>
    <row r="331" ht="15" customHeight="1">
      <c r="A331" t="inlineStr">
        <is>
          <t>A 25310-2023</t>
        </is>
      </c>
      <c r="B331" s="1" t="n">
        <v>45087</v>
      </c>
      <c r="C331" s="1" t="n">
        <v>45583</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29958-2023</t>
        </is>
      </c>
      <c r="B332" s="1" t="n">
        <v>45107</v>
      </c>
      <c r="C332" s="1" t="n">
        <v>45583</v>
      </c>
      <c r="D332" t="inlineStr">
        <is>
          <t>VÄSTERNORRLANDS LÄN</t>
        </is>
      </c>
      <c r="E332" t="inlineStr">
        <is>
          <t>SOLLEFTEÅ</t>
        </is>
      </c>
      <c r="F332" t="inlineStr">
        <is>
          <t>SCA</t>
        </is>
      </c>
      <c r="G332" t="n">
        <v>7.5</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29958-2023 artfynd.xlsx", "A 29958-2023")</f>
        <v/>
      </c>
      <c r="T332">
        <f>HYPERLINK("https://klasma.github.io/Logging_2283/kartor/A 29958-2023 karta.png", "A 29958-2023")</f>
        <v/>
      </c>
      <c r="V332">
        <f>HYPERLINK("https://klasma.github.io/Logging_2283/klagomål/A 29958-2023 FSC-klagomål.docx", "A 29958-2023")</f>
        <v/>
      </c>
      <c r="W332">
        <f>HYPERLINK("https://klasma.github.io/Logging_2283/klagomålsmail/A 29958-2023 FSC-klagomål mail.docx", "A 29958-2023")</f>
        <v/>
      </c>
      <c r="X332">
        <f>HYPERLINK("https://klasma.github.io/Logging_2283/tillsyn/A 29958-2023 tillsynsbegäran.docx", "A 29958-2023")</f>
        <v/>
      </c>
      <c r="Y332">
        <f>HYPERLINK("https://klasma.github.io/Logging_2283/tillsynsmail/A 29958-2023 tillsynsbegäran mail.docx", "A 29958-2023")</f>
        <v/>
      </c>
      <c r="Z332">
        <f>HYPERLINK("https://klasma.github.io/Logging_2283/fåglar/A 29958-2023 prioriterade fågelarter.docx", "A 29958-2023")</f>
        <v/>
      </c>
    </row>
    <row r="333" ht="15" customHeight="1">
      <c r="A333" t="inlineStr">
        <is>
          <t>A 31912-2023</t>
        </is>
      </c>
      <c r="B333" s="1" t="n">
        <v>45118</v>
      </c>
      <c r="C333" s="1" t="n">
        <v>45583</v>
      </c>
      <c r="D333" t="inlineStr">
        <is>
          <t>VÄSTERNORRLANDS LÄN</t>
        </is>
      </c>
      <c r="E333" t="inlineStr">
        <is>
          <t>SOLLEFTEÅ</t>
        </is>
      </c>
      <c r="G333" t="n">
        <v>5.4</v>
      </c>
      <c r="H333" t="n">
        <v>0</v>
      </c>
      <c r="I333" t="n">
        <v>0</v>
      </c>
      <c r="J333" t="n">
        <v>1</v>
      </c>
      <c r="K333" t="n">
        <v>0</v>
      </c>
      <c r="L333" t="n">
        <v>0</v>
      </c>
      <c r="M333" t="n">
        <v>0</v>
      </c>
      <c r="N333" t="n">
        <v>0</v>
      </c>
      <c r="O333" t="n">
        <v>1</v>
      </c>
      <c r="P333" t="n">
        <v>0</v>
      </c>
      <c r="Q333" t="n">
        <v>1</v>
      </c>
      <c r="R333" s="2" t="inlineStr">
        <is>
          <t>Granticka</t>
        </is>
      </c>
      <c r="S333">
        <f>HYPERLINK("https://klasma.github.io/Logging_2283/artfynd/A 31912-2023 artfynd.xlsx", "A 31912-2023")</f>
        <v/>
      </c>
      <c r="T333">
        <f>HYPERLINK("https://klasma.github.io/Logging_2283/kartor/A 31912-2023 karta.png", "A 31912-2023")</f>
        <v/>
      </c>
      <c r="V333">
        <f>HYPERLINK("https://klasma.github.io/Logging_2283/klagomål/A 31912-2023 FSC-klagomål.docx", "A 31912-2023")</f>
        <v/>
      </c>
      <c r="W333">
        <f>HYPERLINK("https://klasma.github.io/Logging_2283/klagomålsmail/A 31912-2023 FSC-klagomål mail.docx", "A 31912-2023")</f>
        <v/>
      </c>
      <c r="X333">
        <f>HYPERLINK("https://klasma.github.io/Logging_2283/tillsyn/A 31912-2023 tillsynsbegäran.docx", "A 31912-2023")</f>
        <v/>
      </c>
      <c r="Y333">
        <f>HYPERLINK("https://klasma.github.io/Logging_2283/tillsynsmail/A 31912-2023 tillsynsbegäran mail.docx", "A 31912-2023")</f>
        <v/>
      </c>
    </row>
    <row r="334" ht="15" customHeight="1">
      <c r="A334" t="inlineStr">
        <is>
          <t>A 31920-2023</t>
        </is>
      </c>
      <c r="B334" s="1" t="n">
        <v>45118</v>
      </c>
      <c r="C334" s="1" t="n">
        <v>45583</v>
      </c>
      <c r="D334" t="inlineStr">
        <is>
          <t>VÄSTERNORRLANDS LÄN</t>
        </is>
      </c>
      <c r="E334" t="inlineStr">
        <is>
          <t>SOLLEFTEÅ</t>
        </is>
      </c>
      <c r="F334" t="inlineStr">
        <is>
          <t>SCA</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HYPERLINK("https://klasma.github.io/Logging_2283/artfynd/A 31920-2023 artfynd.xlsx", "A 31920-2023")</f>
        <v/>
      </c>
      <c r="T334">
        <f>HYPERLINK("https://klasma.github.io/Logging_2283/kartor/A 31920-2023 karta.png", "A 31920-2023")</f>
        <v/>
      </c>
      <c r="V334">
        <f>HYPERLINK("https://klasma.github.io/Logging_2283/klagomål/A 31920-2023 FSC-klagomål.docx", "A 31920-2023")</f>
        <v/>
      </c>
      <c r="W334">
        <f>HYPERLINK("https://klasma.github.io/Logging_2283/klagomålsmail/A 31920-2023 FSC-klagomål mail.docx", "A 31920-2023")</f>
        <v/>
      </c>
      <c r="X334">
        <f>HYPERLINK("https://klasma.github.io/Logging_2283/tillsyn/A 31920-2023 tillsynsbegäran.docx", "A 31920-2023")</f>
        <v/>
      </c>
      <c r="Y334">
        <f>HYPERLINK("https://klasma.github.io/Logging_2283/tillsynsmail/A 31920-2023 tillsynsbegäran mail.docx", "A 31920-2023")</f>
        <v/>
      </c>
    </row>
    <row r="335" ht="15" customHeight="1">
      <c r="A335" t="inlineStr">
        <is>
          <t>A 32734-2023</t>
        </is>
      </c>
      <c r="B335" s="1" t="n">
        <v>45121</v>
      </c>
      <c r="C335" s="1" t="n">
        <v>45583</v>
      </c>
      <c r="D335" t="inlineStr">
        <is>
          <t>VÄSTERNORRLANDS LÄN</t>
        </is>
      </c>
      <c r="E335" t="inlineStr">
        <is>
          <t>SOLLEFTEÅ</t>
        </is>
      </c>
      <c r="G335" t="n">
        <v>1.8</v>
      </c>
      <c r="H335" t="n">
        <v>0</v>
      </c>
      <c r="I335" t="n">
        <v>0</v>
      </c>
      <c r="J335" t="n">
        <v>1</v>
      </c>
      <c r="K335" t="n">
        <v>0</v>
      </c>
      <c r="L335" t="n">
        <v>0</v>
      </c>
      <c r="M335" t="n">
        <v>0</v>
      </c>
      <c r="N335" t="n">
        <v>0</v>
      </c>
      <c r="O335" t="n">
        <v>1</v>
      </c>
      <c r="P335" t="n">
        <v>0</v>
      </c>
      <c r="Q335" t="n">
        <v>1</v>
      </c>
      <c r="R335" s="2" t="inlineStr">
        <is>
          <t>Garnlav</t>
        </is>
      </c>
      <c r="S335">
        <f>HYPERLINK("https://klasma.github.io/Logging_2283/artfynd/A 32734-2023 artfynd.xlsx", "A 32734-2023")</f>
        <v/>
      </c>
      <c r="T335">
        <f>HYPERLINK("https://klasma.github.io/Logging_2283/kartor/A 32734-2023 karta.png", "A 32734-2023")</f>
        <v/>
      </c>
      <c r="V335">
        <f>HYPERLINK("https://klasma.github.io/Logging_2283/klagomål/A 32734-2023 FSC-klagomål.docx", "A 32734-2023")</f>
        <v/>
      </c>
      <c r="W335">
        <f>HYPERLINK("https://klasma.github.io/Logging_2283/klagomålsmail/A 32734-2023 FSC-klagomål mail.docx", "A 32734-2023")</f>
        <v/>
      </c>
      <c r="X335">
        <f>HYPERLINK("https://klasma.github.io/Logging_2283/tillsyn/A 32734-2023 tillsynsbegäran.docx", "A 32734-2023")</f>
        <v/>
      </c>
      <c r="Y335">
        <f>HYPERLINK("https://klasma.github.io/Logging_2283/tillsynsmail/A 32734-2023 tillsynsbegäran mail.docx", "A 32734-2023")</f>
        <v/>
      </c>
    </row>
    <row r="336" ht="15" customHeight="1">
      <c r="A336" t="inlineStr">
        <is>
          <t>A 34699-2023</t>
        </is>
      </c>
      <c r="B336" s="1" t="n">
        <v>45141</v>
      </c>
      <c r="C336" s="1" t="n">
        <v>45583</v>
      </c>
      <c r="D336" t="inlineStr">
        <is>
          <t>VÄSTERNORRLANDS LÄN</t>
        </is>
      </c>
      <c r="E336" t="inlineStr">
        <is>
          <t>SOLLEFTEÅ</t>
        </is>
      </c>
      <c r="F336" t="inlineStr">
        <is>
          <t>SCA</t>
        </is>
      </c>
      <c r="G336" t="n">
        <v>3</v>
      </c>
      <c r="H336" t="n">
        <v>1</v>
      </c>
      <c r="I336" t="n">
        <v>0</v>
      </c>
      <c r="J336" t="n">
        <v>0</v>
      </c>
      <c r="K336" t="n">
        <v>1</v>
      </c>
      <c r="L336" t="n">
        <v>0</v>
      </c>
      <c r="M336" t="n">
        <v>0</v>
      </c>
      <c r="N336" t="n">
        <v>0</v>
      </c>
      <c r="O336" t="n">
        <v>1</v>
      </c>
      <c r="P336" t="n">
        <v>1</v>
      </c>
      <c r="Q336" t="n">
        <v>1</v>
      </c>
      <c r="R336" s="2" t="inlineStr">
        <is>
          <t>Knärot</t>
        </is>
      </c>
      <c r="S336">
        <f>HYPERLINK("https://klasma.github.io/Logging_2283/artfynd/A 34699-2023 artfynd.xlsx", "A 34699-2023")</f>
        <v/>
      </c>
      <c r="T336">
        <f>HYPERLINK("https://klasma.github.io/Logging_2283/kartor/A 34699-2023 karta.png", "A 34699-2023")</f>
        <v/>
      </c>
      <c r="U336">
        <f>HYPERLINK("https://klasma.github.io/Logging_2283/knärot/A 34699-2023 karta knärot.png", "A 34699-2023")</f>
        <v/>
      </c>
      <c r="V336">
        <f>HYPERLINK("https://klasma.github.io/Logging_2283/klagomål/A 34699-2023 FSC-klagomål.docx", "A 34699-2023")</f>
        <v/>
      </c>
      <c r="W336">
        <f>HYPERLINK("https://klasma.github.io/Logging_2283/klagomålsmail/A 34699-2023 FSC-klagomål mail.docx", "A 34699-2023")</f>
        <v/>
      </c>
      <c r="X336">
        <f>HYPERLINK("https://klasma.github.io/Logging_2283/tillsyn/A 34699-2023 tillsynsbegäran.docx", "A 34699-2023")</f>
        <v/>
      </c>
      <c r="Y336">
        <f>HYPERLINK("https://klasma.github.io/Logging_2283/tillsynsmail/A 34699-2023 tillsynsbegäran mail.docx", "A 34699-2023")</f>
        <v/>
      </c>
    </row>
    <row r="337" ht="15" customHeight="1">
      <c r="A337" t="inlineStr">
        <is>
          <t>A 38089-2023</t>
        </is>
      </c>
      <c r="B337" s="1" t="n">
        <v>45160</v>
      </c>
      <c r="C337" s="1" t="n">
        <v>45583</v>
      </c>
      <c r="D337" t="inlineStr">
        <is>
          <t>VÄSTERNORRLANDS LÄN</t>
        </is>
      </c>
      <c r="E337" t="inlineStr">
        <is>
          <t>SOLLEFTEÅ</t>
        </is>
      </c>
      <c r="F337" t="inlineStr">
        <is>
          <t>SCA</t>
        </is>
      </c>
      <c r="G337" t="n">
        <v>4.3</v>
      </c>
      <c r="H337" t="n">
        <v>0</v>
      </c>
      <c r="I337" t="n">
        <v>0</v>
      </c>
      <c r="J337" t="n">
        <v>1</v>
      </c>
      <c r="K337" t="n">
        <v>0</v>
      </c>
      <c r="L337" t="n">
        <v>0</v>
      </c>
      <c r="M337" t="n">
        <v>0</v>
      </c>
      <c r="N337" t="n">
        <v>0</v>
      </c>
      <c r="O337" t="n">
        <v>1</v>
      </c>
      <c r="P337" t="n">
        <v>0</v>
      </c>
      <c r="Q337" t="n">
        <v>1</v>
      </c>
      <c r="R337" s="2" t="inlineStr">
        <is>
          <t>Garnlav</t>
        </is>
      </c>
      <c r="S337">
        <f>HYPERLINK("https://klasma.github.io/Logging_2283/artfynd/A 38089-2023 artfynd.xlsx", "A 38089-2023")</f>
        <v/>
      </c>
      <c r="T337">
        <f>HYPERLINK("https://klasma.github.io/Logging_2283/kartor/A 38089-2023 karta.png", "A 38089-2023")</f>
        <v/>
      </c>
      <c r="V337">
        <f>HYPERLINK("https://klasma.github.io/Logging_2283/klagomål/A 38089-2023 FSC-klagomål.docx", "A 38089-2023")</f>
        <v/>
      </c>
      <c r="W337">
        <f>HYPERLINK("https://klasma.github.io/Logging_2283/klagomålsmail/A 38089-2023 FSC-klagomål mail.docx", "A 38089-2023")</f>
        <v/>
      </c>
      <c r="X337">
        <f>HYPERLINK("https://klasma.github.io/Logging_2283/tillsyn/A 38089-2023 tillsynsbegäran.docx", "A 38089-2023")</f>
        <v/>
      </c>
      <c r="Y337">
        <f>HYPERLINK("https://klasma.github.io/Logging_2283/tillsynsmail/A 38089-2023 tillsynsbegäran mail.docx", "A 38089-2023")</f>
        <v/>
      </c>
    </row>
    <row r="338" ht="15" customHeight="1">
      <c r="A338" t="inlineStr">
        <is>
          <t>A 38375-2023</t>
        </is>
      </c>
      <c r="B338" s="1" t="n">
        <v>45161</v>
      </c>
      <c r="C338" s="1" t="n">
        <v>45583</v>
      </c>
      <c r="D338" t="inlineStr">
        <is>
          <t>VÄSTERNORRLANDS LÄN</t>
        </is>
      </c>
      <c r="E338" t="inlineStr">
        <is>
          <t>SOLLEFTEÅ</t>
        </is>
      </c>
      <c r="F338" t="inlineStr">
        <is>
          <t>SCA</t>
        </is>
      </c>
      <c r="G338" t="n">
        <v>5.6</v>
      </c>
      <c r="H338" t="n">
        <v>0</v>
      </c>
      <c r="I338" t="n">
        <v>0</v>
      </c>
      <c r="J338" t="n">
        <v>1</v>
      </c>
      <c r="K338" t="n">
        <v>0</v>
      </c>
      <c r="L338" t="n">
        <v>0</v>
      </c>
      <c r="M338" t="n">
        <v>0</v>
      </c>
      <c r="N338" t="n">
        <v>0</v>
      </c>
      <c r="O338" t="n">
        <v>1</v>
      </c>
      <c r="P338" t="n">
        <v>0</v>
      </c>
      <c r="Q338" t="n">
        <v>1</v>
      </c>
      <c r="R338" s="2" t="inlineStr">
        <is>
          <t>Garnlav</t>
        </is>
      </c>
      <c r="S338">
        <f>HYPERLINK("https://klasma.github.io/Logging_2283/artfynd/A 38375-2023 artfynd.xlsx", "A 38375-2023")</f>
        <v/>
      </c>
      <c r="T338">
        <f>HYPERLINK("https://klasma.github.io/Logging_2283/kartor/A 38375-2023 karta.png", "A 38375-2023")</f>
        <v/>
      </c>
      <c r="V338">
        <f>HYPERLINK("https://klasma.github.io/Logging_2283/klagomål/A 38375-2023 FSC-klagomål.docx", "A 38375-2023")</f>
        <v/>
      </c>
      <c r="W338">
        <f>HYPERLINK("https://klasma.github.io/Logging_2283/klagomålsmail/A 38375-2023 FSC-klagomål mail.docx", "A 38375-2023")</f>
        <v/>
      </c>
      <c r="X338">
        <f>HYPERLINK("https://klasma.github.io/Logging_2283/tillsyn/A 38375-2023 tillsynsbegäran.docx", "A 38375-2023")</f>
        <v/>
      </c>
      <c r="Y338">
        <f>HYPERLINK("https://klasma.github.io/Logging_2283/tillsynsmail/A 38375-2023 tillsynsbegäran mail.docx", "A 38375-2023")</f>
        <v/>
      </c>
    </row>
    <row r="339" ht="15" customHeight="1">
      <c r="A339" t="inlineStr">
        <is>
          <t>A 39565-2023</t>
        </is>
      </c>
      <c r="B339" s="1" t="n">
        <v>45167</v>
      </c>
      <c r="C339" s="1" t="n">
        <v>45583</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46203-2023</t>
        </is>
      </c>
      <c r="B340" s="1" t="n">
        <v>45190</v>
      </c>
      <c r="C340" s="1" t="n">
        <v>45583</v>
      </c>
      <c r="D340" t="inlineStr">
        <is>
          <t>VÄSTERNORRLANDS LÄN</t>
        </is>
      </c>
      <c r="E340" t="inlineStr">
        <is>
          <t>SOLLEFTEÅ</t>
        </is>
      </c>
      <c r="G340" t="n">
        <v>13</v>
      </c>
      <c r="H340" t="n">
        <v>0</v>
      </c>
      <c r="I340" t="n">
        <v>0</v>
      </c>
      <c r="J340" t="n">
        <v>1</v>
      </c>
      <c r="K340" t="n">
        <v>0</v>
      </c>
      <c r="L340" t="n">
        <v>0</v>
      </c>
      <c r="M340" t="n">
        <v>0</v>
      </c>
      <c r="N340" t="n">
        <v>0</v>
      </c>
      <c r="O340" t="n">
        <v>1</v>
      </c>
      <c r="P340" t="n">
        <v>0</v>
      </c>
      <c r="Q340" t="n">
        <v>1</v>
      </c>
      <c r="R340" s="2" t="inlineStr">
        <is>
          <t>Garnlav</t>
        </is>
      </c>
      <c r="S340">
        <f>HYPERLINK("https://klasma.github.io/Logging_2283/artfynd/A 46203-2023 artfynd.xlsx", "A 46203-2023")</f>
        <v/>
      </c>
      <c r="T340">
        <f>HYPERLINK("https://klasma.github.io/Logging_2283/kartor/A 46203-2023 karta.png", "A 46203-2023")</f>
        <v/>
      </c>
      <c r="V340">
        <f>HYPERLINK("https://klasma.github.io/Logging_2283/klagomål/A 46203-2023 FSC-klagomål.docx", "A 46203-2023")</f>
        <v/>
      </c>
      <c r="W340">
        <f>HYPERLINK("https://klasma.github.io/Logging_2283/klagomålsmail/A 46203-2023 FSC-klagomål mail.docx", "A 46203-2023")</f>
        <v/>
      </c>
      <c r="X340">
        <f>HYPERLINK("https://klasma.github.io/Logging_2283/tillsyn/A 46203-2023 tillsynsbegäran.docx", "A 46203-2023")</f>
        <v/>
      </c>
      <c r="Y340">
        <f>HYPERLINK("https://klasma.github.io/Logging_2283/tillsynsmail/A 46203-2023 tillsynsbegäran mail.docx", "A 46203-2023")</f>
        <v/>
      </c>
    </row>
    <row r="341" ht="15" customHeight="1">
      <c r="A341" t="inlineStr">
        <is>
          <t>A 48087-2023</t>
        </is>
      </c>
      <c r="B341" s="1" t="n">
        <v>45204</v>
      </c>
      <c r="C341" s="1" t="n">
        <v>45583</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53059-2023</t>
        </is>
      </c>
      <c r="B342" s="1" t="n">
        <v>45226</v>
      </c>
      <c r="C342" s="1" t="n">
        <v>45583</v>
      </c>
      <c r="D342" t="inlineStr">
        <is>
          <t>VÄSTERNORRLANDS LÄN</t>
        </is>
      </c>
      <c r="E342" t="inlineStr">
        <is>
          <t>SOLLEFTEÅ</t>
        </is>
      </c>
      <c r="F342" t="inlineStr">
        <is>
          <t>SCA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HYPERLINK("https://klasma.github.io/Logging_2283/artfynd/A 53059-2023 artfynd.xlsx", "A 53059-2023")</f>
        <v/>
      </c>
      <c r="T342">
        <f>HYPERLINK("https://klasma.github.io/Logging_2283/kartor/A 53059-2023 karta.png", "A 53059-2023")</f>
        <v/>
      </c>
      <c r="U342">
        <f>HYPERLINK("https://klasma.github.io/Logging_2283/knärot/A 53059-2023 karta knärot.png", "A 53059-2023")</f>
        <v/>
      </c>
      <c r="V342">
        <f>HYPERLINK("https://klasma.github.io/Logging_2283/klagomål/A 53059-2023 FSC-klagomål.docx", "A 53059-2023")</f>
        <v/>
      </c>
      <c r="W342">
        <f>HYPERLINK("https://klasma.github.io/Logging_2283/klagomålsmail/A 53059-2023 FSC-klagomål mail.docx", "A 53059-2023")</f>
        <v/>
      </c>
      <c r="X342">
        <f>HYPERLINK("https://klasma.github.io/Logging_2283/tillsyn/A 53059-2023 tillsynsbegäran.docx", "A 53059-2023")</f>
        <v/>
      </c>
      <c r="Y342">
        <f>HYPERLINK("https://klasma.github.io/Logging_2283/tillsynsmail/A 53059-2023 tillsynsbegäran mail.docx", "A 53059-2023")</f>
        <v/>
      </c>
    </row>
    <row r="343" ht="15" customHeight="1">
      <c r="A343" t="inlineStr">
        <is>
          <t>A 53039-2023</t>
        </is>
      </c>
      <c r="B343" s="1" t="n">
        <v>45226</v>
      </c>
      <c r="C343" s="1" t="n">
        <v>45583</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Nordfladdermus</t>
        </is>
      </c>
      <c r="S343">
        <f>HYPERLINK("https://klasma.github.io/Logging_2283/artfynd/A 53039-2023 artfynd.xlsx", "A 53039-2023")</f>
        <v/>
      </c>
      <c r="T343">
        <f>HYPERLINK("https://klasma.github.io/Logging_2283/kartor/A 53039-2023 karta.png", "A 53039-2023")</f>
        <v/>
      </c>
      <c r="V343">
        <f>HYPERLINK("https://klasma.github.io/Logging_2283/klagomål/A 53039-2023 FSC-klagomål.docx", "A 53039-2023")</f>
        <v/>
      </c>
      <c r="W343">
        <f>HYPERLINK("https://klasma.github.io/Logging_2283/klagomålsmail/A 53039-2023 FSC-klagomål mail.docx", "A 53039-2023")</f>
        <v/>
      </c>
      <c r="X343">
        <f>HYPERLINK("https://klasma.github.io/Logging_2283/tillsyn/A 53039-2023 tillsynsbegäran.docx", "A 53039-2023")</f>
        <v/>
      </c>
      <c r="Y343">
        <f>HYPERLINK("https://klasma.github.io/Logging_2283/tillsynsmail/A 53039-2023 tillsynsbegäran mail.docx", "A 53039-2023")</f>
        <v/>
      </c>
    </row>
    <row r="344" ht="15" customHeight="1">
      <c r="A344" t="inlineStr">
        <is>
          <t>A 53446-2023</t>
        </is>
      </c>
      <c r="B344" s="1" t="n">
        <v>45229</v>
      </c>
      <c r="C344" s="1" t="n">
        <v>45583</v>
      </c>
      <c r="D344" t="inlineStr">
        <is>
          <t>VÄSTERNORRLANDS LÄN</t>
        </is>
      </c>
      <c r="E344" t="inlineStr">
        <is>
          <t>SOLLEFTEÅ</t>
        </is>
      </c>
      <c r="F344" t="inlineStr">
        <is>
          <t>SCA</t>
        </is>
      </c>
      <c r="G344" t="n">
        <v>2.2</v>
      </c>
      <c r="H344" t="n">
        <v>0</v>
      </c>
      <c r="I344" t="n">
        <v>0</v>
      </c>
      <c r="J344" t="n">
        <v>1</v>
      </c>
      <c r="K344" t="n">
        <v>0</v>
      </c>
      <c r="L344" t="n">
        <v>0</v>
      </c>
      <c r="M344" t="n">
        <v>0</v>
      </c>
      <c r="N344" t="n">
        <v>0</v>
      </c>
      <c r="O344" t="n">
        <v>1</v>
      </c>
      <c r="P344" t="n">
        <v>0</v>
      </c>
      <c r="Q344" t="n">
        <v>1</v>
      </c>
      <c r="R344" s="2" t="inlineStr">
        <is>
          <t>Kolflarnlav</t>
        </is>
      </c>
      <c r="S344">
        <f>HYPERLINK("https://klasma.github.io/Logging_2283/artfynd/A 53446-2023 artfynd.xlsx", "A 53446-2023")</f>
        <v/>
      </c>
      <c r="T344">
        <f>HYPERLINK("https://klasma.github.io/Logging_2283/kartor/A 53446-2023 karta.png", "A 53446-2023")</f>
        <v/>
      </c>
      <c r="V344">
        <f>HYPERLINK("https://klasma.github.io/Logging_2283/klagomål/A 53446-2023 FSC-klagomål.docx", "A 53446-2023")</f>
        <v/>
      </c>
      <c r="W344">
        <f>HYPERLINK("https://klasma.github.io/Logging_2283/klagomålsmail/A 53446-2023 FSC-klagomål mail.docx", "A 53446-2023")</f>
        <v/>
      </c>
      <c r="X344">
        <f>HYPERLINK("https://klasma.github.io/Logging_2283/tillsyn/A 53446-2023 tillsynsbegäran.docx", "A 53446-2023")</f>
        <v/>
      </c>
      <c r="Y344">
        <f>HYPERLINK("https://klasma.github.io/Logging_2283/tillsynsmail/A 53446-2023 tillsynsbegäran mail.docx", "A 53446-2023")</f>
        <v/>
      </c>
    </row>
    <row r="345" ht="15" customHeight="1">
      <c r="A345" t="inlineStr">
        <is>
          <t>A 56257-2023</t>
        </is>
      </c>
      <c r="B345" s="1" t="n">
        <v>45240</v>
      </c>
      <c r="C345" s="1" t="n">
        <v>45583</v>
      </c>
      <c r="D345" t="inlineStr">
        <is>
          <t>VÄSTERNORRLANDS LÄN</t>
        </is>
      </c>
      <c r="E345" t="inlineStr">
        <is>
          <t>SOLLEFTEÅ</t>
        </is>
      </c>
      <c r="F345" t="inlineStr">
        <is>
          <t>SCA</t>
        </is>
      </c>
      <c r="G345" t="n">
        <v>2.9</v>
      </c>
      <c r="H345" t="n">
        <v>0</v>
      </c>
      <c r="I345" t="n">
        <v>1</v>
      </c>
      <c r="J345" t="n">
        <v>0</v>
      </c>
      <c r="K345" t="n">
        <v>0</v>
      </c>
      <c r="L345" t="n">
        <v>0</v>
      </c>
      <c r="M345" t="n">
        <v>0</v>
      </c>
      <c r="N345" t="n">
        <v>0</v>
      </c>
      <c r="O345" t="n">
        <v>0</v>
      </c>
      <c r="P345" t="n">
        <v>0</v>
      </c>
      <c r="Q345" t="n">
        <v>1</v>
      </c>
      <c r="R345" s="2" t="inlineStr">
        <is>
          <t>Tibast</t>
        </is>
      </c>
      <c r="S345">
        <f>HYPERLINK("https://klasma.github.io/Logging_2283/artfynd/A 56257-2023 artfynd.xlsx", "A 56257-2023")</f>
        <v/>
      </c>
      <c r="T345">
        <f>HYPERLINK("https://klasma.github.io/Logging_2283/kartor/A 56257-2023 karta.png", "A 56257-2023")</f>
        <v/>
      </c>
      <c r="V345">
        <f>HYPERLINK("https://klasma.github.io/Logging_2283/klagomål/A 56257-2023 FSC-klagomål.docx", "A 56257-2023")</f>
        <v/>
      </c>
      <c r="W345">
        <f>HYPERLINK("https://klasma.github.io/Logging_2283/klagomålsmail/A 56257-2023 FSC-klagomål mail.docx", "A 56257-2023")</f>
        <v/>
      </c>
      <c r="X345">
        <f>HYPERLINK("https://klasma.github.io/Logging_2283/tillsyn/A 56257-2023 tillsynsbegäran.docx", "A 56257-2023")</f>
        <v/>
      </c>
      <c r="Y345">
        <f>HYPERLINK("https://klasma.github.io/Logging_2283/tillsynsmail/A 56257-2023 tillsynsbegäran mail.docx", "A 56257-2023")</f>
        <v/>
      </c>
    </row>
    <row r="346" ht="15" customHeight="1">
      <c r="A346" t="inlineStr">
        <is>
          <t>A 59100-2023</t>
        </is>
      </c>
      <c r="B346" s="1" t="n">
        <v>45252</v>
      </c>
      <c r="C346" s="1" t="n">
        <v>45583</v>
      </c>
      <c r="D346" t="inlineStr">
        <is>
          <t>VÄSTERNORRLANDS LÄN</t>
        </is>
      </c>
      <c r="E346" t="inlineStr">
        <is>
          <t>SOLLEFTEÅ</t>
        </is>
      </c>
      <c r="F346" t="inlineStr">
        <is>
          <t>SCA</t>
        </is>
      </c>
      <c r="G346" t="n">
        <v>4.2</v>
      </c>
      <c r="H346" t="n">
        <v>0</v>
      </c>
      <c r="I346" t="n">
        <v>0</v>
      </c>
      <c r="J346" t="n">
        <v>1</v>
      </c>
      <c r="K346" t="n">
        <v>0</v>
      </c>
      <c r="L346" t="n">
        <v>0</v>
      </c>
      <c r="M346" t="n">
        <v>0</v>
      </c>
      <c r="N346" t="n">
        <v>0</v>
      </c>
      <c r="O346" t="n">
        <v>1</v>
      </c>
      <c r="P346" t="n">
        <v>0</v>
      </c>
      <c r="Q346" t="n">
        <v>1</v>
      </c>
      <c r="R346" s="2" t="inlineStr">
        <is>
          <t>Skrovlig taggsvamp</t>
        </is>
      </c>
      <c r="S346">
        <f>HYPERLINK("https://klasma.github.io/Logging_2283/artfynd/A 59100-2023 artfynd.xlsx", "A 59100-2023")</f>
        <v/>
      </c>
      <c r="T346">
        <f>HYPERLINK("https://klasma.github.io/Logging_2283/kartor/A 59100-2023 karta.png", "A 59100-2023")</f>
        <v/>
      </c>
      <c r="V346">
        <f>HYPERLINK("https://klasma.github.io/Logging_2283/klagomål/A 59100-2023 FSC-klagomål.docx", "A 59100-2023")</f>
        <v/>
      </c>
      <c r="W346">
        <f>HYPERLINK("https://klasma.github.io/Logging_2283/klagomålsmail/A 59100-2023 FSC-klagomål mail.docx", "A 59100-2023")</f>
        <v/>
      </c>
      <c r="X346">
        <f>HYPERLINK("https://klasma.github.io/Logging_2283/tillsyn/A 59100-2023 tillsynsbegäran.docx", "A 59100-2023")</f>
        <v/>
      </c>
      <c r="Y346">
        <f>HYPERLINK("https://klasma.github.io/Logging_2283/tillsynsmail/A 59100-2023 tillsynsbegäran mail.docx", "A 59100-2023")</f>
        <v/>
      </c>
    </row>
    <row r="347" ht="15" customHeight="1">
      <c r="A347" t="inlineStr">
        <is>
          <t>A 386-2024</t>
        </is>
      </c>
      <c r="B347" s="1" t="n">
        <v>45296</v>
      </c>
      <c r="C347" s="1" t="n">
        <v>45583</v>
      </c>
      <c r="D347" t="inlineStr">
        <is>
          <t>VÄSTERNORRLANDS LÄN</t>
        </is>
      </c>
      <c r="E347" t="inlineStr">
        <is>
          <t>SOLLEFTEÅ</t>
        </is>
      </c>
      <c r="G347" t="n">
        <v>3.7</v>
      </c>
      <c r="H347" t="n">
        <v>0</v>
      </c>
      <c r="I347" t="n">
        <v>0</v>
      </c>
      <c r="J347" t="n">
        <v>1</v>
      </c>
      <c r="K347" t="n">
        <v>0</v>
      </c>
      <c r="L347" t="n">
        <v>0</v>
      </c>
      <c r="M347" t="n">
        <v>0</v>
      </c>
      <c r="N347" t="n">
        <v>0</v>
      </c>
      <c r="O347" t="n">
        <v>1</v>
      </c>
      <c r="P347" t="n">
        <v>0</v>
      </c>
      <c r="Q347" t="n">
        <v>1</v>
      </c>
      <c r="R347" s="2" t="inlineStr">
        <is>
          <t>Kolflarnlav</t>
        </is>
      </c>
      <c r="S347">
        <f>HYPERLINK("https://klasma.github.io/Logging_2283/artfynd/A 386-2024 artfynd.xlsx", "A 386-2024")</f>
        <v/>
      </c>
      <c r="T347">
        <f>HYPERLINK("https://klasma.github.io/Logging_2283/kartor/A 386-2024 karta.png", "A 386-2024")</f>
        <v/>
      </c>
      <c r="V347">
        <f>HYPERLINK("https://klasma.github.io/Logging_2283/klagomål/A 386-2024 FSC-klagomål.docx", "A 386-2024")</f>
        <v/>
      </c>
      <c r="W347">
        <f>HYPERLINK("https://klasma.github.io/Logging_2283/klagomålsmail/A 386-2024 FSC-klagomål mail.docx", "A 386-2024")</f>
        <v/>
      </c>
      <c r="X347">
        <f>HYPERLINK("https://klasma.github.io/Logging_2283/tillsyn/A 386-2024 tillsynsbegäran.docx", "A 386-2024")</f>
        <v/>
      </c>
      <c r="Y347">
        <f>HYPERLINK("https://klasma.github.io/Logging_2283/tillsynsmail/A 386-2024 tillsynsbegäran mail.docx", "A 386-2024")</f>
        <v/>
      </c>
    </row>
    <row r="348" ht="15" customHeight="1">
      <c r="A348" t="inlineStr">
        <is>
          <t>A 2423-2024</t>
        </is>
      </c>
      <c r="B348" s="1" t="n">
        <v>45310</v>
      </c>
      <c r="C348" s="1" t="n">
        <v>45583</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2423-2024 artfynd.xlsx", "A 2423-2024")</f>
        <v/>
      </c>
      <c r="T348">
        <f>HYPERLINK("https://klasma.github.io/Logging_2283/kartor/A 2423-2024 karta.png", "A 2423-2024")</f>
        <v/>
      </c>
      <c r="V348">
        <f>HYPERLINK("https://klasma.github.io/Logging_2283/klagomål/A 2423-2024 FSC-klagomål.docx", "A 2423-2024")</f>
        <v/>
      </c>
      <c r="W348">
        <f>HYPERLINK("https://klasma.github.io/Logging_2283/klagomålsmail/A 2423-2024 FSC-klagomål mail.docx", "A 2423-2024")</f>
        <v/>
      </c>
      <c r="X348">
        <f>HYPERLINK("https://klasma.github.io/Logging_2283/tillsyn/A 2423-2024 tillsynsbegäran.docx", "A 2423-2024")</f>
        <v/>
      </c>
      <c r="Y348">
        <f>HYPERLINK("https://klasma.github.io/Logging_2283/tillsynsmail/A 2423-2024 tillsynsbegäran mail.docx", "A 2423-2024")</f>
        <v/>
      </c>
      <c r="Z348">
        <f>HYPERLINK("https://klasma.github.io/Logging_2283/fåglar/A 2423-2024 prioriterade fågelarter.docx", "A 2423-2024")</f>
        <v/>
      </c>
    </row>
    <row r="349" ht="15" customHeight="1">
      <c r="A349" t="inlineStr">
        <is>
          <t>A 2570-2024</t>
        </is>
      </c>
      <c r="B349" s="1" t="n">
        <v>45313</v>
      </c>
      <c r="C349" s="1" t="n">
        <v>45583</v>
      </c>
      <c r="D349" t="inlineStr">
        <is>
          <t>VÄSTERNORRLANDS LÄN</t>
        </is>
      </c>
      <c r="E349" t="inlineStr">
        <is>
          <t>SOLLEFTEÅ</t>
        </is>
      </c>
      <c r="F349" t="inlineStr">
        <is>
          <t>Kommuner</t>
        </is>
      </c>
      <c r="G349" t="n">
        <v>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2570-2024 artfynd.xlsx", "A 2570-2024")</f>
        <v/>
      </c>
      <c r="T349">
        <f>HYPERLINK("https://klasma.github.io/Logging_2283/kartor/A 2570-2024 karta.png", "A 2570-2024")</f>
        <v/>
      </c>
      <c r="V349">
        <f>HYPERLINK("https://klasma.github.io/Logging_2283/klagomål/A 2570-2024 FSC-klagomål.docx", "A 2570-2024")</f>
        <v/>
      </c>
      <c r="W349">
        <f>HYPERLINK("https://klasma.github.io/Logging_2283/klagomålsmail/A 2570-2024 FSC-klagomål mail.docx", "A 2570-2024")</f>
        <v/>
      </c>
      <c r="X349">
        <f>HYPERLINK("https://klasma.github.io/Logging_2283/tillsyn/A 2570-2024 tillsynsbegäran.docx", "A 2570-2024")</f>
        <v/>
      </c>
      <c r="Y349">
        <f>HYPERLINK("https://klasma.github.io/Logging_2283/tillsynsmail/A 2570-2024 tillsynsbegäran mail.docx", "A 2570-2024")</f>
        <v/>
      </c>
      <c r="Z349">
        <f>HYPERLINK("https://klasma.github.io/Logging_2283/fåglar/A 2570-2024 prioriterade fågelarter.docx", "A 2570-2024")</f>
        <v/>
      </c>
    </row>
    <row r="350" ht="15" customHeight="1">
      <c r="A350" t="inlineStr">
        <is>
          <t>A 3959-2024</t>
        </is>
      </c>
      <c r="B350" s="1" t="n">
        <v>45322</v>
      </c>
      <c r="C350" s="1" t="n">
        <v>45583</v>
      </c>
      <c r="D350" t="inlineStr">
        <is>
          <t>VÄSTERNORRLANDS LÄN</t>
        </is>
      </c>
      <c r="E350" t="inlineStr">
        <is>
          <t>SOLLEFTEÅ</t>
        </is>
      </c>
      <c r="F350" t="inlineStr">
        <is>
          <t>Kommuner</t>
        </is>
      </c>
      <c r="G350" t="n">
        <v>1</v>
      </c>
      <c r="H350" t="n">
        <v>0</v>
      </c>
      <c r="I350" t="n">
        <v>0</v>
      </c>
      <c r="J350" t="n">
        <v>1</v>
      </c>
      <c r="K350" t="n">
        <v>0</v>
      </c>
      <c r="L350" t="n">
        <v>0</v>
      </c>
      <c r="M350" t="n">
        <v>0</v>
      </c>
      <c r="N350" t="n">
        <v>0</v>
      </c>
      <c r="O350" t="n">
        <v>1</v>
      </c>
      <c r="P350" t="n">
        <v>0</v>
      </c>
      <c r="Q350" t="n">
        <v>1</v>
      </c>
      <c r="R350" s="2" t="inlineStr">
        <is>
          <t>Garnlav</t>
        </is>
      </c>
      <c r="S350">
        <f>HYPERLINK("https://klasma.github.io/Logging_2283/artfynd/A 3959-2024 artfynd.xlsx", "A 3959-2024")</f>
        <v/>
      </c>
      <c r="T350">
        <f>HYPERLINK("https://klasma.github.io/Logging_2283/kartor/A 3959-2024 karta.png", "A 3959-2024")</f>
        <v/>
      </c>
      <c r="V350">
        <f>HYPERLINK("https://klasma.github.io/Logging_2283/klagomål/A 3959-2024 FSC-klagomål.docx", "A 3959-2024")</f>
        <v/>
      </c>
      <c r="W350">
        <f>HYPERLINK("https://klasma.github.io/Logging_2283/klagomålsmail/A 3959-2024 FSC-klagomål mail.docx", "A 3959-2024")</f>
        <v/>
      </c>
      <c r="X350">
        <f>HYPERLINK("https://klasma.github.io/Logging_2283/tillsyn/A 3959-2024 tillsynsbegäran.docx", "A 3959-2024")</f>
        <v/>
      </c>
      <c r="Y350">
        <f>HYPERLINK("https://klasma.github.io/Logging_2283/tillsynsmail/A 3959-2024 tillsynsbegäran mail.docx", "A 3959-2024")</f>
        <v/>
      </c>
    </row>
    <row r="351" ht="15" customHeight="1">
      <c r="A351" t="inlineStr">
        <is>
          <t>A 5033-2024</t>
        </is>
      </c>
      <c r="B351" s="1" t="n">
        <v>45329</v>
      </c>
      <c r="C351" s="1" t="n">
        <v>45583</v>
      </c>
      <c r="D351" t="inlineStr">
        <is>
          <t>VÄSTERNORRLANDS LÄN</t>
        </is>
      </c>
      <c r="E351" t="inlineStr">
        <is>
          <t>SOLLEFTEÅ</t>
        </is>
      </c>
      <c r="F351" t="inlineStr">
        <is>
          <t>Övriga Aktiebolag</t>
        </is>
      </c>
      <c r="G351" t="n">
        <v>3.2</v>
      </c>
      <c r="H351" t="n">
        <v>0</v>
      </c>
      <c r="I351" t="n">
        <v>1</v>
      </c>
      <c r="J351" t="n">
        <v>0</v>
      </c>
      <c r="K351" t="n">
        <v>0</v>
      </c>
      <c r="L351" t="n">
        <v>0</v>
      </c>
      <c r="M351" t="n">
        <v>0</v>
      </c>
      <c r="N351" t="n">
        <v>0</v>
      </c>
      <c r="O351" t="n">
        <v>0</v>
      </c>
      <c r="P351" t="n">
        <v>0</v>
      </c>
      <c r="Q351" t="n">
        <v>1</v>
      </c>
      <c r="R351" s="2" t="inlineStr">
        <is>
          <t>Kransrams</t>
        </is>
      </c>
      <c r="S351">
        <f>HYPERLINK("https://klasma.github.io/Logging_2283/artfynd/A 5033-2024 artfynd.xlsx", "A 5033-2024")</f>
        <v/>
      </c>
      <c r="T351">
        <f>HYPERLINK("https://klasma.github.io/Logging_2283/kartor/A 5033-2024 karta.png", "A 5033-2024")</f>
        <v/>
      </c>
      <c r="V351">
        <f>HYPERLINK("https://klasma.github.io/Logging_2283/klagomål/A 5033-2024 FSC-klagomål.docx", "A 5033-2024")</f>
        <v/>
      </c>
      <c r="W351">
        <f>HYPERLINK("https://klasma.github.io/Logging_2283/klagomålsmail/A 5033-2024 FSC-klagomål mail.docx", "A 5033-2024")</f>
        <v/>
      </c>
      <c r="X351">
        <f>HYPERLINK("https://klasma.github.io/Logging_2283/tillsyn/A 5033-2024 tillsynsbegäran.docx", "A 5033-2024")</f>
        <v/>
      </c>
      <c r="Y351">
        <f>HYPERLINK("https://klasma.github.io/Logging_2283/tillsynsmail/A 5033-2024 tillsynsbegäran mail.docx", "A 5033-2024")</f>
        <v/>
      </c>
    </row>
    <row r="352" ht="15" customHeight="1">
      <c r="A352" t="inlineStr">
        <is>
          <t>A 6889-2024</t>
        </is>
      </c>
      <c r="B352" s="1" t="n">
        <v>45342</v>
      </c>
      <c r="C352" s="1" t="n">
        <v>45583</v>
      </c>
      <c r="D352" t="inlineStr">
        <is>
          <t>VÄSTERNORRLANDS LÄN</t>
        </is>
      </c>
      <c r="E352" t="inlineStr">
        <is>
          <t>SOLLEFTEÅ</t>
        </is>
      </c>
      <c r="G352" t="n">
        <v>2.8</v>
      </c>
      <c r="H352" t="n">
        <v>0</v>
      </c>
      <c r="I352" t="n">
        <v>0</v>
      </c>
      <c r="J352" t="n">
        <v>1</v>
      </c>
      <c r="K352" t="n">
        <v>0</v>
      </c>
      <c r="L352" t="n">
        <v>0</v>
      </c>
      <c r="M352" t="n">
        <v>0</v>
      </c>
      <c r="N352" t="n">
        <v>0</v>
      </c>
      <c r="O352" t="n">
        <v>1</v>
      </c>
      <c r="P352" t="n">
        <v>0</v>
      </c>
      <c r="Q352" t="n">
        <v>1</v>
      </c>
      <c r="R352" s="2" t="inlineStr">
        <is>
          <t>Granticka</t>
        </is>
      </c>
      <c r="S352">
        <f>HYPERLINK("https://klasma.github.io/Logging_2283/artfynd/A 6889-2024 artfynd.xlsx", "A 6889-2024")</f>
        <v/>
      </c>
      <c r="T352">
        <f>HYPERLINK("https://klasma.github.io/Logging_2283/kartor/A 6889-2024 karta.png", "A 6889-2024")</f>
        <v/>
      </c>
      <c r="V352">
        <f>HYPERLINK("https://klasma.github.io/Logging_2283/klagomål/A 6889-2024 FSC-klagomål.docx", "A 6889-2024")</f>
        <v/>
      </c>
      <c r="W352">
        <f>HYPERLINK("https://klasma.github.io/Logging_2283/klagomålsmail/A 6889-2024 FSC-klagomål mail.docx", "A 6889-2024")</f>
        <v/>
      </c>
      <c r="X352">
        <f>HYPERLINK("https://klasma.github.io/Logging_2283/tillsyn/A 6889-2024 tillsynsbegäran.docx", "A 6889-2024")</f>
        <v/>
      </c>
      <c r="Y352">
        <f>HYPERLINK("https://klasma.github.io/Logging_2283/tillsynsmail/A 6889-2024 tillsynsbegäran mail.docx", "A 6889-2024")</f>
        <v/>
      </c>
    </row>
    <row r="353" ht="15" customHeight="1">
      <c r="A353" t="inlineStr">
        <is>
          <t>A 7468-2024</t>
        </is>
      </c>
      <c r="B353" s="1" t="n">
        <v>45345</v>
      </c>
      <c r="C353" s="1" t="n">
        <v>45583</v>
      </c>
      <c r="D353" t="inlineStr">
        <is>
          <t>VÄSTERNORRLANDS LÄN</t>
        </is>
      </c>
      <c r="E353" t="inlineStr">
        <is>
          <t>SOLLEFTEÅ</t>
        </is>
      </c>
      <c r="F353" t="inlineStr">
        <is>
          <t>SCA</t>
        </is>
      </c>
      <c r="G353" t="n">
        <v>55.2</v>
      </c>
      <c r="H353" t="n">
        <v>0</v>
      </c>
      <c r="I353" t="n">
        <v>0</v>
      </c>
      <c r="J353" t="n">
        <v>1</v>
      </c>
      <c r="K353" t="n">
        <v>0</v>
      </c>
      <c r="L353" t="n">
        <v>0</v>
      </c>
      <c r="M353" t="n">
        <v>0</v>
      </c>
      <c r="N353" t="n">
        <v>0</v>
      </c>
      <c r="O353" t="n">
        <v>1</v>
      </c>
      <c r="P353" t="n">
        <v>0</v>
      </c>
      <c r="Q353" t="n">
        <v>1</v>
      </c>
      <c r="R353" s="2" t="inlineStr">
        <is>
          <t>Granticka</t>
        </is>
      </c>
      <c r="S353">
        <f>HYPERLINK("https://klasma.github.io/Logging_2283/artfynd/A 7468-2024 artfynd.xlsx", "A 7468-2024")</f>
        <v/>
      </c>
      <c r="T353">
        <f>HYPERLINK("https://klasma.github.io/Logging_2283/kartor/A 7468-2024 karta.png", "A 7468-2024")</f>
        <v/>
      </c>
      <c r="V353">
        <f>HYPERLINK("https://klasma.github.io/Logging_2283/klagomål/A 7468-2024 FSC-klagomål.docx", "A 7468-2024")</f>
        <v/>
      </c>
      <c r="W353">
        <f>HYPERLINK("https://klasma.github.io/Logging_2283/klagomålsmail/A 7468-2024 FSC-klagomål mail.docx", "A 7468-2024")</f>
        <v/>
      </c>
      <c r="X353">
        <f>HYPERLINK("https://klasma.github.io/Logging_2283/tillsyn/A 7468-2024 tillsynsbegäran.docx", "A 7468-2024")</f>
        <v/>
      </c>
      <c r="Y353">
        <f>HYPERLINK("https://klasma.github.io/Logging_2283/tillsynsmail/A 7468-2024 tillsynsbegäran mail.docx", "A 7468-2024")</f>
        <v/>
      </c>
    </row>
    <row r="354" ht="15" customHeight="1">
      <c r="A354" t="inlineStr">
        <is>
          <t>A 7909-2024</t>
        </is>
      </c>
      <c r="B354" s="1" t="n">
        <v>45350</v>
      </c>
      <c r="C354" s="1" t="n">
        <v>45583</v>
      </c>
      <c r="D354" t="inlineStr">
        <is>
          <t>VÄSTERNORRLANDS LÄN</t>
        </is>
      </c>
      <c r="E354" t="inlineStr">
        <is>
          <t>SOLLEFTEÅ</t>
        </is>
      </c>
      <c r="G354" t="n">
        <v>7.2</v>
      </c>
      <c r="H354" t="n">
        <v>0</v>
      </c>
      <c r="I354" t="n">
        <v>0</v>
      </c>
      <c r="J354" t="n">
        <v>1</v>
      </c>
      <c r="K354" t="n">
        <v>0</v>
      </c>
      <c r="L354" t="n">
        <v>0</v>
      </c>
      <c r="M354" t="n">
        <v>0</v>
      </c>
      <c r="N354" t="n">
        <v>0</v>
      </c>
      <c r="O354" t="n">
        <v>1</v>
      </c>
      <c r="P354" t="n">
        <v>0</v>
      </c>
      <c r="Q354" t="n">
        <v>1</v>
      </c>
      <c r="R354" s="2" t="inlineStr">
        <is>
          <t>Lunglav</t>
        </is>
      </c>
      <c r="S354">
        <f>HYPERLINK("https://klasma.github.io/Logging_2283/artfynd/A 7909-2024 artfynd.xlsx", "A 7909-2024")</f>
        <v/>
      </c>
      <c r="T354">
        <f>HYPERLINK("https://klasma.github.io/Logging_2283/kartor/A 7909-2024 karta.png", "A 7909-2024")</f>
        <v/>
      </c>
      <c r="V354">
        <f>HYPERLINK("https://klasma.github.io/Logging_2283/klagomål/A 7909-2024 FSC-klagomål.docx", "A 7909-2024")</f>
        <v/>
      </c>
      <c r="W354">
        <f>HYPERLINK("https://klasma.github.io/Logging_2283/klagomålsmail/A 7909-2024 FSC-klagomål mail.docx", "A 7909-2024")</f>
        <v/>
      </c>
      <c r="X354">
        <f>HYPERLINK("https://klasma.github.io/Logging_2283/tillsyn/A 7909-2024 tillsynsbegäran.docx", "A 7909-2024")</f>
        <v/>
      </c>
      <c r="Y354">
        <f>HYPERLINK("https://klasma.github.io/Logging_2283/tillsynsmail/A 7909-2024 tillsynsbegäran mail.docx", "A 7909-2024")</f>
        <v/>
      </c>
    </row>
    <row r="355" ht="15" customHeight="1">
      <c r="A355" t="inlineStr">
        <is>
          <t>A 8541-2024</t>
        </is>
      </c>
      <c r="B355" s="1" t="n">
        <v>45351</v>
      </c>
      <c r="C355" s="1" t="n">
        <v>45583</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8903-2024</t>
        </is>
      </c>
      <c r="B356" s="1" t="n">
        <v>45355</v>
      </c>
      <c r="C356" s="1" t="n">
        <v>45583</v>
      </c>
      <c r="D356" t="inlineStr">
        <is>
          <t>VÄSTERNORRLANDS LÄN</t>
        </is>
      </c>
      <c r="E356" t="inlineStr">
        <is>
          <t>SOLLEFTEÅ</t>
        </is>
      </c>
      <c r="G356" t="n">
        <v>1.7</v>
      </c>
      <c r="H356" t="n">
        <v>0</v>
      </c>
      <c r="I356" t="n">
        <v>1</v>
      </c>
      <c r="J356" t="n">
        <v>0</v>
      </c>
      <c r="K356" t="n">
        <v>0</v>
      </c>
      <c r="L356" t="n">
        <v>0</v>
      </c>
      <c r="M356" t="n">
        <v>0</v>
      </c>
      <c r="N356" t="n">
        <v>0</v>
      </c>
      <c r="O356" t="n">
        <v>0</v>
      </c>
      <c r="P356" t="n">
        <v>0</v>
      </c>
      <c r="Q356" t="n">
        <v>1</v>
      </c>
      <c r="R356" s="2" t="inlineStr">
        <is>
          <t>Strutbräken</t>
        </is>
      </c>
      <c r="S356">
        <f>HYPERLINK("https://klasma.github.io/Logging_2283/artfynd/A 8903-2024 artfynd.xlsx", "A 8903-2024")</f>
        <v/>
      </c>
      <c r="T356">
        <f>HYPERLINK("https://klasma.github.io/Logging_2283/kartor/A 8903-2024 karta.png", "A 8903-2024")</f>
        <v/>
      </c>
      <c r="V356">
        <f>HYPERLINK("https://klasma.github.io/Logging_2283/klagomål/A 8903-2024 FSC-klagomål.docx", "A 8903-2024")</f>
        <v/>
      </c>
      <c r="W356">
        <f>HYPERLINK("https://klasma.github.io/Logging_2283/klagomålsmail/A 8903-2024 FSC-klagomål mail.docx", "A 8903-2024")</f>
        <v/>
      </c>
      <c r="X356">
        <f>HYPERLINK("https://klasma.github.io/Logging_2283/tillsyn/A 8903-2024 tillsynsbegäran.docx", "A 8903-2024")</f>
        <v/>
      </c>
      <c r="Y356">
        <f>HYPERLINK("https://klasma.github.io/Logging_2283/tillsynsmail/A 8903-2024 tillsynsbegäran mail.docx", "A 8903-2024")</f>
        <v/>
      </c>
    </row>
    <row r="357" ht="15" customHeight="1">
      <c r="A357" t="inlineStr">
        <is>
          <t>A 9818-2024</t>
        </is>
      </c>
      <c r="B357" s="1" t="n">
        <v>45363</v>
      </c>
      <c r="C357" s="1" t="n">
        <v>45583</v>
      </c>
      <c r="D357" t="inlineStr">
        <is>
          <t>VÄSTERNORRLANDS LÄN</t>
        </is>
      </c>
      <c r="E357" t="inlineStr">
        <is>
          <t>SOLLEFTEÅ</t>
        </is>
      </c>
      <c r="F357" t="inlineStr">
        <is>
          <t>SCA</t>
        </is>
      </c>
      <c r="G357" t="n">
        <v>3.8</v>
      </c>
      <c r="H357" t="n">
        <v>0</v>
      </c>
      <c r="I357" t="n">
        <v>0</v>
      </c>
      <c r="J357" t="n">
        <v>1</v>
      </c>
      <c r="K357" t="n">
        <v>0</v>
      </c>
      <c r="L357" t="n">
        <v>0</v>
      </c>
      <c r="M357" t="n">
        <v>0</v>
      </c>
      <c r="N357" t="n">
        <v>0</v>
      </c>
      <c r="O357" t="n">
        <v>1</v>
      </c>
      <c r="P357" t="n">
        <v>0</v>
      </c>
      <c r="Q357" t="n">
        <v>1</v>
      </c>
      <c r="R357" s="2" t="inlineStr">
        <is>
          <t>Motaggsvamp</t>
        </is>
      </c>
      <c r="S357">
        <f>HYPERLINK("https://klasma.github.io/Logging_2283/artfynd/A 9818-2024 artfynd.xlsx", "A 9818-2024")</f>
        <v/>
      </c>
      <c r="T357">
        <f>HYPERLINK("https://klasma.github.io/Logging_2283/kartor/A 9818-2024 karta.png", "A 9818-2024")</f>
        <v/>
      </c>
      <c r="U357">
        <f>HYPERLINK("https://klasma.github.io/Logging_2283/knärot/A 9818-2024 karta knärot.png", "A 9818-2024")</f>
        <v/>
      </c>
      <c r="V357">
        <f>HYPERLINK("https://klasma.github.io/Logging_2283/klagomål/A 9818-2024 FSC-klagomål.docx", "A 9818-2024")</f>
        <v/>
      </c>
      <c r="W357">
        <f>HYPERLINK("https://klasma.github.io/Logging_2283/klagomålsmail/A 9818-2024 FSC-klagomål mail.docx", "A 9818-2024")</f>
        <v/>
      </c>
      <c r="X357">
        <f>HYPERLINK("https://klasma.github.io/Logging_2283/tillsyn/A 9818-2024 tillsynsbegäran.docx", "A 9818-2024")</f>
        <v/>
      </c>
      <c r="Y357">
        <f>HYPERLINK("https://klasma.github.io/Logging_2283/tillsynsmail/A 9818-2024 tillsynsbegäran mail.docx", "A 9818-2024")</f>
        <v/>
      </c>
    </row>
    <row r="358" ht="15" customHeight="1">
      <c r="A358" t="inlineStr">
        <is>
          <t>A 10854-2024</t>
        </is>
      </c>
      <c r="B358" s="1" t="n">
        <v>45370</v>
      </c>
      <c r="C358" s="1" t="n">
        <v>45583</v>
      </c>
      <c r="D358" t="inlineStr">
        <is>
          <t>VÄSTERNORRLANDS LÄN</t>
        </is>
      </c>
      <c r="E358" t="inlineStr">
        <is>
          <t>SOLLEFTEÅ</t>
        </is>
      </c>
      <c r="F358" t="inlineStr">
        <is>
          <t>SCA</t>
        </is>
      </c>
      <c r="G358" t="n">
        <v>2.8</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10854-2024 artfynd.xlsx", "A 10854-2024")</f>
        <v/>
      </c>
      <c r="T358">
        <f>HYPERLINK("https://klasma.github.io/Logging_2283/kartor/A 10854-2024 karta.png", "A 10854-2024")</f>
        <v/>
      </c>
      <c r="V358">
        <f>HYPERLINK("https://klasma.github.io/Logging_2283/klagomål/A 10854-2024 FSC-klagomål.docx", "A 10854-2024")</f>
        <v/>
      </c>
      <c r="W358">
        <f>HYPERLINK("https://klasma.github.io/Logging_2283/klagomålsmail/A 10854-2024 FSC-klagomål mail.docx", "A 10854-2024")</f>
        <v/>
      </c>
      <c r="X358">
        <f>HYPERLINK("https://klasma.github.io/Logging_2283/tillsyn/A 10854-2024 tillsynsbegäran.docx", "A 10854-2024")</f>
        <v/>
      </c>
      <c r="Y358">
        <f>HYPERLINK("https://klasma.github.io/Logging_2283/tillsynsmail/A 10854-2024 tillsynsbegäran mail.docx", "A 10854-2024")</f>
        <v/>
      </c>
      <c r="Z358">
        <f>HYPERLINK("https://klasma.github.io/Logging_2283/fåglar/A 10854-2024 prioriterade fågelarter.docx", "A 10854-2024")</f>
        <v/>
      </c>
    </row>
    <row r="359" ht="15" customHeight="1">
      <c r="A359" t="inlineStr">
        <is>
          <t>A 12371-2024</t>
        </is>
      </c>
      <c r="B359" s="1" t="n">
        <v>45378</v>
      </c>
      <c r="C359" s="1" t="n">
        <v>45583</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12371-2024 artfynd.xlsx", "A 12371-2024")</f>
        <v/>
      </c>
      <c r="T359">
        <f>HYPERLINK("https://klasma.github.io/Logging_2283/kartor/A 12371-2024 karta.png", "A 12371-2024")</f>
        <v/>
      </c>
      <c r="V359">
        <f>HYPERLINK("https://klasma.github.io/Logging_2283/klagomål/A 12371-2024 FSC-klagomål.docx", "A 12371-2024")</f>
        <v/>
      </c>
      <c r="W359">
        <f>HYPERLINK("https://klasma.github.io/Logging_2283/klagomålsmail/A 12371-2024 FSC-klagomål mail.docx", "A 12371-2024")</f>
        <v/>
      </c>
      <c r="X359">
        <f>HYPERLINK("https://klasma.github.io/Logging_2283/tillsyn/A 12371-2024 tillsynsbegäran.docx", "A 12371-2024")</f>
        <v/>
      </c>
      <c r="Y359">
        <f>HYPERLINK("https://klasma.github.io/Logging_2283/tillsynsmail/A 12371-2024 tillsynsbegäran mail.docx", "A 12371-2024")</f>
        <v/>
      </c>
    </row>
    <row r="360" ht="15" customHeight="1">
      <c r="A360" t="inlineStr">
        <is>
          <t>A 14367-2024</t>
        </is>
      </c>
      <c r="B360" s="1" t="n">
        <v>45393</v>
      </c>
      <c r="C360" s="1" t="n">
        <v>45583</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Garnlav</t>
        </is>
      </c>
      <c r="S360">
        <f>HYPERLINK("https://klasma.github.io/Logging_2283/artfynd/A 14367-2024 artfynd.xlsx", "A 14367-2024")</f>
        <v/>
      </c>
      <c r="T360">
        <f>HYPERLINK("https://klasma.github.io/Logging_2283/kartor/A 14367-2024 karta.png", "A 14367-2024")</f>
        <v/>
      </c>
      <c r="V360">
        <f>HYPERLINK("https://klasma.github.io/Logging_2283/klagomål/A 14367-2024 FSC-klagomål.docx", "A 14367-2024")</f>
        <v/>
      </c>
      <c r="W360">
        <f>HYPERLINK("https://klasma.github.io/Logging_2283/klagomålsmail/A 14367-2024 FSC-klagomål mail.docx", "A 14367-2024")</f>
        <v/>
      </c>
      <c r="X360">
        <f>HYPERLINK("https://klasma.github.io/Logging_2283/tillsyn/A 14367-2024 tillsynsbegäran.docx", "A 14367-2024")</f>
        <v/>
      </c>
      <c r="Y360">
        <f>HYPERLINK("https://klasma.github.io/Logging_2283/tillsynsmail/A 14367-2024 tillsynsbegäran mail.docx", "A 14367-2024")</f>
        <v/>
      </c>
    </row>
    <row r="361" ht="15" customHeight="1">
      <c r="A361" t="inlineStr">
        <is>
          <t>A 14805-2024</t>
        </is>
      </c>
      <c r="B361" s="1" t="n">
        <v>45397</v>
      </c>
      <c r="C361" s="1" t="n">
        <v>45583</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14885-2024</t>
        </is>
      </c>
      <c r="B362" s="1" t="n">
        <v>45398</v>
      </c>
      <c r="C362" s="1" t="n">
        <v>45583</v>
      </c>
      <c r="D362" t="inlineStr">
        <is>
          <t>VÄSTERNORRLANDS LÄN</t>
        </is>
      </c>
      <c r="E362" t="inlineStr">
        <is>
          <t>SOLLEFTEÅ</t>
        </is>
      </c>
      <c r="G362" t="n">
        <v>5.8</v>
      </c>
      <c r="H362" t="n">
        <v>1</v>
      </c>
      <c r="I362" t="n">
        <v>0</v>
      </c>
      <c r="J362" t="n">
        <v>0</v>
      </c>
      <c r="K362" t="n">
        <v>0</v>
      </c>
      <c r="L362" t="n">
        <v>0</v>
      </c>
      <c r="M362" t="n">
        <v>0</v>
      </c>
      <c r="N362" t="n">
        <v>0</v>
      </c>
      <c r="O362" t="n">
        <v>0</v>
      </c>
      <c r="P362" t="n">
        <v>0</v>
      </c>
      <c r="Q362" t="n">
        <v>1</v>
      </c>
      <c r="R362" s="2" t="inlineStr">
        <is>
          <t>Pärluggla</t>
        </is>
      </c>
      <c r="S362">
        <f>HYPERLINK("https://klasma.github.io/Logging_2283/artfynd/A 14885-2024 artfynd.xlsx", "A 14885-2024")</f>
        <v/>
      </c>
      <c r="T362">
        <f>HYPERLINK("https://klasma.github.io/Logging_2283/kartor/A 14885-2024 karta.png", "A 14885-2024")</f>
        <v/>
      </c>
      <c r="V362">
        <f>HYPERLINK("https://klasma.github.io/Logging_2283/klagomål/A 14885-2024 FSC-klagomål.docx", "A 14885-2024")</f>
        <v/>
      </c>
      <c r="W362">
        <f>HYPERLINK("https://klasma.github.io/Logging_2283/klagomålsmail/A 14885-2024 FSC-klagomål mail.docx", "A 14885-2024")</f>
        <v/>
      </c>
      <c r="X362">
        <f>HYPERLINK("https://klasma.github.io/Logging_2283/tillsyn/A 14885-2024 tillsynsbegäran.docx", "A 14885-2024")</f>
        <v/>
      </c>
      <c r="Y362">
        <f>HYPERLINK("https://klasma.github.io/Logging_2283/tillsynsmail/A 14885-2024 tillsynsbegäran mail.docx", "A 14885-2024")</f>
        <v/>
      </c>
      <c r="Z362">
        <f>HYPERLINK("https://klasma.github.io/Logging_2283/fåglar/A 14885-2024 prioriterade fågelarter.docx", "A 14885-2024")</f>
        <v/>
      </c>
    </row>
    <row r="363" ht="15" customHeight="1">
      <c r="A363" t="inlineStr">
        <is>
          <t>A 15862-2024</t>
        </is>
      </c>
      <c r="B363" s="1" t="n">
        <v>45404</v>
      </c>
      <c r="C363" s="1" t="n">
        <v>45583</v>
      </c>
      <c r="D363" t="inlineStr">
        <is>
          <t>VÄSTERNORRLANDS LÄN</t>
        </is>
      </c>
      <c r="E363" t="inlineStr">
        <is>
          <t>SOLLEFTEÅ</t>
        </is>
      </c>
      <c r="F363" t="inlineStr">
        <is>
          <t>SCA</t>
        </is>
      </c>
      <c r="G363" t="n">
        <v>10.1</v>
      </c>
      <c r="H363" t="n">
        <v>0</v>
      </c>
      <c r="I363" t="n">
        <v>0</v>
      </c>
      <c r="J363" t="n">
        <v>1</v>
      </c>
      <c r="K363" t="n">
        <v>0</v>
      </c>
      <c r="L363" t="n">
        <v>0</v>
      </c>
      <c r="M363" t="n">
        <v>0</v>
      </c>
      <c r="N363" t="n">
        <v>0</v>
      </c>
      <c r="O363" t="n">
        <v>1</v>
      </c>
      <c r="P363" t="n">
        <v>0</v>
      </c>
      <c r="Q363" t="n">
        <v>1</v>
      </c>
      <c r="R363" s="2" t="inlineStr">
        <is>
          <t>Lunglav</t>
        </is>
      </c>
      <c r="S363">
        <f>HYPERLINK("https://klasma.github.io/Logging_2283/artfynd/A 15862-2024 artfynd.xlsx", "A 15862-2024")</f>
        <v/>
      </c>
      <c r="T363">
        <f>HYPERLINK("https://klasma.github.io/Logging_2283/kartor/A 15862-2024 karta.png", "A 15862-2024")</f>
        <v/>
      </c>
      <c r="V363">
        <f>HYPERLINK("https://klasma.github.io/Logging_2283/klagomål/A 15862-2024 FSC-klagomål.docx", "A 15862-2024")</f>
        <v/>
      </c>
      <c r="W363">
        <f>HYPERLINK("https://klasma.github.io/Logging_2283/klagomålsmail/A 15862-2024 FSC-klagomål mail.docx", "A 15862-2024")</f>
        <v/>
      </c>
      <c r="X363">
        <f>HYPERLINK("https://klasma.github.io/Logging_2283/tillsyn/A 15862-2024 tillsynsbegäran.docx", "A 15862-2024")</f>
        <v/>
      </c>
      <c r="Y363">
        <f>HYPERLINK("https://klasma.github.io/Logging_2283/tillsynsmail/A 15862-2024 tillsynsbegäran mail.docx", "A 15862-2024")</f>
        <v/>
      </c>
    </row>
    <row r="364" ht="15" customHeight="1">
      <c r="A364" t="inlineStr">
        <is>
          <t>A 18613-2024</t>
        </is>
      </c>
      <c r="B364" s="1" t="n">
        <v>45425</v>
      </c>
      <c r="C364" s="1" t="n">
        <v>45583</v>
      </c>
      <c r="D364" t="inlineStr">
        <is>
          <t>VÄSTERNORRLANDS LÄN</t>
        </is>
      </c>
      <c r="E364" t="inlineStr">
        <is>
          <t>SOLLEFTEÅ</t>
        </is>
      </c>
      <c r="F364" t="inlineStr">
        <is>
          <t>SCA</t>
        </is>
      </c>
      <c r="G364" t="n">
        <v>4.9</v>
      </c>
      <c r="H364" t="n">
        <v>0</v>
      </c>
      <c r="I364" t="n">
        <v>0</v>
      </c>
      <c r="J364" t="n">
        <v>1</v>
      </c>
      <c r="K364" t="n">
        <v>0</v>
      </c>
      <c r="L364" t="n">
        <v>0</v>
      </c>
      <c r="M364" t="n">
        <v>0</v>
      </c>
      <c r="N364" t="n">
        <v>0</v>
      </c>
      <c r="O364" t="n">
        <v>1</v>
      </c>
      <c r="P364" t="n">
        <v>0</v>
      </c>
      <c r="Q364" t="n">
        <v>1</v>
      </c>
      <c r="R364" s="2" t="inlineStr">
        <is>
          <t>Lunglav</t>
        </is>
      </c>
      <c r="S364">
        <f>HYPERLINK("https://klasma.github.io/Logging_2283/artfynd/A 18613-2024 artfynd.xlsx", "A 18613-2024")</f>
        <v/>
      </c>
      <c r="T364">
        <f>HYPERLINK("https://klasma.github.io/Logging_2283/kartor/A 18613-2024 karta.png", "A 18613-2024")</f>
        <v/>
      </c>
      <c r="V364">
        <f>HYPERLINK("https://klasma.github.io/Logging_2283/klagomål/A 18613-2024 FSC-klagomål.docx", "A 18613-2024")</f>
        <v/>
      </c>
      <c r="W364">
        <f>HYPERLINK("https://klasma.github.io/Logging_2283/klagomålsmail/A 18613-2024 FSC-klagomål mail.docx", "A 18613-2024")</f>
        <v/>
      </c>
      <c r="X364">
        <f>HYPERLINK("https://klasma.github.io/Logging_2283/tillsyn/A 18613-2024 tillsynsbegäran.docx", "A 18613-2024")</f>
        <v/>
      </c>
      <c r="Y364">
        <f>HYPERLINK("https://klasma.github.io/Logging_2283/tillsynsmail/A 18613-2024 tillsynsbegäran mail.docx", "A 18613-2024")</f>
        <v/>
      </c>
    </row>
    <row r="365" ht="15" customHeight="1">
      <c r="A365" t="inlineStr">
        <is>
          <t>A 22454-2024</t>
        </is>
      </c>
      <c r="B365" s="1" t="n">
        <v>45447</v>
      </c>
      <c r="C365" s="1" t="n">
        <v>45583</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Garnlav</t>
        </is>
      </c>
      <c r="S365">
        <f>HYPERLINK("https://klasma.github.io/Logging_2283/artfynd/A 22454-2024 artfynd.xlsx", "A 22454-2024")</f>
        <v/>
      </c>
      <c r="T365">
        <f>HYPERLINK("https://klasma.github.io/Logging_2283/kartor/A 22454-2024 karta.png", "A 22454-2024")</f>
        <v/>
      </c>
      <c r="V365">
        <f>HYPERLINK("https://klasma.github.io/Logging_2283/klagomål/A 22454-2024 FSC-klagomål.docx", "A 22454-2024")</f>
        <v/>
      </c>
      <c r="W365">
        <f>HYPERLINK("https://klasma.github.io/Logging_2283/klagomålsmail/A 22454-2024 FSC-klagomål mail.docx", "A 22454-2024")</f>
        <v/>
      </c>
      <c r="X365">
        <f>HYPERLINK("https://klasma.github.io/Logging_2283/tillsyn/A 22454-2024 tillsynsbegäran.docx", "A 22454-2024")</f>
        <v/>
      </c>
      <c r="Y365">
        <f>HYPERLINK("https://klasma.github.io/Logging_2283/tillsynsmail/A 22454-2024 tillsynsbegäran mail.docx", "A 22454-2024")</f>
        <v/>
      </c>
    </row>
    <row r="366" ht="15" customHeight="1">
      <c r="A366" t="inlineStr">
        <is>
          <t>A 23552-2024</t>
        </is>
      </c>
      <c r="B366" s="1" t="n">
        <v>45454</v>
      </c>
      <c r="C366" s="1" t="n">
        <v>45583</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HYPERLINK("https://klasma.github.io/Logging_2283/artfynd/A 23552-2024 artfynd.xlsx", "A 23552-2024")</f>
        <v/>
      </c>
      <c r="T366">
        <f>HYPERLINK("https://klasma.github.io/Logging_2283/kartor/A 23552-2024 karta.png", "A 23552-2024")</f>
        <v/>
      </c>
      <c r="V366">
        <f>HYPERLINK("https://klasma.github.io/Logging_2283/klagomål/A 23552-2024 FSC-klagomål.docx", "A 23552-2024")</f>
        <v/>
      </c>
      <c r="W366">
        <f>HYPERLINK("https://klasma.github.io/Logging_2283/klagomålsmail/A 23552-2024 FSC-klagomål mail.docx", "A 23552-2024")</f>
        <v/>
      </c>
      <c r="X366">
        <f>HYPERLINK("https://klasma.github.io/Logging_2283/tillsyn/A 23552-2024 tillsynsbegäran.docx", "A 23552-2024")</f>
        <v/>
      </c>
      <c r="Y366">
        <f>HYPERLINK("https://klasma.github.io/Logging_2283/tillsynsmail/A 23552-2024 tillsynsbegäran mail.docx", "A 23552-2024")</f>
        <v/>
      </c>
    </row>
    <row r="367" ht="15" customHeight="1">
      <c r="A367" t="inlineStr">
        <is>
          <t>A 23939-2024</t>
        </is>
      </c>
      <c r="B367" s="1" t="n">
        <v>45456</v>
      </c>
      <c r="C367" s="1" t="n">
        <v>45583</v>
      </c>
      <c r="D367" t="inlineStr">
        <is>
          <t>VÄSTERNORRLANDS LÄN</t>
        </is>
      </c>
      <c r="E367" t="inlineStr">
        <is>
          <t>SOLLEFTEÅ</t>
        </is>
      </c>
      <c r="F367" t="inlineStr">
        <is>
          <t>SCA</t>
        </is>
      </c>
      <c r="G367" t="n">
        <v>3</v>
      </c>
      <c r="H367" t="n">
        <v>1</v>
      </c>
      <c r="I367" t="n">
        <v>0</v>
      </c>
      <c r="J367" t="n">
        <v>1</v>
      </c>
      <c r="K367" t="n">
        <v>0</v>
      </c>
      <c r="L367" t="n">
        <v>0</v>
      </c>
      <c r="M367" t="n">
        <v>0</v>
      </c>
      <c r="N367" t="n">
        <v>0</v>
      </c>
      <c r="O367" t="n">
        <v>1</v>
      </c>
      <c r="P367" t="n">
        <v>0</v>
      </c>
      <c r="Q367" t="n">
        <v>1</v>
      </c>
      <c r="R367" s="2" t="inlineStr">
        <is>
          <t>Talltita</t>
        </is>
      </c>
      <c r="S367">
        <f>HYPERLINK("https://klasma.github.io/Logging_2283/artfynd/A 23939-2024 artfynd.xlsx", "A 23939-2024")</f>
        <v/>
      </c>
      <c r="T367">
        <f>HYPERLINK("https://klasma.github.io/Logging_2283/kartor/A 23939-2024 karta.png", "A 23939-2024")</f>
        <v/>
      </c>
      <c r="V367">
        <f>HYPERLINK("https://klasma.github.io/Logging_2283/klagomål/A 23939-2024 FSC-klagomål.docx", "A 23939-2024")</f>
        <v/>
      </c>
      <c r="W367">
        <f>HYPERLINK("https://klasma.github.io/Logging_2283/klagomålsmail/A 23939-2024 FSC-klagomål mail.docx", "A 23939-2024")</f>
        <v/>
      </c>
      <c r="X367">
        <f>HYPERLINK("https://klasma.github.io/Logging_2283/tillsyn/A 23939-2024 tillsynsbegäran.docx", "A 23939-2024")</f>
        <v/>
      </c>
      <c r="Y367">
        <f>HYPERLINK("https://klasma.github.io/Logging_2283/tillsynsmail/A 23939-2024 tillsynsbegäran mail.docx", "A 23939-2024")</f>
        <v/>
      </c>
      <c r="Z367">
        <f>HYPERLINK("https://klasma.github.io/Logging_2283/fåglar/A 23939-2024 prioriterade fågelarter.docx", "A 23939-2024")</f>
        <v/>
      </c>
    </row>
    <row r="368" ht="15" customHeight="1">
      <c r="A368" t="inlineStr">
        <is>
          <t>A 27309-2024</t>
        </is>
      </c>
      <c r="B368" s="1" t="n">
        <v>45471</v>
      </c>
      <c r="C368" s="1" t="n">
        <v>45583</v>
      </c>
      <c r="D368" t="inlineStr">
        <is>
          <t>VÄSTERNORRLANDS LÄN</t>
        </is>
      </c>
      <c r="E368" t="inlineStr">
        <is>
          <t>SOLLEFTEÅ</t>
        </is>
      </c>
      <c r="F368" t="inlineStr">
        <is>
          <t>SCA</t>
        </is>
      </c>
      <c r="G368" t="n">
        <v>39.2</v>
      </c>
      <c r="H368" t="n">
        <v>1</v>
      </c>
      <c r="I368" t="n">
        <v>0</v>
      </c>
      <c r="J368" t="n">
        <v>1</v>
      </c>
      <c r="K368" t="n">
        <v>0</v>
      </c>
      <c r="L368" t="n">
        <v>0</v>
      </c>
      <c r="M368" t="n">
        <v>0</v>
      </c>
      <c r="N368" t="n">
        <v>0</v>
      </c>
      <c r="O368" t="n">
        <v>1</v>
      </c>
      <c r="P368" t="n">
        <v>0</v>
      </c>
      <c r="Q368" t="n">
        <v>1</v>
      </c>
      <c r="R368" s="2" t="inlineStr">
        <is>
          <t>Nordfladdermus</t>
        </is>
      </c>
      <c r="S368">
        <f>HYPERLINK("https://klasma.github.io/Logging_2283/artfynd/A 27309-2024 artfynd.xlsx", "A 27309-2024")</f>
        <v/>
      </c>
      <c r="T368">
        <f>HYPERLINK("https://klasma.github.io/Logging_2283/kartor/A 27309-2024 karta.png", "A 27309-2024")</f>
        <v/>
      </c>
      <c r="V368">
        <f>HYPERLINK("https://klasma.github.io/Logging_2283/klagomål/A 27309-2024 FSC-klagomål.docx", "A 27309-2024")</f>
        <v/>
      </c>
      <c r="W368">
        <f>HYPERLINK("https://klasma.github.io/Logging_2283/klagomålsmail/A 27309-2024 FSC-klagomål mail.docx", "A 27309-2024")</f>
        <v/>
      </c>
      <c r="X368">
        <f>HYPERLINK("https://klasma.github.io/Logging_2283/tillsyn/A 27309-2024 tillsynsbegäran.docx", "A 27309-2024")</f>
        <v/>
      </c>
      <c r="Y368">
        <f>HYPERLINK("https://klasma.github.io/Logging_2283/tillsynsmail/A 27309-2024 tillsynsbegäran mail.docx", "A 27309-2024")</f>
        <v/>
      </c>
    </row>
    <row r="369" ht="15" customHeight="1">
      <c r="A369" t="inlineStr">
        <is>
          <t>A 29260-2024</t>
        </is>
      </c>
      <c r="B369" s="1" t="n">
        <v>45482</v>
      </c>
      <c r="C369" s="1" t="n">
        <v>45583</v>
      </c>
      <c r="D369" t="inlineStr">
        <is>
          <t>VÄSTERNORRLANDS LÄN</t>
        </is>
      </c>
      <c r="E369" t="inlineStr">
        <is>
          <t>SOLLEFTEÅ</t>
        </is>
      </c>
      <c r="F369" t="inlineStr">
        <is>
          <t>SCA</t>
        </is>
      </c>
      <c r="G369" t="n">
        <v>21.2</v>
      </c>
      <c r="H369" t="n">
        <v>0</v>
      </c>
      <c r="I369" t="n">
        <v>0</v>
      </c>
      <c r="J369" t="n">
        <v>1</v>
      </c>
      <c r="K369" t="n">
        <v>0</v>
      </c>
      <c r="L369" t="n">
        <v>0</v>
      </c>
      <c r="M369" t="n">
        <v>0</v>
      </c>
      <c r="N369" t="n">
        <v>0</v>
      </c>
      <c r="O369" t="n">
        <v>1</v>
      </c>
      <c r="P369" t="n">
        <v>0</v>
      </c>
      <c r="Q369" t="n">
        <v>1</v>
      </c>
      <c r="R369" s="2" t="inlineStr">
        <is>
          <t>Garnlav</t>
        </is>
      </c>
      <c r="S369">
        <f>HYPERLINK("https://klasma.github.io/Logging_2283/artfynd/A 29260-2024 artfynd.xlsx", "A 29260-2024")</f>
        <v/>
      </c>
      <c r="T369">
        <f>HYPERLINK("https://klasma.github.io/Logging_2283/kartor/A 29260-2024 karta.png", "A 29260-2024")</f>
        <v/>
      </c>
      <c r="V369">
        <f>HYPERLINK("https://klasma.github.io/Logging_2283/klagomål/A 29260-2024 FSC-klagomål.docx", "A 29260-2024")</f>
        <v/>
      </c>
      <c r="W369">
        <f>HYPERLINK("https://klasma.github.io/Logging_2283/klagomålsmail/A 29260-2024 FSC-klagomål mail.docx", "A 29260-2024")</f>
        <v/>
      </c>
      <c r="X369">
        <f>HYPERLINK("https://klasma.github.io/Logging_2283/tillsyn/A 29260-2024 tillsynsbegäran.docx", "A 29260-2024")</f>
        <v/>
      </c>
      <c r="Y369">
        <f>HYPERLINK("https://klasma.github.io/Logging_2283/tillsynsmail/A 29260-2024 tillsynsbegäran mail.docx", "A 29260-2024")</f>
        <v/>
      </c>
    </row>
    <row r="370" ht="15" customHeight="1">
      <c r="A370" t="inlineStr">
        <is>
          <t>A 29692-2024</t>
        </is>
      </c>
      <c r="B370" s="1" t="n">
        <v>45484</v>
      </c>
      <c r="C370" s="1" t="n">
        <v>45583</v>
      </c>
      <c r="D370" t="inlineStr">
        <is>
          <t>VÄSTERNORRLANDS LÄN</t>
        </is>
      </c>
      <c r="E370" t="inlineStr">
        <is>
          <t>SOLLEFTEÅ</t>
        </is>
      </c>
      <c r="F370" t="inlineStr">
        <is>
          <t>SCA</t>
        </is>
      </c>
      <c r="G370" t="n">
        <v>2.4</v>
      </c>
      <c r="H370" t="n">
        <v>0</v>
      </c>
      <c r="I370" t="n">
        <v>0</v>
      </c>
      <c r="J370" t="n">
        <v>1</v>
      </c>
      <c r="K370" t="n">
        <v>0</v>
      </c>
      <c r="L370" t="n">
        <v>0</v>
      </c>
      <c r="M370" t="n">
        <v>0</v>
      </c>
      <c r="N370" t="n">
        <v>0</v>
      </c>
      <c r="O370" t="n">
        <v>1</v>
      </c>
      <c r="P370" t="n">
        <v>0</v>
      </c>
      <c r="Q370" t="n">
        <v>1</v>
      </c>
      <c r="R370" s="2" t="inlineStr">
        <is>
          <t>Gammelgransskål</t>
        </is>
      </c>
      <c r="S370">
        <f>HYPERLINK("https://klasma.github.io/Logging_2283/artfynd/A 29692-2024 artfynd.xlsx", "A 29692-2024")</f>
        <v/>
      </c>
      <c r="T370">
        <f>HYPERLINK("https://klasma.github.io/Logging_2283/kartor/A 29692-2024 karta.png", "A 29692-2024")</f>
        <v/>
      </c>
      <c r="V370">
        <f>HYPERLINK("https://klasma.github.io/Logging_2283/klagomål/A 29692-2024 FSC-klagomål.docx", "A 29692-2024")</f>
        <v/>
      </c>
      <c r="W370">
        <f>HYPERLINK("https://klasma.github.io/Logging_2283/klagomålsmail/A 29692-2024 FSC-klagomål mail.docx", "A 29692-2024")</f>
        <v/>
      </c>
      <c r="X370">
        <f>HYPERLINK("https://klasma.github.io/Logging_2283/tillsyn/A 29692-2024 tillsynsbegäran.docx", "A 29692-2024")</f>
        <v/>
      </c>
      <c r="Y370">
        <f>HYPERLINK("https://klasma.github.io/Logging_2283/tillsynsmail/A 29692-2024 tillsynsbegäran mail.docx", "A 29692-2024")</f>
        <v/>
      </c>
    </row>
    <row r="371" ht="15" customHeight="1">
      <c r="A371" t="inlineStr">
        <is>
          <t>A 35876-2024</t>
        </is>
      </c>
      <c r="B371" s="1" t="n">
        <v>45533</v>
      </c>
      <c r="C371" s="1" t="n">
        <v>45583</v>
      </c>
      <c r="D371" t="inlineStr">
        <is>
          <t>VÄSTERNORRLANDS LÄN</t>
        </is>
      </c>
      <c r="E371" t="inlineStr">
        <is>
          <t>SOLLEFTEÅ</t>
        </is>
      </c>
      <c r="F371" t="inlineStr">
        <is>
          <t>SCA</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HYPERLINK("https://klasma.github.io/Logging_2283/artfynd/A 35876-2024 artfynd.xlsx", "A 35876-2024")</f>
        <v/>
      </c>
      <c r="T371">
        <f>HYPERLINK("https://klasma.github.io/Logging_2283/kartor/A 35876-2024 karta.png", "A 35876-2024")</f>
        <v/>
      </c>
      <c r="V371">
        <f>HYPERLINK("https://klasma.github.io/Logging_2283/klagomål/A 35876-2024 FSC-klagomål.docx", "A 35876-2024")</f>
        <v/>
      </c>
      <c r="W371">
        <f>HYPERLINK("https://klasma.github.io/Logging_2283/klagomålsmail/A 35876-2024 FSC-klagomål mail.docx", "A 35876-2024")</f>
        <v/>
      </c>
      <c r="X371">
        <f>HYPERLINK("https://klasma.github.io/Logging_2283/tillsyn/A 35876-2024 tillsynsbegäran.docx", "A 35876-2024")</f>
        <v/>
      </c>
      <c r="Y371">
        <f>HYPERLINK("https://klasma.github.io/Logging_2283/tillsynsmail/A 35876-2024 tillsynsbegäran mail.docx", "A 35876-2024")</f>
        <v/>
      </c>
      <c r="Z371">
        <f>HYPERLINK("https://klasma.github.io/Logging_2283/fåglar/A 35876-2024 prioriterade fågelarter.docx", "A 35876-2024")</f>
        <v/>
      </c>
    </row>
    <row r="372" ht="15" customHeight="1">
      <c r="A372" t="inlineStr">
        <is>
          <t>A 37206-2024</t>
        </is>
      </c>
      <c r="B372" s="1" t="n">
        <v>45539</v>
      </c>
      <c r="C372" s="1" t="n">
        <v>45583</v>
      </c>
      <c r="D372" t="inlineStr">
        <is>
          <t>VÄSTERNORRLANDS LÄN</t>
        </is>
      </c>
      <c r="E372" t="inlineStr">
        <is>
          <t>SOLLEFTEÅ</t>
        </is>
      </c>
      <c r="F372" t="inlineStr">
        <is>
          <t>SCA</t>
        </is>
      </c>
      <c r="G372" t="n">
        <v>3.6</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37206-2024 artfynd.xlsx", "A 37206-2024")</f>
        <v/>
      </c>
      <c r="T372">
        <f>HYPERLINK("https://klasma.github.io/Logging_2283/kartor/A 37206-2024 karta.png", "A 37206-2024")</f>
        <v/>
      </c>
      <c r="V372">
        <f>HYPERLINK("https://klasma.github.io/Logging_2283/klagomål/A 37206-2024 FSC-klagomål.docx", "A 37206-2024")</f>
        <v/>
      </c>
      <c r="W372">
        <f>HYPERLINK("https://klasma.github.io/Logging_2283/klagomålsmail/A 37206-2024 FSC-klagomål mail.docx", "A 37206-2024")</f>
        <v/>
      </c>
      <c r="X372">
        <f>HYPERLINK("https://klasma.github.io/Logging_2283/tillsyn/A 37206-2024 tillsynsbegäran.docx", "A 37206-2024")</f>
        <v/>
      </c>
      <c r="Y372">
        <f>HYPERLINK("https://klasma.github.io/Logging_2283/tillsynsmail/A 37206-2024 tillsynsbegäran mail.docx", "A 37206-2024")</f>
        <v/>
      </c>
      <c r="Z372">
        <f>HYPERLINK("https://klasma.github.io/Logging_2283/fåglar/A 37206-2024 prioriterade fågelarter.docx", "A 37206-2024")</f>
        <v/>
      </c>
    </row>
    <row r="373" ht="15" customHeight="1">
      <c r="A373" t="inlineStr">
        <is>
          <t>A 38442-2024</t>
        </is>
      </c>
      <c r="B373" s="1" t="n">
        <v>45546</v>
      </c>
      <c r="C373" s="1" t="n">
        <v>45583</v>
      </c>
      <c r="D373" t="inlineStr">
        <is>
          <t>VÄSTERNORRLANDS LÄN</t>
        </is>
      </c>
      <c r="E373" t="inlineStr">
        <is>
          <t>SOLLEFTEÅ</t>
        </is>
      </c>
      <c r="F373" t="inlineStr">
        <is>
          <t>SCA</t>
        </is>
      </c>
      <c r="G373" t="n">
        <v>0.7</v>
      </c>
      <c r="H373" t="n">
        <v>0</v>
      </c>
      <c r="I373" t="n">
        <v>1</v>
      </c>
      <c r="J373" t="n">
        <v>0</v>
      </c>
      <c r="K373" t="n">
        <v>0</v>
      </c>
      <c r="L373" t="n">
        <v>0</v>
      </c>
      <c r="M373" t="n">
        <v>0</v>
      </c>
      <c r="N373" t="n">
        <v>0</v>
      </c>
      <c r="O373" t="n">
        <v>0</v>
      </c>
      <c r="P373" t="n">
        <v>0</v>
      </c>
      <c r="Q373" t="n">
        <v>1</v>
      </c>
      <c r="R373" s="2" t="inlineStr">
        <is>
          <t>Bollvitmossa</t>
        </is>
      </c>
      <c r="S373">
        <f>HYPERLINK("https://klasma.github.io/Logging_2283/artfynd/A 38442-2024 artfynd.xlsx", "A 38442-2024")</f>
        <v/>
      </c>
      <c r="T373">
        <f>HYPERLINK("https://klasma.github.io/Logging_2283/kartor/A 38442-2024 karta.png", "A 38442-2024")</f>
        <v/>
      </c>
      <c r="U373">
        <f>HYPERLINK("https://klasma.github.io/Logging_2283/knärot/A 38442-2024 karta knärot.png", "A 38442-2024")</f>
        <v/>
      </c>
      <c r="V373">
        <f>HYPERLINK("https://klasma.github.io/Logging_2283/klagomål/A 38442-2024 FSC-klagomål.docx", "A 38442-2024")</f>
        <v/>
      </c>
      <c r="W373">
        <f>HYPERLINK("https://klasma.github.io/Logging_2283/klagomålsmail/A 38442-2024 FSC-klagomål mail.docx", "A 38442-2024")</f>
        <v/>
      </c>
      <c r="X373">
        <f>HYPERLINK("https://klasma.github.io/Logging_2283/tillsyn/A 38442-2024 tillsynsbegäran.docx", "A 38442-2024")</f>
        <v/>
      </c>
      <c r="Y373">
        <f>HYPERLINK("https://klasma.github.io/Logging_2283/tillsynsmail/A 38442-2024 tillsynsbegäran mail.docx", "A 38442-2024")</f>
        <v/>
      </c>
    </row>
    <row r="374" ht="15" customHeight="1">
      <c r="A374" t="inlineStr">
        <is>
          <t>A 39897-2024</t>
        </is>
      </c>
      <c r="B374" s="1" t="n">
        <v>45553</v>
      </c>
      <c r="C374" s="1" t="n">
        <v>45583</v>
      </c>
      <c r="D374" t="inlineStr">
        <is>
          <t>VÄSTERNORRLANDS LÄN</t>
        </is>
      </c>
      <c r="E374" t="inlineStr">
        <is>
          <t>SOLLEFTEÅ</t>
        </is>
      </c>
      <c r="G374" t="n">
        <v>1.1</v>
      </c>
      <c r="H374" t="n">
        <v>1</v>
      </c>
      <c r="I374" t="n">
        <v>0</v>
      </c>
      <c r="J374" t="n">
        <v>0</v>
      </c>
      <c r="K374" t="n">
        <v>0</v>
      </c>
      <c r="L374" t="n">
        <v>0</v>
      </c>
      <c r="M374" t="n">
        <v>0</v>
      </c>
      <c r="N374" t="n">
        <v>0</v>
      </c>
      <c r="O374" t="n">
        <v>0</v>
      </c>
      <c r="P374" t="n">
        <v>0</v>
      </c>
      <c r="Q374" t="n">
        <v>1</v>
      </c>
      <c r="R374" s="2" t="inlineStr">
        <is>
          <t>Revlummer</t>
        </is>
      </c>
      <c r="S374">
        <f>HYPERLINK("https://klasma.github.io/Logging_2283/artfynd/A 39897-2024 artfynd.xlsx", "A 39897-2024")</f>
        <v/>
      </c>
      <c r="T374">
        <f>HYPERLINK("https://klasma.github.io/Logging_2283/kartor/A 39897-2024 karta.png", "A 39897-2024")</f>
        <v/>
      </c>
      <c r="V374">
        <f>HYPERLINK("https://klasma.github.io/Logging_2283/klagomål/A 39897-2024 FSC-klagomål.docx", "A 39897-2024")</f>
        <v/>
      </c>
      <c r="W374">
        <f>HYPERLINK("https://klasma.github.io/Logging_2283/klagomålsmail/A 39897-2024 FSC-klagomål mail.docx", "A 39897-2024")</f>
        <v/>
      </c>
      <c r="X374">
        <f>HYPERLINK("https://klasma.github.io/Logging_2283/tillsyn/A 39897-2024 tillsynsbegäran.docx", "A 39897-2024")</f>
        <v/>
      </c>
      <c r="Y374">
        <f>HYPERLINK("https://klasma.github.io/Logging_2283/tillsynsmail/A 39897-2024 tillsynsbegäran mail.docx", "A 39897-2024")</f>
        <v/>
      </c>
    </row>
    <row r="375" ht="15" customHeight="1">
      <c r="A375" t="inlineStr">
        <is>
          <t>A 42972-2024</t>
        </is>
      </c>
      <c r="B375" s="1" t="n">
        <v>45567</v>
      </c>
      <c r="C375" s="1" t="n">
        <v>45583</v>
      </c>
      <c r="D375" t="inlineStr">
        <is>
          <t>VÄSTERNORRLANDS LÄN</t>
        </is>
      </c>
      <c r="E375" t="inlineStr">
        <is>
          <t>SOLLEFTEÅ</t>
        </is>
      </c>
      <c r="F375" t="inlineStr">
        <is>
          <t>SCA</t>
        </is>
      </c>
      <c r="G375" t="n">
        <v>4.1</v>
      </c>
      <c r="H375" t="n">
        <v>0</v>
      </c>
      <c r="I375" t="n">
        <v>0</v>
      </c>
      <c r="J375" t="n">
        <v>1</v>
      </c>
      <c r="K375" t="n">
        <v>0</v>
      </c>
      <c r="L375" t="n">
        <v>0</v>
      </c>
      <c r="M375" t="n">
        <v>0</v>
      </c>
      <c r="N375" t="n">
        <v>0</v>
      </c>
      <c r="O375" t="n">
        <v>1</v>
      </c>
      <c r="P375" t="n">
        <v>0</v>
      </c>
      <c r="Q375" t="n">
        <v>1</v>
      </c>
      <c r="R375" s="2" t="inlineStr">
        <is>
          <t>Rosenticka</t>
        </is>
      </c>
      <c r="S375">
        <f>HYPERLINK("https://klasma.github.io/Logging_2283/artfynd/A 42972-2024 artfynd.xlsx", "A 42972-2024")</f>
        <v/>
      </c>
      <c r="T375">
        <f>HYPERLINK("https://klasma.github.io/Logging_2283/kartor/A 42972-2024 karta.png", "A 42972-2024")</f>
        <v/>
      </c>
      <c r="U375">
        <f>HYPERLINK("https://klasma.github.io/Logging_2283/knärot/A 42972-2024 karta knärot.png", "A 42972-2024")</f>
        <v/>
      </c>
      <c r="V375">
        <f>HYPERLINK("https://klasma.github.io/Logging_2283/klagomål/A 42972-2024 FSC-klagomål.docx", "A 42972-2024")</f>
        <v/>
      </c>
      <c r="W375">
        <f>HYPERLINK("https://klasma.github.io/Logging_2283/klagomålsmail/A 42972-2024 FSC-klagomål mail.docx", "A 42972-2024")</f>
        <v/>
      </c>
      <c r="X375">
        <f>HYPERLINK("https://klasma.github.io/Logging_2283/tillsyn/A 42972-2024 tillsynsbegäran.docx", "A 42972-2024")</f>
        <v/>
      </c>
      <c r="Y375">
        <f>HYPERLINK("https://klasma.github.io/Logging_2283/tillsynsmail/A 42972-2024 tillsynsbegäran mail.docx", "A 42972-2024")</f>
        <v/>
      </c>
    </row>
    <row r="376" ht="15" customHeight="1">
      <c r="A376" t="inlineStr">
        <is>
          <t>A 44624-2024</t>
        </is>
      </c>
      <c r="B376" s="1" t="n">
        <v>45574</v>
      </c>
      <c r="C376" s="1" t="n">
        <v>45583</v>
      </c>
      <c r="D376" t="inlineStr">
        <is>
          <t>VÄSTERNORRLANDS LÄN</t>
        </is>
      </c>
      <c r="E376" t="inlineStr">
        <is>
          <t>SOLLEFTEÅ</t>
        </is>
      </c>
      <c r="F376" t="inlineStr">
        <is>
          <t>SCA</t>
        </is>
      </c>
      <c r="G376" t="n">
        <v>6.4</v>
      </c>
      <c r="H376" t="n">
        <v>0</v>
      </c>
      <c r="I376" t="n">
        <v>0</v>
      </c>
      <c r="J376" t="n">
        <v>1</v>
      </c>
      <c r="K376" t="n">
        <v>0</v>
      </c>
      <c r="L376" t="n">
        <v>0</v>
      </c>
      <c r="M376" t="n">
        <v>0</v>
      </c>
      <c r="N376" t="n">
        <v>0</v>
      </c>
      <c r="O376" t="n">
        <v>1</v>
      </c>
      <c r="P376" t="n">
        <v>0</v>
      </c>
      <c r="Q376" t="n">
        <v>1</v>
      </c>
      <c r="R376" s="2" t="inlineStr">
        <is>
          <t>Lunglav</t>
        </is>
      </c>
      <c r="S376">
        <f>HYPERLINK("https://klasma.github.io/Logging_2283/artfynd/A 44624-2024 artfynd.xlsx", "A 44624-2024")</f>
        <v/>
      </c>
      <c r="T376">
        <f>HYPERLINK("https://klasma.github.io/Logging_2283/kartor/A 44624-2024 karta.png", "A 44624-2024")</f>
        <v/>
      </c>
      <c r="V376">
        <f>HYPERLINK("https://klasma.github.io/Logging_2283/klagomål/A 44624-2024 FSC-klagomål.docx", "A 44624-2024")</f>
        <v/>
      </c>
      <c r="W376">
        <f>HYPERLINK("https://klasma.github.io/Logging_2283/klagomålsmail/A 44624-2024 FSC-klagomål mail.docx", "A 44624-2024")</f>
        <v/>
      </c>
      <c r="X376">
        <f>HYPERLINK("https://klasma.github.io/Logging_2283/tillsyn/A 44624-2024 tillsynsbegäran.docx", "A 44624-2024")</f>
        <v/>
      </c>
      <c r="Y376">
        <f>HYPERLINK("https://klasma.github.io/Logging_2283/tillsynsmail/A 44624-2024 tillsynsbegäran mail.docx", "A 44624-2024")</f>
        <v/>
      </c>
    </row>
    <row r="377" ht="15" customHeight="1">
      <c r="A377" t="inlineStr">
        <is>
          <t>A 44632-2024</t>
        </is>
      </c>
      <c r="B377" s="1" t="n">
        <v>45574</v>
      </c>
      <c r="C377" s="1" t="n">
        <v>45583</v>
      </c>
      <c r="D377" t="inlineStr">
        <is>
          <t>VÄSTERNORRLANDS LÄN</t>
        </is>
      </c>
      <c r="E377" t="inlineStr">
        <is>
          <t>SOLLEFTEÅ</t>
        </is>
      </c>
      <c r="F377" t="inlineStr">
        <is>
          <t>SCA</t>
        </is>
      </c>
      <c r="G377" t="n">
        <v>3.1</v>
      </c>
      <c r="H377" t="n">
        <v>0</v>
      </c>
      <c r="I377" t="n">
        <v>1</v>
      </c>
      <c r="J377" t="n">
        <v>0</v>
      </c>
      <c r="K377" t="n">
        <v>0</v>
      </c>
      <c r="L377" t="n">
        <v>0</v>
      </c>
      <c r="M377" t="n">
        <v>0</v>
      </c>
      <c r="N377" t="n">
        <v>0</v>
      </c>
      <c r="O377" t="n">
        <v>0</v>
      </c>
      <c r="P377" t="n">
        <v>0</v>
      </c>
      <c r="Q377" t="n">
        <v>1</v>
      </c>
      <c r="R377" s="2" t="inlineStr">
        <is>
          <t>Vedticka</t>
        </is>
      </c>
      <c r="S377">
        <f>HYPERLINK("https://klasma.github.io/Logging_2283/artfynd/A 44632-2024 artfynd.xlsx", "A 44632-2024")</f>
        <v/>
      </c>
      <c r="T377">
        <f>HYPERLINK("https://klasma.github.io/Logging_2283/kartor/A 44632-2024 karta.png", "A 44632-2024")</f>
        <v/>
      </c>
      <c r="V377">
        <f>HYPERLINK("https://klasma.github.io/Logging_2283/klagomål/A 44632-2024 FSC-klagomål.docx", "A 44632-2024")</f>
        <v/>
      </c>
      <c r="W377">
        <f>HYPERLINK("https://klasma.github.io/Logging_2283/klagomålsmail/A 44632-2024 FSC-klagomål mail.docx", "A 44632-2024")</f>
        <v/>
      </c>
      <c r="X377">
        <f>HYPERLINK("https://klasma.github.io/Logging_2283/tillsyn/A 44632-2024 tillsynsbegäran.docx", "A 44632-2024")</f>
        <v/>
      </c>
      <c r="Y377">
        <f>HYPERLINK("https://klasma.github.io/Logging_2283/tillsynsmail/A 44632-2024 tillsynsbegäran mail.docx", "A 44632-2024")</f>
        <v/>
      </c>
    </row>
    <row r="378" ht="15" customHeight="1">
      <c r="A378" t="inlineStr">
        <is>
          <t>A 18277-2019</t>
        </is>
      </c>
      <c r="B378" s="1" t="n">
        <v>43557</v>
      </c>
      <c r="C378" s="1" t="n">
        <v>45583</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18578-2019</t>
        </is>
      </c>
      <c r="B379" s="1" t="n">
        <v>43558</v>
      </c>
      <c r="C379" s="1" t="n">
        <v>45583</v>
      </c>
      <c r="D379" t="inlineStr">
        <is>
          <t>VÄSTERNORRLANDS LÄN</t>
        </is>
      </c>
      <c r="E379" t="inlineStr">
        <is>
          <t>SOLLEFTEÅ</t>
        </is>
      </c>
      <c r="G379" t="n">
        <v>1.7</v>
      </c>
      <c r="H379" t="n">
        <v>0</v>
      </c>
      <c r="I379" t="n">
        <v>0</v>
      </c>
      <c r="J379" t="n">
        <v>0</v>
      </c>
      <c r="K379" t="n">
        <v>0</v>
      </c>
      <c r="L379" t="n">
        <v>0</v>
      </c>
      <c r="M379" t="n">
        <v>0</v>
      </c>
      <c r="N379" t="n">
        <v>0</v>
      </c>
      <c r="O379" t="n">
        <v>0</v>
      </c>
      <c r="P379" t="n">
        <v>0</v>
      </c>
      <c r="Q379" t="n">
        <v>0</v>
      </c>
      <c r="R379" s="2" t="inlineStr"/>
    </row>
    <row r="380" ht="15" customHeight="1">
      <c r="A380" t="inlineStr">
        <is>
          <t>A 18925-2019</t>
        </is>
      </c>
      <c r="B380" s="1" t="n">
        <v>43563</v>
      </c>
      <c r="C380" s="1" t="n">
        <v>45583</v>
      </c>
      <c r="D380" t="inlineStr">
        <is>
          <t>VÄSTERNORRLANDS LÄN</t>
        </is>
      </c>
      <c r="E380" t="inlineStr">
        <is>
          <t>SOLLEFTEÅ</t>
        </is>
      </c>
      <c r="G380" t="n">
        <v>1.9</v>
      </c>
      <c r="H380" t="n">
        <v>0</v>
      </c>
      <c r="I380" t="n">
        <v>0</v>
      </c>
      <c r="J380" t="n">
        <v>0</v>
      </c>
      <c r="K380" t="n">
        <v>0</v>
      </c>
      <c r="L380" t="n">
        <v>0</v>
      </c>
      <c r="M380" t="n">
        <v>0</v>
      </c>
      <c r="N380" t="n">
        <v>0</v>
      </c>
      <c r="O380" t="n">
        <v>0</v>
      </c>
      <c r="P380" t="n">
        <v>0</v>
      </c>
      <c r="Q380" t="n">
        <v>0</v>
      </c>
      <c r="R380" s="2" t="inlineStr"/>
    </row>
    <row r="381" ht="15" customHeight="1">
      <c r="A381" t="inlineStr">
        <is>
          <t>A 19123-2019</t>
        </is>
      </c>
      <c r="B381" s="1" t="n">
        <v>43564</v>
      </c>
      <c r="C381" s="1" t="n">
        <v>45583</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19219-2019</t>
        </is>
      </c>
      <c r="B382" s="1" t="n">
        <v>43564</v>
      </c>
      <c r="C382" s="1" t="n">
        <v>45583</v>
      </c>
      <c r="D382" t="inlineStr">
        <is>
          <t>VÄSTERNORRLANDS LÄN</t>
        </is>
      </c>
      <c r="E382" t="inlineStr">
        <is>
          <t>SOLLEFTEÅ</t>
        </is>
      </c>
      <c r="G382" t="n">
        <v>37</v>
      </c>
      <c r="H382" t="n">
        <v>0</v>
      </c>
      <c r="I382" t="n">
        <v>0</v>
      </c>
      <c r="J382" t="n">
        <v>0</v>
      </c>
      <c r="K382" t="n">
        <v>0</v>
      </c>
      <c r="L382" t="n">
        <v>0</v>
      </c>
      <c r="M382" t="n">
        <v>0</v>
      </c>
      <c r="N382" t="n">
        <v>0</v>
      </c>
      <c r="O382" t="n">
        <v>0</v>
      </c>
      <c r="P382" t="n">
        <v>0</v>
      </c>
      <c r="Q382" t="n">
        <v>0</v>
      </c>
      <c r="R382" s="2" t="inlineStr"/>
    </row>
    <row r="383" ht="15" customHeight="1">
      <c r="A383" t="inlineStr">
        <is>
          <t>A 19553-2019</t>
        </is>
      </c>
      <c r="B383" s="1" t="n">
        <v>43565</v>
      </c>
      <c r="C383" s="1" t="n">
        <v>45583</v>
      </c>
      <c r="D383" t="inlineStr">
        <is>
          <t>VÄSTERNORRLANDS LÄN</t>
        </is>
      </c>
      <c r="E383" t="inlineStr">
        <is>
          <t>SOLLEFTEÅ</t>
        </is>
      </c>
      <c r="G383" t="n">
        <v>28.1</v>
      </c>
      <c r="H383" t="n">
        <v>0</v>
      </c>
      <c r="I383" t="n">
        <v>0</v>
      </c>
      <c r="J383" t="n">
        <v>0</v>
      </c>
      <c r="K383" t="n">
        <v>0</v>
      </c>
      <c r="L383" t="n">
        <v>0</v>
      </c>
      <c r="M383" t="n">
        <v>0</v>
      </c>
      <c r="N383" t="n">
        <v>0</v>
      </c>
      <c r="O383" t="n">
        <v>0</v>
      </c>
      <c r="P383" t="n">
        <v>0</v>
      </c>
      <c r="Q383" t="n">
        <v>0</v>
      </c>
      <c r="R383" s="2" t="inlineStr"/>
    </row>
    <row r="384" ht="15" customHeight="1">
      <c r="A384" t="inlineStr">
        <is>
          <t>A 19730-2019</t>
        </is>
      </c>
      <c r="B384" s="1" t="n">
        <v>43566</v>
      </c>
      <c r="C384" s="1" t="n">
        <v>45583</v>
      </c>
      <c r="D384" t="inlineStr">
        <is>
          <t>VÄSTERNORRLANDS LÄN</t>
        </is>
      </c>
      <c r="E384" t="inlineStr">
        <is>
          <t>SOLLEFTEÅ</t>
        </is>
      </c>
      <c r="G384" t="n">
        <v>2</v>
      </c>
      <c r="H384" t="n">
        <v>0</v>
      </c>
      <c r="I384" t="n">
        <v>0</v>
      </c>
      <c r="J384" t="n">
        <v>0</v>
      </c>
      <c r="K384" t="n">
        <v>0</v>
      </c>
      <c r="L384" t="n">
        <v>0</v>
      </c>
      <c r="M384" t="n">
        <v>0</v>
      </c>
      <c r="N384" t="n">
        <v>0</v>
      </c>
      <c r="O384" t="n">
        <v>0</v>
      </c>
      <c r="P384" t="n">
        <v>0</v>
      </c>
      <c r="Q384" t="n">
        <v>0</v>
      </c>
      <c r="R384" s="2" t="inlineStr"/>
    </row>
    <row r="385" ht="15" customHeight="1">
      <c r="A385" t="inlineStr">
        <is>
          <t>A 19595-2019</t>
        </is>
      </c>
      <c r="B385" s="1" t="n">
        <v>43566</v>
      </c>
      <c r="C385" s="1" t="n">
        <v>45583</v>
      </c>
      <c r="D385" t="inlineStr">
        <is>
          <t>VÄSTERNORRLANDS LÄN</t>
        </is>
      </c>
      <c r="E385" t="inlineStr">
        <is>
          <t>SOLLEFTEÅ</t>
        </is>
      </c>
      <c r="F385" t="inlineStr">
        <is>
          <t>Kyrkan</t>
        </is>
      </c>
      <c r="G385" t="n">
        <v>2.5</v>
      </c>
      <c r="H385" t="n">
        <v>0</v>
      </c>
      <c r="I385" t="n">
        <v>0</v>
      </c>
      <c r="J385" t="n">
        <v>0</v>
      </c>
      <c r="K385" t="n">
        <v>0</v>
      </c>
      <c r="L385" t="n">
        <v>0</v>
      </c>
      <c r="M385" t="n">
        <v>0</v>
      </c>
      <c r="N385" t="n">
        <v>0</v>
      </c>
      <c r="O385" t="n">
        <v>0</v>
      </c>
      <c r="P385" t="n">
        <v>0</v>
      </c>
      <c r="Q385" t="n">
        <v>0</v>
      </c>
      <c r="R385" s="2" t="inlineStr"/>
    </row>
    <row r="386" ht="15" customHeight="1">
      <c r="A386" t="inlineStr">
        <is>
          <t>A 19732-2019</t>
        </is>
      </c>
      <c r="B386" s="1" t="n">
        <v>43566</v>
      </c>
      <c r="C386" s="1" t="n">
        <v>45583</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19731-2019</t>
        </is>
      </c>
      <c r="B387" s="1" t="n">
        <v>43566</v>
      </c>
      <c r="C387" s="1" t="n">
        <v>45583</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20201-2019</t>
        </is>
      </c>
      <c r="B388" s="1" t="n">
        <v>43570</v>
      </c>
      <c r="C388" s="1" t="n">
        <v>45583</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20198-2019</t>
        </is>
      </c>
      <c r="B389" s="1" t="n">
        <v>43570</v>
      </c>
      <c r="C389" s="1" t="n">
        <v>45583</v>
      </c>
      <c r="D389" t="inlineStr">
        <is>
          <t>VÄSTERNORRLANDS LÄN</t>
        </is>
      </c>
      <c r="E389" t="inlineStr">
        <is>
          <t>SOLLEFTEÅ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20200-2019</t>
        </is>
      </c>
      <c r="B390" s="1" t="n">
        <v>43570</v>
      </c>
      <c r="C390" s="1" t="n">
        <v>45583</v>
      </c>
      <c r="D390" t="inlineStr">
        <is>
          <t>VÄSTERNORRLANDS LÄN</t>
        </is>
      </c>
      <c r="E390" t="inlineStr">
        <is>
          <t>SOLLEFTEÅ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20444-2019</t>
        </is>
      </c>
      <c r="B391" s="1" t="n">
        <v>43571</v>
      </c>
      <c r="C391" s="1" t="n">
        <v>45583</v>
      </c>
      <c r="D391" t="inlineStr">
        <is>
          <t>VÄSTERNORRLANDS LÄN</t>
        </is>
      </c>
      <c r="E391" t="inlineStr">
        <is>
          <t>SOLLEFTEÅ</t>
        </is>
      </c>
      <c r="G391" t="n">
        <v>2.9</v>
      </c>
      <c r="H391" t="n">
        <v>0</v>
      </c>
      <c r="I391" t="n">
        <v>0</v>
      </c>
      <c r="J391" t="n">
        <v>0</v>
      </c>
      <c r="K391" t="n">
        <v>0</v>
      </c>
      <c r="L391" t="n">
        <v>0</v>
      </c>
      <c r="M391" t="n">
        <v>0</v>
      </c>
      <c r="N391" t="n">
        <v>0</v>
      </c>
      <c r="O391" t="n">
        <v>0</v>
      </c>
      <c r="P391" t="n">
        <v>0</v>
      </c>
      <c r="Q391" t="n">
        <v>0</v>
      </c>
      <c r="R391" s="2" t="inlineStr"/>
    </row>
    <row r="392" ht="15" customHeight="1">
      <c r="A392" t="inlineStr">
        <is>
          <t>A 20649-2019</t>
        </is>
      </c>
      <c r="B392" s="1" t="n">
        <v>43572</v>
      </c>
      <c r="C392" s="1" t="n">
        <v>45583</v>
      </c>
      <c r="D392" t="inlineStr">
        <is>
          <t>VÄSTERNORRLANDS LÄN</t>
        </is>
      </c>
      <c r="E392" t="inlineStr">
        <is>
          <t>SOLLEFTEÅ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20648-2019</t>
        </is>
      </c>
      <c r="B393" s="1" t="n">
        <v>43572</v>
      </c>
      <c r="C393" s="1" t="n">
        <v>45583</v>
      </c>
      <c r="D393" t="inlineStr">
        <is>
          <t>VÄSTERNORRLANDS LÄN</t>
        </is>
      </c>
      <c r="E393" t="inlineStr">
        <is>
          <t>SOLLEFTEÅ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21119-2019</t>
        </is>
      </c>
      <c r="B394" s="1" t="n">
        <v>43578</v>
      </c>
      <c r="C394" s="1" t="n">
        <v>45583</v>
      </c>
      <c r="D394" t="inlineStr">
        <is>
          <t>VÄSTERNORRLANDS LÄN</t>
        </is>
      </c>
      <c r="E394" t="inlineStr">
        <is>
          <t>SOLLEFTEÅ</t>
        </is>
      </c>
      <c r="F394" t="inlineStr">
        <is>
          <t>SCA</t>
        </is>
      </c>
      <c r="G394" t="n">
        <v>57.7</v>
      </c>
      <c r="H394" t="n">
        <v>0</v>
      </c>
      <c r="I394" t="n">
        <v>0</v>
      </c>
      <c r="J394" t="n">
        <v>0</v>
      </c>
      <c r="K394" t="n">
        <v>0</v>
      </c>
      <c r="L394" t="n">
        <v>0</v>
      </c>
      <c r="M394" t="n">
        <v>0</v>
      </c>
      <c r="N394" t="n">
        <v>0</v>
      </c>
      <c r="O394" t="n">
        <v>0</v>
      </c>
      <c r="P394" t="n">
        <v>0</v>
      </c>
      <c r="Q394" t="n">
        <v>0</v>
      </c>
      <c r="R394" s="2" t="inlineStr"/>
    </row>
    <row r="395" ht="15" customHeight="1">
      <c r="A395" t="inlineStr">
        <is>
          <t>A 21526-2019</t>
        </is>
      </c>
      <c r="B395" s="1" t="n">
        <v>43580</v>
      </c>
      <c r="C395" s="1" t="n">
        <v>45583</v>
      </c>
      <c r="D395" t="inlineStr">
        <is>
          <t>VÄSTERNORRLANDS LÄN</t>
        </is>
      </c>
      <c r="E395" t="inlineStr">
        <is>
          <t>SOLLEFTEÅ</t>
        </is>
      </c>
      <c r="G395" t="n">
        <v>3.1</v>
      </c>
      <c r="H395" t="n">
        <v>0</v>
      </c>
      <c r="I395" t="n">
        <v>0</v>
      </c>
      <c r="J395" t="n">
        <v>0</v>
      </c>
      <c r="K395" t="n">
        <v>0</v>
      </c>
      <c r="L395" t="n">
        <v>0</v>
      </c>
      <c r="M395" t="n">
        <v>0</v>
      </c>
      <c r="N395" t="n">
        <v>0</v>
      </c>
      <c r="O395" t="n">
        <v>0</v>
      </c>
      <c r="P395" t="n">
        <v>0</v>
      </c>
      <c r="Q395" t="n">
        <v>0</v>
      </c>
      <c r="R395" s="2" t="inlineStr"/>
    </row>
    <row r="396" ht="15" customHeight="1">
      <c r="A396" t="inlineStr">
        <is>
          <t>A 21799-2019</t>
        </is>
      </c>
      <c r="B396" s="1" t="n">
        <v>43581</v>
      </c>
      <c r="C396" s="1" t="n">
        <v>45583</v>
      </c>
      <c r="D396" t="inlineStr">
        <is>
          <t>VÄSTERNORRLANDS LÄN</t>
        </is>
      </c>
      <c r="E396" t="inlineStr">
        <is>
          <t>SOLLEFTEÅ</t>
        </is>
      </c>
      <c r="F396" t="inlineStr">
        <is>
          <t>SCA</t>
        </is>
      </c>
      <c r="G396" t="n">
        <v>14.1</v>
      </c>
      <c r="H396" t="n">
        <v>0</v>
      </c>
      <c r="I396" t="n">
        <v>0</v>
      </c>
      <c r="J396" t="n">
        <v>0</v>
      </c>
      <c r="K396" t="n">
        <v>0</v>
      </c>
      <c r="L396" t="n">
        <v>0</v>
      </c>
      <c r="M396" t="n">
        <v>0</v>
      </c>
      <c r="N396" t="n">
        <v>0</v>
      </c>
      <c r="O396" t="n">
        <v>0</v>
      </c>
      <c r="P396" t="n">
        <v>0</v>
      </c>
      <c r="Q396" t="n">
        <v>0</v>
      </c>
      <c r="R396" s="2" t="inlineStr"/>
    </row>
    <row r="397" ht="15" customHeight="1">
      <c r="A397" t="inlineStr">
        <is>
          <t>A 21788-2019</t>
        </is>
      </c>
      <c r="B397" s="1" t="n">
        <v>43581</v>
      </c>
      <c r="C397" s="1" t="n">
        <v>45583</v>
      </c>
      <c r="D397" t="inlineStr">
        <is>
          <t>VÄSTERNORRLANDS LÄN</t>
        </is>
      </c>
      <c r="E397" t="inlineStr">
        <is>
          <t>SOLLEFTEÅ</t>
        </is>
      </c>
      <c r="F397" t="inlineStr">
        <is>
          <t>SCA</t>
        </is>
      </c>
      <c r="G397" t="n">
        <v>7.7</v>
      </c>
      <c r="H397" t="n">
        <v>0</v>
      </c>
      <c r="I397" t="n">
        <v>0</v>
      </c>
      <c r="J397" t="n">
        <v>0</v>
      </c>
      <c r="K397" t="n">
        <v>0</v>
      </c>
      <c r="L397" t="n">
        <v>0</v>
      </c>
      <c r="M397" t="n">
        <v>0</v>
      </c>
      <c r="N397" t="n">
        <v>0</v>
      </c>
      <c r="O397" t="n">
        <v>0</v>
      </c>
      <c r="P397" t="n">
        <v>0</v>
      </c>
      <c r="Q397" t="n">
        <v>0</v>
      </c>
      <c r="R397" s="2" t="inlineStr"/>
    </row>
    <row r="398" ht="15" customHeight="1">
      <c r="A398" t="inlineStr">
        <is>
          <t>A 22088-2019</t>
        </is>
      </c>
      <c r="B398" s="1" t="n">
        <v>43584</v>
      </c>
      <c r="C398" s="1" t="n">
        <v>45583</v>
      </c>
      <c r="D398" t="inlineStr">
        <is>
          <t>VÄSTERNORRLANDS LÄN</t>
        </is>
      </c>
      <c r="E398" t="inlineStr">
        <is>
          <t>SOLLEFTEÅ</t>
        </is>
      </c>
      <c r="F398" t="inlineStr">
        <is>
          <t>SCA</t>
        </is>
      </c>
      <c r="G398" t="n">
        <v>37.9</v>
      </c>
      <c r="H398" t="n">
        <v>0</v>
      </c>
      <c r="I398" t="n">
        <v>0</v>
      </c>
      <c r="J398" t="n">
        <v>0</v>
      </c>
      <c r="K398" t="n">
        <v>0</v>
      </c>
      <c r="L398" t="n">
        <v>0</v>
      </c>
      <c r="M398" t="n">
        <v>0</v>
      </c>
      <c r="N398" t="n">
        <v>0</v>
      </c>
      <c r="O398" t="n">
        <v>0</v>
      </c>
      <c r="P398" t="n">
        <v>0</v>
      </c>
      <c r="Q398" t="n">
        <v>0</v>
      </c>
      <c r="R398" s="2" t="inlineStr"/>
    </row>
    <row r="399" ht="15" customHeight="1">
      <c r="A399" t="inlineStr">
        <is>
          <t>A 22283-2019</t>
        </is>
      </c>
      <c r="B399" s="1" t="n">
        <v>43585</v>
      </c>
      <c r="C399" s="1" t="n">
        <v>45583</v>
      </c>
      <c r="D399" t="inlineStr">
        <is>
          <t>VÄSTERNORRLANDS LÄN</t>
        </is>
      </c>
      <c r="E399" t="inlineStr">
        <is>
          <t>SOLLEFTEÅ</t>
        </is>
      </c>
      <c r="F399" t="inlineStr">
        <is>
          <t>SCA</t>
        </is>
      </c>
      <c r="G399" t="n">
        <v>9.1</v>
      </c>
      <c r="H399" t="n">
        <v>0</v>
      </c>
      <c r="I399" t="n">
        <v>0</v>
      </c>
      <c r="J399" t="n">
        <v>0</v>
      </c>
      <c r="K399" t="n">
        <v>0</v>
      </c>
      <c r="L399" t="n">
        <v>0</v>
      </c>
      <c r="M399" t="n">
        <v>0</v>
      </c>
      <c r="N399" t="n">
        <v>0</v>
      </c>
      <c r="O399" t="n">
        <v>0</v>
      </c>
      <c r="P399" t="n">
        <v>0</v>
      </c>
      <c r="Q399" t="n">
        <v>0</v>
      </c>
      <c r="R399" s="2" t="inlineStr"/>
    </row>
    <row r="400" ht="15" customHeight="1">
      <c r="A400" t="inlineStr">
        <is>
          <t>A 22587-2019</t>
        </is>
      </c>
      <c r="B400" s="1" t="n">
        <v>43587</v>
      </c>
      <c r="C400" s="1" t="n">
        <v>45583</v>
      </c>
      <c r="D400" t="inlineStr">
        <is>
          <t>VÄSTERNORRLANDS LÄN</t>
        </is>
      </c>
      <c r="E400" t="inlineStr">
        <is>
          <t>SOLLEFTEÅ</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23241-2019</t>
        </is>
      </c>
      <c r="B401" s="1" t="n">
        <v>43591</v>
      </c>
      <c r="C401" s="1" t="n">
        <v>45583</v>
      </c>
      <c r="D401" t="inlineStr">
        <is>
          <t>VÄSTERNORRLANDS LÄN</t>
        </is>
      </c>
      <c r="E401" t="inlineStr">
        <is>
          <t>SOLLEFTEÅ</t>
        </is>
      </c>
      <c r="G401" t="n">
        <v>6.2</v>
      </c>
      <c r="H401" t="n">
        <v>0</v>
      </c>
      <c r="I401" t="n">
        <v>0</v>
      </c>
      <c r="J401" t="n">
        <v>0</v>
      </c>
      <c r="K401" t="n">
        <v>0</v>
      </c>
      <c r="L401" t="n">
        <v>0</v>
      </c>
      <c r="M401" t="n">
        <v>0</v>
      </c>
      <c r="N401" t="n">
        <v>0</v>
      </c>
      <c r="O401" t="n">
        <v>0</v>
      </c>
      <c r="P401" t="n">
        <v>0</v>
      </c>
      <c r="Q401" t="n">
        <v>0</v>
      </c>
      <c r="R401" s="2" t="inlineStr"/>
    </row>
    <row r="402" ht="15" customHeight="1">
      <c r="A402" t="inlineStr">
        <is>
          <t>A 23314-2019</t>
        </is>
      </c>
      <c r="B402" s="1" t="n">
        <v>43591</v>
      </c>
      <c r="C402" s="1" t="n">
        <v>45583</v>
      </c>
      <c r="D402" t="inlineStr">
        <is>
          <t>VÄSTERNORRLANDS LÄN</t>
        </is>
      </c>
      <c r="E402" t="inlineStr">
        <is>
          <t>SOLLEFTEÅ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23323-2019</t>
        </is>
      </c>
      <c r="B403" s="1" t="n">
        <v>43591</v>
      </c>
      <c r="C403" s="1" t="n">
        <v>45583</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23246-2019</t>
        </is>
      </c>
      <c r="B404" s="1" t="n">
        <v>43591</v>
      </c>
      <c r="C404" s="1" t="n">
        <v>45583</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24157-2019</t>
        </is>
      </c>
      <c r="B405" s="1" t="n">
        <v>43598</v>
      </c>
      <c r="C405" s="1" t="n">
        <v>45583</v>
      </c>
      <c r="D405" t="inlineStr">
        <is>
          <t>VÄSTERNORRLANDS LÄN</t>
        </is>
      </c>
      <c r="E405" t="inlineStr">
        <is>
          <t>SOLLEFTEÅ</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24168-2019</t>
        </is>
      </c>
      <c r="B406" s="1" t="n">
        <v>43598</v>
      </c>
      <c r="C406" s="1" t="n">
        <v>45583</v>
      </c>
      <c r="D406" t="inlineStr">
        <is>
          <t>VÄSTERNORRLANDS LÄN</t>
        </is>
      </c>
      <c r="E406" t="inlineStr">
        <is>
          <t>SOLLEFTEÅ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25334-2019</t>
        </is>
      </c>
      <c r="B407" s="1" t="n">
        <v>43601</v>
      </c>
      <c r="C407" s="1" t="n">
        <v>45583</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25331-2019</t>
        </is>
      </c>
      <c r="B408" s="1" t="n">
        <v>43601</v>
      </c>
      <c r="C408" s="1" t="n">
        <v>45583</v>
      </c>
      <c r="D408" t="inlineStr">
        <is>
          <t>VÄSTERNORRLANDS LÄN</t>
        </is>
      </c>
      <c r="E408" t="inlineStr">
        <is>
          <t>SOLLEFTEÅ</t>
        </is>
      </c>
      <c r="G408" t="n">
        <v>7.2</v>
      </c>
      <c r="H408" t="n">
        <v>0</v>
      </c>
      <c r="I408" t="n">
        <v>0</v>
      </c>
      <c r="J408" t="n">
        <v>0</v>
      </c>
      <c r="K408" t="n">
        <v>0</v>
      </c>
      <c r="L408" t="n">
        <v>0</v>
      </c>
      <c r="M408" t="n">
        <v>0</v>
      </c>
      <c r="N408" t="n">
        <v>0</v>
      </c>
      <c r="O408" t="n">
        <v>0</v>
      </c>
      <c r="P408" t="n">
        <v>0</v>
      </c>
      <c r="Q408" t="n">
        <v>0</v>
      </c>
      <c r="R408" s="2" t="inlineStr"/>
    </row>
    <row r="409" ht="15" customHeight="1">
      <c r="A409" t="inlineStr">
        <is>
          <t>A 25260-2019</t>
        </is>
      </c>
      <c r="B409" s="1" t="n">
        <v>43601</v>
      </c>
      <c r="C409" s="1" t="n">
        <v>45583</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25328-2019</t>
        </is>
      </c>
      <c r="B410" s="1" t="n">
        <v>43601</v>
      </c>
      <c r="C410" s="1" t="n">
        <v>45583</v>
      </c>
      <c r="D410" t="inlineStr">
        <is>
          <t>VÄSTERNORRLANDS LÄN</t>
        </is>
      </c>
      <c r="E410" t="inlineStr">
        <is>
          <t>SOLLEFTEÅ</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25014-2019</t>
        </is>
      </c>
      <c r="B411" s="1" t="n">
        <v>43602</v>
      </c>
      <c r="C411" s="1" t="n">
        <v>45583</v>
      </c>
      <c r="D411" t="inlineStr">
        <is>
          <t>VÄSTERNORRLANDS LÄN</t>
        </is>
      </c>
      <c r="E411" t="inlineStr">
        <is>
          <t>SOLLEFTEÅ</t>
        </is>
      </c>
      <c r="F411" t="inlineStr">
        <is>
          <t>SCA</t>
        </is>
      </c>
      <c r="G411" t="n">
        <v>11.1</v>
      </c>
      <c r="H411" t="n">
        <v>0</v>
      </c>
      <c r="I411" t="n">
        <v>0</v>
      </c>
      <c r="J411" t="n">
        <v>0</v>
      </c>
      <c r="K411" t="n">
        <v>0</v>
      </c>
      <c r="L411" t="n">
        <v>0</v>
      </c>
      <c r="M411" t="n">
        <v>0</v>
      </c>
      <c r="N411" t="n">
        <v>0</v>
      </c>
      <c r="O411" t="n">
        <v>0</v>
      </c>
      <c r="P411" t="n">
        <v>0</v>
      </c>
      <c r="Q411" t="n">
        <v>0</v>
      </c>
      <c r="R411" s="2" t="inlineStr"/>
    </row>
    <row r="412" ht="15" customHeight="1">
      <c r="A412" t="inlineStr">
        <is>
          <t>A 26111-2019</t>
        </is>
      </c>
      <c r="B412" s="1" t="n">
        <v>43605</v>
      </c>
      <c r="C412" s="1" t="n">
        <v>45583</v>
      </c>
      <c r="D412" t="inlineStr">
        <is>
          <t>VÄSTERNORRLANDS LÄN</t>
        </is>
      </c>
      <c r="E412" t="inlineStr">
        <is>
          <t>SOLLEFTEÅ</t>
        </is>
      </c>
      <c r="G412" t="n">
        <v>3.5</v>
      </c>
      <c r="H412" t="n">
        <v>0</v>
      </c>
      <c r="I412" t="n">
        <v>0</v>
      </c>
      <c r="J412" t="n">
        <v>0</v>
      </c>
      <c r="K412" t="n">
        <v>0</v>
      </c>
      <c r="L412" t="n">
        <v>0</v>
      </c>
      <c r="M412" t="n">
        <v>0</v>
      </c>
      <c r="N412" t="n">
        <v>0</v>
      </c>
      <c r="O412" t="n">
        <v>0</v>
      </c>
      <c r="P412" t="n">
        <v>0</v>
      </c>
      <c r="Q412" t="n">
        <v>0</v>
      </c>
      <c r="R412" s="2" t="inlineStr"/>
    </row>
    <row r="413" ht="15" customHeight="1">
      <c r="A413" t="inlineStr">
        <is>
          <t>A 25714-2019</t>
        </is>
      </c>
      <c r="B413" s="1" t="n">
        <v>43607</v>
      </c>
      <c r="C413" s="1" t="n">
        <v>45583</v>
      </c>
      <c r="D413" t="inlineStr">
        <is>
          <t>VÄSTERNORRLANDS LÄN</t>
        </is>
      </c>
      <c r="E413" t="inlineStr">
        <is>
          <t>SOLLEFTEÅ</t>
        </is>
      </c>
      <c r="F413" t="inlineStr">
        <is>
          <t>SCA</t>
        </is>
      </c>
      <c r="G413" t="n">
        <v>28.3</v>
      </c>
      <c r="H413" t="n">
        <v>0</v>
      </c>
      <c r="I413" t="n">
        <v>0</v>
      </c>
      <c r="J413" t="n">
        <v>0</v>
      </c>
      <c r="K413" t="n">
        <v>0</v>
      </c>
      <c r="L413" t="n">
        <v>0</v>
      </c>
      <c r="M413" t="n">
        <v>0</v>
      </c>
      <c r="N413" t="n">
        <v>0</v>
      </c>
      <c r="O413" t="n">
        <v>0</v>
      </c>
      <c r="P413" t="n">
        <v>0</v>
      </c>
      <c r="Q413" t="n">
        <v>0</v>
      </c>
      <c r="R413" s="2" t="inlineStr"/>
    </row>
    <row r="414" ht="15" customHeight="1">
      <c r="A414" t="inlineStr">
        <is>
          <t>A 25979-2019</t>
        </is>
      </c>
      <c r="B414" s="1" t="n">
        <v>43608</v>
      </c>
      <c r="C414" s="1" t="n">
        <v>45583</v>
      </c>
      <c r="D414" t="inlineStr">
        <is>
          <t>VÄSTERNORRLANDS LÄN</t>
        </is>
      </c>
      <c r="E414" t="inlineStr">
        <is>
          <t>SOLLEFTEÅ</t>
        </is>
      </c>
      <c r="F414" t="inlineStr">
        <is>
          <t>SCA</t>
        </is>
      </c>
      <c r="G414" t="n">
        <v>26.1</v>
      </c>
      <c r="H414" t="n">
        <v>0</v>
      </c>
      <c r="I414" t="n">
        <v>0</v>
      </c>
      <c r="J414" t="n">
        <v>0</v>
      </c>
      <c r="K414" t="n">
        <v>0</v>
      </c>
      <c r="L414" t="n">
        <v>0</v>
      </c>
      <c r="M414" t="n">
        <v>0</v>
      </c>
      <c r="N414" t="n">
        <v>0</v>
      </c>
      <c r="O414" t="n">
        <v>0</v>
      </c>
      <c r="P414" t="n">
        <v>0</v>
      </c>
      <c r="Q414" t="n">
        <v>0</v>
      </c>
      <c r="R414" s="2" t="inlineStr"/>
    </row>
    <row r="415" ht="15" customHeight="1">
      <c r="A415" t="inlineStr">
        <is>
          <t>A 25982-2019</t>
        </is>
      </c>
      <c r="B415" s="1" t="n">
        <v>43608</v>
      </c>
      <c r="C415" s="1" t="n">
        <v>45583</v>
      </c>
      <c r="D415" t="inlineStr">
        <is>
          <t>VÄSTERNORRLANDS LÄN</t>
        </is>
      </c>
      <c r="E415" t="inlineStr">
        <is>
          <t>SOLLEFTEÅ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25997-2019</t>
        </is>
      </c>
      <c r="B416" s="1" t="n">
        <v>43608</v>
      </c>
      <c r="C416" s="1" t="n">
        <v>45583</v>
      </c>
      <c r="D416" t="inlineStr">
        <is>
          <t>VÄSTERNORRLANDS LÄN</t>
        </is>
      </c>
      <c r="E416" t="inlineStr">
        <is>
          <t>SOLLEFTEÅ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25959-2019</t>
        </is>
      </c>
      <c r="B417" s="1" t="n">
        <v>43608</v>
      </c>
      <c r="C417" s="1" t="n">
        <v>45583</v>
      </c>
      <c r="D417" t="inlineStr">
        <is>
          <t>VÄSTERNORRLANDS LÄN</t>
        </is>
      </c>
      <c r="E417" t="inlineStr">
        <is>
          <t>SOLLEFTEÅ</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26254-2019</t>
        </is>
      </c>
      <c r="B418" s="1" t="n">
        <v>43609</v>
      </c>
      <c r="C418" s="1" t="n">
        <v>45583</v>
      </c>
      <c r="D418" t="inlineStr">
        <is>
          <t>VÄSTERNORRLANDS LÄN</t>
        </is>
      </c>
      <c r="E418" t="inlineStr">
        <is>
          <t>SOLLEFTEÅ</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26253-2019</t>
        </is>
      </c>
      <c r="B419" s="1" t="n">
        <v>43609</v>
      </c>
      <c r="C419" s="1" t="n">
        <v>45583</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26640-2019</t>
        </is>
      </c>
      <c r="B420" s="1" t="n">
        <v>43612</v>
      </c>
      <c r="C420" s="1" t="n">
        <v>45583</v>
      </c>
      <c r="D420" t="inlineStr">
        <is>
          <t>VÄSTERNORRLANDS LÄN</t>
        </is>
      </c>
      <c r="E420" t="inlineStr">
        <is>
          <t>SOLLEFTEÅ</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27597-2019</t>
        </is>
      </c>
      <c r="B421" s="1" t="n">
        <v>43612</v>
      </c>
      <c r="C421" s="1" t="n">
        <v>45583</v>
      </c>
      <c r="D421" t="inlineStr">
        <is>
          <t>VÄSTERNORRLANDS LÄN</t>
        </is>
      </c>
      <c r="E421" t="inlineStr">
        <is>
          <t>SOLLEFTEÅ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26945-2019</t>
        </is>
      </c>
      <c r="B422" s="1" t="n">
        <v>43613</v>
      </c>
      <c r="C422" s="1" t="n">
        <v>45583</v>
      </c>
      <c r="D422" t="inlineStr">
        <is>
          <t>VÄSTERNORRLANDS LÄN</t>
        </is>
      </c>
      <c r="E422" t="inlineStr">
        <is>
          <t>SOLLEFTEÅ</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26957-2019</t>
        </is>
      </c>
      <c r="B423" s="1" t="n">
        <v>43613</v>
      </c>
      <c r="C423" s="1" t="n">
        <v>45583</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27226-2019</t>
        </is>
      </c>
      <c r="B424" s="1" t="n">
        <v>43614</v>
      </c>
      <c r="C424" s="1" t="n">
        <v>45583</v>
      </c>
      <c r="D424" t="inlineStr">
        <is>
          <t>VÄSTERNORRLANDS LÄN</t>
        </is>
      </c>
      <c r="E424" t="inlineStr">
        <is>
          <t>SOLLEFTEÅ</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27979-2019</t>
        </is>
      </c>
      <c r="B425" s="1" t="n">
        <v>43620</v>
      </c>
      <c r="C425" s="1" t="n">
        <v>45583</v>
      </c>
      <c r="D425" t="inlineStr">
        <is>
          <t>VÄSTERNORRLANDS LÄN</t>
        </is>
      </c>
      <c r="E425" t="inlineStr">
        <is>
          <t>SOLLEFTEÅ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28212-2019</t>
        </is>
      </c>
      <c r="B426" s="1" t="n">
        <v>43621</v>
      </c>
      <c r="C426" s="1" t="n">
        <v>45583</v>
      </c>
      <c r="D426" t="inlineStr">
        <is>
          <t>VÄSTERNORRLANDS LÄN</t>
        </is>
      </c>
      <c r="E426" t="inlineStr">
        <is>
          <t>SOLLEFTEÅ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28236-2019</t>
        </is>
      </c>
      <c r="B427" s="1" t="n">
        <v>43621</v>
      </c>
      <c r="C427" s="1" t="n">
        <v>45583</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30383-2019</t>
        </is>
      </c>
      <c r="B428" s="1" t="n">
        <v>43634</v>
      </c>
      <c r="C428" s="1" t="n">
        <v>45583</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30628-2019</t>
        </is>
      </c>
      <c r="B429" s="1" t="n">
        <v>43635</v>
      </c>
      <c r="C429" s="1" t="n">
        <v>45583</v>
      </c>
      <c r="D429" t="inlineStr">
        <is>
          <t>VÄSTERNORRLANDS LÄN</t>
        </is>
      </c>
      <c r="E429" t="inlineStr">
        <is>
          <t>SOLLEFTEÅ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32202-2019</t>
        </is>
      </c>
      <c r="B430" s="1" t="n">
        <v>43643</v>
      </c>
      <c r="C430" s="1" t="n">
        <v>45583</v>
      </c>
      <c r="D430" t="inlineStr">
        <is>
          <t>VÄSTERNORRLANDS LÄN</t>
        </is>
      </c>
      <c r="E430" t="inlineStr">
        <is>
          <t>SOLLEFTEÅ</t>
        </is>
      </c>
      <c r="G430" t="n">
        <v>2.7</v>
      </c>
      <c r="H430" t="n">
        <v>0</v>
      </c>
      <c r="I430" t="n">
        <v>0</v>
      </c>
      <c r="J430" t="n">
        <v>0</v>
      </c>
      <c r="K430" t="n">
        <v>0</v>
      </c>
      <c r="L430" t="n">
        <v>0</v>
      </c>
      <c r="M430" t="n">
        <v>0</v>
      </c>
      <c r="N430" t="n">
        <v>0</v>
      </c>
      <c r="O430" t="n">
        <v>0</v>
      </c>
      <c r="P430" t="n">
        <v>0</v>
      </c>
      <c r="Q430" t="n">
        <v>0</v>
      </c>
      <c r="R430" s="2" t="inlineStr"/>
    </row>
    <row r="431" ht="15" customHeight="1">
      <c r="A431" t="inlineStr">
        <is>
          <t>A 32203-2019</t>
        </is>
      </c>
      <c r="B431" s="1" t="n">
        <v>43643</v>
      </c>
      <c r="C431" s="1" t="n">
        <v>45583</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32744-2019</t>
        </is>
      </c>
      <c r="B432" s="1" t="n">
        <v>43647</v>
      </c>
      <c r="C432" s="1" t="n">
        <v>45583</v>
      </c>
      <c r="D432" t="inlineStr">
        <is>
          <t>VÄSTERNORRLANDS LÄN</t>
        </is>
      </c>
      <c r="E432" t="inlineStr">
        <is>
          <t>SOLLEFTEÅ</t>
        </is>
      </c>
      <c r="F432" t="inlineStr">
        <is>
          <t>SCA</t>
        </is>
      </c>
      <c r="G432" t="n">
        <v>33.3</v>
      </c>
      <c r="H432" t="n">
        <v>0</v>
      </c>
      <c r="I432" t="n">
        <v>0</v>
      </c>
      <c r="J432" t="n">
        <v>0</v>
      </c>
      <c r="K432" t="n">
        <v>0</v>
      </c>
      <c r="L432" t="n">
        <v>0</v>
      </c>
      <c r="M432" t="n">
        <v>0</v>
      </c>
      <c r="N432" t="n">
        <v>0</v>
      </c>
      <c r="O432" t="n">
        <v>0</v>
      </c>
      <c r="P432" t="n">
        <v>0</v>
      </c>
      <c r="Q432" t="n">
        <v>0</v>
      </c>
      <c r="R432" s="2" t="inlineStr"/>
    </row>
    <row r="433" ht="15" customHeight="1">
      <c r="A433" t="inlineStr">
        <is>
          <t>A 33217-2019</t>
        </is>
      </c>
      <c r="B433" s="1" t="n">
        <v>43649</v>
      </c>
      <c r="C433" s="1" t="n">
        <v>45583</v>
      </c>
      <c r="D433" t="inlineStr">
        <is>
          <t>VÄSTERNORRLANDS LÄN</t>
        </is>
      </c>
      <c r="E433" t="inlineStr">
        <is>
          <t>SOLLEFTEÅ</t>
        </is>
      </c>
      <c r="G433" t="n">
        <v>29.3</v>
      </c>
      <c r="H433" t="n">
        <v>0</v>
      </c>
      <c r="I433" t="n">
        <v>0</v>
      </c>
      <c r="J433" t="n">
        <v>0</v>
      </c>
      <c r="K433" t="n">
        <v>0</v>
      </c>
      <c r="L433" t="n">
        <v>0</v>
      </c>
      <c r="M433" t="n">
        <v>0</v>
      </c>
      <c r="N433" t="n">
        <v>0</v>
      </c>
      <c r="O433" t="n">
        <v>0</v>
      </c>
      <c r="P433" t="n">
        <v>0</v>
      </c>
      <c r="Q433" t="n">
        <v>0</v>
      </c>
      <c r="R433" s="2" t="inlineStr"/>
    </row>
    <row r="434" ht="15" customHeight="1">
      <c r="A434" t="inlineStr">
        <is>
          <t>A 34886-2019</t>
        </is>
      </c>
      <c r="B434" s="1" t="n">
        <v>43650</v>
      </c>
      <c r="C434" s="1" t="n">
        <v>45583</v>
      </c>
      <c r="D434" t="inlineStr">
        <is>
          <t>VÄSTERNORRLANDS LÄN</t>
        </is>
      </c>
      <c r="E434" t="inlineStr">
        <is>
          <t>SOLLEFTEÅ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33833-2019</t>
        </is>
      </c>
      <c r="B435" s="1" t="n">
        <v>43651</v>
      </c>
      <c r="C435" s="1" t="n">
        <v>45583</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33826-2019</t>
        </is>
      </c>
      <c r="B436" s="1" t="n">
        <v>43651</v>
      </c>
      <c r="C436" s="1" t="n">
        <v>45583</v>
      </c>
      <c r="D436" t="inlineStr">
        <is>
          <t>VÄSTERNORRLANDS LÄN</t>
        </is>
      </c>
      <c r="E436" t="inlineStr">
        <is>
          <t>SOLLEFTEÅ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33852-2019</t>
        </is>
      </c>
      <c r="B437" s="1" t="n">
        <v>43651</v>
      </c>
      <c r="C437" s="1" t="n">
        <v>45583</v>
      </c>
      <c r="D437" t="inlineStr">
        <is>
          <t>VÄSTERNORRLANDS LÄN</t>
        </is>
      </c>
      <c r="E437" t="inlineStr">
        <is>
          <t>SOLLEFTEÅ</t>
        </is>
      </c>
      <c r="G437" t="n">
        <v>1.6</v>
      </c>
      <c r="H437" t="n">
        <v>0</v>
      </c>
      <c r="I437" t="n">
        <v>0</v>
      </c>
      <c r="J437" t="n">
        <v>0</v>
      </c>
      <c r="K437" t="n">
        <v>0</v>
      </c>
      <c r="L437" t="n">
        <v>0</v>
      </c>
      <c r="M437" t="n">
        <v>0</v>
      </c>
      <c r="N437" t="n">
        <v>0</v>
      </c>
      <c r="O437" t="n">
        <v>0</v>
      </c>
      <c r="P437" t="n">
        <v>0</v>
      </c>
      <c r="Q437" t="n">
        <v>0</v>
      </c>
      <c r="R437" s="2" t="inlineStr"/>
    </row>
    <row r="438" ht="15" customHeight="1">
      <c r="A438" t="inlineStr">
        <is>
          <t>A 33914-2019</t>
        </is>
      </c>
      <c r="B438" s="1" t="n">
        <v>43654</v>
      </c>
      <c r="C438" s="1" t="n">
        <v>45583</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34113-2019</t>
        </is>
      </c>
      <c r="B439" s="1" t="n">
        <v>43654</v>
      </c>
      <c r="C439" s="1" t="n">
        <v>45583</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34311-2019</t>
        </is>
      </c>
      <c r="B440" s="1" t="n">
        <v>43655</v>
      </c>
      <c r="C440" s="1" t="n">
        <v>45583</v>
      </c>
      <c r="D440" t="inlineStr">
        <is>
          <t>VÄSTERNORRLANDS LÄN</t>
        </is>
      </c>
      <c r="E440" t="inlineStr">
        <is>
          <t>SOLLEFTEÅ</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34229-2019</t>
        </is>
      </c>
      <c r="B441" s="1" t="n">
        <v>43655</v>
      </c>
      <c r="C441" s="1" t="n">
        <v>45583</v>
      </c>
      <c r="D441" t="inlineStr">
        <is>
          <t>VÄSTERNORRLANDS LÄN</t>
        </is>
      </c>
      <c r="E441" t="inlineStr">
        <is>
          <t>SOLLEFTEÅ</t>
        </is>
      </c>
      <c r="G441" t="n">
        <v>7.9</v>
      </c>
      <c r="H441" t="n">
        <v>0</v>
      </c>
      <c r="I441" t="n">
        <v>0</v>
      </c>
      <c r="J441" t="n">
        <v>0</v>
      </c>
      <c r="K441" t="n">
        <v>0</v>
      </c>
      <c r="L441" t="n">
        <v>0</v>
      </c>
      <c r="M441" t="n">
        <v>0</v>
      </c>
      <c r="N441" t="n">
        <v>0</v>
      </c>
      <c r="O441" t="n">
        <v>0</v>
      </c>
      <c r="P441" t="n">
        <v>0</v>
      </c>
      <c r="Q441" t="n">
        <v>0</v>
      </c>
      <c r="R441" s="2" t="inlineStr"/>
    </row>
    <row r="442" ht="15" customHeight="1">
      <c r="A442" t="inlineStr">
        <is>
          <t>A 34302-2019</t>
        </is>
      </c>
      <c r="B442" s="1" t="n">
        <v>43655</v>
      </c>
      <c r="C442" s="1" t="n">
        <v>45583</v>
      </c>
      <c r="D442" t="inlineStr">
        <is>
          <t>VÄSTERNORRLANDS LÄN</t>
        </is>
      </c>
      <c r="E442" t="inlineStr">
        <is>
          <t>SOLLEFTEÅ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34738-2019</t>
        </is>
      </c>
      <c r="B443" s="1" t="n">
        <v>43657</v>
      </c>
      <c r="C443" s="1" t="n">
        <v>45583</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34916-2019</t>
        </is>
      </c>
      <c r="B444" s="1" t="n">
        <v>43658</v>
      </c>
      <c r="C444" s="1" t="n">
        <v>45583</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35320-2019</t>
        </is>
      </c>
      <c r="B445" s="1" t="n">
        <v>43662</v>
      </c>
      <c r="C445" s="1" t="n">
        <v>45583</v>
      </c>
      <c r="D445" t="inlineStr">
        <is>
          <t>VÄSTERNORRLANDS LÄN</t>
        </is>
      </c>
      <c r="E445" t="inlineStr">
        <is>
          <t>SOLLEFTEÅ</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35970-2019</t>
        </is>
      </c>
      <c r="B446" s="1" t="n">
        <v>43665</v>
      </c>
      <c r="C446" s="1" t="n">
        <v>45583</v>
      </c>
      <c r="D446" t="inlineStr">
        <is>
          <t>VÄSTERNORRLANDS LÄN</t>
        </is>
      </c>
      <c r="E446" t="inlineStr">
        <is>
          <t>SOLLEFTEÅ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35969-2019</t>
        </is>
      </c>
      <c r="B447" s="1" t="n">
        <v>43665</v>
      </c>
      <c r="C447" s="1" t="n">
        <v>45583</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36137-2019</t>
        </is>
      </c>
      <c r="B448" s="1" t="n">
        <v>43668</v>
      </c>
      <c r="C448" s="1" t="n">
        <v>45583</v>
      </c>
      <c r="D448" t="inlineStr">
        <is>
          <t>VÄSTERNORRLANDS LÄN</t>
        </is>
      </c>
      <c r="E448" t="inlineStr">
        <is>
          <t>SOLLEFTEÅ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36486-2019</t>
        </is>
      </c>
      <c r="B449" s="1" t="n">
        <v>43668</v>
      </c>
      <c r="C449" s="1" t="n">
        <v>45583</v>
      </c>
      <c r="D449" t="inlineStr">
        <is>
          <t>VÄSTERNORRLANDS LÄN</t>
        </is>
      </c>
      <c r="E449" t="inlineStr">
        <is>
          <t>SOLLEFTEÅ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36293-2019</t>
        </is>
      </c>
      <c r="B450" s="1" t="n">
        <v>43669</v>
      </c>
      <c r="C450" s="1" t="n">
        <v>45583</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36711-2019</t>
        </is>
      </c>
      <c r="B451" s="1" t="n">
        <v>43671</v>
      </c>
      <c r="C451" s="1" t="n">
        <v>45583</v>
      </c>
      <c r="D451" t="inlineStr">
        <is>
          <t>VÄSTERNORRLANDS LÄN</t>
        </is>
      </c>
      <c r="E451" t="inlineStr">
        <is>
          <t>SOLLEFTEÅ</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37292-2019</t>
        </is>
      </c>
      <c r="B452" s="1" t="n">
        <v>43677</v>
      </c>
      <c r="C452" s="1" t="n">
        <v>45583</v>
      </c>
      <c r="D452" t="inlineStr">
        <is>
          <t>VÄSTERNORRLANDS LÄN</t>
        </is>
      </c>
      <c r="E452" t="inlineStr">
        <is>
          <t>SOLLEFTEÅ</t>
        </is>
      </c>
      <c r="G452" t="n">
        <v>7.8</v>
      </c>
      <c r="H452" t="n">
        <v>0</v>
      </c>
      <c r="I452" t="n">
        <v>0</v>
      </c>
      <c r="J452" t="n">
        <v>0</v>
      </c>
      <c r="K452" t="n">
        <v>0</v>
      </c>
      <c r="L452" t="n">
        <v>0</v>
      </c>
      <c r="M452" t="n">
        <v>0</v>
      </c>
      <c r="N452" t="n">
        <v>0</v>
      </c>
      <c r="O452" t="n">
        <v>0</v>
      </c>
      <c r="P452" t="n">
        <v>0</v>
      </c>
      <c r="Q452" t="n">
        <v>0</v>
      </c>
      <c r="R452" s="2" t="inlineStr"/>
    </row>
    <row r="453" ht="15" customHeight="1">
      <c r="A453" t="inlineStr">
        <is>
          <t>A 37291-2019</t>
        </is>
      </c>
      <c r="B453" s="1" t="n">
        <v>43677</v>
      </c>
      <c r="C453" s="1" t="n">
        <v>45583</v>
      </c>
      <c r="D453" t="inlineStr">
        <is>
          <t>VÄSTERNORRLANDS LÄN</t>
        </is>
      </c>
      <c r="E453" t="inlineStr">
        <is>
          <t>SOLLEFTEÅ</t>
        </is>
      </c>
      <c r="G453" t="n">
        <v>7.4</v>
      </c>
      <c r="H453" t="n">
        <v>0</v>
      </c>
      <c r="I453" t="n">
        <v>0</v>
      </c>
      <c r="J453" t="n">
        <v>0</v>
      </c>
      <c r="K453" t="n">
        <v>0</v>
      </c>
      <c r="L453" t="n">
        <v>0</v>
      </c>
      <c r="M453" t="n">
        <v>0</v>
      </c>
      <c r="N453" t="n">
        <v>0</v>
      </c>
      <c r="O453" t="n">
        <v>0</v>
      </c>
      <c r="P453" t="n">
        <v>0</v>
      </c>
      <c r="Q453" t="n">
        <v>0</v>
      </c>
      <c r="R453" s="2" t="inlineStr"/>
    </row>
    <row r="454" ht="15" customHeight="1">
      <c r="A454" t="inlineStr">
        <is>
          <t>A 37434-2019</t>
        </is>
      </c>
      <c r="B454" s="1" t="n">
        <v>43678</v>
      </c>
      <c r="C454" s="1" t="n">
        <v>45583</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37652-2019</t>
        </is>
      </c>
      <c r="B455" s="1" t="n">
        <v>43679</v>
      </c>
      <c r="C455" s="1" t="n">
        <v>45583</v>
      </c>
      <c r="D455" t="inlineStr">
        <is>
          <t>VÄSTERNORRLANDS LÄN</t>
        </is>
      </c>
      <c r="E455" t="inlineStr">
        <is>
          <t>SOLLEFTEÅ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37670-2019</t>
        </is>
      </c>
      <c r="B456" s="1" t="n">
        <v>43679</v>
      </c>
      <c r="C456" s="1" t="n">
        <v>45583</v>
      </c>
      <c r="D456" t="inlineStr">
        <is>
          <t>VÄSTERNORRLANDS LÄN</t>
        </is>
      </c>
      <c r="E456" t="inlineStr">
        <is>
          <t>SOLLEFTEÅ</t>
        </is>
      </c>
      <c r="G456" t="n">
        <v>3.2</v>
      </c>
      <c r="H456" t="n">
        <v>0</v>
      </c>
      <c r="I456" t="n">
        <v>0</v>
      </c>
      <c r="J456" t="n">
        <v>0</v>
      </c>
      <c r="K456" t="n">
        <v>0</v>
      </c>
      <c r="L456" t="n">
        <v>0</v>
      </c>
      <c r="M456" t="n">
        <v>0</v>
      </c>
      <c r="N456" t="n">
        <v>0</v>
      </c>
      <c r="O456" t="n">
        <v>0</v>
      </c>
      <c r="P456" t="n">
        <v>0</v>
      </c>
      <c r="Q456" t="n">
        <v>0</v>
      </c>
      <c r="R456" s="2" t="inlineStr"/>
    </row>
    <row r="457" ht="15" customHeight="1">
      <c r="A457" t="inlineStr">
        <is>
          <t>A 38081-2019</t>
        </is>
      </c>
      <c r="B457" s="1" t="n">
        <v>43682</v>
      </c>
      <c r="C457" s="1" t="n">
        <v>45583</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38074-2019</t>
        </is>
      </c>
      <c r="B458" s="1" t="n">
        <v>43682</v>
      </c>
      <c r="C458" s="1" t="n">
        <v>45583</v>
      </c>
      <c r="D458" t="inlineStr">
        <is>
          <t>VÄSTERNORRLANDS LÄN</t>
        </is>
      </c>
      <c r="E458" t="inlineStr">
        <is>
          <t>SOLLEFTEÅ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38080-2019</t>
        </is>
      </c>
      <c r="B459" s="1" t="n">
        <v>43682</v>
      </c>
      <c r="C459" s="1" t="n">
        <v>45583</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38083-2019</t>
        </is>
      </c>
      <c r="B460" s="1" t="n">
        <v>43682</v>
      </c>
      <c r="C460" s="1" t="n">
        <v>45583</v>
      </c>
      <c r="D460" t="inlineStr">
        <is>
          <t>VÄSTERNORRLANDS LÄN</t>
        </is>
      </c>
      <c r="E460" t="inlineStr">
        <is>
          <t>SOLLEFTEÅ</t>
        </is>
      </c>
      <c r="G460" t="n">
        <v>9.6</v>
      </c>
      <c r="H460" t="n">
        <v>0</v>
      </c>
      <c r="I460" t="n">
        <v>0</v>
      </c>
      <c r="J460" t="n">
        <v>0</v>
      </c>
      <c r="K460" t="n">
        <v>0</v>
      </c>
      <c r="L460" t="n">
        <v>0</v>
      </c>
      <c r="M460" t="n">
        <v>0</v>
      </c>
      <c r="N460" t="n">
        <v>0</v>
      </c>
      <c r="O460" t="n">
        <v>0</v>
      </c>
      <c r="P460" t="n">
        <v>0</v>
      </c>
      <c r="Q460" t="n">
        <v>0</v>
      </c>
      <c r="R460" s="2" t="inlineStr"/>
    </row>
    <row r="461" ht="15" customHeight="1">
      <c r="A461" t="inlineStr">
        <is>
          <t>A 38544-2019</t>
        </is>
      </c>
      <c r="B461" s="1" t="n">
        <v>43684</v>
      </c>
      <c r="C461" s="1" t="n">
        <v>45583</v>
      </c>
      <c r="D461" t="inlineStr">
        <is>
          <t>VÄSTERNORRLANDS LÄN</t>
        </is>
      </c>
      <c r="E461" t="inlineStr">
        <is>
          <t>SOLLEFTEÅ</t>
        </is>
      </c>
      <c r="G461" t="n">
        <v>6.6</v>
      </c>
      <c r="H461" t="n">
        <v>0</v>
      </c>
      <c r="I461" t="n">
        <v>0</v>
      </c>
      <c r="J461" t="n">
        <v>0</v>
      </c>
      <c r="K461" t="n">
        <v>0</v>
      </c>
      <c r="L461" t="n">
        <v>0</v>
      </c>
      <c r="M461" t="n">
        <v>0</v>
      </c>
      <c r="N461" t="n">
        <v>0</v>
      </c>
      <c r="O461" t="n">
        <v>0</v>
      </c>
      <c r="P461" t="n">
        <v>0</v>
      </c>
      <c r="Q461" t="n">
        <v>0</v>
      </c>
      <c r="R461" s="2" t="inlineStr"/>
    </row>
    <row r="462" ht="15" customHeight="1">
      <c r="A462" t="inlineStr">
        <is>
          <t>A 38252-2019</t>
        </is>
      </c>
      <c r="B462" s="1" t="n">
        <v>43684</v>
      </c>
      <c r="C462" s="1" t="n">
        <v>45583</v>
      </c>
      <c r="D462" t="inlineStr">
        <is>
          <t>VÄSTERNORRLANDS LÄN</t>
        </is>
      </c>
      <c r="E462" t="inlineStr">
        <is>
          <t>SOLLEFTEÅ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38566-2019</t>
        </is>
      </c>
      <c r="B463" s="1" t="n">
        <v>43685</v>
      </c>
      <c r="C463" s="1" t="n">
        <v>45583</v>
      </c>
      <c r="D463" t="inlineStr">
        <is>
          <t>VÄSTERNORRLANDS LÄN</t>
        </is>
      </c>
      <c r="E463" t="inlineStr">
        <is>
          <t>SOLLEFTEÅ</t>
        </is>
      </c>
      <c r="F463" t="inlineStr">
        <is>
          <t>SCA</t>
        </is>
      </c>
      <c r="G463" t="n">
        <v>15.1</v>
      </c>
      <c r="H463" t="n">
        <v>0</v>
      </c>
      <c r="I463" t="n">
        <v>0</v>
      </c>
      <c r="J463" t="n">
        <v>0</v>
      </c>
      <c r="K463" t="n">
        <v>0</v>
      </c>
      <c r="L463" t="n">
        <v>0</v>
      </c>
      <c r="M463" t="n">
        <v>0</v>
      </c>
      <c r="N463" t="n">
        <v>0</v>
      </c>
      <c r="O463" t="n">
        <v>0</v>
      </c>
      <c r="P463" t="n">
        <v>0</v>
      </c>
      <c r="Q463" t="n">
        <v>0</v>
      </c>
      <c r="R463" s="2" t="inlineStr"/>
    </row>
    <row r="464" ht="15" customHeight="1">
      <c r="A464" t="inlineStr">
        <is>
          <t>A 38762-2019</t>
        </is>
      </c>
      <c r="B464" s="1" t="n">
        <v>43686</v>
      </c>
      <c r="C464" s="1" t="n">
        <v>45583</v>
      </c>
      <c r="D464" t="inlineStr">
        <is>
          <t>VÄSTERNORRLANDS LÄN</t>
        </is>
      </c>
      <c r="E464" t="inlineStr">
        <is>
          <t>SOLLEFTEÅ</t>
        </is>
      </c>
      <c r="G464" t="n">
        <v>7.7</v>
      </c>
      <c r="H464" t="n">
        <v>0</v>
      </c>
      <c r="I464" t="n">
        <v>0</v>
      </c>
      <c r="J464" t="n">
        <v>0</v>
      </c>
      <c r="K464" t="n">
        <v>0</v>
      </c>
      <c r="L464" t="n">
        <v>0</v>
      </c>
      <c r="M464" t="n">
        <v>0</v>
      </c>
      <c r="N464" t="n">
        <v>0</v>
      </c>
      <c r="O464" t="n">
        <v>0</v>
      </c>
      <c r="P464" t="n">
        <v>0</v>
      </c>
      <c r="Q464" t="n">
        <v>0</v>
      </c>
      <c r="R464" s="2" t="inlineStr"/>
    </row>
    <row r="465" ht="15" customHeight="1">
      <c r="A465" t="inlineStr">
        <is>
          <t>A 38763-2019</t>
        </is>
      </c>
      <c r="B465" s="1" t="n">
        <v>43686</v>
      </c>
      <c r="C465" s="1" t="n">
        <v>45583</v>
      </c>
      <c r="D465" t="inlineStr">
        <is>
          <t>VÄSTERNORRLANDS LÄN</t>
        </is>
      </c>
      <c r="E465" t="inlineStr">
        <is>
          <t>SOLLEFTEÅ</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39123-2019</t>
        </is>
      </c>
      <c r="B466" s="1" t="n">
        <v>43689</v>
      </c>
      <c r="C466" s="1" t="n">
        <v>45583</v>
      </c>
      <c r="D466" t="inlineStr">
        <is>
          <t>VÄSTERNORRLANDS LÄN</t>
        </is>
      </c>
      <c r="E466" t="inlineStr">
        <is>
          <t>SOLLEFTEÅ</t>
        </is>
      </c>
      <c r="G466" t="n">
        <v>10.9</v>
      </c>
      <c r="H466" t="n">
        <v>0</v>
      </c>
      <c r="I466" t="n">
        <v>0</v>
      </c>
      <c r="J466" t="n">
        <v>0</v>
      </c>
      <c r="K466" t="n">
        <v>0</v>
      </c>
      <c r="L466" t="n">
        <v>0</v>
      </c>
      <c r="M466" t="n">
        <v>0</v>
      </c>
      <c r="N466" t="n">
        <v>0</v>
      </c>
      <c r="O466" t="n">
        <v>0</v>
      </c>
      <c r="P466" t="n">
        <v>0</v>
      </c>
      <c r="Q466" t="n">
        <v>0</v>
      </c>
      <c r="R466" s="2" t="inlineStr"/>
    </row>
    <row r="467" ht="15" customHeight="1">
      <c r="A467" t="inlineStr">
        <is>
          <t>A 39768-2019</t>
        </is>
      </c>
      <c r="B467" s="1" t="n">
        <v>43689</v>
      </c>
      <c r="C467" s="1" t="n">
        <v>45583</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40764-2019</t>
        </is>
      </c>
      <c r="B468" s="1" t="n">
        <v>43692</v>
      </c>
      <c r="C468" s="1" t="n">
        <v>45583</v>
      </c>
      <c r="D468" t="inlineStr">
        <is>
          <t>VÄSTERNORRLANDS LÄN</t>
        </is>
      </c>
      <c r="E468" t="inlineStr">
        <is>
          <t>SOLLEFTEÅ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40769-2019</t>
        </is>
      </c>
      <c r="B469" s="1" t="n">
        <v>43692</v>
      </c>
      <c r="C469" s="1" t="n">
        <v>45583</v>
      </c>
      <c r="D469" t="inlineStr">
        <is>
          <t>VÄSTERNORRLANDS LÄN</t>
        </is>
      </c>
      <c r="E469" t="inlineStr">
        <is>
          <t>SOLLEFTEÅ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41069-2019</t>
        </is>
      </c>
      <c r="B470" s="1" t="n">
        <v>43693</v>
      </c>
      <c r="C470" s="1" t="n">
        <v>45583</v>
      </c>
      <c r="D470" t="inlineStr">
        <is>
          <t>VÄSTERNORRLANDS LÄN</t>
        </is>
      </c>
      <c r="E470" t="inlineStr">
        <is>
          <t>SOLLEFTEÅ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40685-2019</t>
        </is>
      </c>
      <c r="B471" s="1" t="n">
        <v>43696</v>
      </c>
      <c r="C471" s="1" t="n">
        <v>45583</v>
      </c>
      <c r="D471" t="inlineStr">
        <is>
          <t>VÄSTERNORRLANDS LÄN</t>
        </is>
      </c>
      <c r="E471" t="inlineStr">
        <is>
          <t>SOLLEFTEÅ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40682-2019</t>
        </is>
      </c>
      <c r="B472" s="1" t="n">
        <v>43696</v>
      </c>
      <c r="C472" s="1" t="n">
        <v>45583</v>
      </c>
      <c r="D472" t="inlineStr">
        <is>
          <t>VÄSTERNORRLANDS LÄN</t>
        </is>
      </c>
      <c r="E472" t="inlineStr">
        <is>
          <t>SOLLEFTEÅ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40514-2019</t>
        </is>
      </c>
      <c r="B473" s="1" t="n">
        <v>43696</v>
      </c>
      <c r="C473" s="1" t="n">
        <v>45583</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40679-2019</t>
        </is>
      </c>
      <c r="B474" s="1" t="n">
        <v>43696</v>
      </c>
      <c r="C474" s="1" t="n">
        <v>45583</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41786-2019</t>
        </is>
      </c>
      <c r="B475" s="1" t="n">
        <v>43699</v>
      </c>
      <c r="C475" s="1" t="n">
        <v>45583</v>
      </c>
      <c r="D475" t="inlineStr">
        <is>
          <t>VÄSTERNORRLANDS LÄN</t>
        </is>
      </c>
      <c r="E475" t="inlineStr">
        <is>
          <t>SOLLEFTEÅ</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42417-2019</t>
        </is>
      </c>
      <c r="B476" s="1" t="n">
        <v>43703</v>
      </c>
      <c r="C476" s="1" t="n">
        <v>45583</v>
      </c>
      <c r="D476" t="inlineStr">
        <is>
          <t>VÄSTERNORRLANDS LÄN</t>
        </is>
      </c>
      <c r="E476" t="inlineStr">
        <is>
          <t>SOLLEFTEÅ</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42791-2019</t>
        </is>
      </c>
      <c r="B477" s="1" t="n">
        <v>43704</v>
      </c>
      <c r="C477" s="1" t="n">
        <v>45583</v>
      </c>
      <c r="D477" t="inlineStr">
        <is>
          <t>VÄSTERNORRLANDS LÄN</t>
        </is>
      </c>
      <c r="E477" t="inlineStr">
        <is>
          <t>SOLLEFTEÅ</t>
        </is>
      </c>
      <c r="G477" t="n">
        <v>4.1</v>
      </c>
      <c r="H477" t="n">
        <v>0</v>
      </c>
      <c r="I477" t="n">
        <v>0</v>
      </c>
      <c r="J477" t="n">
        <v>0</v>
      </c>
      <c r="K477" t="n">
        <v>0</v>
      </c>
      <c r="L477" t="n">
        <v>0</v>
      </c>
      <c r="M477" t="n">
        <v>0</v>
      </c>
      <c r="N477" t="n">
        <v>0</v>
      </c>
      <c r="O477" t="n">
        <v>0</v>
      </c>
      <c r="P477" t="n">
        <v>0</v>
      </c>
      <c r="Q477" t="n">
        <v>0</v>
      </c>
      <c r="R477" s="2" t="inlineStr"/>
    </row>
    <row r="478" ht="15" customHeight="1">
      <c r="A478" t="inlineStr">
        <is>
          <t>A 42792-2019</t>
        </is>
      </c>
      <c r="B478" s="1" t="n">
        <v>43704</v>
      </c>
      <c r="C478" s="1" t="n">
        <v>45583</v>
      </c>
      <c r="D478" t="inlineStr">
        <is>
          <t>VÄSTERNORRLANDS LÄN</t>
        </is>
      </c>
      <c r="E478" t="inlineStr">
        <is>
          <t>SOLLEFTEÅ</t>
        </is>
      </c>
      <c r="G478" t="n">
        <v>5.7</v>
      </c>
      <c r="H478" t="n">
        <v>0</v>
      </c>
      <c r="I478" t="n">
        <v>0</v>
      </c>
      <c r="J478" t="n">
        <v>0</v>
      </c>
      <c r="K478" t="n">
        <v>0</v>
      </c>
      <c r="L478" t="n">
        <v>0</v>
      </c>
      <c r="M478" t="n">
        <v>0</v>
      </c>
      <c r="N478" t="n">
        <v>0</v>
      </c>
      <c r="O478" t="n">
        <v>0</v>
      </c>
      <c r="P478" t="n">
        <v>0</v>
      </c>
      <c r="Q478" t="n">
        <v>0</v>
      </c>
      <c r="R478" s="2" t="inlineStr"/>
    </row>
    <row r="479" ht="15" customHeight="1">
      <c r="A479" t="inlineStr">
        <is>
          <t>A 43499-2019</t>
        </is>
      </c>
      <c r="B479" s="1" t="n">
        <v>43706</v>
      </c>
      <c r="C479" s="1" t="n">
        <v>45583</v>
      </c>
      <c r="D479" t="inlineStr">
        <is>
          <t>VÄSTERNORRLANDS LÄN</t>
        </is>
      </c>
      <c r="E479" t="inlineStr">
        <is>
          <t>SOLLEFTEÅ</t>
        </is>
      </c>
      <c r="G479" t="n">
        <v>19.3</v>
      </c>
      <c r="H479" t="n">
        <v>0</v>
      </c>
      <c r="I479" t="n">
        <v>0</v>
      </c>
      <c r="J479" t="n">
        <v>0</v>
      </c>
      <c r="K479" t="n">
        <v>0</v>
      </c>
      <c r="L479" t="n">
        <v>0</v>
      </c>
      <c r="M479" t="n">
        <v>0</v>
      </c>
      <c r="N479" t="n">
        <v>0</v>
      </c>
      <c r="O479" t="n">
        <v>0</v>
      </c>
      <c r="P479" t="n">
        <v>0</v>
      </c>
      <c r="Q479" t="n">
        <v>0</v>
      </c>
      <c r="R479" s="2" t="inlineStr"/>
    </row>
    <row r="480" ht="15" customHeight="1">
      <c r="A480" t="inlineStr">
        <is>
          <t>A 45032-2019</t>
        </is>
      </c>
      <c r="B480" s="1" t="n">
        <v>43707</v>
      </c>
      <c r="C480" s="1" t="n">
        <v>45583</v>
      </c>
      <c r="D480" t="inlineStr">
        <is>
          <t>VÄSTERNORRLANDS LÄN</t>
        </is>
      </c>
      <c r="E480" t="inlineStr">
        <is>
          <t>SOLLEFTEÅ</t>
        </is>
      </c>
      <c r="G480" t="n">
        <v>9.4</v>
      </c>
      <c r="H480" t="n">
        <v>0</v>
      </c>
      <c r="I480" t="n">
        <v>0</v>
      </c>
      <c r="J480" t="n">
        <v>0</v>
      </c>
      <c r="K480" t="n">
        <v>0</v>
      </c>
      <c r="L480" t="n">
        <v>0</v>
      </c>
      <c r="M480" t="n">
        <v>0</v>
      </c>
      <c r="N480" t="n">
        <v>0</v>
      </c>
      <c r="O480" t="n">
        <v>0</v>
      </c>
      <c r="P480" t="n">
        <v>0</v>
      </c>
      <c r="Q480" t="n">
        <v>0</v>
      </c>
      <c r="R480" s="2" t="inlineStr"/>
    </row>
    <row r="481" ht="15" customHeight="1">
      <c r="A481" t="inlineStr">
        <is>
          <t>A 44815-2019</t>
        </is>
      </c>
      <c r="B481" s="1" t="n">
        <v>43712</v>
      </c>
      <c r="C481" s="1" t="n">
        <v>45583</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45941-2019</t>
        </is>
      </c>
      <c r="B482" s="1" t="n">
        <v>43712</v>
      </c>
      <c r="C482" s="1" t="n">
        <v>45583</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44888-2019</t>
        </is>
      </c>
      <c r="B483" s="1" t="n">
        <v>43712</v>
      </c>
      <c r="C483" s="1" t="n">
        <v>45583</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44960-2019</t>
        </is>
      </c>
      <c r="B484" s="1" t="n">
        <v>43713</v>
      </c>
      <c r="C484" s="1" t="n">
        <v>45583</v>
      </c>
      <c r="D484" t="inlineStr">
        <is>
          <t>VÄSTERNORRLANDS LÄN</t>
        </is>
      </c>
      <c r="E484" t="inlineStr">
        <is>
          <t>SOLLEFTEÅ</t>
        </is>
      </c>
      <c r="G484" t="n">
        <v>14.9</v>
      </c>
      <c r="H484" t="n">
        <v>0</v>
      </c>
      <c r="I484" t="n">
        <v>0</v>
      </c>
      <c r="J484" t="n">
        <v>0</v>
      </c>
      <c r="K484" t="n">
        <v>0</v>
      </c>
      <c r="L484" t="n">
        <v>0</v>
      </c>
      <c r="M484" t="n">
        <v>0</v>
      </c>
      <c r="N484" t="n">
        <v>0</v>
      </c>
      <c r="O484" t="n">
        <v>0</v>
      </c>
      <c r="P484" t="n">
        <v>0</v>
      </c>
      <c r="Q484" t="n">
        <v>0</v>
      </c>
      <c r="R484" s="2" t="inlineStr"/>
    </row>
    <row r="485" ht="15" customHeight="1">
      <c r="A485" t="inlineStr">
        <is>
          <t>A 45537-2019</t>
        </is>
      </c>
      <c r="B485" s="1" t="n">
        <v>43714</v>
      </c>
      <c r="C485" s="1" t="n">
        <v>45583</v>
      </c>
      <c r="D485" t="inlineStr">
        <is>
          <t>VÄSTERNORRLANDS LÄN</t>
        </is>
      </c>
      <c r="E485" t="inlineStr">
        <is>
          <t>SOLLEFTEÅ</t>
        </is>
      </c>
      <c r="F485" t="inlineStr">
        <is>
          <t>SCA</t>
        </is>
      </c>
      <c r="G485" t="n">
        <v>35.1</v>
      </c>
      <c r="H485" t="n">
        <v>0</v>
      </c>
      <c r="I485" t="n">
        <v>0</v>
      </c>
      <c r="J485" t="n">
        <v>0</v>
      </c>
      <c r="K485" t="n">
        <v>0</v>
      </c>
      <c r="L485" t="n">
        <v>0</v>
      </c>
      <c r="M485" t="n">
        <v>0</v>
      </c>
      <c r="N485" t="n">
        <v>0</v>
      </c>
      <c r="O485" t="n">
        <v>0</v>
      </c>
      <c r="P485" t="n">
        <v>0</v>
      </c>
      <c r="Q485" t="n">
        <v>0</v>
      </c>
      <c r="R485" s="2" t="inlineStr"/>
    </row>
    <row r="486" ht="15" customHeight="1">
      <c r="A486" t="inlineStr">
        <is>
          <t>A 46345-2019</t>
        </is>
      </c>
      <c r="B486" s="1" t="n">
        <v>43718</v>
      </c>
      <c r="C486" s="1" t="n">
        <v>45583</v>
      </c>
      <c r="D486" t="inlineStr">
        <is>
          <t>VÄSTERNORRLANDS LÄN</t>
        </is>
      </c>
      <c r="E486" t="inlineStr">
        <is>
          <t>SOLLEFTEÅ</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46956-2019</t>
        </is>
      </c>
      <c r="B487" s="1" t="n">
        <v>43719</v>
      </c>
      <c r="C487" s="1" t="n">
        <v>45583</v>
      </c>
      <c r="D487" t="inlineStr">
        <is>
          <t>VÄSTERNORRLANDS LÄN</t>
        </is>
      </c>
      <c r="E487" t="inlineStr">
        <is>
          <t>SOLLEFTEÅ</t>
        </is>
      </c>
      <c r="G487" t="n">
        <v>18.1</v>
      </c>
      <c r="H487" t="n">
        <v>0</v>
      </c>
      <c r="I487" t="n">
        <v>0</v>
      </c>
      <c r="J487" t="n">
        <v>0</v>
      </c>
      <c r="K487" t="n">
        <v>0</v>
      </c>
      <c r="L487" t="n">
        <v>0</v>
      </c>
      <c r="M487" t="n">
        <v>0</v>
      </c>
      <c r="N487" t="n">
        <v>0</v>
      </c>
      <c r="O487" t="n">
        <v>0</v>
      </c>
      <c r="P487" t="n">
        <v>0</v>
      </c>
      <c r="Q487" t="n">
        <v>0</v>
      </c>
      <c r="R487" s="2" t="inlineStr"/>
    </row>
    <row r="488" ht="15" customHeight="1">
      <c r="A488" t="inlineStr">
        <is>
          <t>A 47366-2019</t>
        </is>
      </c>
      <c r="B488" s="1" t="n">
        <v>43721</v>
      </c>
      <c r="C488" s="1" t="n">
        <v>45583</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47764-2019</t>
        </is>
      </c>
      <c r="B489" s="1" t="n">
        <v>43724</v>
      </c>
      <c r="C489" s="1" t="n">
        <v>45583</v>
      </c>
      <c r="D489" t="inlineStr">
        <is>
          <t>VÄSTERNORRLANDS LÄN</t>
        </is>
      </c>
      <c r="E489" t="inlineStr">
        <is>
          <t>SOLLEFTEÅ</t>
        </is>
      </c>
      <c r="F489" t="inlineStr">
        <is>
          <t>Kyrkan</t>
        </is>
      </c>
      <c r="G489" t="n">
        <v>4.1</v>
      </c>
      <c r="H489" t="n">
        <v>0</v>
      </c>
      <c r="I489" t="n">
        <v>0</v>
      </c>
      <c r="J489" t="n">
        <v>0</v>
      </c>
      <c r="K489" t="n">
        <v>0</v>
      </c>
      <c r="L489" t="n">
        <v>0</v>
      </c>
      <c r="M489" t="n">
        <v>0</v>
      </c>
      <c r="N489" t="n">
        <v>0</v>
      </c>
      <c r="O489" t="n">
        <v>0</v>
      </c>
      <c r="P489" t="n">
        <v>0</v>
      </c>
      <c r="Q489" t="n">
        <v>0</v>
      </c>
      <c r="R489" s="2" t="inlineStr"/>
    </row>
    <row r="490" ht="15" customHeight="1">
      <c r="A490" t="inlineStr">
        <is>
          <t>A 47768-2019</t>
        </is>
      </c>
      <c r="B490" s="1" t="n">
        <v>43724</v>
      </c>
      <c r="C490" s="1" t="n">
        <v>45583</v>
      </c>
      <c r="D490" t="inlineStr">
        <is>
          <t>VÄSTERNORRLANDS LÄN</t>
        </is>
      </c>
      <c r="E490" t="inlineStr">
        <is>
          <t>SOLLEFTEÅ</t>
        </is>
      </c>
      <c r="F490" t="inlineStr">
        <is>
          <t>Kyrkan</t>
        </is>
      </c>
      <c r="G490" t="n">
        <v>12.1</v>
      </c>
      <c r="H490" t="n">
        <v>0</v>
      </c>
      <c r="I490" t="n">
        <v>0</v>
      </c>
      <c r="J490" t="n">
        <v>0</v>
      </c>
      <c r="K490" t="n">
        <v>0</v>
      </c>
      <c r="L490" t="n">
        <v>0</v>
      </c>
      <c r="M490" t="n">
        <v>0</v>
      </c>
      <c r="N490" t="n">
        <v>0</v>
      </c>
      <c r="O490" t="n">
        <v>0</v>
      </c>
      <c r="P490" t="n">
        <v>0</v>
      </c>
      <c r="Q490" t="n">
        <v>0</v>
      </c>
      <c r="R490" s="2" t="inlineStr"/>
    </row>
    <row r="491" ht="15" customHeight="1">
      <c r="A491" t="inlineStr">
        <is>
          <t>A 49381-2019</t>
        </is>
      </c>
      <c r="B491" s="1" t="n">
        <v>43731</v>
      </c>
      <c r="C491" s="1" t="n">
        <v>45583</v>
      </c>
      <c r="D491" t="inlineStr">
        <is>
          <t>VÄSTERNORRLANDS LÄN</t>
        </is>
      </c>
      <c r="E491" t="inlineStr">
        <is>
          <t>SOLLEFTEÅ</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49380-2019</t>
        </is>
      </c>
      <c r="B492" s="1" t="n">
        <v>43731</v>
      </c>
      <c r="C492" s="1" t="n">
        <v>45583</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49674-2019</t>
        </is>
      </c>
      <c r="B493" s="1" t="n">
        <v>43732</v>
      </c>
      <c r="C493" s="1" t="n">
        <v>45583</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50283-2019</t>
        </is>
      </c>
      <c r="B494" s="1" t="n">
        <v>43734</v>
      </c>
      <c r="C494" s="1" t="n">
        <v>45583</v>
      </c>
      <c r="D494" t="inlineStr">
        <is>
          <t>VÄSTERNORRLANDS LÄN</t>
        </is>
      </c>
      <c r="E494" t="inlineStr">
        <is>
          <t>SOLLEFTEÅ</t>
        </is>
      </c>
      <c r="F494" t="inlineStr">
        <is>
          <t>SCA</t>
        </is>
      </c>
      <c r="G494" t="n">
        <v>10.6</v>
      </c>
      <c r="H494" t="n">
        <v>0</v>
      </c>
      <c r="I494" t="n">
        <v>0</v>
      </c>
      <c r="J494" t="n">
        <v>0</v>
      </c>
      <c r="K494" t="n">
        <v>0</v>
      </c>
      <c r="L494" t="n">
        <v>0</v>
      </c>
      <c r="M494" t="n">
        <v>0</v>
      </c>
      <c r="N494" t="n">
        <v>0</v>
      </c>
      <c r="O494" t="n">
        <v>0</v>
      </c>
      <c r="P494" t="n">
        <v>0</v>
      </c>
      <c r="Q494" t="n">
        <v>0</v>
      </c>
      <c r="R494" s="2" t="inlineStr"/>
    </row>
    <row r="495" ht="15" customHeight="1">
      <c r="A495" t="inlineStr">
        <is>
          <t>A 50513-2019</t>
        </is>
      </c>
      <c r="B495" s="1" t="n">
        <v>43735</v>
      </c>
      <c r="C495" s="1" t="n">
        <v>45583</v>
      </c>
      <c r="D495" t="inlineStr">
        <is>
          <t>VÄSTERNORRLANDS LÄN</t>
        </is>
      </c>
      <c r="E495" t="inlineStr">
        <is>
          <t>SOLLEFTEÅ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50668-2019</t>
        </is>
      </c>
      <c r="B496" s="1" t="n">
        <v>43737</v>
      </c>
      <c r="C496" s="1" t="n">
        <v>45583</v>
      </c>
      <c r="D496" t="inlineStr">
        <is>
          <t>VÄSTERNORRLANDS LÄN</t>
        </is>
      </c>
      <c r="E496" t="inlineStr">
        <is>
          <t>SOLLEFTEÅ</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51002-2019</t>
        </is>
      </c>
      <c r="B497" s="1" t="n">
        <v>43738</v>
      </c>
      <c r="C497" s="1" t="n">
        <v>45583</v>
      </c>
      <c r="D497" t="inlineStr">
        <is>
          <t>VÄSTERNORRLANDS LÄN</t>
        </is>
      </c>
      <c r="E497" t="inlineStr">
        <is>
          <t>SOLLEFTEÅ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50999-2019</t>
        </is>
      </c>
      <c r="B498" s="1" t="n">
        <v>43738</v>
      </c>
      <c r="C498" s="1" t="n">
        <v>45583</v>
      </c>
      <c r="D498" t="inlineStr">
        <is>
          <t>VÄSTERNORRLANDS LÄN</t>
        </is>
      </c>
      <c r="E498" t="inlineStr">
        <is>
          <t>SOLLEFTEÅ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51675-2019</t>
        </is>
      </c>
      <c r="B499" s="1" t="n">
        <v>43740</v>
      </c>
      <c r="C499" s="1" t="n">
        <v>45583</v>
      </c>
      <c r="D499" t="inlineStr">
        <is>
          <t>VÄSTERNORRLANDS LÄN</t>
        </is>
      </c>
      <c r="E499" t="inlineStr">
        <is>
          <t>SOLLEFTEÅ</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51671-2019</t>
        </is>
      </c>
      <c r="B500" s="1" t="n">
        <v>43740</v>
      </c>
      <c r="C500" s="1" t="n">
        <v>45583</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51682-2019</t>
        </is>
      </c>
      <c r="B501" s="1" t="n">
        <v>43740</v>
      </c>
      <c r="C501" s="1" t="n">
        <v>45583</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53079-2019</t>
        </is>
      </c>
      <c r="B502" s="1" t="n">
        <v>43740</v>
      </c>
      <c r="C502" s="1" t="n">
        <v>45583</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51673-2019</t>
        </is>
      </c>
      <c r="B503" s="1" t="n">
        <v>43740</v>
      </c>
      <c r="C503" s="1" t="n">
        <v>45583</v>
      </c>
      <c r="D503" t="inlineStr">
        <is>
          <t>VÄSTERNORRLANDS LÄN</t>
        </is>
      </c>
      <c r="E503" t="inlineStr">
        <is>
          <t>SOLLEFTEÅ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53076-2019</t>
        </is>
      </c>
      <c r="B504" s="1" t="n">
        <v>43740</v>
      </c>
      <c r="C504" s="1" t="n">
        <v>45583</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53088-2019</t>
        </is>
      </c>
      <c r="B505" s="1" t="n">
        <v>43740</v>
      </c>
      <c r="C505" s="1" t="n">
        <v>45583</v>
      </c>
      <c r="D505" t="inlineStr">
        <is>
          <t>VÄSTERNORRLANDS LÄN</t>
        </is>
      </c>
      <c r="E505" t="inlineStr">
        <is>
          <t>SOLLEFTEÅ</t>
        </is>
      </c>
      <c r="G505" t="n">
        <v>3</v>
      </c>
      <c r="H505" t="n">
        <v>0</v>
      </c>
      <c r="I505" t="n">
        <v>0</v>
      </c>
      <c r="J505" t="n">
        <v>0</v>
      </c>
      <c r="K505" t="n">
        <v>0</v>
      </c>
      <c r="L505" t="n">
        <v>0</v>
      </c>
      <c r="M505" t="n">
        <v>0</v>
      </c>
      <c r="N505" t="n">
        <v>0</v>
      </c>
      <c r="O505" t="n">
        <v>0</v>
      </c>
      <c r="P505" t="n">
        <v>0</v>
      </c>
      <c r="Q505" t="n">
        <v>0</v>
      </c>
      <c r="R505" s="2" t="inlineStr"/>
    </row>
    <row r="506" ht="15" customHeight="1">
      <c r="A506" t="inlineStr">
        <is>
          <t>A 51665-2019</t>
        </is>
      </c>
      <c r="B506" s="1" t="n">
        <v>43740</v>
      </c>
      <c r="C506" s="1" t="n">
        <v>45583</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51953-2019</t>
        </is>
      </c>
      <c r="B507" s="1" t="n">
        <v>43741</v>
      </c>
      <c r="C507" s="1" t="n">
        <v>45583</v>
      </c>
      <c r="D507" t="inlineStr">
        <is>
          <t>VÄSTERNORRLANDS LÄN</t>
        </is>
      </c>
      <c r="E507" t="inlineStr">
        <is>
          <t>SOLLEFTEÅ</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53677-2019</t>
        </is>
      </c>
      <c r="B508" s="1" t="n">
        <v>43741</v>
      </c>
      <c r="C508" s="1" t="n">
        <v>45583</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51952-2019</t>
        </is>
      </c>
      <c r="B509" s="1" t="n">
        <v>43741</v>
      </c>
      <c r="C509" s="1" t="n">
        <v>45583</v>
      </c>
      <c r="D509" t="inlineStr">
        <is>
          <t>VÄSTERNORRLANDS LÄN</t>
        </is>
      </c>
      <c r="E509" t="inlineStr">
        <is>
          <t>SOLLEFTEÅ</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52568-2019</t>
        </is>
      </c>
      <c r="B510" s="1" t="n">
        <v>43745</v>
      </c>
      <c r="C510" s="1" t="n">
        <v>45583</v>
      </c>
      <c r="D510" t="inlineStr">
        <is>
          <t>VÄSTERNORRLANDS LÄN</t>
        </is>
      </c>
      <c r="E510" t="inlineStr">
        <is>
          <t>SOLLEFTEÅ</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52569-2019</t>
        </is>
      </c>
      <c r="B511" s="1" t="n">
        <v>43745</v>
      </c>
      <c r="C511" s="1" t="n">
        <v>45583</v>
      </c>
      <c r="D511" t="inlineStr">
        <is>
          <t>VÄSTERNORRLANDS LÄN</t>
        </is>
      </c>
      <c r="E511" t="inlineStr">
        <is>
          <t>SOLLEFTEÅ</t>
        </is>
      </c>
      <c r="G511" t="n">
        <v>7.1</v>
      </c>
      <c r="H511" t="n">
        <v>0</v>
      </c>
      <c r="I511" t="n">
        <v>0</v>
      </c>
      <c r="J511" t="n">
        <v>0</v>
      </c>
      <c r="K511" t="n">
        <v>0</v>
      </c>
      <c r="L511" t="n">
        <v>0</v>
      </c>
      <c r="M511" t="n">
        <v>0</v>
      </c>
      <c r="N511" t="n">
        <v>0</v>
      </c>
      <c r="O511" t="n">
        <v>0</v>
      </c>
      <c r="P511" t="n">
        <v>0</v>
      </c>
      <c r="Q511" t="n">
        <v>0</v>
      </c>
      <c r="R511" s="2" t="inlineStr"/>
    </row>
    <row r="512" ht="15" customHeight="1">
      <c r="A512" t="inlineStr">
        <is>
          <t>A 52922-2019</t>
        </is>
      </c>
      <c r="B512" s="1" t="n">
        <v>43746</v>
      </c>
      <c r="C512" s="1" t="n">
        <v>45583</v>
      </c>
      <c r="D512" t="inlineStr">
        <is>
          <t>VÄSTERNORRLANDS LÄN</t>
        </is>
      </c>
      <c r="E512" t="inlineStr">
        <is>
          <t>SOLLEFTEÅ</t>
        </is>
      </c>
      <c r="G512" t="n">
        <v>6.5</v>
      </c>
      <c r="H512" t="n">
        <v>0</v>
      </c>
      <c r="I512" t="n">
        <v>0</v>
      </c>
      <c r="J512" t="n">
        <v>0</v>
      </c>
      <c r="K512" t="n">
        <v>0</v>
      </c>
      <c r="L512" t="n">
        <v>0</v>
      </c>
      <c r="M512" t="n">
        <v>0</v>
      </c>
      <c r="N512" t="n">
        <v>0</v>
      </c>
      <c r="O512" t="n">
        <v>0</v>
      </c>
      <c r="P512" t="n">
        <v>0</v>
      </c>
      <c r="Q512" t="n">
        <v>0</v>
      </c>
      <c r="R512" s="2" t="inlineStr"/>
    </row>
    <row r="513" ht="15" customHeight="1">
      <c r="A513" t="inlineStr">
        <is>
          <t>A 53161-2019</t>
        </is>
      </c>
      <c r="B513" s="1" t="n">
        <v>43747</v>
      </c>
      <c r="C513" s="1" t="n">
        <v>45583</v>
      </c>
      <c r="D513" t="inlineStr">
        <is>
          <t>VÄSTERNORRLANDS LÄN</t>
        </is>
      </c>
      <c r="E513" t="inlineStr">
        <is>
          <t>SOLLEFTEÅ</t>
        </is>
      </c>
      <c r="F513" t="inlineStr">
        <is>
          <t>Kommuner</t>
        </is>
      </c>
      <c r="G513" t="n">
        <v>0.4</v>
      </c>
      <c r="H513" t="n">
        <v>0</v>
      </c>
      <c r="I513" t="n">
        <v>0</v>
      </c>
      <c r="J513" t="n">
        <v>0</v>
      </c>
      <c r="K513" t="n">
        <v>0</v>
      </c>
      <c r="L513" t="n">
        <v>0</v>
      </c>
      <c r="M513" t="n">
        <v>0</v>
      </c>
      <c r="N513" t="n">
        <v>0</v>
      </c>
      <c r="O513" t="n">
        <v>0</v>
      </c>
      <c r="P513" t="n">
        <v>0</v>
      </c>
      <c r="Q513" t="n">
        <v>0</v>
      </c>
      <c r="R513" s="2" t="inlineStr"/>
    </row>
    <row r="514" ht="15" customHeight="1">
      <c r="A514" t="inlineStr">
        <is>
          <t>A 55623-2019</t>
        </is>
      </c>
      <c r="B514" s="1" t="n">
        <v>43755</v>
      </c>
      <c r="C514" s="1" t="n">
        <v>45583</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55925-2019</t>
        </is>
      </c>
      <c r="B515" s="1" t="n">
        <v>43755</v>
      </c>
      <c r="C515" s="1" t="n">
        <v>45583</v>
      </c>
      <c r="D515" t="inlineStr">
        <is>
          <t>VÄSTERNORRLANDS LÄN</t>
        </is>
      </c>
      <c r="E515" t="inlineStr">
        <is>
          <t>SOLLEFTEÅ</t>
        </is>
      </c>
      <c r="G515" t="n">
        <v>6.4</v>
      </c>
      <c r="H515" t="n">
        <v>0</v>
      </c>
      <c r="I515" t="n">
        <v>0</v>
      </c>
      <c r="J515" t="n">
        <v>0</v>
      </c>
      <c r="K515" t="n">
        <v>0</v>
      </c>
      <c r="L515" t="n">
        <v>0</v>
      </c>
      <c r="M515" t="n">
        <v>0</v>
      </c>
      <c r="N515" t="n">
        <v>0</v>
      </c>
      <c r="O515" t="n">
        <v>0</v>
      </c>
      <c r="P515" t="n">
        <v>0</v>
      </c>
      <c r="Q515" t="n">
        <v>0</v>
      </c>
      <c r="R515" s="2" t="inlineStr"/>
    </row>
    <row r="516" ht="15" customHeight="1">
      <c r="A516" t="inlineStr">
        <is>
          <t>A 55628-2019</t>
        </is>
      </c>
      <c r="B516" s="1" t="n">
        <v>43755</v>
      </c>
      <c r="C516" s="1" t="n">
        <v>45583</v>
      </c>
      <c r="D516" t="inlineStr">
        <is>
          <t>VÄSTERNORRLANDS LÄN</t>
        </is>
      </c>
      <c r="E516" t="inlineStr">
        <is>
          <t>SOLLEFTEÅ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55625-2019</t>
        </is>
      </c>
      <c r="B517" s="1" t="n">
        <v>43755</v>
      </c>
      <c r="C517" s="1" t="n">
        <v>45583</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57365-2019</t>
        </is>
      </c>
      <c r="B518" s="1" t="n">
        <v>43760</v>
      </c>
      <c r="C518" s="1" t="n">
        <v>45583</v>
      </c>
      <c r="D518" t="inlineStr">
        <is>
          <t>VÄSTERNORRLANDS LÄN</t>
        </is>
      </c>
      <c r="E518" t="inlineStr">
        <is>
          <t>SOLLEFTEÅ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57575-2019</t>
        </is>
      </c>
      <c r="B519" s="1" t="n">
        <v>43761</v>
      </c>
      <c r="C519" s="1" t="n">
        <v>45583</v>
      </c>
      <c r="D519" t="inlineStr">
        <is>
          <t>VÄSTERNORRLANDS LÄN</t>
        </is>
      </c>
      <c r="E519" t="inlineStr">
        <is>
          <t>SOLLEFTEÅ</t>
        </is>
      </c>
      <c r="G519" t="n">
        <v>14.4</v>
      </c>
      <c r="H519" t="n">
        <v>0</v>
      </c>
      <c r="I519" t="n">
        <v>0</v>
      </c>
      <c r="J519" t="n">
        <v>0</v>
      </c>
      <c r="K519" t="n">
        <v>0</v>
      </c>
      <c r="L519" t="n">
        <v>0</v>
      </c>
      <c r="M519" t="n">
        <v>0</v>
      </c>
      <c r="N519" t="n">
        <v>0</v>
      </c>
      <c r="O519" t="n">
        <v>0</v>
      </c>
      <c r="P519" t="n">
        <v>0</v>
      </c>
      <c r="Q519" t="n">
        <v>0</v>
      </c>
      <c r="R519" s="2" t="inlineStr"/>
    </row>
    <row r="520" ht="15" customHeight="1">
      <c r="A520" t="inlineStr">
        <is>
          <t>A 56252-2019</t>
        </is>
      </c>
      <c r="B520" s="1" t="n">
        <v>43762</v>
      </c>
      <c r="C520" s="1" t="n">
        <v>45583</v>
      </c>
      <c r="D520" t="inlineStr">
        <is>
          <t>VÄSTERNORRLANDS LÄN</t>
        </is>
      </c>
      <c r="E520" t="inlineStr">
        <is>
          <t>SOLLEFTEÅ</t>
        </is>
      </c>
      <c r="F520" t="inlineStr">
        <is>
          <t>Kyrkan</t>
        </is>
      </c>
      <c r="G520" t="n">
        <v>1.1</v>
      </c>
      <c r="H520" t="n">
        <v>0</v>
      </c>
      <c r="I520" t="n">
        <v>0</v>
      </c>
      <c r="J520" t="n">
        <v>0</v>
      </c>
      <c r="K520" t="n">
        <v>0</v>
      </c>
      <c r="L520" t="n">
        <v>0</v>
      </c>
      <c r="M520" t="n">
        <v>0</v>
      </c>
      <c r="N520" t="n">
        <v>0</v>
      </c>
      <c r="O520" t="n">
        <v>0</v>
      </c>
      <c r="P520" t="n">
        <v>0</v>
      </c>
      <c r="Q520" t="n">
        <v>0</v>
      </c>
      <c r="R520" s="2" t="inlineStr"/>
    </row>
    <row r="521" ht="15" customHeight="1">
      <c r="A521" t="inlineStr">
        <is>
          <t>A 56493-2019</t>
        </is>
      </c>
      <c r="B521" s="1" t="n">
        <v>43762</v>
      </c>
      <c r="C521" s="1" t="n">
        <v>45583</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56492-2019</t>
        </is>
      </c>
      <c r="B522" s="1" t="n">
        <v>43762</v>
      </c>
      <c r="C522" s="1" t="n">
        <v>45583</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56803-2019</t>
        </is>
      </c>
      <c r="B523" s="1" t="n">
        <v>43763</v>
      </c>
      <c r="C523" s="1" t="n">
        <v>45583</v>
      </c>
      <c r="D523" t="inlineStr">
        <is>
          <t>VÄSTERNORRLANDS LÄN</t>
        </is>
      </c>
      <c r="E523" t="inlineStr">
        <is>
          <t>SOLLEFTEÅ</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56874-2019</t>
        </is>
      </c>
      <c r="B524" s="1" t="n">
        <v>43766</v>
      </c>
      <c r="C524" s="1" t="n">
        <v>45583</v>
      </c>
      <c r="D524" t="inlineStr">
        <is>
          <t>VÄSTERNORRLANDS LÄN</t>
        </is>
      </c>
      <c r="E524" t="inlineStr">
        <is>
          <t>SOLLEFTEÅ</t>
        </is>
      </c>
      <c r="G524" t="n">
        <v>6.1</v>
      </c>
      <c r="H524" t="n">
        <v>0</v>
      </c>
      <c r="I524" t="n">
        <v>0</v>
      </c>
      <c r="J524" t="n">
        <v>0</v>
      </c>
      <c r="K524" t="n">
        <v>0</v>
      </c>
      <c r="L524" t="n">
        <v>0</v>
      </c>
      <c r="M524" t="n">
        <v>0</v>
      </c>
      <c r="N524" t="n">
        <v>0</v>
      </c>
      <c r="O524" t="n">
        <v>0</v>
      </c>
      <c r="P524" t="n">
        <v>0</v>
      </c>
      <c r="Q524" t="n">
        <v>0</v>
      </c>
      <c r="R524" s="2" t="inlineStr"/>
    </row>
    <row r="525" ht="15" customHeight="1">
      <c r="A525" t="inlineStr">
        <is>
          <t>A 56985-2019</t>
        </is>
      </c>
      <c r="B525" s="1" t="n">
        <v>43766</v>
      </c>
      <c r="C525" s="1" t="n">
        <v>45583</v>
      </c>
      <c r="D525" t="inlineStr">
        <is>
          <t>VÄSTERNORRLANDS LÄN</t>
        </is>
      </c>
      <c r="E525" t="inlineStr">
        <is>
          <t>SOLLEFTEÅ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57041-2019</t>
        </is>
      </c>
      <c r="B526" s="1" t="n">
        <v>43766</v>
      </c>
      <c r="C526" s="1" t="n">
        <v>45583</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57188-2019</t>
        </is>
      </c>
      <c r="B527" s="1" t="n">
        <v>43766</v>
      </c>
      <c r="C527" s="1" t="n">
        <v>45583</v>
      </c>
      <c r="D527" t="inlineStr">
        <is>
          <t>VÄSTERNORRLANDS LÄN</t>
        </is>
      </c>
      <c r="E527" t="inlineStr">
        <is>
          <t>SOLLEFTEÅ</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57882-2019</t>
        </is>
      </c>
      <c r="B528" s="1" t="n">
        <v>43768</v>
      </c>
      <c r="C528" s="1" t="n">
        <v>45583</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57884-2019</t>
        </is>
      </c>
      <c r="B529" s="1" t="n">
        <v>43768</v>
      </c>
      <c r="C529" s="1" t="n">
        <v>45583</v>
      </c>
      <c r="D529" t="inlineStr">
        <is>
          <t>VÄSTERNORRLANDS LÄN</t>
        </is>
      </c>
      <c r="E529" t="inlineStr">
        <is>
          <t>SOLLEFTEÅ</t>
        </is>
      </c>
      <c r="F529" t="inlineStr">
        <is>
          <t>SCA</t>
        </is>
      </c>
      <c r="G529" t="n">
        <v>14.7</v>
      </c>
      <c r="H529" t="n">
        <v>0</v>
      </c>
      <c r="I529" t="n">
        <v>0</v>
      </c>
      <c r="J529" t="n">
        <v>0</v>
      </c>
      <c r="K529" t="n">
        <v>0</v>
      </c>
      <c r="L529" t="n">
        <v>0</v>
      </c>
      <c r="M529" t="n">
        <v>0</v>
      </c>
      <c r="N529" t="n">
        <v>0</v>
      </c>
      <c r="O529" t="n">
        <v>0</v>
      </c>
      <c r="P529" t="n">
        <v>0</v>
      </c>
      <c r="Q529" t="n">
        <v>0</v>
      </c>
      <c r="R529" s="2" t="inlineStr"/>
    </row>
    <row r="530" ht="15" customHeight="1">
      <c r="A530" t="inlineStr">
        <is>
          <t>A 57883-2019</t>
        </is>
      </c>
      <c r="B530" s="1" t="n">
        <v>43768</v>
      </c>
      <c r="C530" s="1" t="n">
        <v>45583</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58170-2019</t>
        </is>
      </c>
      <c r="B531" s="1" t="n">
        <v>43769</v>
      </c>
      <c r="C531" s="1" t="n">
        <v>45583</v>
      </c>
      <c r="D531" t="inlineStr">
        <is>
          <t>VÄSTERNORRLANDS LÄN</t>
        </is>
      </c>
      <c r="E531" t="inlineStr">
        <is>
          <t>SOLLEFTEÅ</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58267-2019</t>
        </is>
      </c>
      <c r="B532" s="1" t="n">
        <v>43770</v>
      </c>
      <c r="C532" s="1" t="n">
        <v>45583</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59460-2019</t>
        </is>
      </c>
      <c r="B533" s="1" t="n">
        <v>43776</v>
      </c>
      <c r="C533" s="1" t="n">
        <v>45583</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60491-2019</t>
        </is>
      </c>
      <c r="B534" s="1" t="n">
        <v>43780</v>
      </c>
      <c r="C534" s="1" t="n">
        <v>45583</v>
      </c>
      <c r="D534" t="inlineStr">
        <is>
          <t>VÄSTERNORRLANDS LÄN</t>
        </is>
      </c>
      <c r="E534" t="inlineStr">
        <is>
          <t>SOLLEFTEÅ</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61428-2019</t>
        </is>
      </c>
      <c r="B535" s="1" t="n">
        <v>43780</v>
      </c>
      <c r="C535" s="1" t="n">
        <v>45583</v>
      </c>
      <c r="D535" t="inlineStr">
        <is>
          <t>VÄSTERNORRLANDS LÄN</t>
        </is>
      </c>
      <c r="E535" t="inlineStr">
        <is>
          <t>SOLLEFTEÅ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60531-2019</t>
        </is>
      </c>
      <c r="B536" s="1" t="n">
        <v>43781</v>
      </c>
      <c r="C536" s="1" t="n">
        <v>45583</v>
      </c>
      <c r="D536" t="inlineStr">
        <is>
          <t>VÄSTERNORRLANDS LÄN</t>
        </is>
      </c>
      <c r="E536" t="inlineStr">
        <is>
          <t>SOLLEFTEÅ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60538-2019</t>
        </is>
      </c>
      <c r="B537" s="1" t="n">
        <v>43781</v>
      </c>
      <c r="C537" s="1" t="n">
        <v>45583</v>
      </c>
      <c r="D537" t="inlineStr">
        <is>
          <t>VÄSTERNORRLANDS LÄN</t>
        </is>
      </c>
      <c r="E537" t="inlineStr">
        <is>
          <t>SOLLEFTEÅ</t>
        </is>
      </c>
      <c r="G537" t="n">
        <v>4.6</v>
      </c>
      <c r="H537" t="n">
        <v>0</v>
      </c>
      <c r="I537" t="n">
        <v>0</v>
      </c>
      <c r="J537" t="n">
        <v>0</v>
      </c>
      <c r="K537" t="n">
        <v>0</v>
      </c>
      <c r="L537" t="n">
        <v>0</v>
      </c>
      <c r="M537" t="n">
        <v>0</v>
      </c>
      <c r="N537" t="n">
        <v>0</v>
      </c>
      <c r="O537" t="n">
        <v>0</v>
      </c>
      <c r="P537" t="n">
        <v>0</v>
      </c>
      <c r="Q537" t="n">
        <v>0</v>
      </c>
      <c r="R537" s="2" t="inlineStr"/>
    </row>
    <row r="538" ht="15" customHeight="1">
      <c r="A538" t="inlineStr">
        <is>
          <t>A 60905-2019</t>
        </is>
      </c>
      <c r="B538" s="1" t="n">
        <v>43781</v>
      </c>
      <c r="C538" s="1" t="n">
        <v>45583</v>
      </c>
      <c r="D538" t="inlineStr">
        <is>
          <t>VÄSTERNORRLANDS LÄN</t>
        </is>
      </c>
      <c r="E538" t="inlineStr">
        <is>
          <t>SOLLEFTEÅ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61978-2019</t>
        </is>
      </c>
      <c r="B539" s="1" t="n">
        <v>43781</v>
      </c>
      <c r="C539" s="1" t="n">
        <v>45583</v>
      </c>
      <c r="D539" t="inlineStr">
        <is>
          <t>VÄSTERNORRLANDS LÄN</t>
        </is>
      </c>
      <c r="E539" t="inlineStr">
        <is>
          <t>SOLLEFTEÅ</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63450-2019</t>
        </is>
      </c>
      <c r="B540" s="1" t="n">
        <v>43788</v>
      </c>
      <c r="C540" s="1" t="n">
        <v>45583</v>
      </c>
      <c r="D540" t="inlineStr">
        <is>
          <t>VÄSTERNORRLANDS LÄN</t>
        </is>
      </c>
      <c r="E540" t="inlineStr">
        <is>
          <t>SOLLEFTEÅ</t>
        </is>
      </c>
      <c r="G540" t="n">
        <v>8.6</v>
      </c>
      <c r="H540" t="n">
        <v>0</v>
      </c>
      <c r="I540" t="n">
        <v>0</v>
      </c>
      <c r="J540" t="n">
        <v>0</v>
      </c>
      <c r="K540" t="n">
        <v>0</v>
      </c>
      <c r="L540" t="n">
        <v>0</v>
      </c>
      <c r="M540" t="n">
        <v>0</v>
      </c>
      <c r="N540" t="n">
        <v>0</v>
      </c>
      <c r="O540" t="n">
        <v>0</v>
      </c>
      <c r="P540" t="n">
        <v>0</v>
      </c>
      <c r="Q540" t="n">
        <v>0</v>
      </c>
      <c r="R540" s="2" t="inlineStr"/>
    </row>
    <row r="541" ht="15" customHeight="1">
      <c r="A541" t="inlineStr">
        <is>
          <t>A 62500-2019</t>
        </is>
      </c>
      <c r="B541" s="1" t="n">
        <v>43788</v>
      </c>
      <c r="C541" s="1" t="n">
        <v>45583</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64197-2019</t>
        </is>
      </c>
      <c r="B542" s="1" t="n">
        <v>43791</v>
      </c>
      <c r="C542" s="1" t="n">
        <v>45583</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63552-2019</t>
        </is>
      </c>
      <c r="B543" s="1" t="n">
        <v>43794</v>
      </c>
      <c r="C543" s="1" t="n">
        <v>45583</v>
      </c>
      <c r="D543" t="inlineStr">
        <is>
          <t>VÄSTERNORRLANDS LÄN</t>
        </is>
      </c>
      <c r="E543" t="inlineStr">
        <is>
          <t>SOLLEFTEÅ</t>
        </is>
      </c>
      <c r="G543" t="n">
        <v>7.2</v>
      </c>
      <c r="H543" t="n">
        <v>0</v>
      </c>
      <c r="I543" t="n">
        <v>0</v>
      </c>
      <c r="J543" t="n">
        <v>0</v>
      </c>
      <c r="K543" t="n">
        <v>0</v>
      </c>
      <c r="L543" t="n">
        <v>0</v>
      </c>
      <c r="M543" t="n">
        <v>0</v>
      </c>
      <c r="N543" t="n">
        <v>0</v>
      </c>
      <c r="O543" t="n">
        <v>0</v>
      </c>
      <c r="P543" t="n">
        <v>0</v>
      </c>
      <c r="Q543" t="n">
        <v>0</v>
      </c>
      <c r="R543" s="2" t="inlineStr"/>
    </row>
    <row r="544" ht="15" customHeight="1">
      <c r="A544" t="inlineStr">
        <is>
          <t>A 63752-2019</t>
        </is>
      </c>
      <c r="B544" s="1" t="n">
        <v>43795</v>
      </c>
      <c r="C544" s="1" t="n">
        <v>45583</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65218-2019</t>
        </is>
      </c>
      <c r="B545" s="1" t="n">
        <v>43797</v>
      </c>
      <c r="C545" s="1" t="n">
        <v>45583</v>
      </c>
      <c r="D545" t="inlineStr">
        <is>
          <t>VÄSTERNORRLANDS LÄN</t>
        </is>
      </c>
      <c r="E545" t="inlineStr">
        <is>
          <t>SOLLEFTEÅ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65029-2019</t>
        </is>
      </c>
      <c r="B546" s="1" t="n">
        <v>43801</v>
      </c>
      <c r="C546" s="1" t="n">
        <v>45583</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65332-2019</t>
        </is>
      </c>
      <c r="B547" s="1" t="n">
        <v>43802</v>
      </c>
      <c r="C547" s="1" t="n">
        <v>45583</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66321-2019</t>
        </is>
      </c>
      <c r="B548" s="1" t="n">
        <v>43802</v>
      </c>
      <c r="C548" s="1" t="n">
        <v>45583</v>
      </c>
      <c r="D548" t="inlineStr">
        <is>
          <t>VÄSTERNORRLANDS LÄN</t>
        </is>
      </c>
      <c r="E548" t="inlineStr">
        <is>
          <t>SOLLEFTEÅ</t>
        </is>
      </c>
      <c r="G548" t="n">
        <v>6.4</v>
      </c>
      <c r="H548" t="n">
        <v>0</v>
      </c>
      <c r="I548" t="n">
        <v>0</v>
      </c>
      <c r="J548" t="n">
        <v>0</v>
      </c>
      <c r="K548" t="n">
        <v>0</v>
      </c>
      <c r="L548" t="n">
        <v>0</v>
      </c>
      <c r="M548" t="n">
        <v>0</v>
      </c>
      <c r="N548" t="n">
        <v>0</v>
      </c>
      <c r="O548" t="n">
        <v>0</v>
      </c>
      <c r="P548" t="n">
        <v>0</v>
      </c>
      <c r="Q548" t="n">
        <v>0</v>
      </c>
      <c r="R548" s="2" t="inlineStr"/>
    </row>
    <row r="549" ht="15" customHeight="1">
      <c r="A549" t="inlineStr">
        <is>
          <t>A 65319-2019</t>
        </is>
      </c>
      <c r="B549" s="1" t="n">
        <v>43802</v>
      </c>
      <c r="C549" s="1" t="n">
        <v>45583</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65327-2019</t>
        </is>
      </c>
      <c r="B550" s="1" t="n">
        <v>43802</v>
      </c>
      <c r="C550" s="1" t="n">
        <v>45583</v>
      </c>
      <c r="D550" t="inlineStr">
        <is>
          <t>VÄSTERNORRLANDS LÄN</t>
        </is>
      </c>
      <c r="E550" t="inlineStr">
        <is>
          <t>SOLLEFTEÅ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66391-2019</t>
        </is>
      </c>
      <c r="B551" s="1" t="n">
        <v>43808</v>
      </c>
      <c r="C551" s="1" t="n">
        <v>45583</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67805-2019</t>
        </is>
      </c>
      <c r="B552" s="1" t="n">
        <v>43815</v>
      </c>
      <c r="C552" s="1" t="n">
        <v>45583</v>
      </c>
      <c r="D552" t="inlineStr">
        <is>
          <t>VÄSTERNORRLANDS LÄN</t>
        </is>
      </c>
      <c r="E552" t="inlineStr">
        <is>
          <t>SOLLEFTEÅ</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67815-2019</t>
        </is>
      </c>
      <c r="B553" s="1" t="n">
        <v>43815</v>
      </c>
      <c r="C553" s="1" t="n">
        <v>45583</v>
      </c>
      <c r="D553" t="inlineStr">
        <is>
          <t>VÄSTERNORRLANDS LÄN</t>
        </is>
      </c>
      <c r="E553" t="inlineStr">
        <is>
          <t>SOLLEFTEÅ</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1627-2020</t>
        </is>
      </c>
      <c r="B554" s="1" t="n">
        <v>43829</v>
      </c>
      <c r="C554" s="1" t="n">
        <v>45583</v>
      </c>
      <c r="D554" t="inlineStr">
        <is>
          <t>VÄSTERNORRLANDS LÄN</t>
        </is>
      </c>
      <c r="E554" t="inlineStr">
        <is>
          <t>SOLLEFTEÅ</t>
        </is>
      </c>
      <c r="G554" t="n">
        <v>9</v>
      </c>
      <c r="H554" t="n">
        <v>0</v>
      </c>
      <c r="I554" t="n">
        <v>0</v>
      </c>
      <c r="J554" t="n">
        <v>0</v>
      </c>
      <c r="K554" t="n">
        <v>0</v>
      </c>
      <c r="L554" t="n">
        <v>0</v>
      </c>
      <c r="M554" t="n">
        <v>0</v>
      </c>
      <c r="N554" t="n">
        <v>0</v>
      </c>
      <c r="O554" t="n">
        <v>0</v>
      </c>
      <c r="P554" t="n">
        <v>0</v>
      </c>
      <c r="Q554" t="n">
        <v>0</v>
      </c>
      <c r="R554" s="2" t="inlineStr"/>
    </row>
    <row r="555" ht="15" customHeight="1">
      <c r="A555" t="inlineStr">
        <is>
          <t>A 127-2020</t>
        </is>
      </c>
      <c r="B555" s="1" t="n">
        <v>43832</v>
      </c>
      <c r="C555" s="1" t="n">
        <v>45583</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125-2020</t>
        </is>
      </c>
      <c r="B556" s="1" t="n">
        <v>43832</v>
      </c>
      <c r="C556" s="1" t="n">
        <v>45583</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126-2020</t>
        </is>
      </c>
      <c r="B557" s="1" t="n">
        <v>43832</v>
      </c>
      <c r="C557" s="1" t="n">
        <v>45583</v>
      </c>
      <c r="D557" t="inlineStr">
        <is>
          <t>VÄSTERNORRLANDS LÄN</t>
        </is>
      </c>
      <c r="E557" t="inlineStr">
        <is>
          <t>SOLLEFTEÅ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538-2020</t>
        </is>
      </c>
      <c r="B558" s="1" t="n">
        <v>43837</v>
      </c>
      <c r="C558" s="1" t="n">
        <v>45583</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1263-2020</t>
        </is>
      </c>
      <c r="B559" s="1" t="n">
        <v>43840</v>
      </c>
      <c r="C559" s="1" t="n">
        <v>45583</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1262-2020</t>
        </is>
      </c>
      <c r="B560" s="1" t="n">
        <v>43840</v>
      </c>
      <c r="C560" s="1" t="n">
        <v>45583</v>
      </c>
      <c r="D560" t="inlineStr">
        <is>
          <t>VÄSTERNORRLANDS LÄN</t>
        </is>
      </c>
      <c r="E560" t="inlineStr">
        <is>
          <t>SOLLEFTEÅ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1213-2020</t>
        </is>
      </c>
      <c r="B561" s="1" t="n">
        <v>43840</v>
      </c>
      <c r="C561" s="1" t="n">
        <v>45583</v>
      </c>
      <c r="D561" t="inlineStr">
        <is>
          <t>VÄSTERNORRLANDS LÄN</t>
        </is>
      </c>
      <c r="E561" t="inlineStr">
        <is>
          <t>SOLLEFTEÅ</t>
        </is>
      </c>
      <c r="F561" t="inlineStr">
        <is>
          <t>Kyrkan</t>
        </is>
      </c>
      <c r="G561" t="n">
        <v>13.9</v>
      </c>
      <c r="H561" t="n">
        <v>0</v>
      </c>
      <c r="I561" t="n">
        <v>0</v>
      </c>
      <c r="J561" t="n">
        <v>0</v>
      </c>
      <c r="K561" t="n">
        <v>0</v>
      </c>
      <c r="L561" t="n">
        <v>0</v>
      </c>
      <c r="M561" t="n">
        <v>0</v>
      </c>
      <c r="N561" t="n">
        <v>0</v>
      </c>
      <c r="O561" t="n">
        <v>0</v>
      </c>
      <c r="P561" t="n">
        <v>0</v>
      </c>
      <c r="Q561" t="n">
        <v>0</v>
      </c>
      <c r="R561" s="2" t="inlineStr"/>
    </row>
    <row r="562" ht="15" customHeight="1">
      <c r="A562" t="inlineStr">
        <is>
          <t>A 1568-2020</t>
        </is>
      </c>
      <c r="B562" s="1" t="n">
        <v>43844</v>
      </c>
      <c r="C562" s="1" t="n">
        <v>45583</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2897-2020</t>
        </is>
      </c>
      <c r="B563" s="1" t="n">
        <v>43850</v>
      </c>
      <c r="C563" s="1" t="n">
        <v>45583</v>
      </c>
      <c r="D563" t="inlineStr">
        <is>
          <t>VÄSTERNORRLANDS LÄN</t>
        </is>
      </c>
      <c r="E563" t="inlineStr">
        <is>
          <t>SOLLEFTEÅ</t>
        </is>
      </c>
      <c r="G563" t="n">
        <v>7.6</v>
      </c>
      <c r="H563" t="n">
        <v>0</v>
      </c>
      <c r="I563" t="n">
        <v>0</v>
      </c>
      <c r="J563" t="n">
        <v>0</v>
      </c>
      <c r="K563" t="n">
        <v>0</v>
      </c>
      <c r="L563" t="n">
        <v>0</v>
      </c>
      <c r="M563" t="n">
        <v>0</v>
      </c>
      <c r="N563" t="n">
        <v>0</v>
      </c>
      <c r="O563" t="n">
        <v>0</v>
      </c>
      <c r="P563" t="n">
        <v>0</v>
      </c>
      <c r="Q563" t="n">
        <v>0</v>
      </c>
      <c r="R563" s="2" t="inlineStr"/>
    </row>
    <row r="564" ht="15" customHeight="1">
      <c r="A564" t="inlineStr">
        <is>
          <t>A 3230-2020</t>
        </is>
      </c>
      <c r="B564" s="1" t="n">
        <v>43851</v>
      </c>
      <c r="C564" s="1" t="n">
        <v>45583</v>
      </c>
      <c r="D564" t="inlineStr">
        <is>
          <t>VÄSTERNORRLANDS LÄN</t>
        </is>
      </c>
      <c r="E564" t="inlineStr">
        <is>
          <t>SOLLEFTEÅ</t>
        </is>
      </c>
      <c r="F564" t="inlineStr">
        <is>
          <t>Övriga statliga verk och myndigheter</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4363-2020</t>
        </is>
      </c>
      <c r="B565" s="1" t="n">
        <v>43857</v>
      </c>
      <c r="C565" s="1" t="n">
        <v>45583</v>
      </c>
      <c r="D565" t="inlineStr">
        <is>
          <t>VÄSTERNORRLANDS LÄN</t>
        </is>
      </c>
      <c r="E565" t="inlineStr">
        <is>
          <t>SOLLEFTEÅ</t>
        </is>
      </c>
      <c r="G565" t="n">
        <v>6.4</v>
      </c>
      <c r="H565" t="n">
        <v>0</v>
      </c>
      <c r="I565" t="n">
        <v>0</v>
      </c>
      <c r="J565" t="n">
        <v>0</v>
      </c>
      <c r="K565" t="n">
        <v>0</v>
      </c>
      <c r="L565" t="n">
        <v>0</v>
      </c>
      <c r="M565" t="n">
        <v>0</v>
      </c>
      <c r="N565" t="n">
        <v>0</v>
      </c>
      <c r="O565" t="n">
        <v>0</v>
      </c>
      <c r="P565" t="n">
        <v>0</v>
      </c>
      <c r="Q565" t="n">
        <v>0</v>
      </c>
      <c r="R565" s="2" t="inlineStr"/>
    </row>
    <row r="566" ht="15" customHeight="1">
      <c r="A566" t="inlineStr">
        <is>
          <t>A 5248-2020</t>
        </is>
      </c>
      <c r="B566" s="1" t="n">
        <v>43857</v>
      </c>
      <c r="C566" s="1" t="n">
        <v>45583</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5635-2020</t>
        </is>
      </c>
      <c r="B567" s="1" t="n">
        <v>43860</v>
      </c>
      <c r="C567" s="1" t="n">
        <v>45583</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5662-2020</t>
        </is>
      </c>
      <c r="B568" s="1" t="n">
        <v>43861</v>
      </c>
      <c r="C568" s="1" t="n">
        <v>45583</v>
      </c>
      <c r="D568" t="inlineStr">
        <is>
          <t>VÄSTERNORRLANDS LÄN</t>
        </is>
      </c>
      <c r="E568" t="inlineStr">
        <is>
          <t>SOLLEFTEÅ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5714-2020</t>
        </is>
      </c>
      <c r="B569" s="1" t="n">
        <v>43861</v>
      </c>
      <c r="C569" s="1" t="n">
        <v>45583</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5908-2020</t>
        </is>
      </c>
      <c r="B570" s="1" t="n">
        <v>43861</v>
      </c>
      <c r="C570" s="1" t="n">
        <v>45583</v>
      </c>
      <c r="D570" t="inlineStr">
        <is>
          <t>VÄSTERNORRLANDS LÄN</t>
        </is>
      </c>
      <c r="E570" t="inlineStr">
        <is>
          <t>SOLLEFTEÅ</t>
        </is>
      </c>
      <c r="G570" t="n">
        <v>4.6</v>
      </c>
      <c r="H570" t="n">
        <v>0</v>
      </c>
      <c r="I570" t="n">
        <v>0</v>
      </c>
      <c r="J570" t="n">
        <v>0</v>
      </c>
      <c r="K570" t="n">
        <v>0</v>
      </c>
      <c r="L570" t="n">
        <v>0</v>
      </c>
      <c r="M570" t="n">
        <v>0</v>
      </c>
      <c r="N570" t="n">
        <v>0</v>
      </c>
      <c r="O570" t="n">
        <v>0</v>
      </c>
      <c r="P570" t="n">
        <v>0</v>
      </c>
      <c r="Q570" t="n">
        <v>0</v>
      </c>
      <c r="R570" s="2" t="inlineStr"/>
    </row>
    <row r="571" ht="15" customHeight="1">
      <c r="A571" t="inlineStr">
        <is>
          <t>A 8363-2020</t>
        </is>
      </c>
      <c r="B571" s="1" t="n">
        <v>43875</v>
      </c>
      <c r="C571" s="1" t="n">
        <v>45583</v>
      </c>
      <c r="D571" t="inlineStr">
        <is>
          <t>VÄSTERNORRLANDS LÄN</t>
        </is>
      </c>
      <c r="E571" t="inlineStr">
        <is>
          <t>SOLLEFTEÅ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8935-2020</t>
        </is>
      </c>
      <c r="B572" s="1" t="n">
        <v>43878</v>
      </c>
      <c r="C572" s="1" t="n">
        <v>45583</v>
      </c>
      <c r="D572" t="inlineStr">
        <is>
          <t>VÄSTERNORRLANDS LÄN</t>
        </is>
      </c>
      <c r="E572" t="inlineStr">
        <is>
          <t>SOLLEFTEÅ</t>
        </is>
      </c>
      <c r="G572" t="n">
        <v>3.9</v>
      </c>
      <c r="H572" t="n">
        <v>0</v>
      </c>
      <c r="I572" t="n">
        <v>0</v>
      </c>
      <c r="J572" t="n">
        <v>0</v>
      </c>
      <c r="K572" t="n">
        <v>0</v>
      </c>
      <c r="L572" t="n">
        <v>0</v>
      </c>
      <c r="M572" t="n">
        <v>0</v>
      </c>
      <c r="N572" t="n">
        <v>0</v>
      </c>
      <c r="O572" t="n">
        <v>0</v>
      </c>
      <c r="P572" t="n">
        <v>0</v>
      </c>
      <c r="Q572" t="n">
        <v>0</v>
      </c>
      <c r="R572" s="2" t="inlineStr"/>
    </row>
    <row r="573" ht="15" customHeight="1">
      <c r="A573" t="inlineStr">
        <is>
          <t>A 10631-2020</t>
        </is>
      </c>
      <c r="B573" s="1" t="n">
        <v>43887</v>
      </c>
      <c r="C573" s="1" t="n">
        <v>45583</v>
      </c>
      <c r="D573" t="inlineStr">
        <is>
          <t>VÄSTERNORRLANDS LÄN</t>
        </is>
      </c>
      <c r="E573" t="inlineStr">
        <is>
          <t>SOLLEFTEÅ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10846-2020</t>
        </is>
      </c>
      <c r="B574" s="1" t="n">
        <v>43888</v>
      </c>
      <c r="C574" s="1" t="n">
        <v>45583</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11685-2020</t>
        </is>
      </c>
      <c r="B575" s="1" t="n">
        <v>43893</v>
      </c>
      <c r="C575" s="1" t="n">
        <v>45583</v>
      </c>
      <c r="D575" t="inlineStr">
        <is>
          <t>VÄSTERNORRLANDS LÄN</t>
        </is>
      </c>
      <c r="E575" t="inlineStr">
        <is>
          <t>SOLLEFTEÅ</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12819-2020</t>
        </is>
      </c>
      <c r="B576" s="1" t="n">
        <v>43893</v>
      </c>
      <c r="C576" s="1" t="n">
        <v>45583</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12525-2020</t>
        </is>
      </c>
      <c r="B577" s="1" t="n">
        <v>43896</v>
      </c>
      <c r="C577" s="1" t="n">
        <v>45583</v>
      </c>
      <c r="D577" t="inlineStr">
        <is>
          <t>VÄSTERNORRLANDS LÄN</t>
        </is>
      </c>
      <c r="E577" t="inlineStr">
        <is>
          <t>SOLLEFTEÅ</t>
        </is>
      </c>
      <c r="F577" t="inlineStr">
        <is>
          <t>SCA</t>
        </is>
      </c>
      <c r="G577" t="n">
        <v>28.7</v>
      </c>
      <c r="H577" t="n">
        <v>0</v>
      </c>
      <c r="I577" t="n">
        <v>0</v>
      </c>
      <c r="J577" t="n">
        <v>0</v>
      </c>
      <c r="K577" t="n">
        <v>0</v>
      </c>
      <c r="L577" t="n">
        <v>0</v>
      </c>
      <c r="M577" t="n">
        <v>0</v>
      </c>
      <c r="N577" t="n">
        <v>0</v>
      </c>
      <c r="O577" t="n">
        <v>0</v>
      </c>
      <c r="P577" t="n">
        <v>0</v>
      </c>
      <c r="Q577" t="n">
        <v>0</v>
      </c>
      <c r="R577" s="2" t="inlineStr"/>
    </row>
    <row r="578" ht="15" customHeight="1">
      <c r="A578" t="inlineStr">
        <is>
          <t>A 13023-2020</t>
        </is>
      </c>
      <c r="B578" s="1" t="n">
        <v>43900</v>
      </c>
      <c r="C578" s="1" t="n">
        <v>45583</v>
      </c>
      <c r="D578" t="inlineStr">
        <is>
          <t>VÄSTERNORRLANDS LÄN</t>
        </is>
      </c>
      <c r="E578" t="inlineStr">
        <is>
          <t>SOLLEFTEÅ</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13567-2020</t>
        </is>
      </c>
      <c r="B579" s="1" t="n">
        <v>43902</v>
      </c>
      <c r="C579" s="1" t="n">
        <v>45583</v>
      </c>
      <c r="D579" t="inlineStr">
        <is>
          <t>VÄSTERNORRLANDS LÄN</t>
        </is>
      </c>
      <c r="E579" t="inlineStr">
        <is>
          <t>SOLLEFTEÅ</t>
        </is>
      </c>
      <c r="F579" t="inlineStr">
        <is>
          <t>SCA</t>
        </is>
      </c>
      <c r="G579" t="n">
        <v>15.9</v>
      </c>
      <c r="H579" t="n">
        <v>0</v>
      </c>
      <c r="I579" t="n">
        <v>0</v>
      </c>
      <c r="J579" t="n">
        <v>0</v>
      </c>
      <c r="K579" t="n">
        <v>0</v>
      </c>
      <c r="L579" t="n">
        <v>0</v>
      </c>
      <c r="M579" t="n">
        <v>0</v>
      </c>
      <c r="N579" t="n">
        <v>0</v>
      </c>
      <c r="O579" t="n">
        <v>0</v>
      </c>
      <c r="P579" t="n">
        <v>0</v>
      </c>
      <c r="Q579" t="n">
        <v>0</v>
      </c>
      <c r="R579" s="2" t="inlineStr"/>
    </row>
    <row r="580" ht="15" customHeight="1">
      <c r="A580" t="inlineStr">
        <is>
          <t>A 13577-2020</t>
        </is>
      </c>
      <c r="B580" s="1" t="n">
        <v>43902</v>
      </c>
      <c r="C580" s="1" t="n">
        <v>45583</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13565-2020</t>
        </is>
      </c>
      <c r="B581" s="1" t="n">
        <v>43902</v>
      </c>
      <c r="C581" s="1" t="n">
        <v>45583</v>
      </c>
      <c r="D581" t="inlineStr">
        <is>
          <t>VÄSTERNORRLANDS LÄN</t>
        </is>
      </c>
      <c r="E581" t="inlineStr">
        <is>
          <t>SOLLEFTEÅ</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13575-2020</t>
        </is>
      </c>
      <c r="B582" s="1" t="n">
        <v>43902</v>
      </c>
      <c r="C582" s="1" t="n">
        <v>45583</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13561-2020</t>
        </is>
      </c>
      <c r="B583" s="1" t="n">
        <v>43902</v>
      </c>
      <c r="C583" s="1" t="n">
        <v>45583</v>
      </c>
      <c r="D583" t="inlineStr">
        <is>
          <t>VÄSTERNORRLANDS LÄN</t>
        </is>
      </c>
      <c r="E583" t="inlineStr">
        <is>
          <t>SOLLEFTEÅ</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13564-2020</t>
        </is>
      </c>
      <c r="B584" s="1" t="n">
        <v>43902</v>
      </c>
      <c r="C584" s="1" t="n">
        <v>45583</v>
      </c>
      <c r="D584" t="inlineStr">
        <is>
          <t>VÄSTERNORRLANDS LÄN</t>
        </is>
      </c>
      <c r="E584" t="inlineStr">
        <is>
          <t>SOLLEFTEÅ</t>
        </is>
      </c>
      <c r="F584" t="inlineStr">
        <is>
          <t>SCA</t>
        </is>
      </c>
      <c r="G584" t="n">
        <v>26.1</v>
      </c>
      <c r="H584" t="n">
        <v>0</v>
      </c>
      <c r="I584" t="n">
        <v>0</v>
      </c>
      <c r="J584" t="n">
        <v>0</v>
      </c>
      <c r="K584" t="n">
        <v>0</v>
      </c>
      <c r="L584" t="n">
        <v>0</v>
      </c>
      <c r="M584" t="n">
        <v>0</v>
      </c>
      <c r="N584" t="n">
        <v>0</v>
      </c>
      <c r="O584" t="n">
        <v>0</v>
      </c>
      <c r="P584" t="n">
        <v>0</v>
      </c>
      <c r="Q584" t="n">
        <v>0</v>
      </c>
      <c r="R584" s="2" t="inlineStr"/>
    </row>
    <row r="585" ht="15" customHeight="1">
      <c r="A585" t="inlineStr">
        <is>
          <t>A 13798-2020</t>
        </is>
      </c>
      <c r="B585" s="1" t="n">
        <v>43903</v>
      </c>
      <c r="C585" s="1" t="n">
        <v>45583</v>
      </c>
      <c r="D585" t="inlineStr">
        <is>
          <t>VÄSTERNORRLANDS LÄN</t>
        </is>
      </c>
      <c r="E585" t="inlineStr">
        <is>
          <t>SOLLEFTEÅ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13864-2020</t>
        </is>
      </c>
      <c r="B586" s="1" t="n">
        <v>43906</v>
      </c>
      <c r="C586" s="1" t="n">
        <v>45583</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14859-2020</t>
        </is>
      </c>
      <c r="B587" s="1" t="n">
        <v>43909</v>
      </c>
      <c r="C587" s="1" t="n">
        <v>45583</v>
      </c>
      <c r="D587" t="inlineStr">
        <is>
          <t>VÄSTERNORRLANDS LÄN</t>
        </is>
      </c>
      <c r="E587" t="inlineStr">
        <is>
          <t>SOLLEFTEÅ</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18515-2020</t>
        </is>
      </c>
      <c r="B588" s="1" t="n">
        <v>43927</v>
      </c>
      <c r="C588" s="1" t="n">
        <v>45583</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18402-2020</t>
        </is>
      </c>
      <c r="B589" s="1" t="n">
        <v>43928</v>
      </c>
      <c r="C589" s="1" t="n">
        <v>45583</v>
      </c>
      <c r="D589" t="inlineStr">
        <is>
          <t>VÄSTERNORRLANDS LÄN</t>
        </is>
      </c>
      <c r="E589" t="inlineStr">
        <is>
          <t>SOLLEFTEÅ</t>
        </is>
      </c>
      <c r="F589" t="inlineStr">
        <is>
          <t>Kyrkan</t>
        </is>
      </c>
      <c r="G589" t="n">
        <v>2.2</v>
      </c>
      <c r="H589" t="n">
        <v>0</v>
      </c>
      <c r="I589" t="n">
        <v>0</v>
      </c>
      <c r="J589" t="n">
        <v>0</v>
      </c>
      <c r="K589" t="n">
        <v>0</v>
      </c>
      <c r="L589" t="n">
        <v>0</v>
      </c>
      <c r="M589" t="n">
        <v>0</v>
      </c>
      <c r="N589" t="n">
        <v>0</v>
      </c>
      <c r="O589" t="n">
        <v>0</v>
      </c>
      <c r="P589" t="n">
        <v>0</v>
      </c>
      <c r="Q589" t="n">
        <v>0</v>
      </c>
      <c r="R589" s="2" t="inlineStr"/>
    </row>
    <row r="590" ht="15" customHeight="1">
      <c r="A590" t="inlineStr">
        <is>
          <t>A 20164-2020</t>
        </is>
      </c>
      <c r="B590" s="1" t="n">
        <v>43944</v>
      </c>
      <c r="C590" s="1" t="n">
        <v>45583</v>
      </c>
      <c r="D590" t="inlineStr">
        <is>
          <t>VÄSTERNORRLANDS LÄN</t>
        </is>
      </c>
      <c r="E590" t="inlineStr">
        <is>
          <t>SOLLEFTEÅ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20419-2020</t>
        </is>
      </c>
      <c r="B591" s="1" t="n">
        <v>43945</v>
      </c>
      <c r="C591" s="1" t="n">
        <v>45583</v>
      </c>
      <c r="D591" t="inlineStr">
        <is>
          <t>VÄSTERNORRLANDS LÄN</t>
        </is>
      </c>
      <c r="E591" t="inlineStr">
        <is>
          <t>SOLLEFTEÅ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20861-2020</t>
        </is>
      </c>
      <c r="B592" s="1" t="n">
        <v>43948</v>
      </c>
      <c r="C592" s="1" t="n">
        <v>45583</v>
      </c>
      <c r="D592" t="inlineStr">
        <is>
          <t>VÄSTERNORRLANDS LÄN</t>
        </is>
      </c>
      <c r="E592" t="inlineStr">
        <is>
          <t>SOLLEFTEÅ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21022-2020</t>
        </is>
      </c>
      <c r="B593" s="1" t="n">
        <v>43950</v>
      </c>
      <c r="C593" s="1" t="n">
        <v>45583</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21097-2020</t>
        </is>
      </c>
      <c r="B594" s="1" t="n">
        <v>43950</v>
      </c>
      <c r="C594" s="1" t="n">
        <v>45583</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21020-2020</t>
        </is>
      </c>
      <c r="B595" s="1" t="n">
        <v>43950</v>
      </c>
      <c r="C595" s="1" t="n">
        <v>45583</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22371-2020</t>
        </is>
      </c>
      <c r="B596" s="1" t="n">
        <v>43957</v>
      </c>
      <c r="C596" s="1" t="n">
        <v>45583</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22731-2020</t>
        </is>
      </c>
      <c r="B597" s="1" t="n">
        <v>43962</v>
      </c>
      <c r="C597" s="1" t="n">
        <v>45583</v>
      </c>
      <c r="D597" t="inlineStr">
        <is>
          <t>VÄSTERNORRLANDS LÄN</t>
        </is>
      </c>
      <c r="E597" t="inlineStr">
        <is>
          <t>SOLLEFTEÅ</t>
        </is>
      </c>
      <c r="G597" t="n">
        <v>16.8</v>
      </c>
      <c r="H597" t="n">
        <v>0</v>
      </c>
      <c r="I597" t="n">
        <v>0</v>
      </c>
      <c r="J597" t="n">
        <v>0</v>
      </c>
      <c r="K597" t="n">
        <v>0</v>
      </c>
      <c r="L597" t="n">
        <v>0</v>
      </c>
      <c r="M597" t="n">
        <v>0</v>
      </c>
      <c r="N597" t="n">
        <v>0</v>
      </c>
      <c r="O597" t="n">
        <v>0</v>
      </c>
      <c r="P597" t="n">
        <v>0</v>
      </c>
      <c r="Q597" t="n">
        <v>0</v>
      </c>
      <c r="R597" s="2" t="inlineStr"/>
    </row>
    <row r="598" ht="15" customHeight="1">
      <c r="A598" t="inlineStr">
        <is>
          <t>A 21607-2020</t>
        </is>
      </c>
      <c r="B598" s="1" t="n">
        <v>43963</v>
      </c>
      <c r="C598" s="1" t="n">
        <v>45583</v>
      </c>
      <c r="D598" t="inlineStr">
        <is>
          <t>VÄSTERNORRLANDS LÄN</t>
        </is>
      </c>
      <c r="E598" t="inlineStr">
        <is>
          <t>SOLLEFTEÅ</t>
        </is>
      </c>
      <c r="G598" t="n">
        <v>3.6</v>
      </c>
      <c r="H598" t="n">
        <v>0</v>
      </c>
      <c r="I598" t="n">
        <v>0</v>
      </c>
      <c r="J598" t="n">
        <v>0</v>
      </c>
      <c r="K598" t="n">
        <v>0</v>
      </c>
      <c r="L598" t="n">
        <v>0</v>
      </c>
      <c r="M598" t="n">
        <v>0</v>
      </c>
      <c r="N598" t="n">
        <v>0</v>
      </c>
      <c r="O598" t="n">
        <v>0</v>
      </c>
      <c r="P598" t="n">
        <v>0</v>
      </c>
      <c r="Q598" t="n">
        <v>0</v>
      </c>
      <c r="R598" s="2" t="inlineStr"/>
    </row>
    <row r="599" ht="15" customHeight="1">
      <c r="A599" t="inlineStr">
        <is>
          <t>A 22561-2020</t>
        </is>
      </c>
      <c r="B599" s="1" t="n">
        <v>43963</v>
      </c>
      <c r="C599" s="1" t="n">
        <v>45583</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23231-2020</t>
        </is>
      </c>
      <c r="B600" s="1" t="n">
        <v>43966</v>
      </c>
      <c r="C600" s="1" t="n">
        <v>45583</v>
      </c>
      <c r="D600" t="inlineStr">
        <is>
          <t>VÄSTERNORRLANDS LÄN</t>
        </is>
      </c>
      <c r="E600" t="inlineStr">
        <is>
          <t>SOLLEFTEÅ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23638-2020</t>
        </is>
      </c>
      <c r="B601" s="1" t="n">
        <v>43969</v>
      </c>
      <c r="C601" s="1" t="n">
        <v>45583</v>
      </c>
      <c r="D601" t="inlineStr">
        <is>
          <t>VÄSTERNORRLANDS LÄN</t>
        </is>
      </c>
      <c r="E601" t="inlineStr">
        <is>
          <t>SOLLEFTEÅ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24060-2020</t>
        </is>
      </c>
      <c r="B602" s="1" t="n">
        <v>43971</v>
      </c>
      <c r="C602" s="1" t="n">
        <v>45583</v>
      </c>
      <c r="D602" t="inlineStr">
        <is>
          <t>VÄSTERNORRLANDS LÄN</t>
        </is>
      </c>
      <c r="E602" t="inlineStr">
        <is>
          <t>SOLLEFTEÅ</t>
        </is>
      </c>
      <c r="G602" t="n">
        <v>16.3</v>
      </c>
      <c r="H602" t="n">
        <v>0</v>
      </c>
      <c r="I602" t="n">
        <v>0</v>
      </c>
      <c r="J602" t="n">
        <v>0</v>
      </c>
      <c r="K602" t="n">
        <v>0</v>
      </c>
      <c r="L602" t="n">
        <v>0</v>
      </c>
      <c r="M602" t="n">
        <v>0</v>
      </c>
      <c r="N602" t="n">
        <v>0</v>
      </c>
      <c r="O602" t="n">
        <v>0</v>
      </c>
      <c r="P602" t="n">
        <v>0</v>
      </c>
      <c r="Q602" t="n">
        <v>0</v>
      </c>
      <c r="R602" s="2" t="inlineStr"/>
    </row>
    <row r="603" ht="15" customHeight="1">
      <c r="A603" t="inlineStr">
        <is>
          <t>A 24062-2020</t>
        </is>
      </c>
      <c r="B603" s="1" t="n">
        <v>43971</v>
      </c>
      <c r="C603" s="1" t="n">
        <v>45583</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24061-2020</t>
        </is>
      </c>
      <c r="B604" s="1" t="n">
        <v>43971</v>
      </c>
      <c r="C604" s="1" t="n">
        <v>45583</v>
      </c>
      <c r="D604" t="inlineStr">
        <is>
          <t>VÄSTERNORRLANDS LÄN</t>
        </is>
      </c>
      <c r="E604" t="inlineStr">
        <is>
          <t>SOLLEFTEÅ</t>
        </is>
      </c>
      <c r="G604" t="n">
        <v>5.7</v>
      </c>
      <c r="H604" t="n">
        <v>0</v>
      </c>
      <c r="I604" t="n">
        <v>0</v>
      </c>
      <c r="J604" t="n">
        <v>0</v>
      </c>
      <c r="K604" t="n">
        <v>0</v>
      </c>
      <c r="L604" t="n">
        <v>0</v>
      </c>
      <c r="M604" t="n">
        <v>0</v>
      </c>
      <c r="N604" t="n">
        <v>0</v>
      </c>
      <c r="O604" t="n">
        <v>0</v>
      </c>
      <c r="P604" t="n">
        <v>0</v>
      </c>
      <c r="Q604" t="n">
        <v>0</v>
      </c>
      <c r="R604" s="2" t="inlineStr"/>
    </row>
    <row r="605" ht="15" customHeight="1">
      <c r="A605" t="inlineStr">
        <is>
          <t>A 25100-2020</t>
        </is>
      </c>
      <c r="B605" s="1" t="n">
        <v>43979</v>
      </c>
      <c r="C605" s="1" t="n">
        <v>45583</v>
      </c>
      <c r="D605" t="inlineStr">
        <is>
          <t>VÄSTERNORRLANDS LÄN</t>
        </is>
      </c>
      <c r="E605" t="inlineStr">
        <is>
          <t>SOLLEFTEÅ</t>
        </is>
      </c>
      <c r="G605" t="n">
        <v>4.7</v>
      </c>
      <c r="H605" t="n">
        <v>0</v>
      </c>
      <c r="I605" t="n">
        <v>0</v>
      </c>
      <c r="J605" t="n">
        <v>0</v>
      </c>
      <c r="K605" t="n">
        <v>0</v>
      </c>
      <c r="L605" t="n">
        <v>0</v>
      </c>
      <c r="M605" t="n">
        <v>0</v>
      </c>
      <c r="N605" t="n">
        <v>0</v>
      </c>
      <c r="O605" t="n">
        <v>0</v>
      </c>
      <c r="P605" t="n">
        <v>0</v>
      </c>
      <c r="Q605" t="n">
        <v>0</v>
      </c>
      <c r="R605" s="2" t="inlineStr"/>
    </row>
    <row r="606" ht="15" customHeight="1">
      <c r="A606" t="inlineStr">
        <is>
          <t>A 26189-2020</t>
        </is>
      </c>
      <c r="B606" s="1" t="n">
        <v>43985</v>
      </c>
      <c r="C606" s="1" t="n">
        <v>45583</v>
      </c>
      <c r="D606" t="inlineStr">
        <is>
          <t>VÄSTERNORRLANDS LÄN</t>
        </is>
      </c>
      <c r="E606" t="inlineStr">
        <is>
          <t>SOLLEFTEÅ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26249-2020</t>
        </is>
      </c>
      <c r="B607" s="1" t="n">
        <v>43986</v>
      </c>
      <c r="C607" s="1" t="n">
        <v>45583</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27199-2020</t>
        </is>
      </c>
      <c r="B608" s="1" t="n">
        <v>43991</v>
      </c>
      <c r="C608" s="1" t="n">
        <v>45583</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27209-2020</t>
        </is>
      </c>
      <c r="B609" s="1" t="n">
        <v>43991</v>
      </c>
      <c r="C609" s="1" t="n">
        <v>45583</v>
      </c>
      <c r="D609" t="inlineStr">
        <is>
          <t>VÄSTERNORRLANDS LÄN</t>
        </is>
      </c>
      <c r="E609" t="inlineStr">
        <is>
          <t>SOLLEFTEÅ</t>
        </is>
      </c>
      <c r="F609" t="inlineStr">
        <is>
          <t>SCA</t>
        </is>
      </c>
      <c r="G609" t="n">
        <v>15.7</v>
      </c>
      <c r="H609" t="n">
        <v>0</v>
      </c>
      <c r="I609" t="n">
        <v>0</v>
      </c>
      <c r="J609" t="n">
        <v>0</v>
      </c>
      <c r="K609" t="n">
        <v>0</v>
      </c>
      <c r="L609" t="n">
        <v>0</v>
      </c>
      <c r="M609" t="n">
        <v>0</v>
      </c>
      <c r="N609" t="n">
        <v>0</v>
      </c>
      <c r="O609" t="n">
        <v>0</v>
      </c>
      <c r="P609" t="n">
        <v>0</v>
      </c>
      <c r="Q609" t="n">
        <v>0</v>
      </c>
      <c r="R609" s="2" t="inlineStr"/>
    </row>
    <row r="610" ht="15" customHeight="1">
      <c r="A610" t="inlineStr">
        <is>
          <t>A 28489-2020</t>
        </is>
      </c>
      <c r="B610" s="1" t="n">
        <v>43998</v>
      </c>
      <c r="C610" s="1" t="n">
        <v>45583</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28486-2020</t>
        </is>
      </c>
      <c r="B611" s="1" t="n">
        <v>43999</v>
      </c>
      <c r="C611" s="1" t="n">
        <v>45583</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29648-2020</t>
        </is>
      </c>
      <c r="B612" s="1" t="n">
        <v>44004</v>
      </c>
      <c r="C612" s="1" t="n">
        <v>45583</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29503-2020</t>
        </is>
      </c>
      <c r="B613" s="1" t="n">
        <v>44005</v>
      </c>
      <c r="C613" s="1" t="n">
        <v>45583</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29825-2020</t>
        </is>
      </c>
      <c r="B614" s="1" t="n">
        <v>44005</v>
      </c>
      <c r="C614" s="1" t="n">
        <v>45583</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29801-2020</t>
        </is>
      </c>
      <c r="B615" s="1" t="n">
        <v>44005</v>
      </c>
      <c r="C615" s="1" t="n">
        <v>45583</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30492-2020</t>
        </is>
      </c>
      <c r="B616" s="1" t="n">
        <v>44007</v>
      </c>
      <c r="C616" s="1" t="n">
        <v>45583</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30484-2020</t>
        </is>
      </c>
      <c r="B617" s="1" t="n">
        <v>44007</v>
      </c>
      <c r="C617" s="1" t="n">
        <v>45583</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30753-2020</t>
        </is>
      </c>
      <c r="B618" s="1" t="n">
        <v>44008</v>
      </c>
      <c r="C618" s="1" t="n">
        <v>45583</v>
      </c>
      <c r="D618" t="inlineStr">
        <is>
          <t>VÄSTERNORRLANDS LÄN</t>
        </is>
      </c>
      <c r="E618" t="inlineStr">
        <is>
          <t>SOLLEFTEÅ</t>
        </is>
      </c>
      <c r="F618" t="inlineStr">
        <is>
          <t>SCA</t>
        </is>
      </c>
      <c r="G618" t="n">
        <v>10.7</v>
      </c>
      <c r="H618" t="n">
        <v>0</v>
      </c>
      <c r="I618" t="n">
        <v>0</v>
      </c>
      <c r="J618" t="n">
        <v>0</v>
      </c>
      <c r="K618" t="n">
        <v>0</v>
      </c>
      <c r="L618" t="n">
        <v>0</v>
      </c>
      <c r="M618" t="n">
        <v>0</v>
      </c>
      <c r="N618" t="n">
        <v>0</v>
      </c>
      <c r="O618" t="n">
        <v>0</v>
      </c>
      <c r="P618" t="n">
        <v>0</v>
      </c>
      <c r="Q618" t="n">
        <v>0</v>
      </c>
      <c r="R618" s="2" t="inlineStr"/>
    </row>
    <row r="619" ht="15" customHeight="1">
      <c r="A619" t="inlineStr">
        <is>
          <t>A 30747-2020</t>
        </is>
      </c>
      <c r="B619" s="1" t="n">
        <v>44008</v>
      </c>
      <c r="C619" s="1" t="n">
        <v>45583</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30802-2020</t>
        </is>
      </c>
      <c r="B620" s="1" t="n">
        <v>44011</v>
      </c>
      <c r="C620" s="1" t="n">
        <v>45583</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31313-2020</t>
        </is>
      </c>
      <c r="B621" s="1" t="n">
        <v>44012</v>
      </c>
      <c r="C621" s="1" t="n">
        <v>45583</v>
      </c>
      <c r="D621" t="inlineStr">
        <is>
          <t>VÄSTERNORRLANDS LÄN</t>
        </is>
      </c>
      <c r="E621" t="inlineStr">
        <is>
          <t>SOLLEFTEÅ</t>
        </is>
      </c>
      <c r="F621" t="inlineStr">
        <is>
          <t>SCA</t>
        </is>
      </c>
      <c r="G621" t="n">
        <v>6.9</v>
      </c>
      <c r="H621" t="n">
        <v>0</v>
      </c>
      <c r="I621" t="n">
        <v>0</v>
      </c>
      <c r="J621" t="n">
        <v>0</v>
      </c>
      <c r="K621" t="n">
        <v>0</v>
      </c>
      <c r="L621" t="n">
        <v>0</v>
      </c>
      <c r="M621" t="n">
        <v>0</v>
      </c>
      <c r="N621" t="n">
        <v>0</v>
      </c>
      <c r="O621" t="n">
        <v>0</v>
      </c>
      <c r="P621" t="n">
        <v>0</v>
      </c>
      <c r="Q621" t="n">
        <v>0</v>
      </c>
      <c r="R621" s="2" t="inlineStr"/>
    </row>
    <row r="622" ht="15" customHeight="1">
      <c r="A622" t="inlineStr">
        <is>
          <t>A 32013-2020</t>
        </is>
      </c>
      <c r="B622" s="1" t="n">
        <v>44015</v>
      </c>
      <c r="C622" s="1" t="n">
        <v>45583</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32325-2020</t>
        </is>
      </c>
      <c r="B623" s="1" t="n">
        <v>44016</v>
      </c>
      <c r="C623" s="1" t="n">
        <v>45583</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32461-2020</t>
        </is>
      </c>
      <c r="B624" s="1" t="n">
        <v>44015</v>
      </c>
      <c r="C624" s="1" t="n">
        <v>45583</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32318-2020</t>
        </is>
      </c>
      <c r="B625" s="1" t="n">
        <v>44015</v>
      </c>
      <c r="C625" s="1" t="n">
        <v>45583</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32919-2020</t>
        </is>
      </c>
      <c r="B626" s="1" t="n">
        <v>44018</v>
      </c>
      <c r="C626" s="1" t="n">
        <v>45583</v>
      </c>
      <c r="D626" t="inlineStr">
        <is>
          <t>VÄSTERNORRLANDS LÄN</t>
        </is>
      </c>
      <c r="E626" t="inlineStr">
        <is>
          <t>SOLLEFTEÅ</t>
        </is>
      </c>
      <c r="G626" t="n">
        <v>5.5</v>
      </c>
      <c r="H626" t="n">
        <v>0</v>
      </c>
      <c r="I626" t="n">
        <v>0</v>
      </c>
      <c r="J626" t="n">
        <v>0</v>
      </c>
      <c r="K626" t="n">
        <v>0</v>
      </c>
      <c r="L626" t="n">
        <v>0</v>
      </c>
      <c r="M626" t="n">
        <v>0</v>
      </c>
      <c r="N626" t="n">
        <v>0</v>
      </c>
      <c r="O626" t="n">
        <v>0</v>
      </c>
      <c r="P626" t="n">
        <v>0</v>
      </c>
      <c r="Q626" t="n">
        <v>0</v>
      </c>
      <c r="R626" s="2" t="inlineStr"/>
    </row>
    <row r="627" ht="15" customHeight="1">
      <c r="A627" t="inlineStr">
        <is>
          <t>A 32929-2020</t>
        </is>
      </c>
      <c r="B627" s="1" t="n">
        <v>44018</v>
      </c>
      <c r="C627" s="1" t="n">
        <v>45583</v>
      </c>
      <c r="D627" t="inlineStr">
        <is>
          <t>VÄSTERNORRLANDS LÄN</t>
        </is>
      </c>
      <c r="E627" t="inlineStr">
        <is>
          <t>SOLLEFTEÅ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32924-2020</t>
        </is>
      </c>
      <c r="B628" s="1" t="n">
        <v>44018</v>
      </c>
      <c r="C628" s="1" t="n">
        <v>45583</v>
      </c>
      <c r="D628" t="inlineStr">
        <is>
          <t>VÄSTERNORRLANDS LÄN</t>
        </is>
      </c>
      <c r="E628" t="inlineStr">
        <is>
          <t>SOLLEFTEÅ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32742-2020</t>
        </is>
      </c>
      <c r="B629" s="1" t="n">
        <v>44019</v>
      </c>
      <c r="C629" s="1" t="n">
        <v>45583</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33013-2020</t>
        </is>
      </c>
      <c r="B630" s="1" t="n">
        <v>44020</v>
      </c>
      <c r="C630" s="1" t="n">
        <v>45583</v>
      </c>
      <c r="D630" t="inlineStr">
        <is>
          <t>VÄSTERNORRLANDS LÄN</t>
        </is>
      </c>
      <c r="E630" t="inlineStr">
        <is>
          <t>SOLLEFTEÅ</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33009-2020</t>
        </is>
      </c>
      <c r="B631" s="1" t="n">
        <v>44020</v>
      </c>
      <c r="C631" s="1" t="n">
        <v>45583</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33014-2020</t>
        </is>
      </c>
      <c r="B632" s="1" t="n">
        <v>44021</v>
      </c>
      <c r="C632" s="1" t="n">
        <v>45583</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33010-2020</t>
        </is>
      </c>
      <c r="B633" s="1" t="n">
        <v>44020</v>
      </c>
      <c r="C633" s="1" t="n">
        <v>45583</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33200-2020</t>
        </is>
      </c>
      <c r="B634" s="1" t="n">
        <v>44021</v>
      </c>
      <c r="C634" s="1" t="n">
        <v>45583</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45583</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45583</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45583</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45583</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45583</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45583</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45583</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45583</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45583</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45583</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45583</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45583</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45583</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45583</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45583</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45583</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45583</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45583</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45583</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45583</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35372-2020</t>
        </is>
      </c>
      <c r="B655" s="1" t="n">
        <v>44041</v>
      </c>
      <c r="C655" s="1" t="n">
        <v>45583</v>
      </c>
      <c r="D655" t="inlineStr">
        <is>
          <t>VÄSTERNORRLANDS LÄN</t>
        </is>
      </c>
      <c r="E655" t="inlineStr">
        <is>
          <t>SOLLEFTEÅ</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35361-2020</t>
        </is>
      </c>
      <c r="B656" s="1" t="n">
        <v>44041</v>
      </c>
      <c r="C656" s="1" t="n">
        <v>45583</v>
      </c>
      <c r="D656" t="inlineStr">
        <is>
          <t>VÄSTERNORRLANDS LÄN</t>
        </is>
      </c>
      <c r="E656" t="inlineStr">
        <is>
          <t>SOLLEFTEÅ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36789-2020</t>
        </is>
      </c>
      <c r="B657" s="1" t="n">
        <v>44048</v>
      </c>
      <c r="C657" s="1" t="n">
        <v>45583</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36660-2020</t>
        </is>
      </c>
      <c r="B658" s="1" t="n">
        <v>44050</v>
      </c>
      <c r="C658" s="1" t="n">
        <v>45583</v>
      </c>
      <c r="D658" t="inlineStr">
        <is>
          <t>VÄSTERNORRLANDS LÄN</t>
        </is>
      </c>
      <c r="E658" t="inlineStr">
        <is>
          <t>SOLLEFTEÅ</t>
        </is>
      </c>
      <c r="G658" t="n">
        <v>18.2</v>
      </c>
      <c r="H658" t="n">
        <v>0</v>
      </c>
      <c r="I658" t="n">
        <v>0</v>
      </c>
      <c r="J658" t="n">
        <v>0</v>
      </c>
      <c r="K658" t="n">
        <v>0</v>
      </c>
      <c r="L658" t="n">
        <v>0</v>
      </c>
      <c r="M658" t="n">
        <v>0</v>
      </c>
      <c r="N658" t="n">
        <v>0</v>
      </c>
      <c r="O658" t="n">
        <v>0</v>
      </c>
      <c r="P658" t="n">
        <v>0</v>
      </c>
      <c r="Q658" t="n">
        <v>0</v>
      </c>
      <c r="R658" s="2" t="inlineStr"/>
    </row>
    <row r="659" ht="15" customHeight="1">
      <c r="A659" t="inlineStr">
        <is>
          <t>A 36811-2020</t>
        </is>
      </c>
      <c r="B659" s="1" t="n">
        <v>44053</v>
      </c>
      <c r="C659" s="1" t="n">
        <v>45583</v>
      </c>
      <c r="D659" t="inlineStr">
        <is>
          <t>VÄSTERNORRLANDS LÄN</t>
        </is>
      </c>
      <c r="E659" t="inlineStr">
        <is>
          <t>SOLLEFTEÅ</t>
        </is>
      </c>
      <c r="G659" t="n">
        <v>4.7</v>
      </c>
      <c r="H659" t="n">
        <v>0</v>
      </c>
      <c r="I659" t="n">
        <v>0</v>
      </c>
      <c r="J659" t="n">
        <v>0</v>
      </c>
      <c r="K659" t="n">
        <v>0</v>
      </c>
      <c r="L659" t="n">
        <v>0</v>
      </c>
      <c r="M659" t="n">
        <v>0</v>
      </c>
      <c r="N659" t="n">
        <v>0</v>
      </c>
      <c r="O659" t="n">
        <v>0</v>
      </c>
      <c r="P659" t="n">
        <v>0</v>
      </c>
      <c r="Q659" t="n">
        <v>0</v>
      </c>
      <c r="R659" s="2" t="inlineStr"/>
    </row>
    <row r="660" ht="15" customHeight="1">
      <c r="A660" t="inlineStr">
        <is>
          <t>A 37710-2020</t>
        </is>
      </c>
      <c r="B660" s="1" t="n">
        <v>44056</v>
      </c>
      <c r="C660" s="1" t="n">
        <v>45583</v>
      </c>
      <c r="D660" t="inlineStr">
        <is>
          <t>VÄSTERNORRLANDS LÄN</t>
        </is>
      </c>
      <c r="E660" t="inlineStr">
        <is>
          <t>SOLLEFTEÅ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38482-2020</t>
        </is>
      </c>
      <c r="B661" s="1" t="n">
        <v>44060</v>
      </c>
      <c r="C661" s="1" t="n">
        <v>45583</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38517-2020</t>
        </is>
      </c>
      <c r="B662" s="1" t="n">
        <v>44060</v>
      </c>
      <c r="C662" s="1" t="n">
        <v>45583</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39007-2020</t>
        </is>
      </c>
      <c r="B663" s="1" t="n">
        <v>44062</v>
      </c>
      <c r="C663" s="1" t="n">
        <v>45583</v>
      </c>
      <c r="D663" t="inlineStr">
        <is>
          <t>VÄSTERNORRLANDS LÄN</t>
        </is>
      </c>
      <c r="E663" t="inlineStr">
        <is>
          <t>SOLLEFTEÅ</t>
        </is>
      </c>
      <c r="F663" t="inlineStr">
        <is>
          <t>Kyrkan</t>
        </is>
      </c>
      <c r="G663" t="n">
        <v>5</v>
      </c>
      <c r="H663" t="n">
        <v>0</v>
      </c>
      <c r="I663" t="n">
        <v>0</v>
      </c>
      <c r="J663" t="n">
        <v>0</v>
      </c>
      <c r="K663" t="n">
        <v>0</v>
      </c>
      <c r="L663" t="n">
        <v>0</v>
      </c>
      <c r="M663" t="n">
        <v>0</v>
      </c>
      <c r="N663" t="n">
        <v>0</v>
      </c>
      <c r="O663" t="n">
        <v>0</v>
      </c>
      <c r="P663" t="n">
        <v>0</v>
      </c>
      <c r="Q663" t="n">
        <v>0</v>
      </c>
      <c r="R663" s="2" t="inlineStr"/>
    </row>
    <row r="664" ht="15" customHeight="1">
      <c r="A664" t="inlineStr">
        <is>
          <t>A 39077-2020</t>
        </is>
      </c>
      <c r="B664" s="1" t="n">
        <v>44062</v>
      </c>
      <c r="C664" s="1" t="n">
        <v>45583</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39016-2020</t>
        </is>
      </c>
      <c r="B665" s="1" t="n">
        <v>44062</v>
      </c>
      <c r="C665" s="1" t="n">
        <v>45583</v>
      </c>
      <c r="D665" t="inlineStr">
        <is>
          <t>VÄSTERNORRLANDS LÄN</t>
        </is>
      </c>
      <c r="E665" t="inlineStr">
        <is>
          <t>SOLLEFTEÅ</t>
        </is>
      </c>
      <c r="F665" t="inlineStr">
        <is>
          <t>Kyrkan</t>
        </is>
      </c>
      <c r="G665" t="n">
        <v>2.4</v>
      </c>
      <c r="H665" t="n">
        <v>0</v>
      </c>
      <c r="I665" t="n">
        <v>0</v>
      </c>
      <c r="J665" t="n">
        <v>0</v>
      </c>
      <c r="K665" t="n">
        <v>0</v>
      </c>
      <c r="L665" t="n">
        <v>0</v>
      </c>
      <c r="M665" t="n">
        <v>0</v>
      </c>
      <c r="N665" t="n">
        <v>0</v>
      </c>
      <c r="O665" t="n">
        <v>0</v>
      </c>
      <c r="P665" t="n">
        <v>0</v>
      </c>
      <c r="Q665" t="n">
        <v>0</v>
      </c>
      <c r="R665" s="2" t="inlineStr"/>
    </row>
    <row r="666" ht="15" customHeight="1">
      <c r="A666" t="inlineStr">
        <is>
          <t>A 39148-2020</t>
        </is>
      </c>
      <c r="B666" s="1" t="n">
        <v>44063</v>
      </c>
      <c r="C666" s="1" t="n">
        <v>45583</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39409-2020</t>
        </is>
      </c>
      <c r="B667" s="1" t="n">
        <v>44064</v>
      </c>
      <c r="C667" s="1" t="n">
        <v>45583</v>
      </c>
      <c r="D667" t="inlineStr">
        <is>
          <t>VÄSTERNORRLANDS LÄN</t>
        </is>
      </c>
      <c r="E667" t="inlineStr">
        <is>
          <t>SOLLEFTEÅ</t>
        </is>
      </c>
      <c r="F667" t="inlineStr">
        <is>
          <t>Holmen skog AB</t>
        </is>
      </c>
      <c r="G667" t="n">
        <v>7.8</v>
      </c>
      <c r="H667" t="n">
        <v>0</v>
      </c>
      <c r="I667" t="n">
        <v>0</v>
      </c>
      <c r="J667" t="n">
        <v>0</v>
      </c>
      <c r="K667" t="n">
        <v>0</v>
      </c>
      <c r="L667" t="n">
        <v>0</v>
      </c>
      <c r="M667" t="n">
        <v>0</v>
      </c>
      <c r="N667" t="n">
        <v>0</v>
      </c>
      <c r="O667" t="n">
        <v>0</v>
      </c>
      <c r="P667" t="n">
        <v>0</v>
      </c>
      <c r="Q667" t="n">
        <v>0</v>
      </c>
      <c r="R667" s="2" t="inlineStr"/>
    </row>
    <row r="668" ht="15" customHeight="1">
      <c r="A668" t="inlineStr">
        <is>
          <t>A 39479-2020</t>
        </is>
      </c>
      <c r="B668" s="1" t="n">
        <v>44064</v>
      </c>
      <c r="C668" s="1" t="n">
        <v>45583</v>
      </c>
      <c r="D668" t="inlineStr">
        <is>
          <t>VÄSTERNORRLANDS LÄN</t>
        </is>
      </c>
      <c r="E668" t="inlineStr">
        <is>
          <t>SOLLEFTEÅ</t>
        </is>
      </c>
      <c r="G668" t="n">
        <v>17.8</v>
      </c>
      <c r="H668" t="n">
        <v>0</v>
      </c>
      <c r="I668" t="n">
        <v>0</v>
      </c>
      <c r="J668" t="n">
        <v>0</v>
      </c>
      <c r="K668" t="n">
        <v>0</v>
      </c>
      <c r="L668" t="n">
        <v>0</v>
      </c>
      <c r="M668" t="n">
        <v>0</v>
      </c>
      <c r="N668" t="n">
        <v>0</v>
      </c>
      <c r="O668" t="n">
        <v>0</v>
      </c>
      <c r="P668" t="n">
        <v>0</v>
      </c>
      <c r="Q668" t="n">
        <v>0</v>
      </c>
      <c r="R668" s="2" t="inlineStr"/>
    </row>
    <row r="669" ht="15" customHeight="1">
      <c r="A669" t="inlineStr">
        <is>
          <t>A 40180-2020</t>
        </is>
      </c>
      <c r="B669" s="1" t="n">
        <v>44064</v>
      </c>
      <c r="C669" s="1" t="n">
        <v>45583</v>
      </c>
      <c r="D669" t="inlineStr">
        <is>
          <t>VÄSTERNORRLANDS LÄN</t>
        </is>
      </c>
      <c r="E669" t="inlineStr">
        <is>
          <t>SOLLEFTEÅ</t>
        </is>
      </c>
      <c r="G669" t="n">
        <v>3.8</v>
      </c>
      <c r="H669" t="n">
        <v>0</v>
      </c>
      <c r="I669" t="n">
        <v>0</v>
      </c>
      <c r="J669" t="n">
        <v>0</v>
      </c>
      <c r="K669" t="n">
        <v>0</v>
      </c>
      <c r="L669" t="n">
        <v>0</v>
      </c>
      <c r="M669" t="n">
        <v>0</v>
      </c>
      <c r="N669" t="n">
        <v>0</v>
      </c>
      <c r="O669" t="n">
        <v>0</v>
      </c>
      <c r="P669" t="n">
        <v>0</v>
      </c>
      <c r="Q669" t="n">
        <v>0</v>
      </c>
      <c r="R669" s="2" t="inlineStr"/>
    </row>
    <row r="670" ht="15" customHeight="1">
      <c r="A670" t="inlineStr">
        <is>
          <t>A 39681-2020</t>
        </is>
      </c>
      <c r="B670" s="1" t="n">
        <v>44065</v>
      </c>
      <c r="C670" s="1" t="n">
        <v>45583</v>
      </c>
      <c r="D670" t="inlineStr">
        <is>
          <t>VÄSTERNORRLANDS LÄN</t>
        </is>
      </c>
      <c r="E670" t="inlineStr">
        <is>
          <t>SOLLEFTEÅ</t>
        </is>
      </c>
      <c r="F670" t="inlineStr">
        <is>
          <t>SCA</t>
        </is>
      </c>
      <c r="G670" t="n">
        <v>19.7</v>
      </c>
      <c r="H670" t="n">
        <v>0</v>
      </c>
      <c r="I670" t="n">
        <v>0</v>
      </c>
      <c r="J670" t="n">
        <v>0</v>
      </c>
      <c r="K670" t="n">
        <v>0</v>
      </c>
      <c r="L670" t="n">
        <v>0</v>
      </c>
      <c r="M670" t="n">
        <v>0</v>
      </c>
      <c r="N670" t="n">
        <v>0</v>
      </c>
      <c r="O670" t="n">
        <v>0</v>
      </c>
      <c r="P670" t="n">
        <v>0</v>
      </c>
      <c r="Q670" t="n">
        <v>0</v>
      </c>
      <c r="R670" s="2" t="inlineStr"/>
    </row>
    <row r="671" ht="15" customHeight="1">
      <c r="A671" t="inlineStr">
        <is>
          <t>A 40476-2020</t>
        </is>
      </c>
      <c r="B671" s="1" t="n">
        <v>44067</v>
      </c>
      <c r="C671" s="1" t="n">
        <v>45583</v>
      </c>
      <c r="D671" t="inlineStr">
        <is>
          <t>VÄSTERNORRLANDS LÄN</t>
        </is>
      </c>
      <c r="E671" t="inlineStr">
        <is>
          <t>SOLLEFTEÅ</t>
        </is>
      </c>
      <c r="G671" t="n">
        <v>8</v>
      </c>
      <c r="H671" t="n">
        <v>0</v>
      </c>
      <c r="I671" t="n">
        <v>0</v>
      </c>
      <c r="J671" t="n">
        <v>0</v>
      </c>
      <c r="K671" t="n">
        <v>0</v>
      </c>
      <c r="L671" t="n">
        <v>0</v>
      </c>
      <c r="M671" t="n">
        <v>0</v>
      </c>
      <c r="N671" t="n">
        <v>0</v>
      </c>
      <c r="O671" t="n">
        <v>0</v>
      </c>
      <c r="P671" t="n">
        <v>0</v>
      </c>
      <c r="Q671" t="n">
        <v>0</v>
      </c>
      <c r="R671" s="2" t="inlineStr"/>
    </row>
    <row r="672" ht="15" customHeight="1">
      <c r="A672" t="inlineStr">
        <is>
          <t>A 40697-2020</t>
        </is>
      </c>
      <c r="B672" s="1" t="n">
        <v>44067</v>
      </c>
      <c r="C672" s="1" t="n">
        <v>45583</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40682-2020</t>
        </is>
      </c>
      <c r="B673" s="1" t="n">
        <v>44067</v>
      </c>
      <c r="C673" s="1" t="n">
        <v>45583</v>
      </c>
      <c r="D673" t="inlineStr">
        <is>
          <t>VÄSTERNORRLANDS LÄN</t>
        </is>
      </c>
      <c r="E673" t="inlineStr">
        <is>
          <t>SOLLEFTEÅ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40735-2020</t>
        </is>
      </c>
      <c r="B674" s="1" t="n">
        <v>44069</v>
      </c>
      <c r="C674" s="1" t="n">
        <v>45583</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45583</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42196-2020</t>
        </is>
      </c>
      <c r="B676" s="1" t="n">
        <v>44076</v>
      </c>
      <c r="C676" s="1" t="n">
        <v>45583</v>
      </c>
      <c r="D676" t="inlineStr">
        <is>
          <t>VÄSTERNORRLANDS LÄN</t>
        </is>
      </c>
      <c r="E676" t="inlineStr">
        <is>
          <t>SOLLEFTEÅ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43300-2020</t>
        </is>
      </c>
      <c r="B677" s="1" t="n">
        <v>44076</v>
      </c>
      <c r="C677" s="1" t="n">
        <v>45583</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43160-2020</t>
        </is>
      </c>
      <c r="B678" s="1" t="n">
        <v>44076</v>
      </c>
      <c r="C678" s="1" t="n">
        <v>45583</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42846-2020</t>
        </is>
      </c>
      <c r="B679" s="1" t="n">
        <v>44078</v>
      </c>
      <c r="C679" s="1" t="n">
        <v>45583</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43107-2020</t>
        </is>
      </c>
      <c r="B680" s="1" t="n">
        <v>44078</v>
      </c>
      <c r="C680" s="1" t="n">
        <v>45583</v>
      </c>
      <c r="D680" t="inlineStr">
        <is>
          <t>VÄSTERNORRLANDS LÄN</t>
        </is>
      </c>
      <c r="E680" t="inlineStr">
        <is>
          <t>SOLLEFTEÅ</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43438-2020</t>
        </is>
      </c>
      <c r="B681" s="1" t="n">
        <v>44081</v>
      </c>
      <c r="C681" s="1" t="n">
        <v>45583</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43820-2020</t>
        </is>
      </c>
      <c r="B682" s="1" t="n">
        <v>44082</v>
      </c>
      <c r="C682" s="1" t="n">
        <v>45583</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45147-2020</t>
        </is>
      </c>
      <c r="B683" s="1" t="n">
        <v>44084</v>
      </c>
      <c r="C683" s="1" t="n">
        <v>45583</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44681-2020</t>
        </is>
      </c>
      <c r="B684" s="1" t="n">
        <v>44085</v>
      </c>
      <c r="C684" s="1" t="n">
        <v>45583</v>
      </c>
      <c r="D684" t="inlineStr">
        <is>
          <t>VÄSTERNORRLANDS LÄN</t>
        </is>
      </c>
      <c r="E684" t="inlineStr">
        <is>
          <t>SOLLEFTEÅ</t>
        </is>
      </c>
      <c r="G684" t="n">
        <v>7.8</v>
      </c>
      <c r="H684" t="n">
        <v>0</v>
      </c>
      <c r="I684" t="n">
        <v>0</v>
      </c>
      <c r="J684" t="n">
        <v>0</v>
      </c>
      <c r="K684" t="n">
        <v>0</v>
      </c>
      <c r="L684" t="n">
        <v>0</v>
      </c>
      <c r="M684" t="n">
        <v>0</v>
      </c>
      <c r="N684" t="n">
        <v>0</v>
      </c>
      <c r="O684" t="n">
        <v>0</v>
      </c>
      <c r="P684" t="n">
        <v>0</v>
      </c>
      <c r="Q684" t="n">
        <v>0</v>
      </c>
      <c r="R684" s="2" t="inlineStr"/>
    </row>
    <row r="685" ht="15" customHeight="1">
      <c r="A685" t="inlineStr">
        <is>
          <t>A 45250-2020</t>
        </is>
      </c>
      <c r="B685" s="1" t="n">
        <v>44088</v>
      </c>
      <c r="C685" s="1" t="n">
        <v>45583</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45251-2020</t>
        </is>
      </c>
      <c r="B686" s="1" t="n">
        <v>44088</v>
      </c>
      <c r="C686" s="1" t="n">
        <v>45583</v>
      </c>
      <c r="D686" t="inlineStr">
        <is>
          <t>VÄSTERNORRLANDS LÄN</t>
        </is>
      </c>
      <c r="E686" t="inlineStr">
        <is>
          <t>SOLLEFTEÅ</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45549-2020</t>
        </is>
      </c>
      <c r="B687" s="1" t="n">
        <v>44090</v>
      </c>
      <c r="C687" s="1" t="n">
        <v>45583</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45542-2020</t>
        </is>
      </c>
      <c r="B688" s="1" t="n">
        <v>44089</v>
      </c>
      <c r="C688" s="1" t="n">
        <v>45583</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45551-2020</t>
        </is>
      </c>
      <c r="B689" s="1" t="n">
        <v>44089</v>
      </c>
      <c r="C689" s="1" t="n">
        <v>45583</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46715-2020</t>
        </is>
      </c>
      <c r="B690" s="1" t="n">
        <v>44095</v>
      </c>
      <c r="C690" s="1" t="n">
        <v>45583</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47827-2020</t>
        </is>
      </c>
      <c r="B691" s="1" t="n">
        <v>44098</v>
      </c>
      <c r="C691" s="1" t="n">
        <v>45583</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47859-2020</t>
        </is>
      </c>
      <c r="B692" s="1" t="n">
        <v>44099</v>
      </c>
      <c r="C692" s="1" t="n">
        <v>45583</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48052-2020</t>
        </is>
      </c>
      <c r="B693" s="1" t="n">
        <v>44100</v>
      </c>
      <c r="C693" s="1" t="n">
        <v>45583</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48240-2020</t>
        </is>
      </c>
      <c r="B694" s="1" t="n">
        <v>44102</v>
      </c>
      <c r="C694" s="1" t="n">
        <v>45583</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48477-2020</t>
        </is>
      </c>
      <c r="B695" s="1" t="n">
        <v>44102</v>
      </c>
      <c r="C695" s="1" t="n">
        <v>45583</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48468-2020</t>
        </is>
      </c>
      <c r="B696" s="1" t="n">
        <v>44102</v>
      </c>
      <c r="C696" s="1" t="n">
        <v>45583</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48470-2020</t>
        </is>
      </c>
      <c r="B697" s="1" t="n">
        <v>44102</v>
      </c>
      <c r="C697" s="1" t="n">
        <v>45583</v>
      </c>
      <c r="D697" t="inlineStr">
        <is>
          <t>VÄSTERNORRLANDS LÄN</t>
        </is>
      </c>
      <c r="E697" t="inlineStr">
        <is>
          <t>SOLLEFTEÅ</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44103</v>
      </c>
      <c r="C698" s="1" t="n">
        <v>45583</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48802-2020</t>
        </is>
      </c>
      <c r="B699" s="1" t="n">
        <v>44103</v>
      </c>
      <c r="C699" s="1" t="n">
        <v>45583</v>
      </c>
      <c r="D699" t="inlineStr">
        <is>
          <t>VÄSTERNORRLANDS LÄN</t>
        </is>
      </c>
      <c r="E699" t="inlineStr">
        <is>
          <t>SOLLEFTEÅ</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49629-2020</t>
        </is>
      </c>
      <c r="B700" s="1" t="n">
        <v>44103</v>
      </c>
      <c r="C700" s="1" t="n">
        <v>45583</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49165-2020</t>
        </is>
      </c>
      <c r="B701" s="1" t="n">
        <v>44105</v>
      </c>
      <c r="C701" s="1" t="n">
        <v>45583</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45583</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49508-2020</t>
        </is>
      </c>
      <c r="B703" s="1" t="n">
        <v>44105</v>
      </c>
      <c r="C703" s="1" t="n">
        <v>45583</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49837-2020</t>
        </is>
      </c>
      <c r="B704" s="1" t="n">
        <v>44106</v>
      </c>
      <c r="C704" s="1" t="n">
        <v>45583</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50647-2020</t>
        </is>
      </c>
      <c r="B705" s="1" t="n">
        <v>44111</v>
      </c>
      <c r="C705" s="1" t="n">
        <v>45583</v>
      </c>
      <c r="D705" t="inlineStr">
        <is>
          <t>VÄSTERNORRLANDS LÄN</t>
        </is>
      </c>
      <c r="E705" t="inlineStr">
        <is>
          <t>SOLLEFTEÅ</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51018-2020</t>
        </is>
      </c>
      <c r="B706" s="1" t="n">
        <v>44111</v>
      </c>
      <c r="C706" s="1" t="n">
        <v>45583</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51011-2020</t>
        </is>
      </c>
      <c r="B707" s="1" t="n">
        <v>44111</v>
      </c>
      <c r="C707" s="1" t="n">
        <v>45583</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51534-2020</t>
        </is>
      </c>
      <c r="B708" s="1" t="n">
        <v>44113</v>
      </c>
      <c r="C708" s="1" t="n">
        <v>45583</v>
      </c>
      <c r="D708" t="inlineStr">
        <is>
          <t>VÄSTERNORRLANDS LÄN</t>
        </is>
      </c>
      <c r="E708" t="inlineStr">
        <is>
          <t>SOLLEFTEÅ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52035-2020</t>
        </is>
      </c>
      <c r="B709" s="1" t="n">
        <v>44117</v>
      </c>
      <c r="C709" s="1" t="n">
        <v>45583</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52189-2020</t>
        </is>
      </c>
      <c r="B710" s="1" t="n">
        <v>44117</v>
      </c>
      <c r="C710" s="1" t="n">
        <v>45583</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52199-2020</t>
        </is>
      </c>
      <c r="B711" s="1" t="n">
        <v>44117</v>
      </c>
      <c r="C711" s="1" t="n">
        <v>45583</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52406-2020</t>
        </is>
      </c>
      <c r="B712" s="1" t="n">
        <v>44118</v>
      </c>
      <c r="C712" s="1" t="n">
        <v>45583</v>
      </c>
      <c r="D712" t="inlineStr">
        <is>
          <t>VÄSTERNORRLANDS LÄN</t>
        </is>
      </c>
      <c r="E712" t="inlineStr">
        <is>
          <t>SOLLEFTEÅ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52983-2020</t>
        </is>
      </c>
      <c r="B713" s="1" t="n">
        <v>44119</v>
      </c>
      <c r="C713" s="1" t="n">
        <v>45583</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52936-2020</t>
        </is>
      </c>
      <c r="B714" s="1" t="n">
        <v>44120</v>
      </c>
      <c r="C714" s="1" t="n">
        <v>45583</v>
      </c>
      <c r="D714" t="inlineStr">
        <is>
          <t>VÄSTERNORRLANDS LÄN</t>
        </is>
      </c>
      <c r="E714" t="inlineStr">
        <is>
          <t>SOLLEFTEÅ</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53828-2020</t>
        </is>
      </c>
      <c r="B715" s="1" t="n">
        <v>44124</v>
      </c>
      <c r="C715" s="1" t="n">
        <v>45583</v>
      </c>
      <c r="D715" t="inlineStr">
        <is>
          <t>VÄSTERNORRLANDS LÄN</t>
        </is>
      </c>
      <c r="E715" t="inlineStr">
        <is>
          <t>SOLLEFTEÅ</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54463-2020</t>
        </is>
      </c>
      <c r="B716" s="1" t="n">
        <v>44125</v>
      </c>
      <c r="C716" s="1" t="n">
        <v>45583</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53866-2020</t>
        </is>
      </c>
      <c r="B717" s="1" t="n">
        <v>44125</v>
      </c>
      <c r="C717" s="1" t="n">
        <v>45583</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54567-2020</t>
        </is>
      </c>
      <c r="B718" s="1" t="n">
        <v>44126</v>
      </c>
      <c r="C718" s="1" t="n">
        <v>45583</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54568-2020</t>
        </is>
      </c>
      <c r="B719" s="1" t="n">
        <v>44126</v>
      </c>
      <c r="C719" s="1" t="n">
        <v>45583</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54572-2020</t>
        </is>
      </c>
      <c r="B720" s="1" t="n">
        <v>44126</v>
      </c>
      <c r="C720" s="1" t="n">
        <v>45583</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54576-2020</t>
        </is>
      </c>
      <c r="B721" s="1" t="n">
        <v>44126</v>
      </c>
      <c r="C721" s="1" t="n">
        <v>45583</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54571-2020</t>
        </is>
      </c>
      <c r="B722" s="1" t="n">
        <v>44126</v>
      </c>
      <c r="C722" s="1" t="n">
        <v>45583</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54569-2020</t>
        </is>
      </c>
      <c r="B723" s="1" t="n">
        <v>44126</v>
      </c>
      <c r="C723" s="1" t="n">
        <v>45583</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54566-2020</t>
        </is>
      </c>
      <c r="B724" s="1" t="n">
        <v>44126</v>
      </c>
      <c r="C724" s="1" t="n">
        <v>45583</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54570-2020</t>
        </is>
      </c>
      <c r="B725" s="1" t="n">
        <v>44126</v>
      </c>
      <c r="C725" s="1" t="n">
        <v>45583</v>
      </c>
      <c r="D725" t="inlineStr">
        <is>
          <t>VÄSTERNORRLANDS LÄN</t>
        </is>
      </c>
      <c r="E725" t="inlineStr">
        <is>
          <t>SOLLEFTEÅ</t>
        </is>
      </c>
      <c r="G725" t="n">
        <v>0.3</v>
      </c>
      <c r="H725" t="n">
        <v>0</v>
      </c>
      <c r="I725" t="n">
        <v>0</v>
      </c>
      <c r="J725" t="n">
        <v>0</v>
      </c>
      <c r="K725" t="n">
        <v>0</v>
      </c>
      <c r="L725" t="n">
        <v>0</v>
      </c>
      <c r="M725" t="n">
        <v>0</v>
      </c>
      <c r="N725" t="n">
        <v>0</v>
      </c>
      <c r="O725" t="n">
        <v>0</v>
      </c>
      <c r="P725" t="n">
        <v>0</v>
      </c>
      <c r="Q725" t="n">
        <v>0</v>
      </c>
      <c r="R725" s="2" t="inlineStr"/>
    </row>
    <row r="726" ht="15" customHeight="1">
      <c r="A726" t="inlineStr">
        <is>
          <t>A 54573-2020</t>
        </is>
      </c>
      <c r="B726" s="1" t="n">
        <v>44126</v>
      </c>
      <c r="C726" s="1" t="n">
        <v>45583</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55337-2020</t>
        </is>
      </c>
      <c r="B727" s="1" t="n">
        <v>44130</v>
      </c>
      <c r="C727" s="1" t="n">
        <v>45583</v>
      </c>
      <c r="D727" t="inlineStr">
        <is>
          <t>VÄSTERNORRLANDS LÄN</t>
        </is>
      </c>
      <c r="E727" t="inlineStr">
        <is>
          <t>SOLLEFTEÅ</t>
        </is>
      </c>
      <c r="G727" t="n">
        <v>21.1</v>
      </c>
      <c r="H727" t="n">
        <v>0</v>
      </c>
      <c r="I727" t="n">
        <v>0</v>
      </c>
      <c r="J727" t="n">
        <v>0</v>
      </c>
      <c r="K727" t="n">
        <v>0</v>
      </c>
      <c r="L727" t="n">
        <v>0</v>
      </c>
      <c r="M727" t="n">
        <v>0</v>
      </c>
      <c r="N727" t="n">
        <v>0</v>
      </c>
      <c r="O727" t="n">
        <v>0</v>
      </c>
      <c r="P727" t="n">
        <v>0</v>
      </c>
      <c r="Q727" t="n">
        <v>0</v>
      </c>
      <c r="R727" s="2" t="inlineStr"/>
    </row>
    <row r="728" ht="15" customHeight="1">
      <c r="A728" t="inlineStr">
        <is>
          <t>A 55489-2020</t>
        </is>
      </c>
      <c r="B728" s="1" t="n">
        <v>44131</v>
      </c>
      <c r="C728" s="1" t="n">
        <v>45583</v>
      </c>
      <c r="D728" t="inlineStr">
        <is>
          <t>VÄSTERNORRLANDS LÄN</t>
        </is>
      </c>
      <c r="E728" t="inlineStr">
        <is>
          <t>SOLLEFTEÅ</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58380-2020</t>
        </is>
      </c>
      <c r="B729" s="1" t="n">
        <v>44145</v>
      </c>
      <c r="C729" s="1" t="n">
        <v>45583</v>
      </c>
      <c r="D729" t="inlineStr">
        <is>
          <t>VÄSTERNORRLANDS LÄN</t>
        </is>
      </c>
      <c r="E729" t="inlineStr">
        <is>
          <t>SOLLEFTEÅ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58381-2020</t>
        </is>
      </c>
      <c r="B730" s="1" t="n">
        <v>44145</v>
      </c>
      <c r="C730" s="1" t="n">
        <v>45583</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59334-2020</t>
        </is>
      </c>
      <c r="B731" s="1" t="n">
        <v>44147</v>
      </c>
      <c r="C731" s="1" t="n">
        <v>45583</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59950-2020</t>
        </is>
      </c>
      <c r="B732" s="1" t="n">
        <v>44151</v>
      </c>
      <c r="C732" s="1" t="n">
        <v>45583</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59953-2020</t>
        </is>
      </c>
      <c r="B733" s="1" t="n">
        <v>44151</v>
      </c>
      <c r="C733" s="1" t="n">
        <v>45583</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60091-2020</t>
        </is>
      </c>
      <c r="B734" s="1" t="n">
        <v>44151</v>
      </c>
      <c r="C734" s="1" t="n">
        <v>45583</v>
      </c>
      <c r="D734" t="inlineStr">
        <is>
          <t>VÄSTERNORRLANDS LÄN</t>
        </is>
      </c>
      <c r="E734" t="inlineStr">
        <is>
          <t>SOLLEFTEÅ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61127-2020</t>
        </is>
      </c>
      <c r="B735" s="1" t="n">
        <v>44154</v>
      </c>
      <c r="C735" s="1" t="n">
        <v>45583</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61130-2020</t>
        </is>
      </c>
      <c r="B736" s="1" t="n">
        <v>44154</v>
      </c>
      <c r="C736" s="1" t="n">
        <v>45583</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61894-2020</t>
        </is>
      </c>
      <c r="B737" s="1" t="n">
        <v>44155</v>
      </c>
      <c r="C737" s="1" t="n">
        <v>45583</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61943-2020</t>
        </is>
      </c>
      <c r="B738" s="1" t="n">
        <v>44155</v>
      </c>
      <c r="C738" s="1" t="n">
        <v>45583</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62666-2020</t>
        </is>
      </c>
      <c r="B739" s="1" t="n">
        <v>44161</v>
      </c>
      <c r="C739" s="1" t="n">
        <v>45583</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62881-2020</t>
        </is>
      </c>
      <c r="B740" s="1" t="n">
        <v>44161</v>
      </c>
      <c r="C740" s="1" t="n">
        <v>45583</v>
      </c>
      <c r="D740" t="inlineStr">
        <is>
          <t>VÄSTERNORRLANDS LÄN</t>
        </is>
      </c>
      <c r="E740" t="inlineStr">
        <is>
          <t>SOLLEFTEÅ</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62883-2020</t>
        </is>
      </c>
      <c r="B741" s="1" t="n">
        <v>44161</v>
      </c>
      <c r="C741" s="1" t="n">
        <v>45583</v>
      </c>
      <c r="D741" t="inlineStr">
        <is>
          <t>VÄSTERNORRLANDS LÄN</t>
        </is>
      </c>
      <c r="E741" t="inlineStr">
        <is>
          <t>SOLLEFTEÅ</t>
        </is>
      </c>
      <c r="F741" t="inlineStr">
        <is>
          <t>SCA</t>
        </is>
      </c>
      <c r="G741" t="n">
        <v>8.5</v>
      </c>
      <c r="H741" t="n">
        <v>0</v>
      </c>
      <c r="I741" t="n">
        <v>0</v>
      </c>
      <c r="J741" t="n">
        <v>0</v>
      </c>
      <c r="K741" t="n">
        <v>0</v>
      </c>
      <c r="L741" t="n">
        <v>0</v>
      </c>
      <c r="M741" t="n">
        <v>0</v>
      </c>
      <c r="N741" t="n">
        <v>0</v>
      </c>
      <c r="O741" t="n">
        <v>0</v>
      </c>
      <c r="P741" t="n">
        <v>0</v>
      </c>
      <c r="Q741" t="n">
        <v>0</v>
      </c>
      <c r="R741" s="2" t="inlineStr"/>
    </row>
    <row r="742" ht="15" customHeight="1">
      <c r="A742" t="inlineStr">
        <is>
          <t>A 63190-2020</t>
        </is>
      </c>
      <c r="B742" s="1" t="n">
        <v>44162</v>
      </c>
      <c r="C742" s="1" t="n">
        <v>45583</v>
      </c>
      <c r="D742" t="inlineStr">
        <is>
          <t>VÄSTERNORRLANDS LÄN</t>
        </is>
      </c>
      <c r="E742" t="inlineStr">
        <is>
          <t>SOLLEFTEÅ</t>
        </is>
      </c>
      <c r="G742" t="n">
        <v>0.2</v>
      </c>
      <c r="H742" t="n">
        <v>0</v>
      </c>
      <c r="I742" t="n">
        <v>0</v>
      </c>
      <c r="J742" t="n">
        <v>0</v>
      </c>
      <c r="K742" t="n">
        <v>0</v>
      </c>
      <c r="L742" t="n">
        <v>0</v>
      </c>
      <c r="M742" t="n">
        <v>0</v>
      </c>
      <c r="N742" t="n">
        <v>0</v>
      </c>
      <c r="O742" t="n">
        <v>0</v>
      </c>
      <c r="P742" t="n">
        <v>0</v>
      </c>
      <c r="Q742" t="n">
        <v>0</v>
      </c>
      <c r="R742" s="2" t="inlineStr"/>
    </row>
    <row r="743" ht="15" customHeight="1">
      <c r="A743" t="inlineStr">
        <is>
          <t>A 63210-2020</t>
        </is>
      </c>
      <c r="B743" s="1" t="n">
        <v>44163</v>
      </c>
      <c r="C743" s="1" t="n">
        <v>45583</v>
      </c>
      <c r="D743" t="inlineStr">
        <is>
          <t>VÄSTERNORRLANDS LÄN</t>
        </is>
      </c>
      <c r="E743" t="inlineStr">
        <is>
          <t>SOLLEFTEÅ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65401-2020</t>
        </is>
      </c>
      <c r="B744" s="1" t="n">
        <v>44169</v>
      </c>
      <c r="C744" s="1" t="n">
        <v>45583</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65407-2020</t>
        </is>
      </c>
      <c r="B745" s="1" t="n">
        <v>44169</v>
      </c>
      <c r="C745" s="1" t="n">
        <v>45583</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65403-2020</t>
        </is>
      </c>
      <c r="B746" s="1" t="n">
        <v>44169</v>
      </c>
      <c r="C746" s="1" t="n">
        <v>45583</v>
      </c>
      <c r="D746" t="inlineStr">
        <is>
          <t>VÄSTERNORRLANDS LÄN</t>
        </is>
      </c>
      <c r="E746" t="inlineStr">
        <is>
          <t>SOLLEFTEÅ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67063-2020</t>
        </is>
      </c>
      <c r="B747" s="1" t="n">
        <v>44176</v>
      </c>
      <c r="C747" s="1" t="n">
        <v>45583</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66845-2020</t>
        </is>
      </c>
      <c r="B748" s="1" t="n">
        <v>44179</v>
      </c>
      <c r="C748" s="1" t="n">
        <v>45583</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66844-2020</t>
        </is>
      </c>
      <c r="B749" s="1" t="n">
        <v>44179</v>
      </c>
      <c r="C749" s="1" t="n">
        <v>45583</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66850-2020</t>
        </is>
      </c>
      <c r="B750" s="1" t="n">
        <v>44179</v>
      </c>
      <c r="C750" s="1" t="n">
        <v>45583</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66851-2020</t>
        </is>
      </c>
      <c r="B751" s="1" t="n">
        <v>44179</v>
      </c>
      <c r="C751" s="1" t="n">
        <v>45583</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66853-2020</t>
        </is>
      </c>
      <c r="B752" s="1" t="n">
        <v>44179</v>
      </c>
      <c r="C752" s="1" t="n">
        <v>45583</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67602-2020</t>
        </is>
      </c>
      <c r="B753" s="1" t="n">
        <v>44181</v>
      </c>
      <c r="C753" s="1" t="n">
        <v>45583</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68016-2020</t>
        </is>
      </c>
      <c r="B754" s="1" t="n">
        <v>44182</v>
      </c>
      <c r="C754" s="1" t="n">
        <v>45583</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68026-2020</t>
        </is>
      </c>
      <c r="B755" s="1" t="n">
        <v>44182</v>
      </c>
      <c r="C755" s="1" t="n">
        <v>45583</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68022-2020</t>
        </is>
      </c>
      <c r="B756" s="1" t="n">
        <v>44182</v>
      </c>
      <c r="C756" s="1" t="n">
        <v>45583</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68031-2020</t>
        </is>
      </c>
      <c r="B757" s="1" t="n">
        <v>44182</v>
      </c>
      <c r="C757" s="1" t="n">
        <v>45583</v>
      </c>
      <c r="D757" t="inlineStr">
        <is>
          <t>VÄSTERNORRLANDS LÄN</t>
        </is>
      </c>
      <c r="E757" t="inlineStr">
        <is>
          <t>SOLLEFTEÅ</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68036-2020</t>
        </is>
      </c>
      <c r="B758" s="1" t="n">
        <v>44182</v>
      </c>
      <c r="C758" s="1" t="n">
        <v>45583</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68020-2020</t>
        </is>
      </c>
      <c r="B759" s="1" t="n">
        <v>44182</v>
      </c>
      <c r="C759" s="1" t="n">
        <v>45583</v>
      </c>
      <c r="D759" t="inlineStr">
        <is>
          <t>VÄSTERNORRLANDS LÄN</t>
        </is>
      </c>
      <c r="E759" t="inlineStr">
        <is>
          <t>SOLLEFTEÅ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68030-2020</t>
        </is>
      </c>
      <c r="B760" s="1" t="n">
        <v>44182</v>
      </c>
      <c r="C760" s="1" t="n">
        <v>45583</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68034-2020</t>
        </is>
      </c>
      <c r="B761" s="1" t="n">
        <v>44182</v>
      </c>
      <c r="C761" s="1" t="n">
        <v>45583</v>
      </c>
      <c r="D761" t="inlineStr">
        <is>
          <t>VÄSTERNORRLANDS LÄN</t>
        </is>
      </c>
      <c r="E761" t="inlineStr">
        <is>
          <t>SOLLEFTEÅ</t>
        </is>
      </c>
      <c r="F761" t="inlineStr">
        <is>
          <t>SCA</t>
        </is>
      </c>
      <c r="G761" t="n">
        <v>17.1</v>
      </c>
      <c r="H761" t="n">
        <v>0</v>
      </c>
      <c r="I761" t="n">
        <v>0</v>
      </c>
      <c r="J761" t="n">
        <v>0</v>
      </c>
      <c r="K761" t="n">
        <v>0</v>
      </c>
      <c r="L761" t="n">
        <v>0</v>
      </c>
      <c r="M761" t="n">
        <v>0</v>
      </c>
      <c r="N761" t="n">
        <v>0</v>
      </c>
      <c r="O761" t="n">
        <v>0</v>
      </c>
      <c r="P761" t="n">
        <v>0</v>
      </c>
      <c r="Q761" t="n">
        <v>0</v>
      </c>
      <c r="R761" s="2" t="inlineStr"/>
    </row>
    <row r="762" ht="15" customHeight="1">
      <c r="A762" t="inlineStr">
        <is>
          <t>A 68033-2020</t>
        </is>
      </c>
      <c r="B762" s="1" t="n">
        <v>44182</v>
      </c>
      <c r="C762" s="1" t="n">
        <v>45583</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68015-2020</t>
        </is>
      </c>
      <c r="B763" s="1" t="n">
        <v>44182</v>
      </c>
      <c r="C763" s="1" t="n">
        <v>45583</v>
      </c>
      <c r="D763" t="inlineStr">
        <is>
          <t>VÄSTERNORRLANDS LÄN</t>
        </is>
      </c>
      <c r="E763" t="inlineStr">
        <is>
          <t>SOLLEFTEÅ</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68025-2020</t>
        </is>
      </c>
      <c r="B764" s="1" t="n">
        <v>44182</v>
      </c>
      <c r="C764" s="1" t="n">
        <v>45583</v>
      </c>
      <c r="D764" t="inlineStr">
        <is>
          <t>VÄSTERNORRLANDS LÄN</t>
        </is>
      </c>
      <c r="E764" t="inlineStr">
        <is>
          <t>SOLLEFTEÅ</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68032-2020</t>
        </is>
      </c>
      <c r="B765" s="1" t="n">
        <v>44182</v>
      </c>
      <c r="C765" s="1" t="n">
        <v>45583</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68037-2020</t>
        </is>
      </c>
      <c r="B766" s="1" t="n">
        <v>44182</v>
      </c>
      <c r="C766" s="1" t="n">
        <v>45583</v>
      </c>
      <c r="D766" t="inlineStr">
        <is>
          <t>VÄSTERNORRLANDS LÄN</t>
        </is>
      </c>
      <c r="E766" t="inlineStr">
        <is>
          <t>SOLLEFTEÅ</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68292-2020</t>
        </is>
      </c>
      <c r="B767" s="1" t="n">
        <v>44183</v>
      </c>
      <c r="C767" s="1" t="n">
        <v>45583</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68570-2020</t>
        </is>
      </c>
      <c r="B768" s="1" t="n">
        <v>44186</v>
      </c>
      <c r="C768" s="1" t="n">
        <v>45583</v>
      </c>
      <c r="D768" t="inlineStr">
        <is>
          <t>VÄSTERNORRLANDS LÄN</t>
        </is>
      </c>
      <c r="E768" t="inlineStr">
        <is>
          <t>SOLLEFTEÅ</t>
        </is>
      </c>
      <c r="G768" t="n">
        <v>5.5</v>
      </c>
      <c r="H768" t="n">
        <v>0</v>
      </c>
      <c r="I768" t="n">
        <v>0</v>
      </c>
      <c r="J768" t="n">
        <v>0</v>
      </c>
      <c r="K768" t="n">
        <v>0</v>
      </c>
      <c r="L768" t="n">
        <v>0</v>
      </c>
      <c r="M768" t="n">
        <v>0</v>
      </c>
      <c r="N768" t="n">
        <v>0</v>
      </c>
      <c r="O768" t="n">
        <v>0</v>
      </c>
      <c r="P768" t="n">
        <v>0</v>
      </c>
      <c r="Q768" t="n">
        <v>0</v>
      </c>
      <c r="R768" s="2" t="inlineStr"/>
    </row>
    <row r="769" ht="15" customHeight="1">
      <c r="A769" t="inlineStr">
        <is>
          <t>A 68652-2020</t>
        </is>
      </c>
      <c r="B769" s="1" t="n">
        <v>44186</v>
      </c>
      <c r="C769" s="1" t="n">
        <v>45583</v>
      </c>
      <c r="D769" t="inlineStr">
        <is>
          <t>VÄSTERNORRLANDS LÄN</t>
        </is>
      </c>
      <c r="E769" t="inlineStr">
        <is>
          <t>SOLLEFTEÅ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68647-2020</t>
        </is>
      </c>
      <c r="B770" s="1" t="n">
        <v>44186</v>
      </c>
      <c r="C770" s="1" t="n">
        <v>45583</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68648-2020</t>
        </is>
      </c>
      <c r="B771" s="1" t="n">
        <v>44186</v>
      </c>
      <c r="C771" s="1" t="n">
        <v>45583</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68656-2020</t>
        </is>
      </c>
      <c r="B772" s="1" t="n">
        <v>44186</v>
      </c>
      <c r="C772" s="1" t="n">
        <v>45583</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69436-2020</t>
        </is>
      </c>
      <c r="B773" s="1" t="n">
        <v>44193</v>
      </c>
      <c r="C773" s="1" t="n">
        <v>45583</v>
      </c>
      <c r="D773" t="inlineStr">
        <is>
          <t>VÄSTERNORRLANDS LÄN</t>
        </is>
      </c>
      <c r="E773" t="inlineStr">
        <is>
          <t>SOLLEFTEÅ</t>
        </is>
      </c>
      <c r="G773" t="n">
        <v>4.9</v>
      </c>
      <c r="H773" t="n">
        <v>0</v>
      </c>
      <c r="I773" t="n">
        <v>0</v>
      </c>
      <c r="J773" t="n">
        <v>0</v>
      </c>
      <c r="K773" t="n">
        <v>0</v>
      </c>
      <c r="L773" t="n">
        <v>0</v>
      </c>
      <c r="M773" t="n">
        <v>0</v>
      </c>
      <c r="N773" t="n">
        <v>0</v>
      </c>
      <c r="O773" t="n">
        <v>0</v>
      </c>
      <c r="P773" t="n">
        <v>0</v>
      </c>
      <c r="Q773" t="n">
        <v>0</v>
      </c>
      <c r="R773" s="2" t="inlineStr"/>
    </row>
    <row r="774" ht="15" customHeight="1">
      <c r="A774" t="inlineStr">
        <is>
          <t>A 272-2021</t>
        </is>
      </c>
      <c r="B774" s="1" t="n">
        <v>44200</v>
      </c>
      <c r="C774" s="1" t="n">
        <v>45583</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691-2021</t>
        </is>
      </c>
      <c r="B775" s="1" t="n">
        <v>44203</v>
      </c>
      <c r="C775" s="1" t="n">
        <v>45583</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1858-2021</t>
        </is>
      </c>
      <c r="B776" s="1" t="n">
        <v>44210</v>
      </c>
      <c r="C776" s="1" t="n">
        <v>45583</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2077-2021</t>
        </is>
      </c>
      <c r="B777" s="1" t="n">
        <v>44210</v>
      </c>
      <c r="C777" s="1" t="n">
        <v>45583</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2487-2021</t>
        </is>
      </c>
      <c r="B778" s="1" t="n">
        <v>44211</v>
      </c>
      <c r="C778" s="1" t="n">
        <v>45583</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3441-2021</t>
        </is>
      </c>
      <c r="B779" s="1" t="n">
        <v>44218</v>
      </c>
      <c r="C779" s="1" t="n">
        <v>45583</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4127-2021</t>
        </is>
      </c>
      <c r="B780" s="1" t="n">
        <v>44222</v>
      </c>
      <c r="C780" s="1" t="n">
        <v>45583</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5989-2021</t>
        </is>
      </c>
      <c r="B781" s="1" t="n">
        <v>44231</v>
      </c>
      <c r="C781" s="1" t="n">
        <v>45583</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7658-2021</t>
        </is>
      </c>
      <c r="B782" s="1" t="n">
        <v>44242</v>
      </c>
      <c r="C782" s="1" t="n">
        <v>45583</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7659-2021</t>
        </is>
      </c>
      <c r="B783" s="1" t="n">
        <v>44242</v>
      </c>
      <c r="C783" s="1" t="n">
        <v>45583</v>
      </c>
      <c r="D783" t="inlineStr">
        <is>
          <t>VÄSTERNORRLANDS LÄN</t>
        </is>
      </c>
      <c r="E783" t="inlineStr">
        <is>
          <t>SOLLEFTEÅ</t>
        </is>
      </c>
      <c r="G783" t="n">
        <v>8.1</v>
      </c>
      <c r="H783" t="n">
        <v>0</v>
      </c>
      <c r="I783" t="n">
        <v>0</v>
      </c>
      <c r="J783" t="n">
        <v>0</v>
      </c>
      <c r="K783" t="n">
        <v>0</v>
      </c>
      <c r="L783" t="n">
        <v>0</v>
      </c>
      <c r="M783" t="n">
        <v>0</v>
      </c>
      <c r="N783" t="n">
        <v>0</v>
      </c>
      <c r="O783" t="n">
        <v>0</v>
      </c>
      <c r="P783" t="n">
        <v>0</v>
      </c>
      <c r="Q783" t="n">
        <v>0</v>
      </c>
      <c r="R783" s="2" t="inlineStr"/>
    </row>
    <row r="784" ht="15" customHeight="1">
      <c r="A784" t="inlineStr">
        <is>
          <t>A 7889-2021</t>
        </is>
      </c>
      <c r="B784" s="1" t="n">
        <v>44242</v>
      </c>
      <c r="C784" s="1" t="n">
        <v>45583</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8631-2021</t>
        </is>
      </c>
      <c r="B785" s="1" t="n">
        <v>44245</v>
      </c>
      <c r="C785" s="1" t="n">
        <v>45583</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8692-2021</t>
        </is>
      </c>
      <c r="B786" s="1" t="n">
        <v>44246</v>
      </c>
      <c r="C786" s="1" t="n">
        <v>45583</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9461-2021</t>
        </is>
      </c>
      <c r="B787" s="1" t="n">
        <v>44251</v>
      </c>
      <c r="C787" s="1" t="n">
        <v>45583</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45583</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45583</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45583</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45583</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45583</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45583</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45583</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15461-2021</t>
        </is>
      </c>
      <c r="B795" s="1" t="n">
        <v>44285</v>
      </c>
      <c r="C795" s="1" t="n">
        <v>45583</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15894-2021</t>
        </is>
      </c>
      <c r="B796" s="1" t="n">
        <v>44286</v>
      </c>
      <c r="C796" s="1" t="n">
        <v>45583</v>
      </c>
      <c r="D796" t="inlineStr">
        <is>
          <t>VÄSTERNORRLANDS LÄN</t>
        </is>
      </c>
      <c r="E796" t="inlineStr">
        <is>
          <t>SOLLEFTEÅ</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16700-2021</t>
        </is>
      </c>
      <c r="B797" s="1" t="n">
        <v>44293</v>
      </c>
      <c r="C797" s="1" t="n">
        <v>45583</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16799-2021</t>
        </is>
      </c>
      <c r="B798" s="1" t="n">
        <v>44293</v>
      </c>
      <c r="C798" s="1" t="n">
        <v>45583</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16905-2021</t>
        </is>
      </c>
      <c r="B799" s="1" t="n">
        <v>44294</v>
      </c>
      <c r="C799" s="1" t="n">
        <v>45583</v>
      </c>
      <c r="D799" t="inlineStr">
        <is>
          <t>VÄSTERNORRLANDS LÄN</t>
        </is>
      </c>
      <c r="E799" t="inlineStr">
        <is>
          <t>SOLLEFTEÅ</t>
        </is>
      </c>
      <c r="G799" t="n">
        <v>5</v>
      </c>
      <c r="H799" t="n">
        <v>0</v>
      </c>
      <c r="I799" t="n">
        <v>0</v>
      </c>
      <c r="J799" t="n">
        <v>0</v>
      </c>
      <c r="K799" t="n">
        <v>0</v>
      </c>
      <c r="L799" t="n">
        <v>0</v>
      </c>
      <c r="M799" t="n">
        <v>0</v>
      </c>
      <c r="N799" t="n">
        <v>0</v>
      </c>
      <c r="O799" t="n">
        <v>0</v>
      </c>
      <c r="P799" t="n">
        <v>0</v>
      </c>
      <c r="Q799" t="n">
        <v>0</v>
      </c>
      <c r="R799" s="2" t="inlineStr"/>
    </row>
    <row r="800" ht="15" customHeight="1">
      <c r="A800" t="inlineStr">
        <is>
          <t>A 17604-2021</t>
        </is>
      </c>
      <c r="B800" s="1" t="n">
        <v>44299</v>
      </c>
      <c r="C800" s="1" t="n">
        <v>45583</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18459-2021</t>
        </is>
      </c>
      <c r="B801" s="1" t="n">
        <v>44306</v>
      </c>
      <c r="C801" s="1" t="n">
        <v>45583</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18668-2021</t>
        </is>
      </c>
      <c r="B802" s="1" t="n">
        <v>44306</v>
      </c>
      <c r="C802" s="1" t="n">
        <v>45583</v>
      </c>
      <c r="D802" t="inlineStr">
        <is>
          <t>VÄSTERNORRLANDS LÄN</t>
        </is>
      </c>
      <c r="E802" t="inlineStr">
        <is>
          <t>SOLLEFTEÅ</t>
        </is>
      </c>
      <c r="G802" t="n">
        <v>12.7</v>
      </c>
      <c r="H802" t="n">
        <v>0</v>
      </c>
      <c r="I802" t="n">
        <v>0</v>
      </c>
      <c r="J802" t="n">
        <v>0</v>
      </c>
      <c r="K802" t="n">
        <v>0</v>
      </c>
      <c r="L802" t="n">
        <v>0</v>
      </c>
      <c r="M802" t="n">
        <v>0</v>
      </c>
      <c r="N802" t="n">
        <v>0</v>
      </c>
      <c r="O802" t="n">
        <v>0</v>
      </c>
      <c r="P802" t="n">
        <v>0</v>
      </c>
      <c r="Q802" t="n">
        <v>0</v>
      </c>
      <c r="R802" s="2" t="inlineStr"/>
    </row>
    <row r="803" ht="15" customHeight="1">
      <c r="A803" t="inlineStr">
        <is>
          <t>A 18741-2021</t>
        </is>
      </c>
      <c r="B803" s="1" t="n">
        <v>44306</v>
      </c>
      <c r="C803" s="1" t="n">
        <v>45583</v>
      </c>
      <c r="D803" t="inlineStr">
        <is>
          <t>VÄSTERNORRLANDS LÄN</t>
        </is>
      </c>
      <c r="E803" t="inlineStr">
        <is>
          <t>SOLLEFTEÅ</t>
        </is>
      </c>
      <c r="F803" t="inlineStr">
        <is>
          <t>Kyrkan</t>
        </is>
      </c>
      <c r="G803" t="n">
        <v>4.8</v>
      </c>
      <c r="H803" t="n">
        <v>0</v>
      </c>
      <c r="I803" t="n">
        <v>0</v>
      </c>
      <c r="J803" t="n">
        <v>0</v>
      </c>
      <c r="K803" t="n">
        <v>0</v>
      </c>
      <c r="L803" t="n">
        <v>0</v>
      </c>
      <c r="M803" t="n">
        <v>0</v>
      </c>
      <c r="N803" t="n">
        <v>0</v>
      </c>
      <c r="O803" t="n">
        <v>0</v>
      </c>
      <c r="P803" t="n">
        <v>0</v>
      </c>
      <c r="Q803" t="n">
        <v>0</v>
      </c>
      <c r="R803" s="2" t="inlineStr"/>
    </row>
    <row r="804" ht="15" customHeight="1">
      <c r="A804" t="inlineStr">
        <is>
          <t>A 18662-2021</t>
        </is>
      </c>
      <c r="B804" s="1" t="n">
        <v>44306</v>
      </c>
      <c r="C804" s="1" t="n">
        <v>45583</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18766-2021</t>
        </is>
      </c>
      <c r="B805" s="1" t="n">
        <v>44307</v>
      </c>
      <c r="C805" s="1" t="n">
        <v>45583</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18761-2021</t>
        </is>
      </c>
      <c r="B806" s="1" t="n">
        <v>44307</v>
      </c>
      <c r="C806" s="1" t="n">
        <v>45583</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18873-2021</t>
        </is>
      </c>
      <c r="B807" s="1" t="n">
        <v>44308</v>
      </c>
      <c r="C807" s="1" t="n">
        <v>45583</v>
      </c>
      <c r="D807" t="inlineStr">
        <is>
          <t>VÄSTERNORRLANDS LÄN</t>
        </is>
      </c>
      <c r="E807" t="inlineStr">
        <is>
          <t>SOLLEFTEÅ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18878-2021</t>
        </is>
      </c>
      <c r="B808" s="1" t="n">
        <v>44307</v>
      </c>
      <c r="C808" s="1" t="n">
        <v>45583</v>
      </c>
      <c r="D808" t="inlineStr">
        <is>
          <t>VÄSTERNORRLANDS LÄN</t>
        </is>
      </c>
      <c r="E808" t="inlineStr">
        <is>
          <t>SOLLEFTEÅ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18867-2021</t>
        </is>
      </c>
      <c r="B809" s="1" t="n">
        <v>44307</v>
      </c>
      <c r="C809" s="1" t="n">
        <v>45583</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18882-2021</t>
        </is>
      </c>
      <c r="B810" s="1" t="n">
        <v>44308</v>
      </c>
      <c r="C810" s="1" t="n">
        <v>45583</v>
      </c>
      <c r="D810" t="inlineStr">
        <is>
          <t>VÄSTERNORRLANDS LÄN</t>
        </is>
      </c>
      <c r="E810" t="inlineStr">
        <is>
          <t>SOLLEFTEÅ</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18875-2021</t>
        </is>
      </c>
      <c r="B811" s="1" t="n">
        <v>44307</v>
      </c>
      <c r="C811" s="1" t="n">
        <v>45583</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18866-2021</t>
        </is>
      </c>
      <c r="B812" s="1" t="n">
        <v>44308</v>
      </c>
      <c r="C812" s="1" t="n">
        <v>45583</v>
      </c>
      <c r="D812" t="inlineStr">
        <is>
          <t>VÄSTERNORRLANDS LÄN</t>
        </is>
      </c>
      <c r="E812" t="inlineStr">
        <is>
          <t>SOLLEFTEÅ</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18874-2021</t>
        </is>
      </c>
      <c r="B813" s="1" t="n">
        <v>44308</v>
      </c>
      <c r="C813" s="1" t="n">
        <v>45583</v>
      </c>
      <c r="D813" t="inlineStr">
        <is>
          <t>VÄSTERNORRLANDS LÄN</t>
        </is>
      </c>
      <c r="E813" t="inlineStr">
        <is>
          <t>SOLLEFTEÅ</t>
        </is>
      </c>
      <c r="F813" t="inlineStr">
        <is>
          <t>SCA</t>
        </is>
      </c>
      <c r="G813" t="n">
        <v>10.7</v>
      </c>
      <c r="H813" t="n">
        <v>0</v>
      </c>
      <c r="I813" t="n">
        <v>0</v>
      </c>
      <c r="J813" t="n">
        <v>0</v>
      </c>
      <c r="K813" t="n">
        <v>0</v>
      </c>
      <c r="L813" t="n">
        <v>0</v>
      </c>
      <c r="M813" t="n">
        <v>0</v>
      </c>
      <c r="N813" t="n">
        <v>0</v>
      </c>
      <c r="O813" t="n">
        <v>0</v>
      </c>
      <c r="P813" t="n">
        <v>0</v>
      </c>
      <c r="Q813" t="n">
        <v>0</v>
      </c>
      <c r="R813" s="2" t="inlineStr"/>
    </row>
    <row r="814" ht="15" customHeight="1">
      <c r="A814" t="inlineStr">
        <is>
          <t>A 18879-2021</t>
        </is>
      </c>
      <c r="B814" s="1" t="n">
        <v>44307</v>
      </c>
      <c r="C814" s="1" t="n">
        <v>45583</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18868-2021</t>
        </is>
      </c>
      <c r="B815" s="1" t="n">
        <v>44307</v>
      </c>
      <c r="C815" s="1" t="n">
        <v>45583</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18877-2021</t>
        </is>
      </c>
      <c r="B816" s="1" t="n">
        <v>44308</v>
      </c>
      <c r="C816" s="1" t="n">
        <v>45583</v>
      </c>
      <c r="D816" t="inlineStr">
        <is>
          <t>VÄSTERNORRLANDS LÄN</t>
        </is>
      </c>
      <c r="E816" t="inlineStr">
        <is>
          <t>SOLLEFTEÅ</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18889-2021</t>
        </is>
      </c>
      <c r="B817" s="1" t="n">
        <v>44308</v>
      </c>
      <c r="C817" s="1" t="n">
        <v>45583</v>
      </c>
      <c r="D817" t="inlineStr">
        <is>
          <t>VÄSTERNORRLANDS LÄN</t>
        </is>
      </c>
      <c r="E817" t="inlineStr">
        <is>
          <t>SOLLEFTEÅ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19200-2021</t>
        </is>
      </c>
      <c r="B818" s="1" t="n">
        <v>44309</v>
      </c>
      <c r="C818" s="1" t="n">
        <v>45583</v>
      </c>
      <c r="D818" t="inlineStr">
        <is>
          <t>VÄSTERNORRLANDS LÄN</t>
        </is>
      </c>
      <c r="E818" t="inlineStr">
        <is>
          <t>SOLLEFTEÅ</t>
        </is>
      </c>
      <c r="G818" t="n">
        <v>12.7</v>
      </c>
      <c r="H818" t="n">
        <v>0</v>
      </c>
      <c r="I818" t="n">
        <v>0</v>
      </c>
      <c r="J818" t="n">
        <v>0</v>
      </c>
      <c r="K818" t="n">
        <v>0</v>
      </c>
      <c r="L818" t="n">
        <v>0</v>
      </c>
      <c r="M818" t="n">
        <v>0</v>
      </c>
      <c r="N818" t="n">
        <v>0</v>
      </c>
      <c r="O818" t="n">
        <v>0</v>
      </c>
      <c r="P818" t="n">
        <v>0</v>
      </c>
      <c r="Q818" t="n">
        <v>0</v>
      </c>
      <c r="R818" s="2" t="inlineStr"/>
    </row>
    <row r="819" ht="15" customHeight="1">
      <c r="A819" t="inlineStr">
        <is>
          <t>A 19510-2021</t>
        </is>
      </c>
      <c r="B819" s="1" t="n">
        <v>44308</v>
      </c>
      <c r="C819" s="1" t="n">
        <v>45583</v>
      </c>
      <c r="D819" t="inlineStr">
        <is>
          <t>VÄSTERNORRLANDS LÄN</t>
        </is>
      </c>
      <c r="E819" t="inlineStr">
        <is>
          <t>SOLLEFTEÅ</t>
        </is>
      </c>
      <c r="F819" t="inlineStr">
        <is>
          <t>Kyrkan</t>
        </is>
      </c>
      <c r="G819" t="n">
        <v>19.6</v>
      </c>
      <c r="H819" t="n">
        <v>0</v>
      </c>
      <c r="I819" t="n">
        <v>0</v>
      </c>
      <c r="J819" t="n">
        <v>0</v>
      </c>
      <c r="K819" t="n">
        <v>0</v>
      </c>
      <c r="L819" t="n">
        <v>0</v>
      </c>
      <c r="M819" t="n">
        <v>0</v>
      </c>
      <c r="N819" t="n">
        <v>0</v>
      </c>
      <c r="O819" t="n">
        <v>0</v>
      </c>
      <c r="P819" t="n">
        <v>0</v>
      </c>
      <c r="Q819" t="n">
        <v>0</v>
      </c>
      <c r="R819" s="2" t="inlineStr"/>
    </row>
    <row r="820" ht="15" customHeight="1">
      <c r="A820" t="inlineStr">
        <is>
          <t>A 19220-2021</t>
        </is>
      </c>
      <c r="B820" s="1" t="n">
        <v>44309</v>
      </c>
      <c r="C820" s="1" t="n">
        <v>45583</v>
      </c>
      <c r="D820" t="inlineStr">
        <is>
          <t>VÄSTERNORRLANDS LÄN</t>
        </is>
      </c>
      <c r="E820" t="inlineStr">
        <is>
          <t>SOLLEFTEÅ</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19433-2021</t>
        </is>
      </c>
      <c r="B821" s="1" t="n">
        <v>44310</v>
      </c>
      <c r="C821" s="1" t="n">
        <v>45583</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19412-2021</t>
        </is>
      </c>
      <c r="B822" s="1" t="n">
        <v>44310</v>
      </c>
      <c r="C822" s="1" t="n">
        <v>45583</v>
      </c>
      <c r="D822" t="inlineStr">
        <is>
          <t>VÄSTERNORRLANDS LÄN</t>
        </is>
      </c>
      <c r="E822" t="inlineStr">
        <is>
          <t>SOLLEFTEÅ</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19435-2021</t>
        </is>
      </c>
      <c r="B823" s="1" t="n">
        <v>44310</v>
      </c>
      <c r="C823" s="1" t="n">
        <v>45583</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19516-2021</t>
        </is>
      </c>
      <c r="B824" s="1" t="n">
        <v>44309</v>
      </c>
      <c r="C824" s="1" t="n">
        <v>45583</v>
      </c>
      <c r="D824" t="inlineStr">
        <is>
          <t>VÄSTERNORRLANDS LÄN</t>
        </is>
      </c>
      <c r="E824" t="inlineStr">
        <is>
          <t>SOLLEFTEÅ</t>
        </is>
      </c>
      <c r="G824" t="n">
        <v>15.6</v>
      </c>
      <c r="H824" t="n">
        <v>0</v>
      </c>
      <c r="I824" t="n">
        <v>0</v>
      </c>
      <c r="J824" t="n">
        <v>0</v>
      </c>
      <c r="K824" t="n">
        <v>0</v>
      </c>
      <c r="L824" t="n">
        <v>0</v>
      </c>
      <c r="M824" t="n">
        <v>0</v>
      </c>
      <c r="N824" t="n">
        <v>0</v>
      </c>
      <c r="O824" t="n">
        <v>0</v>
      </c>
      <c r="P824" t="n">
        <v>0</v>
      </c>
      <c r="Q824" t="n">
        <v>0</v>
      </c>
      <c r="R824" s="2" t="inlineStr"/>
    </row>
    <row r="825" ht="15" customHeight="1">
      <c r="A825" t="inlineStr">
        <is>
          <t>A 19830-2021</t>
        </is>
      </c>
      <c r="B825" s="1" t="n">
        <v>44312</v>
      </c>
      <c r="C825" s="1" t="n">
        <v>45583</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19637-2021</t>
        </is>
      </c>
      <c r="B826" s="1" t="n">
        <v>44312</v>
      </c>
      <c r="C826" s="1" t="n">
        <v>45583</v>
      </c>
      <c r="D826" t="inlineStr">
        <is>
          <t>VÄSTERNORRLANDS LÄN</t>
        </is>
      </c>
      <c r="E826" t="inlineStr">
        <is>
          <t>SOLLEFTEÅ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21341-2021</t>
        </is>
      </c>
      <c r="B827" s="1" t="n">
        <v>44321</v>
      </c>
      <c r="C827" s="1" t="n">
        <v>45583</v>
      </c>
      <c r="D827" t="inlineStr">
        <is>
          <t>VÄSTERNORRLANDS LÄN</t>
        </is>
      </c>
      <c r="E827" t="inlineStr">
        <is>
          <t>SOLLEFTEÅ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21350-2021</t>
        </is>
      </c>
      <c r="B828" s="1" t="n">
        <v>44321</v>
      </c>
      <c r="C828" s="1" t="n">
        <v>45583</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21358-2021</t>
        </is>
      </c>
      <c r="B829" s="1" t="n">
        <v>44320</v>
      </c>
      <c r="C829" s="1" t="n">
        <v>45583</v>
      </c>
      <c r="D829" t="inlineStr">
        <is>
          <t>VÄSTERNORRLANDS LÄN</t>
        </is>
      </c>
      <c r="E829" t="inlineStr">
        <is>
          <t>SOLLEFTEÅ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21362-2021</t>
        </is>
      </c>
      <c r="B830" s="1" t="n">
        <v>44321</v>
      </c>
      <c r="C830" s="1" t="n">
        <v>45583</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21532-2021</t>
        </is>
      </c>
      <c r="B831" s="1" t="n">
        <v>44321</v>
      </c>
      <c r="C831" s="1" t="n">
        <v>45583</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21589-2021</t>
        </is>
      </c>
      <c r="B832" s="1" t="n">
        <v>44321</v>
      </c>
      <c r="C832" s="1" t="n">
        <v>45583</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21711-2021</t>
        </is>
      </c>
      <c r="B833" s="1" t="n">
        <v>44322</v>
      </c>
      <c r="C833" s="1" t="n">
        <v>45583</v>
      </c>
      <c r="D833" t="inlineStr">
        <is>
          <t>VÄSTERNORRLANDS LÄN</t>
        </is>
      </c>
      <c r="E833" t="inlineStr">
        <is>
          <t>SOLLEFTEÅ</t>
        </is>
      </c>
      <c r="F833" t="inlineStr">
        <is>
          <t>Kyrkan</t>
        </is>
      </c>
      <c r="G833" t="n">
        <v>22.2</v>
      </c>
      <c r="H833" t="n">
        <v>0</v>
      </c>
      <c r="I833" t="n">
        <v>0</v>
      </c>
      <c r="J833" t="n">
        <v>0</v>
      </c>
      <c r="K833" t="n">
        <v>0</v>
      </c>
      <c r="L833" t="n">
        <v>0</v>
      </c>
      <c r="M833" t="n">
        <v>0</v>
      </c>
      <c r="N833" t="n">
        <v>0</v>
      </c>
      <c r="O833" t="n">
        <v>0</v>
      </c>
      <c r="P833" t="n">
        <v>0</v>
      </c>
      <c r="Q833" t="n">
        <v>0</v>
      </c>
      <c r="R833" s="2" t="inlineStr"/>
    </row>
    <row r="834" ht="15" customHeight="1">
      <c r="A834" t="inlineStr">
        <is>
          <t>A 21924-2021</t>
        </is>
      </c>
      <c r="B834" s="1" t="n">
        <v>44323</v>
      </c>
      <c r="C834" s="1" t="n">
        <v>45583</v>
      </c>
      <c r="D834" t="inlineStr">
        <is>
          <t>VÄSTERNORRLANDS LÄN</t>
        </is>
      </c>
      <c r="E834" t="inlineStr">
        <is>
          <t>SOLLEFTEÅ</t>
        </is>
      </c>
      <c r="G834" t="n">
        <v>3.6</v>
      </c>
      <c r="H834" t="n">
        <v>0</v>
      </c>
      <c r="I834" t="n">
        <v>0</v>
      </c>
      <c r="J834" t="n">
        <v>0</v>
      </c>
      <c r="K834" t="n">
        <v>0</v>
      </c>
      <c r="L834" t="n">
        <v>0</v>
      </c>
      <c r="M834" t="n">
        <v>0</v>
      </c>
      <c r="N834" t="n">
        <v>0</v>
      </c>
      <c r="O834" t="n">
        <v>0</v>
      </c>
      <c r="P834" t="n">
        <v>0</v>
      </c>
      <c r="Q834" t="n">
        <v>0</v>
      </c>
      <c r="R834" s="2" t="inlineStr"/>
    </row>
    <row r="835" ht="15" customHeight="1">
      <c r="A835" t="inlineStr">
        <is>
          <t>A 22447-2021</t>
        </is>
      </c>
      <c r="B835" s="1" t="n">
        <v>44323</v>
      </c>
      <c r="C835" s="1" t="n">
        <v>45583</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22441-2021</t>
        </is>
      </c>
      <c r="B836" s="1" t="n">
        <v>44323</v>
      </c>
      <c r="C836" s="1" t="n">
        <v>45583</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22224-2021</t>
        </is>
      </c>
      <c r="B837" s="1" t="n">
        <v>44326</v>
      </c>
      <c r="C837" s="1" t="n">
        <v>45583</v>
      </c>
      <c r="D837" t="inlineStr">
        <is>
          <t>VÄSTERNORRLANDS LÄN</t>
        </is>
      </c>
      <c r="E837" t="inlineStr">
        <is>
          <t>SOLLEFTEÅ</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22934-2021</t>
        </is>
      </c>
      <c r="B838" s="1" t="n">
        <v>44328</v>
      </c>
      <c r="C838" s="1" t="n">
        <v>45583</v>
      </c>
      <c r="D838" t="inlineStr">
        <is>
          <t>VÄSTERNORRLANDS LÄN</t>
        </is>
      </c>
      <c r="E838" t="inlineStr">
        <is>
          <t>SOLLEFTEÅ</t>
        </is>
      </c>
      <c r="G838" t="n">
        <v>10</v>
      </c>
      <c r="H838" t="n">
        <v>0</v>
      </c>
      <c r="I838" t="n">
        <v>0</v>
      </c>
      <c r="J838" t="n">
        <v>0</v>
      </c>
      <c r="K838" t="n">
        <v>0</v>
      </c>
      <c r="L838" t="n">
        <v>0</v>
      </c>
      <c r="M838" t="n">
        <v>0</v>
      </c>
      <c r="N838" t="n">
        <v>0</v>
      </c>
      <c r="O838" t="n">
        <v>0</v>
      </c>
      <c r="P838" t="n">
        <v>0</v>
      </c>
      <c r="Q838" t="n">
        <v>0</v>
      </c>
      <c r="R838" s="2" t="inlineStr"/>
    </row>
    <row r="839" ht="15" customHeight="1">
      <c r="A839" t="inlineStr">
        <is>
          <t>A 23033-2021</t>
        </is>
      </c>
      <c r="B839" s="1" t="n">
        <v>44329</v>
      </c>
      <c r="C839" s="1" t="n">
        <v>45583</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23032-2021</t>
        </is>
      </c>
      <c r="B840" s="1" t="n">
        <v>44329</v>
      </c>
      <c r="C840" s="1" t="n">
        <v>45583</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23034-2021</t>
        </is>
      </c>
      <c r="B841" s="1" t="n">
        <v>44329</v>
      </c>
      <c r="C841" s="1" t="n">
        <v>45583</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23030-2021</t>
        </is>
      </c>
      <c r="B842" s="1" t="n">
        <v>44329</v>
      </c>
      <c r="C842" s="1" t="n">
        <v>45583</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23069-2021</t>
        </is>
      </c>
      <c r="B843" s="1" t="n">
        <v>44330</v>
      </c>
      <c r="C843" s="1" t="n">
        <v>45583</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23394-2021</t>
        </is>
      </c>
      <c r="B844" s="1" t="n">
        <v>44333</v>
      </c>
      <c r="C844" s="1" t="n">
        <v>45583</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23639-2021</t>
        </is>
      </c>
      <c r="B845" s="1" t="n">
        <v>44334</v>
      </c>
      <c r="C845" s="1" t="n">
        <v>45583</v>
      </c>
      <c r="D845" t="inlineStr">
        <is>
          <t>VÄSTERNORRLANDS LÄN</t>
        </is>
      </c>
      <c r="E845" t="inlineStr">
        <is>
          <t>SOLLEFTEÅ</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23689-2021</t>
        </is>
      </c>
      <c r="B846" s="1" t="n">
        <v>44334</v>
      </c>
      <c r="C846" s="1" t="n">
        <v>45583</v>
      </c>
      <c r="D846" t="inlineStr">
        <is>
          <t>VÄSTERNORRLANDS LÄN</t>
        </is>
      </c>
      <c r="E846" t="inlineStr">
        <is>
          <t>SOLLEFTEÅ</t>
        </is>
      </c>
      <c r="G846" t="n">
        <v>14.9</v>
      </c>
      <c r="H846" t="n">
        <v>0</v>
      </c>
      <c r="I846" t="n">
        <v>0</v>
      </c>
      <c r="J846" t="n">
        <v>0</v>
      </c>
      <c r="K846" t="n">
        <v>0</v>
      </c>
      <c r="L846" t="n">
        <v>0</v>
      </c>
      <c r="M846" t="n">
        <v>0</v>
      </c>
      <c r="N846" t="n">
        <v>0</v>
      </c>
      <c r="O846" t="n">
        <v>0</v>
      </c>
      <c r="P846" t="n">
        <v>0</v>
      </c>
      <c r="Q846" t="n">
        <v>0</v>
      </c>
      <c r="R846" s="2" t="inlineStr"/>
    </row>
    <row r="847" ht="15" customHeight="1">
      <c r="A847" t="inlineStr">
        <is>
          <t>A 23770-2021</t>
        </is>
      </c>
      <c r="B847" s="1" t="n">
        <v>44335</v>
      </c>
      <c r="C847" s="1" t="n">
        <v>45583</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23753-2021</t>
        </is>
      </c>
      <c r="B848" s="1" t="n">
        <v>44334</v>
      </c>
      <c r="C848" s="1" t="n">
        <v>45583</v>
      </c>
      <c r="D848" t="inlineStr">
        <is>
          <t>VÄSTERNORRLANDS LÄN</t>
        </is>
      </c>
      <c r="E848" t="inlineStr">
        <is>
          <t>SOLLEFTEÅ</t>
        </is>
      </c>
      <c r="G848" t="n">
        <v>14.8</v>
      </c>
      <c r="H848" t="n">
        <v>0</v>
      </c>
      <c r="I848" t="n">
        <v>0</v>
      </c>
      <c r="J848" t="n">
        <v>0</v>
      </c>
      <c r="K848" t="n">
        <v>0</v>
      </c>
      <c r="L848" t="n">
        <v>0</v>
      </c>
      <c r="M848" t="n">
        <v>0</v>
      </c>
      <c r="N848" t="n">
        <v>0</v>
      </c>
      <c r="O848" t="n">
        <v>0</v>
      </c>
      <c r="P848" t="n">
        <v>0</v>
      </c>
      <c r="Q848" t="n">
        <v>0</v>
      </c>
      <c r="R848" s="2" t="inlineStr"/>
    </row>
    <row r="849" ht="15" customHeight="1">
      <c r="A849" t="inlineStr">
        <is>
          <t>A 23814-2021</t>
        </is>
      </c>
      <c r="B849" s="1" t="n">
        <v>44335</v>
      </c>
      <c r="C849" s="1" t="n">
        <v>45583</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24243-2021</t>
        </is>
      </c>
      <c r="B850" s="1" t="n">
        <v>44336</v>
      </c>
      <c r="C850" s="1" t="n">
        <v>45583</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24244-2021</t>
        </is>
      </c>
      <c r="B851" s="1" t="n">
        <v>44337</v>
      </c>
      <c r="C851" s="1" t="n">
        <v>45583</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24720-2021</t>
        </is>
      </c>
      <c r="B852" s="1" t="n">
        <v>44340</v>
      </c>
      <c r="C852" s="1" t="n">
        <v>45583</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24731-2021</t>
        </is>
      </c>
      <c r="B853" s="1" t="n">
        <v>44340</v>
      </c>
      <c r="C853" s="1" t="n">
        <v>45583</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25183-2021</t>
        </is>
      </c>
      <c r="B854" s="1" t="n">
        <v>44341</v>
      </c>
      <c r="C854" s="1" t="n">
        <v>45583</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25156-2021</t>
        </is>
      </c>
      <c r="B855" s="1" t="n">
        <v>44341</v>
      </c>
      <c r="C855" s="1" t="n">
        <v>45583</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25152-2021</t>
        </is>
      </c>
      <c r="B856" s="1" t="n">
        <v>44341</v>
      </c>
      <c r="C856" s="1" t="n">
        <v>45583</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25329-2021</t>
        </is>
      </c>
      <c r="B857" s="1" t="n">
        <v>44342</v>
      </c>
      <c r="C857" s="1" t="n">
        <v>45583</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25345-2021</t>
        </is>
      </c>
      <c r="B858" s="1" t="n">
        <v>44342</v>
      </c>
      <c r="C858" s="1" t="n">
        <v>45583</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25522-2021</t>
        </is>
      </c>
      <c r="B859" s="1" t="n">
        <v>44342</v>
      </c>
      <c r="C859" s="1" t="n">
        <v>45583</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25999-2021</t>
        </is>
      </c>
      <c r="B860" s="1" t="n">
        <v>44344</v>
      </c>
      <c r="C860" s="1" t="n">
        <v>45583</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25877-2021</t>
        </is>
      </c>
      <c r="B861" s="1" t="n">
        <v>44344</v>
      </c>
      <c r="C861" s="1" t="n">
        <v>45583</v>
      </c>
      <c r="D861" t="inlineStr">
        <is>
          <t>VÄSTERNORRLANDS LÄN</t>
        </is>
      </c>
      <c r="E861" t="inlineStr">
        <is>
          <t>SOLLEFTEÅ</t>
        </is>
      </c>
      <c r="G861" t="n">
        <v>4.2</v>
      </c>
      <c r="H861" t="n">
        <v>0</v>
      </c>
      <c r="I861" t="n">
        <v>0</v>
      </c>
      <c r="J861" t="n">
        <v>0</v>
      </c>
      <c r="K861" t="n">
        <v>0</v>
      </c>
      <c r="L861" t="n">
        <v>0</v>
      </c>
      <c r="M861" t="n">
        <v>0</v>
      </c>
      <c r="N861" t="n">
        <v>0</v>
      </c>
      <c r="O861" t="n">
        <v>0</v>
      </c>
      <c r="P861" t="n">
        <v>0</v>
      </c>
      <c r="Q861" t="n">
        <v>0</v>
      </c>
      <c r="R861" s="2" t="inlineStr"/>
    </row>
    <row r="862" ht="15" customHeight="1">
      <c r="A862" t="inlineStr">
        <is>
          <t>A 25989-2021</t>
        </is>
      </c>
      <c r="B862" s="1" t="n">
        <v>44344</v>
      </c>
      <c r="C862" s="1" t="n">
        <v>45583</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26406-2021</t>
        </is>
      </c>
      <c r="B863" s="1" t="n">
        <v>44347</v>
      </c>
      <c r="C863" s="1" t="n">
        <v>45583</v>
      </c>
      <c r="D863" t="inlineStr">
        <is>
          <t>VÄSTERNORRLANDS LÄN</t>
        </is>
      </c>
      <c r="E863" t="inlineStr">
        <is>
          <t>SOLLEFTEÅ</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26401-2021</t>
        </is>
      </c>
      <c r="B864" s="1" t="n">
        <v>44348</v>
      </c>
      <c r="C864" s="1" t="n">
        <v>45583</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26498-2021</t>
        </is>
      </c>
      <c r="B865" s="1" t="n">
        <v>44348</v>
      </c>
      <c r="C865" s="1" t="n">
        <v>45583</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26559-2021</t>
        </is>
      </c>
      <c r="B866" s="1" t="n">
        <v>44348</v>
      </c>
      <c r="C866" s="1" t="n">
        <v>45583</v>
      </c>
      <c r="D866" t="inlineStr">
        <is>
          <t>VÄSTERNORRLANDS LÄN</t>
        </is>
      </c>
      <c r="E866" t="inlineStr">
        <is>
          <t>SOLLEFTEÅ</t>
        </is>
      </c>
      <c r="G866" t="n">
        <v>9</v>
      </c>
      <c r="H866" t="n">
        <v>0</v>
      </c>
      <c r="I866" t="n">
        <v>0</v>
      </c>
      <c r="J866" t="n">
        <v>0</v>
      </c>
      <c r="K866" t="n">
        <v>0</v>
      </c>
      <c r="L866" t="n">
        <v>0</v>
      </c>
      <c r="M866" t="n">
        <v>0</v>
      </c>
      <c r="N866" t="n">
        <v>0</v>
      </c>
      <c r="O866" t="n">
        <v>0</v>
      </c>
      <c r="P866" t="n">
        <v>0</v>
      </c>
      <c r="Q866" t="n">
        <v>0</v>
      </c>
      <c r="R866" s="2" t="inlineStr"/>
    </row>
    <row r="867" ht="15" customHeight="1">
      <c r="A867" t="inlineStr">
        <is>
          <t>A 26669-2021</t>
        </is>
      </c>
      <c r="B867" s="1" t="n">
        <v>44349</v>
      </c>
      <c r="C867" s="1" t="n">
        <v>45583</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27809-2021</t>
        </is>
      </c>
      <c r="B868" s="1" t="n">
        <v>44354</v>
      </c>
      <c r="C868" s="1" t="n">
        <v>45583</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27972-2021</t>
        </is>
      </c>
      <c r="B869" s="1" t="n">
        <v>44355</v>
      </c>
      <c r="C869" s="1" t="n">
        <v>45583</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28288-2021</t>
        </is>
      </c>
      <c r="B870" s="1" t="n">
        <v>44355</v>
      </c>
      <c r="C870" s="1" t="n">
        <v>45583</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28615-2021</t>
        </is>
      </c>
      <c r="B871" s="1" t="n">
        <v>44357</v>
      </c>
      <c r="C871" s="1" t="n">
        <v>45583</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28939-2021</t>
        </is>
      </c>
      <c r="B872" s="1" t="n">
        <v>44358</v>
      </c>
      <c r="C872" s="1" t="n">
        <v>45583</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29623-2021</t>
        </is>
      </c>
      <c r="B873" s="1" t="n">
        <v>44361</v>
      </c>
      <c r="C873" s="1" t="n">
        <v>45583</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29602-2021</t>
        </is>
      </c>
      <c r="B874" s="1" t="n">
        <v>44362</v>
      </c>
      <c r="C874" s="1" t="n">
        <v>45583</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29829-2021</t>
        </is>
      </c>
      <c r="B875" s="1" t="n">
        <v>44362</v>
      </c>
      <c r="C875" s="1" t="n">
        <v>45583</v>
      </c>
      <c r="D875" t="inlineStr">
        <is>
          <t>VÄSTERNORRLANDS LÄN</t>
        </is>
      </c>
      <c r="E875" t="inlineStr">
        <is>
          <t>SOLLEFTEÅ</t>
        </is>
      </c>
      <c r="G875" t="n">
        <v>4</v>
      </c>
      <c r="H875" t="n">
        <v>0</v>
      </c>
      <c r="I875" t="n">
        <v>0</v>
      </c>
      <c r="J875" t="n">
        <v>0</v>
      </c>
      <c r="K875" t="n">
        <v>0</v>
      </c>
      <c r="L875" t="n">
        <v>0</v>
      </c>
      <c r="M875" t="n">
        <v>0</v>
      </c>
      <c r="N875" t="n">
        <v>0</v>
      </c>
      <c r="O875" t="n">
        <v>0</v>
      </c>
      <c r="P875" t="n">
        <v>0</v>
      </c>
      <c r="Q875" t="n">
        <v>0</v>
      </c>
      <c r="R875" s="2" t="inlineStr"/>
    </row>
    <row r="876" ht="15" customHeight="1">
      <c r="A876" t="inlineStr">
        <is>
          <t>A 30692-2021</t>
        </is>
      </c>
      <c r="B876" s="1" t="n">
        <v>44365</v>
      </c>
      <c r="C876" s="1" t="n">
        <v>45583</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31600-2021</t>
        </is>
      </c>
      <c r="B877" s="1" t="n">
        <v>44369</v>
      </c>
      <c r="C877" s="1" t="n">
        <v>45583</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31737-2021</t>
        </is>
      </c>
      <c r="B878" s="1" t="n">
        <v>44370</v>
      </c>
      <c r="C878" s="1" t="n">
        <v>45583</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32091-2021</t>
        </is>
      </c>
      <c r="B879" s="1" t="n">
        <v>44370</v>
      </c>
      <c r="C879" s="1" t="n">
        <v>45583</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33207-2021</t>
        </is>
      </c>
      <c r="B880" s="1" t="n">
        <v>44376</v>
      </c>
      <c r="C880" s="1" t="n">
        <v>45583</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33214-2021</t>
        </is>
      </c>
      <c r="B881" s="1" t="n">
        <v>44377</v>
      </c>
      <c r="C881" s="1" t="n">
        <v>45583</v>
      </c>
      <c r="D881" t="inlineStr">
        <is>
          <t>VÄSTERNORRLANDS LÄN</t>
        </is>
      </c>
      <c r="E881" t="inlineStr">
        <is>
          <t>SOLLEFTEÅ</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33895-2021</t>
        </is>
      </c>
      <c r="B882" s="1" t="n">
        <v>44378</v>
      </c>
      <c r="C882" s="1" t="n">
        <v>45583</v>
      </c>
      <c r="D882" t="inlineStr">
        <is>
          <t>VÄSTERNORRLANDS LÄN</t>
        </is>
      </c>
      <c r="E882" t="inlineStr">
        <is>
          <t>SOLLEFTEÅ</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34396-2021</t>
        </is>
      </c>
      <c r="B883" s="1" t="n">
        <v>44379</v>
      </c>
      <c r="C883" s="1" t="n">
        <v>45583</v>
      </c>
      <c r="D883" t="inlineStr">
        <is>
          <t>VÄSTERNORRLANDS LÄN</t>
        </is>
      </c>
      <c r="E883" t="inlineStr">
        <is>
          <t>SOLLEFTEÅ</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34395-2021</t>
        </is>
      </c>
      <c r="B884" s="1" t="n">
        <v>44379</v>
      </c>
      <c r="C884" s="1" t="n">
        <v>45583</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45583</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34475-2021</t>
        </is>
      </c>
      <c r="B886" s="1" t="n">
        <v>44381</v>
      </c>
      <c r="C886" s="1" t="n">
        <v>45583</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34473-2021</t>
        </is>
      </c>
      <c r="B887" s="1" t="n">
        <v>44382</v>
      </c>
      <c r="C887" s="1" t="n">
        <v>45583</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35333-2021</t>
        </is>
      </c>
      <c r="B888" s="1" t="n">
        <v>44384</v>
      </c>
      <c r="C888" s="1" t="n">
        <v>45583</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35358-2021</t>
        </is>
      </c>
      <c r="B889" s="1" t="n">
        <v>44385</v>
      </c>
      <c r="C889" s="1" t="n">
        <v>45583</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35574-2021</t>
        </is>
      </c>
      <c r="B890" s="1" t="n">
        <v>44386</v>
      </c>
      <c r="C890" s="1" t="n">
        <v>45583</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35862-2021</t>
        </is>
      </c>
      <c r="B891" s="1" t="n">
        <v>44386</v>
      </c>
      <c r="C891" s="1" t="n">
        <v>45583</v>
      </c>
      <c r="D891" t="inlineStr">
        <is>
          <t>VÄSTERNORRLANDS LÄN</t>
        </is>
      </c>
      <c r="E891" t="inlineStr">
        <is>
          <t>SOLLEFTEÅ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36447-2021</t>
        </is>
      </c>
      <c r="B892" s="1" t="n">
        <v>44390</v>
      </c>
      <c r="C892" s="1" t="n">
        <v>45583</v>
      </c>
      <c r="D892" t="inlineStr">
        <is>
          <t>VÄSTERNORRLANDS LÄN</t>
        </is>
      </c>
      <c r="E892" t="inlineStr">
        <is>
          <t>SOLLEFTEÅ</t>
        </is>
      </c>
      <c r="F892" t="inlineStr">
        <is>
          <t>SCA</t>
        </is>
      </c>
      <c r="G892" t="n">
        <v>10.2</v>
      </c>
      <c r="H892" t="n">
        <v>0</v>
      </c>
      <c r="I892" t="n">
        <v>0</v>
      </c>
      <c r="J892" t="n">
        <v>0</v>
      </c>
      <c r="K892" t="n">
        <v>0</v>
      </c>
      <c r="L892" t="n">
        <v>0</v>
      </c>
      <c r="M892" t="n">
        <v>0</v>
      </c>
      <c r="N892" t="n">
        <v>0</v>
      </c>
      <c r="O892" t="n">
        <v>0</v>
      </c>
      <c r="P892" t="n">
        <v>0</v>
      </c>
      <c r="Q892" t="n">
        <v>0</v>
      </c>
      <c r="R892" s="2" t="inlineStr"/>
    </row>
    <row r="893" ht="15" customHeight="1">
      <c r="A893" t="inlineStr">
        <is>
          <t>A 36448-2021</t>
        </is>
      </c>
      <c r="B893" s="1" t="n">
        <v>44390</v>
      </c>
      <c r="C893" s="1" t="n">
        <v>45583</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36579-2021</t>
        </is>
      </c>
      <c r="B894" s="1" t="n">
        <v>44391</v>
      </c>
      <c r="C894" s="1" t="n">
        <v>45583</v>
      </c>
      <c r="D894" t="inlineStr">
        <is>
          <t>VÄSTERNORRLANDS LÄN</t>
        </is>
      </c>
      <c r="E894" t="inlineStr">
        <is>
          <t>SOLLEFTEÅ</t>
        </is>
      </c>
      <c r="G894" t="n">
        <v>6.9</v>
      </c>
      <c r="H894" t="n">
        <v>0</v>
      </c>
      <c r="I894" t="n">
        <v>0</v>
      </c>
      <c r="J894" t="n">
        <v>0</v>
      </c>
      <c r="K894" t="n">
        <v>0</v>
      </c>
      <c r="L894" t="n">
        <v>0</v>
      </c>
      <c r="M894" t="n">
        <v>0</v>
      </c>
      <c r="N894" t="n">
        <v>0</v>
      </c>
      <c r="O894" t="n">
        <v>0</v>
      </c>
      <c r="P894" t="n">
        <v>0</v>
      </c>
      <c r="Q894" t="n">
        <v>0</v>
      </c>
      <c r="R894" s="2" t="inlineStr"/>
    </row>
    <row r="895" ht="15" customHeight="1">
      <c r="A895" t="inlineStr">
        <is>
          <t>A 36816-2021</t>
        </is>
      </c>
      <c r="B895" s="1" t="n">
        <v>44393</v>
      </c>
      <c r="C895" s="1" t="n">
        <v>45583</v>
      </c>
      <c r="D895" t="inlineStr">
        <is>
          <t>VÄSTERNORRLANDS LÄN</t>
        </is>
      </c>
      <c r="E895" t="inlineStr">
        <is>
          <t>SOLLEFTEÅ</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36815-2021</t>
        </is>
      </c>
      <c r="B896" s="1" t="n">
        <v>44393</v>
      </c>
      <c r="C896" s="1" t="n">
        <v>45583</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37041-2021</t>
        </is>
      </c>
      <c r="B897" s="1" t="n">
        <v>44394</v>
      </c>
      <c r="C897" s="1" t="n">
        <v>45583</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37042-2021</t>
        </is>
      </c>
      <c r="B898" s="1" t="n">
        <v>44394</v>
      </c>
      <c r="C898" s="1" t="n">
        <v>45583</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37369-2021</t>
        </is>
      </c>
      <c r="B899" s="1" t="n">
        <v>44397</v>
      </c>
      <c r="C899" s="1" t="n">
        <v>45583</v>
      </c>
      <c r="D899" t="inlineStr">
        <is>
          <t>VÄSTERNORRLANDS LÄN</t>
        </is>
      </c>
      <c r="E899" t="inlineStr">
        <is>
          <t>SOLLEFTEÅ</t>
        </is>
      </c>
      <c r="F899" t="inlineStr">
        <is>
          <t>SCA</t>
        </is>
      </c>
      <c r="G899" t="n">
        <v>20.3</v>
      </c>
      <c r="H899" t="n">
        <v>0</v>
      </c>
      <c r="I899" t="n">
        <v>0</v>
      </c>
      <c r="J899" t="n">
        <v>0</v>
      </c>
      <c r="K899" t="n">
        <v>0</v>
      </c>
      <c r="L899" t="n">
        <v>0</v>
      </c>
      <c r="M899" t="n">
        <v>0</v>
      </c>
      <c r="N899" t="n">
        <v>0</v>
      </c>
      <c r="O899" t="n">
        <v>0</v>
      </c>
      <c r="P899" t="n">
        <v>0</v>
      </c>
      <c r="Q899" t="n">
        <v>0</v>
      </c>
      <c r="R899" s="2" t="inlineStr"/>
    </row>
    <row r="900" ht="15" customHeight="1">
      <c r="A900" t="inlineStr">
        <is>
          <t>A 37639-2021</t>
        </is>
      </c>
      <c r="B900" s="1" t="n">
        <v>44400</v>
      </c>
      <c r="C900" s="1" t="n">
        <v>45583</v>
      </c>
      <c r="D900" t="inlineStr">
        <is>
          <t>VÄSTERNORRLANDS LÄN</t>
        </is>
      </c>
      <c r="E900" t="inlineStr">
        <is>
          <t>SOLLEFTEÅ</t>
        </is>
      </c>
      <c r="G900" t="n">
        <v>10.7</v>
      </c>
      <c r="H900" t="n">
        <v>0</v>
      </c>
      <c r="I900" t="n">
        <v>0</v>
      </c>
      <c r="J900" t="n">
        <v>0</v>
      </c>
      <c r="K900" t="n">
        <v>0</v>
      </c>
      <c r="L900" t="n">
        <v>0</v>
      </c>
      <c r="M900" t="n">
        <v>0</v>
      </c>
      <c r="N900" t="n">
        <v>0</v>
      </c>
      <c r="O900" t="n">
        <v>0</v>
      </c>
      <c r="P900" t="n">
        <v>0</v>
      </c>
      <c r="Q900" t="n">
        <v>0</v>
      </c>
      <c r="R900" s="2" t="inlineStr"/>
    </row>
    <row r="901" ht="15" customHeight="1">
      <c r="A901" t="inlineStr">
        <is>
          <t>A 37648-2021</t>
        </is>
      </c>
      <c r="B901" s="1" t="n">
        <v>44400</v>
      </c>
      <c r="C901" s="1" t="n">
        <v>45583</v>
      </c>
      <c r="D901" t="inlineStr">
        <is>
          <t>VÄSTERNORRLANDS LÄN</t>
        </is>
      </c>
      <c r="E901" t="inlineStr">
        <is>
          <t>SOLLEFTEÅ</t>
        </is>
      </c>
      <c r="G901" t="n">
        <v>33.6</v>
      </c>
      <c r="H901" t="n">
        <v>0</v>
      </c>
      <c r="I901" t="n">
        <v>0</v>
      </c>
      <c r="J901" t="n">
        <v>0</v>
      </c>
      <c r="K901" t="n">
        <v>0</v>
      </c>
      <c r="L901" t="n">
        <v>0</v>
      </c>
      <c r="M901" t="n">
        <v>0</v>
      </c>
      <c r="N901" t="n">
        <v>0</v>
      </c>
      <c r="O901" t="n">
        <v>0</v>
      </c>
      <c r="P901" t="n">
        <v>0</v>
      </c>
      <c r="Q901" t="n">
        <v>0</v>
      </c>
      <c r="R901" s="2" t="inlineStr"/>
    </row>
    <row r="902" ht="15" customHeight="1">
      <c r="A902" t="inlineStr">
        <is>
          <t>A 37634-2021</t>
        </is>
      </c>
      <c r="B902" s="1" t="n">
        <v>44400</v>
      </c>
      <c r="C902" s="1" t="n">
        <v>45583</v>
      </c>
      <c r="D902" t="inlineStr">
        <is>
          <t>VÄSTERNORRLANDS LÄN</t>
        </is>
      </c>
      <c r="E902" t="inlineStr">
        <is>
          <t>SOLLEFTEÅ</t>
        </is>
      </c>
      <c r="G902" t="n">
        <v>5.1</v>
      </c>
      <c r="H902" t="n">
        <v>0</v>
      </c>
      <c r="I902" t="n">
        <v>0</v>
      </c>
      <c r="J902" t="n">
        <v>0</v>
      </c>
      <c r="K902" t="n">
        <v>0</v>
      </c>
      <c r="L902" t="n">
        <v>0</v>
      </c>
      <c r="M902" t="n">
        <v>0</v>
      </c>
      <c r="N902" t="n">
        <v>0</v>
      </c>
      <c r="O902" t="n">
        <v>0</v>
      </c>
      <c r="P902" t="n">
        <v>0</v>
      </c>
      <c r="Q902" t="n">
        <v>0</v>
      </c>
      <c r="R902" s="2" t="inlineStr"/>
    </row>
    <row r="903" ht="15" customHeight="1">
      <c r="A903" t="inlineStr">
        <is>
          <t>A 38283-2021</t>
        </is>
      </c>
      <c r="B903" s="1" t="n">
        <v>44405</v>
      </c>
      <c r="C903" s="1" t="n">
        <v>45583</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39334-2021</t>
        </is>
      </c>
      <c r="B904" s="1" t="n">
        <v>44414</v>
      </c>
      <c r="C904" s="1" t="n">
        <v>45583</v>
      </c>
      <c r="D904" t="inlineStr">
        <is>
          <t>VÄSTERNORRLANDS LÄN</t>
        </is>
      </c>
      <c r="E904" t="inlineStr">
        <is>
          <t>SOLLEFTEÅ</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39594-2021</t>
        </is>
      </c>
      <c r="B905" s="1" t="n">
        <v>44413</v>
      </c>
      <c r="C905" s="1" t="n">
        <v>45583</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39230-2021</t>
        </is>
      </c>
      <c r="B906" s="1" t="n">
        <v>44413</v>
      </c>
      <c r="C906" s="1" t="n">
        <v>45583</v>
      </c>
      <c r="D906" t="inlineStr">
        <is>
          <t>VÄSTERNORRLANDS LÄN</t>
        </is>
      </c>
      <c r="E906" t="inlineStr">
        <is>
          <t>SOLLEFTEÅ</t>
        </is>
      </c>
      <c r="G906" t="n">
        <v>13.6</v>
      </c>
      <c r="H906" t="n">
        <v>0</v>
      </c>
      <c r="I906" t="n">
        <v>0</v>
      </c>
      <c r="J906" t="n">
        <v>0</v>
      </c>
      <c r="K906" t="n">
        <v>0</v>
      </c>
      <c r="L906" t="n">
        <v>0</v>
      </c>
      <c r="M906" t="n">
        <v>0</v>
      </c>
      <c r="N906" t="n">
        <v>0</v>
      </c>
      <c r="O906" t="n">
        <v>0</v>
      </c>
      <c r="P906" t="n">
        <v>0</v>
      </c>
      <c r="Q906" t="n">
        <v>0</v>
      </c>
      <c r="R906" s="2" t="inlineStr"/>
    </row>
    <row r="907" ht="15" customHeight="1">
      <c r="A907" t="inlineStr">
        <is>
          <t>A 39504-2021</t>
        </is>
      </c>
      <c r="B907" s="1" t="n">
        <v>44415</v>
      </c>
      <c r="C907" s="1" t="n">
        <v>45583</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40539-2021</t>
        </is>
      </c>
      <c r="B908" s="1" t="n">
        <v>44420</v>
      </c>
      <c r="C908" s="1" t="n">
        <v>45583</v>
      </c>
      <c r="D908" t="inlineStr">
        <is>
          <t>VÄSTERNORRLANDS LÄN</t>
        </is>
      </c>
      <c r="E908" t="inlineStr">
        <is>
          <t>SOLLEFTEÅ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41334-2021</t>
        </is>
      </c>
      <c r="B909" s="1" t="n">
        <v>44424</v>
      </c>
      <c r="C909" s="1" t="n">
        <v>45583</v>
      </c>
      <c r="D909" t="inlineStr">
        <is>
          <t>VÄSTERNORRLANDS LÄN</t>
        </is>
      </c>
      <c r="E909" t="inlineStr">
        <is>
          <t>SOLLEFTEÅ</t>
        </is>
      </c>
      <c r="G909" t="n">
        <v>1</v>
      </c>
      <c r="H909" t="n">
        <v>0</v>
      </c>
      <c r="I909" t="n">
        <v>0</v>
      </c>
      <c r="J909" t="n">
        <v>0</v>
      </c>
      <c r="K909" t="n">
        <v>0</v>
      </c>
      <c r="L909" t="n">
        <v>0</v>
      </c>
      <c r="M909" t="n">
        <v>0</v>
      </c>
      <c r="N909" t="n">
        <v>0</v>
      </c>
      <c r="O909" t="n">
        <v>0</v>
      </c>
      <c r="P909" t="n">
        <v>0</v>
      </c>
      <c r="Q909" t="n">
        <v>0</v>
      </c>
      <c r="R909" s="2" t="inlineStr"/>
    </row>
    <row r="910" ht="15" customHeight="1">
      <c r="A910" t="inlineStr">
        <is>
          <t>A 42219-2021</t>
        </is>
      </c>
      <c r="B910" s="1" t="n">
        <v>44426</v>
      </c>
      <c r="C910" s="1" t="n">
        <v>45583</v>
      </c>
      <c r="D910" t="inlineStr">
        <is>
          <t>VÄSTERNORRLANDS LÄN</t>
        </is>
      </c>
      <c r="E910" t="inlineStr">
        <is>
          <t>SOLLEFTEÅ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42231-2021</t>
        </is>
      </c>
      <c r="B911" s="1" t="n">
        <v>44426</v>
      </c>
      <c r="C911" s="1" t="n">
        <v>45583</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42228-2021</t>
        </is>
      </c>
      <c r="B912" s="1" t="n">
        <v>44426</v>
      </c>
      <c r="C912" s="1" t="n">
        <v>45583</v>
      </c>
      <c r="D912" t="inlineStr">
        <is>
          <t>VÄSTERNORRLANDS LÄN</t>
        </is>
      </c>
      <c r="E912" t="inlineStr">
        <is>
          <t>SOLLEFTEÅ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42229-2021</t>
        </is>
      </c>
      <c r="B913" s="1" t="n">
        <v>44427</v>
      </c>
      <c r="C913" s="1" t="n">
        <v>45583</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42531-2021</t>
        </is>
      </c>
      <c r="B914" s="1" t="n">
        <v>44428</v>
      </c>
      <c r="C914" s="1" t="n">
        <v>45583</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43220-2021</t>
        </is>
      </c>
      <c r="B915" s="1" t="n">
        <v>44432</v>
      </c>
      <c r="C915" s="1" t="n">
        <v>45583</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43525-2021</t>
        </is>
      </c>
      <c r="B916" s="1" t="n">
        <v>44433</v>
      </c>
      <c r="C916" s="1" t="n">
        <v>45583</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44592-2021</t>
        </is>
      </c>
      <c r="B917" s="1" t="n">
        <v>44435</v>
      </c>
      <c r="C917" s="1" t="n">
        <v>45583</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44587-2021</t>
        </is>
      </c>
      <c r="B918" s="1" t="n">
        <v>44435</v>
      </c>
      <c r="C918" s="1" t="n">
        <v>45583</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45187-2021</t>
        </is>
      </c>
      <c r="B919" s="1" t="n">
        <v>44439</v>
      </c>
      <c r="C919" s="1" t="n">
        <v>45583</v>
      </c>
      <c r="D919" t="inlineStr">
        <is>
          <t>VÄSTERNORRLANDS LÄN</t>
        </is>
      </c>
      <c r="E919" t="inlineStr">
        <is>
          <t>SOLLEFTEÅ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45105-2021</t>
        </is>
      </c>
      <c r="B920" s="1" t="n">
        <v>44439</v>
      </c>
      <c r="C920" s="1" t="n">
        <v>45583</v>
      </c>
      <c r="D920" t="inlineStr">
        <is>
          <t>VÄSTERNORRLANDS LÄN</t>
        </is>
      </c>
      <c r="E920" t="inlineStr">
        <is>
          <t>SOLLEFTEÅ</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46049-2021</t>
        </is>
      </c>
      <c r="B921" s="1" t="n">
        <v>44442</v>
      </c>
      <c r="C921" s="1" t="n">
        <v>45583</v>
      </c>
      <c r="D921" t="inlineStr">
        <is>
          <t>VÄSTERNORRLANDS LÄN</t>
        </is>
      </c>
      <c r="E921" t="inlineStr">
        <is>
          <t>SOLLEFTEÅ</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46058-2021</t>
        </is>
      </c>
      <c r="B922" s="1" t="n">
        <v>44442</v>
      </c>
      <c r="C922" s="1" t="n">
        <v>45583</v>
      </c>
      <c r="D922" t="inlineStr">
        <is>
          <t>VÄSTERNORRLANDS LÄN</t>
        </is>
      </c>
      <c r="E922" t="inlineStr">
        <is>
          <t>SOLLEFTEÅ</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47643-2021</t>
        </is>
      </c>
      <c r="B923" s="1" t="n">
        <v>44448</v>
      </c>
      <c r="C923" s="1" t="n">
        <v>45583</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47675-2021</t>
        </is>
      </c>
      <c r="B924" s="1" t="n">
        <v>44448</v>
      </c>
      <c r="C924" s="1" t="n">
        <v>45583</v>
      </c>
      <c r="D924" t="inlineStr">
        <is>
          <t>VÄSTERNORRLANDS LÄN</t>
        </is>
      </c>
      <c r="E924" t="inlineStr">
        <is>
          <t>SOLLEFTEÅ</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47626-2021</t>
        </is>
      </c>
      <c r="B925" s="1" t="n">
        <v>44448</v>
      </c>
      <c r="C925" s="1" t="n">
        <v>45583</v>
      </c>
      <c r="D925" t="inlineStr">
        <is>
          <t>VÄSTERNORRLANDS LÄN</t>
        </is>
      </c>
      <c r="E925" t="inlineStr">
        <is>
          <t>SOLLEFTEÅ</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47696-2021</t>
        </is>
      </c>
      <c r="B926" s="1" t="n">
        <v>44448</v>
      </c>
      <c r="C926" s="1" t="n">
        <v>45583</v>
      </c>
      <c r="D926" t="inlineStr">
        <is>
          <t>VÄSTERNORRLANDS LÄN</t>
        </is>
      </c>
      <c r="E926" t="inlineStr">
        <is>
          <t>SOLLEFTEÅ</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47681-2021</t>
        </is>
      </c>
      <c r="B927" s="1" t="n">
        <v>44448</v>
      </c>
      <c r="C927" s="1" t="n">
        <v>45583</v>
      </c>
      <c r="D927" t="inlineStr">
        <is>
          <t>VÄSTERNORRLANDS LÄN</t>
        </is>
      </c>
      <c r="E927" t="inlineStr">
        <is>
          <t>SOLLEFTEÅ</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48555-2021</t>
        </is>
      </c>
      <c r="B928" s="1" t="n">
        <v>44452</v>
      </c>
      <c r="C928" s="1" t="n">
        <v>45583</v>
      </c>
      <c r="D928" t="inlineStr">
        <is>
          <t>VÄSTERNORRLANDS LÄN</t>
        </is>
      </c>
      <c r="E928" t="inlineStr">
        <is>
          <t>SOLLEFTEÅ</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48578-2021</t>
        </is>
      </c>
      <c r="B929" s="1" t="n">
        <v>44452</v>
      </c>
      <c r="C929" s="1" t="n">
        <v>45583</v>
      </c>
      <c r="D929" t="inlineStr">
        <is>
          <t>VÄSTERNORRLANDS LÄN</t>
        </is>
      </c>
      <c r="E929" t="inlineStr">
        <is>
          <t>SOLLEFTEÅ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49160-2021</t>
        </is>
      </c>
      <c r="B930" s="1" t="n">
        <v>44454</v>
      </c>
      <c r="C930" s="1" t="n">
        <v>45583</v>
      </c>
      <c r="D930" t="inlineStr">
        <is>
          <t>VÄSTERNORRLANDS LÄN</t>
        </is>
      </c>
      <c r="E930" t="inlineStr">
        <is>
          <t>SOLLEFTEÅ</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49492-2021</t>
        </is>
      </c>
      <c r="B931" s="1" t="n">
        <v>44455</v>
      </c>
      <c r="C931" s="1" t="n">
        <v>45583</v>
      </c>
      <c r="D931" t="inlineStr">
        <is>
          <t>VÄSTERNORRLANDS LÄN</t>
        </is>
      </c>
      <c r="E931" t="inlineStr">
        <is>
          <t>SOLLEFTEÅ</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49518-2021</t>
        </is>
      </c>
      <c r="B932" s="1" t="n">
        <v>44455</v>
      </c>
      <c r="C932" s="1" t="n">
        <v>45583</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49711-2021</t>
        </is>
      </c>
      <c r="B933" s="1" t="n">
        <v>44455</v>
      </c>
      <c r="C933" s="1" t="n">
        <v>45583</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50360-2021</t>
        </is>
      </c>
      <c r="B934" s="1" t="n">
        <v>44459</v>
      </c>
      <c r="C934" s="1" t="n">
        <v>45583</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51104-2021</t>
        </is>
      </c>
      <c r="B935" s="1" t="n">
        <v>44459</v>
      </c>
      <c r="C935" s="1" t="n">
        <v>45583</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51020-2021</t>
        </is>
      </c>
      <c r="B936" s="1" t="n">
        <v>44460</v>
      </c>
      <c r="C936" s="1" t="n">
        <v>45583</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51029-2021</t>
        </is>
      </c>
      <c r="B937" s="1" t="n">
        <v>44461</v>
      </c>
      <c r="C937" s="1" t="n">
        <v>45583</v>
      </c>
      <c r="D937" t="inlineStr">
        <is>
          <t>VÄSTERNORRLANDS LÄN</t>
        </is>
      </c>
      <c r="E937" t="inlineStr">
        <is>
          <t>SOLLEFTEÅ</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51440-2021</t>
        </is>
      </c>
      <c r="B938" s="1" t="n">
        <v>44461</v>
      </c>
      <c r="C938" s="1" t="n">
        <v>45583</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51443-2021</t>
        </is>
      </c>
      <c r="B939" s="1" t="n">
        <v>44461</v>
      </c>
      <c r="C939" s="1" t="n">
        <v>45583</v>
      </c>
      <c r="D939" t="inlineStr">
        <is>
          <t>VÄSTERNORRLANDS LÄN</t>
        </is>
      </c>
      <c r="E939" t="inlineStr">
        <is>
          <t>SOLLEFTEÅ</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51442-2021</t>
        </is>
      </c>
      <c r="B940" s="1" t="n">
        <v>44462</v>
      </c>
      <c r="C940" s="1" t="n">
        <v>45583</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51491-2021</t>
        </is>
      </c>
      <c r="B941" s="1" t="n">
        <v>44462</v>
      </c>
      <c r="C941" s="1" t="n">
        <v>45583</v>
      </c>
      <c r="D941" t="inlineStr">
        <is>
          <t>VÄSTERNORRLANDS LÄN</t>
        </is>
      </c>
      <c r="E941" t="inlineStr">
        <is>
          <t>SOLLEFTEÅ</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51847-2021</t>
        </is>
      </c>
      <c r="B942" s="1" t="n">
        <v>44462</v>
      </c>
      <c r="C942" s="1" t="n">
        <v>45583</v>
      </c>
      <c r="D942" t="inlineStr">
        <is>
          <t>VÄSTERNORRLANDS LÄN</t>
        </is>
      </c>
      <c r="E942" t="inlineStr">
        <is>
          <t>SOLLEFTEÅ</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51952-2021</t>
        </is>
      </c>
      <c r="B943" s="1" t="n">
        <v>44463</v>
      </c>
      <c r="C943" s="1" t="n">
        <v>45583</v>
      </c>
      <c r="D943" t="inlineStr">
        <is>
          <t>VÄSTERNORRLANDS LÄN</t>
        </is>
      </c>
      <c r="E943" t="inlineStr">
        <is>
          <t>SOLLEFTEÅ</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52447-2021</t>
        </is>
      </c>
      <c r="B944" s="1" t="n">
        <v>44466</v>
      </c>
      <c r="C944" s="1" t="n">
        <v>45583</v>
      </c>
      <c r="D944" t="inlineStr">
        <is>
          <t>VÄSTERNORRLANDS LÄN</t>
        </is>
      </c>
      <c r="E944" t="inlineStr">
        <is>
          <t>SOLLEFTEÅ</t>
        </is>
      </c>
      <c r="F944" t="inlineStr">
        <is>
          <t>Holmen skog AB</t>
        </is>
      </c>
      <c r="G944" t="n">
        <v>8.9</v>
      </c>
      <c r="H944" t="n">
        <v>0</v>
      </c>
      <c r="I944" t="n">
        <v>0</v>
      </c>
      <c r="J944" t="n">
        <v>0</v>
      </c>
      <c r="K944" t="n">
        <v>0</v>
      </c>
      <c r="L944" t="n">
        <v>0</v>
      </c>
      <c r="M944" t="n">
        <v>0</v>
      </c>
      <c r="N944" t="n">
        <v>0</v>
      </c>
      <c r="O944" t="n">
        <v>0</v>
      </c>
      <c r="P944" t="n">
        <v>0</v>
      </c>
      <c r="Q944" t="n">
        <v>0</v>
      </c>
      <c r="R944" s="2" t="inlineStr"/>
    </row>
    <row r="945" ht="15" customHeight="1">
      <c r="A945" t="inlineStr">
        <is>
          <t>A 53289-2021</t>
        </is>
      </c>
      <c r="B945" s="1" t="n">
        <v>44467</v>
      </c>
      <c r="C945" s="1" t="n">
        <v>45583</v>
      </c>
      <c r="D945" t="inlineStr">
        <is>
          <t>VÄSTERNORRLANDS LÄN</t>
        </is>
      </c>
      <c r="E945" t="inlineStr">
        <is>
          <t>SOLLEFTEÅ</t>
        </is>
      </c>
      <c r="G945" t="n">
        <v>6.5</v>
      </c>
      <c r="H945" t="n">
        <v>0</v>
      </c>
      <c r="I945" t="n">
        <v>0</v>
      </c>
      <c r="J945" t="n">
        <v>0</v>
      </c>
      <c r="K945" t="n">
        <v>0</v>
      </c>
      <c r="L945" t="n">
        <v>0</v>
      </c>
      <c r="M945" t="n">
        <v>0</v>
      </c>
      <c r="N945" t="n">
        <v>0</v>
      </c>
      <c r="O945" t="n">
        <v>0</v>
      </c>
      <c r="P945" t="n">
        <v>0</v>
      </c>
      <c r="Q945" t="n">
        <v>0</v>
      </c>
      <c r="R945" s="2" t="inlineStr"/>
    </row>
    <row r="946" ht="15" customHeight="1">
      <c r="A946" t="inlineStr">
        <is>
          <t>A 53278-2021</t>
        </is>
      </c>
      <c r="B946" s="1" t="n">
        <v>44467</v>
      </c>
      <c r="C946" s="1" t="n">
        <v>45583</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53524-2021</t>
        </is>
      </c>
      <c r="B947" s="1" t="n">
        <v>44468</v>
      </c>
      <c r="C947" s="1" t="n">
        <v>45583</v>
      </c>
      <c r="D947" t="inlineStr">
        <is>
          <t>VÄSTERNORRLANDS LÄN</t>
        </is>
      </c>
      <c r="E947" t="inlineStr">
        <is>
          <t>SOLLEFTEÅ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53955-2021</t>
        </is>
      </c>
      <c r="B948" s="1" t="n">
        <v>44469</v>
      </c>
      <c r="C948" s="1" t="n">
        <v>45583</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54146-2021</t>
        </is>
      </c>
      <c r="B949" s="1" t="n">
        <v>44469</v>
      </c>
      <c r="C949" s="1" t="n">
        <v>45583</v>
      </c>
      <c r="D949" t="inlineStr">
        <is>
          <t>VÄSTERNORRLANDS LÄN</t>
        </is>
      </c>
      <c r="E949" t="inlineStr">
        <is>
          <t>SOLLEFTEÅ</t>
        </is>
      </c>
      <c r="G949" t="n">
        <v>2.1</v>
      </c>
      <c r="H949" t="n">
        <v>0</v>
      </c>
      <c r="I949" t="n">
        <v>0</v>
      </c>
      <c r="J949" t="n">
        <v>0</v>
      </c>
      <c r="K949" t="n">
        <v>0</v>
      </c>
      <c r="L949" t="n">
        <v>0</v>
      </c>
      <c r="M949" t="n">
        <v>0</v>
      </c>
      <c r="N949" t="n">
        <v>0</v>
      </c>
      <c r="O949" t="n">
        <v>0</v>
      </c>
      <c r="P949" t="n">
        <v>0</v>
      </c>
      <c r="Q949" t="n">
        <v>0</v>
      </c>
      <c r="R949" s="2" t="inlineStr"/>
    </row>
    <row r="950" ht="15" customHeight="1">
      <c r="A950" t="inlineStr">
        <is>
          <t>A 54728-2021</t>
        </is>
      </c>
      <c r="B950" s="1" t="n">
        <v>44473</v>
      </c>
      <c r="C950" s="1" t="n">
        <v>45583</v>
      </c>
      <c r="D950" t="inlineStr">
        <is>
          <t>VÄSTERNORRLANDS LÄN</t>
        </is>
      </c>
      <c r="E950" t="inlineStr">
        <is>
          <t>SOLLEFTEÅ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55016-2021</t>
        </is>
      </c>
      <c r="B951" s="1" t="n">
        <v>44474</v>
      </c>
      <c r="C951" s="1" t="n">
        <v>45583</v>
      </c>
      <c r="D951" t="inlineStr">
        <is>
          <t>VÄSTERNORRLANDS LÄN</t>
        </is>
      </c>
      <c r="E951" t="inlineStr">
        <is>
          <t>SOLLEFTEÅ</t>
        </is>
      </c>
      <c r="F951" t="inlineStr">
        <is>
          <t>Övriga Aktiebolag</t>
        </is>
      </c>
      <c r="G951" t="n">
        <v>12.7</v>
      </c>
      <c r="H951" t="n">
        <v>0</v>
      </c>
      <c r="I951" t="n">
        <v>0</v>
      </c>
      <c r="J951" t="n">
        <v>0</v>
      </c>
      <c r="K951" t="n">
        <v>0</v>
      </c>
      <c r="L951" t="n">
        <v>0</v>
      </c>
      <c r="M951" t="n">
        <v>0</v>
      </c>
      <c r="N951" t="n">
        <v>0</v>
      </c>
      <c r="O951" t="n">
        <v>0</v>
      </c>
      <c r="P951" t="n">
        <v>0</v>
      </c>
      <c r="Q951" t="n">
        <v>0</v>
      </c>
      <c r="R951" s="2" t="inlineStr"/>
    </row>
    <row r="952" ht="15" customHeight="1">
      <c r="A952" t="inlineStr">
        <is>
          <t>A 55018-2021</t>
        </is>
      </c>
      <c r="B952" s="1" t="n">
        <v>44474</v>
      </c>
      <c r="C952" s="1" t="n">
        <v>45583</v>
      </c>
      <c r="D952" t="inlineStr">
        <is>
          <t>VÄSTERNORRLANDS LÄN</t>
        </is>
      </c>
      <c r="E952" t="inlineStr">
        <is>
          <t>SOLLEFTEÅ</t>
        </is>
      </c>
      <c r="F952" t="inlineStr">
        <is>
          <t>Övriga Aktiebolag</t>
        </is>
      </c>
      <c r="G952" t="n">
        <v>11.2</v>
      </c>
      <c r="H952" t="n">
        <v>0</v>
      </c>
      <c r="I952" t="n">
        <v>0</v>
      </c>
      <c r="J952" t="n">
        <v>0</v>
      </c>
      <c r="K952" t="n">
        <v>0</v>
      </c>
      <c r="L952" t="n">
        <v>0</v>
      </c>
      <c r="M952" t="n">
        <v>0</v>
      </c>
      <c r="N952" t="n">
        <v>0</v>
      </c>
      <c r="O952" t="n">
        <v>0</v>
      </c>
      <c r="P952" t="n">
        <v>0</v>
      </c>
      <c r="Q952" t="n">
        <v>0</v>
      </c>
      <c r="R952" s="2" t="inlineStr"/>
    </row>
    <row r="953" ht="15" customHeight="1">
      <c r="A953" t="inlineStr">
        <is>
          <t>A 55610-2021</t>
        </is>
      </c>
      <c r="B953" s="1" t="n">
        <v>44476</v>
      </c>
      <c r="C953" s="1" t="n">
        <v>45583</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55643-2021</t>
        </is>
      </c>
      <c r="B954" s="1" t="n">
        <v>44475</v>
      </c>
      <c r="C954" s="1" t="n">
        <v>45583</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55904-2021</t>
        </is>
      </c>
      <c r="B955" s="1" t="n">
        <v>44476</v>
      </c>
      <c r="C955" s="1" t="n">
        <v>45583</v>
      </c>
      <c r="D955" t="inlineStr">
        <is>
          <t>VÄSTERNORRLANDS LÄN</t>
        </is>
      </c>
      <c r="E955" t="inlineStr">
        <is>
          <t>SOLLEFTEÅ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56211-2021</t>
        </is>
      </c>
      <c r="B956" s="1" t="n">
        <v>44478</v>
      </c>
      <c r="C956" s="1" t="n">
        <v>45583</v>
      </c>
      <c r="D956" t="inlineStr">
        <is>
          <t>VÄSTERNORRLANDS LÄN</t>
        </is>
      </c>
      <c r="E956" t="inlineStr">
        <is>
          <t>SOLLEFTEÅ</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56918-2021</t>
        </is>
      </c>
      <c r="B957" s="1" t="n">
        <v>44482</v>
      </c>
      <c r="C957" s="1" t="n">
        <v>45583</v>
      </c>
      <c r="D957" t="inlineStr">
        <is>
          <t>VÄSTERNORRLANDS LÄN</t>
        </is>
      </c>
      <c r="E957" t="inlineStr">
        <is>
          <t>SOLLEFTEÅ</t>
        </is>
      </c>
      <c r="F957" t="inlineStr">
        <is>
          <t>SCA</t>
        </is>
      </c>
      <c r="G957" t="n">
        <v>13.9</v>
      </c>
      <c r="H957" t="n">
        <v>0</v>
      </c>
      <c r="I957" t="n">
        <v>0</v>
      </c>
      <c r="J957" t="n">
        <v>0</v>
      </c>
      <c r="K957" t="n">
        <v>0</v>
      </c>
      <c r="L957" t="n">
        <v>0</v>
      </c>
      <c r="M957" t="n">
        <v>0</v>
      </c>
      <c r="N957" t="n">
        <v>0</v>
      </c>
      <c r="O957" t="n">
        <v>0</v>
      </c>
      <c r="P957" t="n">
        <v>0</v>
      </c>
      <c r="Q957" t="n">
        <v>0</v>
      </c>
      <c r="R957" s="2" t="inlineStr"/>
    </row>
    <row r="958" ht="15" customHeight="1">
      <c r="A958" t="inlineStr">
        <is>
          <t>A 57007-2021</t>
        </is>
      </c>
      <c r="B958" s="1" t="n">
        <v>44482</v>
      </c>
      <c r="C958" s="1" t="n">
        <v>45583</v>
      </c>
      <c r="D958" t="inlineStr">
        <is>
          <t>VÄSTERNORRLANDS LÄN</t>
        </is>
      </c>
      <c r="E958" t="inlineStr">
        <is>
          <t>SOLLEFTEÅ</t>
        </is>
      </c>
      <c r="G958" t="n">
        <v>7.4</v>
      </c>
      <c r="H958" t="n">
        <v>0</v>
      </c>
      <c r="I958" t="n">
        <v>0</v>
      </c>
      <c r="J958" t="n">
        <v>0</v>
      </c>
      <c r="K958" t="n">
        <v>0</v>
      </c>
      <c r="L958" t="n">
        <v>0</v>
      </c>
      <c r="M958" t="n">
        <v>0</v>
      </c>
      <c r="N958" t="n">
        <v>0</v>
      </c>
      <c r="O958" t="n">
        <v>0</v>
      </c>
      <c r="P958" t="n">
        <v>0</v>
      </c>
      <c r="Q958" t="n">
        <v>0</v>
      </c>
      <c r="R958" s="2" t="inlineStr"/>
    </row>
    <row r="959" ht="15" customHeight="1">
      <c r="A959" t="inlineStr">
        <is>
          <t>A 57550-2021</t>
        </is>
      </c>
      <c r="B959" s="1" t="n">
        <v>44484</v>
      </c>
      <c r="C959" s="1" t="n">
        <v>45583</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57552-2021</t>
        </is>
      </c>
      <c r="B960" s="1" t="n">
        <v>44483</v>
      </c>
      <c r="C960" s="1" t="n">
        <v>45583</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57856-2021</t>
        </is>
      </c>
      <c r="B961" s="1" t="n">
        <v>44485</v>
      </c>
      <c r="C961" s="1" t="n">
        <v>45583</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57911-2021</t>
        </is>
      </c>
      <c r="B962" s="1" t="n">
        <v>44486</v>
      </c>
      <c r="C962" s="1" t="n">
        <v>45583</v>
      </c>
      <c r="D962" t="inlineStr">
        <is>
          <t>VÄSTERNORRLANDS LÄN</t>
        </is>
      </c>
      <c r="E962" t="inlineStr">
        <is>
          <t>SOLLEFTEÅ</t>
        </is>
      </c>
      <c r="G962" t="n">
        <v>3.1</v>
      </c>
      <c r="H962" t="n">
        <v>0</v>
      </c>
      <c r="I962" t="n">
        <v>0</v>
      </c>
      <c r="J962" t="n">
        <v>0</v>
      </c>
      <c r="K962" t="n">
        <v>0</v>
      </c>
      <c r="L962" t="n">
        <v>0</v>
      </c>
      <c r="M962" t="n">
        <v>0</v>
      </c>
      <c r="N962" t="n">
        <v>0</v>
      </c>
      <c r="O962" t="n">
        <v>0</v>
      </c>
      <c r="P962" t="n">
        <v>0</v>
      </c>
      <c r="Q962" t="n">
        <v>0</v>
      </c>
      <c r="R962" s="2" t="inlineStr"/>
    </row>
    <row r="963" ht="15" customHeight="1">
      <c r="A963" t="inlineStr">
        <is>
          <t>A 58268-2021</t>
        </is>
      </c>
      <c r="B963" s="1" t="n">
        <v>44487</v>
      </c>
      <c r="C963" s="1" t="n">
        <v>45583</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58276-2021</t>
        </is>
      </c>
      <c r="B964" s="1" t="n">
        <v>44488</v>
      </c>
      <c r="C964" s="1" t="n">
        <v>45583</v>
      </c>
      <c r="D964" t="inlineStr">
        <is>
          <t>VÄSTERNORRLANDS LÄN</t>
        </is>
      </c>
      <c r="E964" t="inlineStr">
        <is>
          <t>SOLLEFTEÅ</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58179-2021</t>
        </is>
      </c>
      <c r="B965" s="1" t="n">
        <v>44487</v>
      </c>
      <c r="C965" s="1" t="n">
        <v>45583</v>
      </c>
      <c r="D965" t="inlineStr">
        <is>
          <t>VÄSTERNORRLANDS LÄN</t>
        </is>
      </c>
      <c r="E965" t="inlineStr">
        <is>
          <t>SOLLEFTEÅ</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58478-2021</t>
        </is>
      </c>
      <c r="B966" s="1" t="n">
        <v>44488</v>
      </c>
      <c r="C966" s="1" t="n">
        <v>45583</v>
      </c>
      <c r="D966" t="inlineStr">
        <is>
          <t>VÄSTERNORRLANDS LÄN</t>
        </is>
      </c>
      <c r="E966" t="inlineStr">
        <is>
          <t>SOLLEFTEÅ</t>
        </is>
      </c>
      <c r="G966" t="n">
        <v>9.5</v>
      </c>
      <c r="H966" t="n">
        <v>0</v>
      </c>
      <c r="I966" t="n">
        <v>0</v>
      </c>
      <c r="J966" t="n">
        <v>0</v>
      </c>
      <c r="K966" t="n">
        <v>0</v>
      </c>
      <c r="L966" t="n">
        <v>0</v>
      </c>
      <c r="M966" t="n">
        <v>0</v>
      </c>
      <c r="N966" t="n">
        <v>0</v>
      </c>
      <c r="O966" t="n">
        <v>0</v>
      </c>
      <c r="P966" t="n">
        <v>0</v>
      </c>
      <c r="Q966" t="n">
        <v>0</v>
      </c>
      <c r="R966" s="2" t="inlineStr"/>
    </row>
    <row r="967" ht="15" customHeight="1">
      <c r="A967" t="inlineStr">
        <is>
          <t>A 58486-2021</t>
        </is>
      </c>
      <c r="B967" s="1" t="n">
        <v>44488</v>
      </c>
      <c r="C967" s="1" t="n">
        <v>45583</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58571-2021</t>
        </is>
      </c>
      <c r="B968" s="1" t="n">
        <v>44488</v>
      </c>
      <c r="C968" s="1" t="n">
        <v>45583</v>
      </c>
      <c r="D968" t="inlineStr">
        <is>
          <t>VÄSTERNORRLANDS LÄN</t>
        </is>
      </c>
      <c r="E968" t="inlineStr">
        <is>
          <t>SOLLEFTEÅ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58573-2021</t>
        </is>
      </c>
      <c r="B969" s="1" t="n">
        <v>44488</v>
      </c>
      <c r="C969" s="1" t="n">
        <v>45583</v>
      </c>
      <c r="D969" t="inlineStr">
        <is>
          <t>VÄSTERNORRLANDS LÄN</t>
        </is>
      </c>
      <c r="E969" t="inlineStr">
        <is>
          <t>SOLLEFTEÅ</t>
        </is>
      </c>
      <c r="G969" t="n">
        <v>0.3</v>
      </c>
      <c r="H969" t="n">
        <v>0</v>
      </c>
      <c r="I969" t="n">
        <v>0</v>
      </c>
      <c r="J969" t="n">
        <v>0</v>
      </c>
      <c r="K969" t="n">
        <v>0</v>
      </c>
      <c r="L969" t="n">
        <v>0</v>
      </c>
      <c r="M969" t="n">
        <v>0</v>
      </c>
      <c r="N969" t="n">
        <v>0</v>
      </c>
      <c r="O969" t="n">
        <v>0</v>
      </c>
      <c r="P969" t="n">
        <v>0</v>
      </c>
      <c r="Q969" t="n">
        <v>0</v>
      </c>
      <c r="R969" s="2" t="inlineStr"/>
    </row>
    <row r="970" ht="15" customHeight="1">
      <c r="A970" t="inlineStr">
        <is>
          <t>A 58726-2021</t>
        </is>
      </c>
      <c r="B970" s="1" t="n">
        <v>44489</v>
      </c>
      <c r="C970" s="1" t="n">
        <v>45583</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58742-2021</t>
        </is>
      </c>
      <c r="B971" s="1" t="n">
        <v>44489</v>
      </c>
      <c r="C971" s="1" t="n">
        <v>45583</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58755-2021</t>
        </is>
      </c>
      <c r="B972" s="1" t="n">
        <v>44489</v>
      </c>
      <c r="C972" s="1" t="n">
        <v>45583</v>
      </c>
      <c r="D972" t="inlineStr">
        <is>
          <t>VÄSTERNORRLANDS LÄN</t>
        </is>
      </c>
      <c r="E972" t="inlineStr">
        <is>
          <t>SOLLEFTEÅ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58688-2021</t>
        </is>
      </c>
      <c r="B973" s="1" t="n">
        <v>44489</v>
      </c>
      <c r="C973" s="1" t="n">
        <v>45583</v>
      </c>
      <c r="D973" t="inlineStr">
        <is>
          <t>VÄSTERNORRLANDS LÄN</t>
        </is>
      </c>
      <c r="E973" t="inlineStr">
        <is>
          <t>SOLLEFTEÅ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58715-2021</t>
        </is>
      </c>
      <c r="B974" s="1" t="n">
        <v>44489</v>
      </c>
      <c r="C974" s="1" t="n">
        <v>45583</v>
      </c>
      <c r="D974" t="inlineStr">
        <is>
          <t>VÄSTERNORRLANDS LÄN</t>
        </is>
      </c>
      <c r="E974" t="inlineStr">
        <is>
          <t>SOLLEFTEÅ</t>
        </is>
      </c>
      <c r="G974" t="n">
        <v>4.7</v>
      </c>
      <c r="H974" t="n">
        <v>0</v>
      </c>
      <c r="I974" t="n">
        <v>0</v>
      </c>
      <c r="J974" t="n">
        <v>0</v>
      </c>
      <c r="K974" t="n">
        <v>0</v>
      </c>
      <c r="L974" t="n">
        <v>0</v>
      </c>
      <c r="M974" t="n">
        <v>0</v>
      </c>
      <c r="N974" t="n">
        <v>0</v>
      </c>
      <c r="O974" t="n">
        <v>0</v>
      </c>
      <c r="P974" t="n">
        <v>0</v>
      </c>
      <c r="Q974" t="n">
        <v>0</v>
      </c>
      <c r="R974" s="2" t="inlineStr"/>
    </row>
    <row r="975" ht="15" customHeight="1">
      <c r="A975" t="inlineStr">
        <is>
          <t>A 59344-2021</t>
        </is>
      </c>
      <c r="B975" s="1" t="n">
        <v>44490</v>
      </c>
      <c r="C975" s="1" t="n">
        <v>45583</v>
      </c>
      <c r="D975" t="inlineStr">
        <is>
          <t>VÄSTERNORRLANDS LÄN</t>
        </is>
      </c>
      <c r="E975" t="inlineStr">
        <is>
          <t>SOLLEFTEÅ</t>
        </is>
      </c>
      <c r="G975" t="n">
        <v>6.9</v>
      </c>
      <c r="H975" t="n">
        <v>0</v>
      </c>
      <c r="I975" t="n">
        <v>0</v>
      </c>
      <c r="J975" t="n">
        <v>0</v>
      </c>
      <c r="K975" t="n">
        <v>0</v>
      </c>
      <c r="L975" t="n">
        <v>0</v>
      </c>
      <c r="M975" t="n">
        <v>0</v>
      </c>
      <c r="N975" t="n">
        <v>0</v>
      </c>
      <c r="O975" t="n">
        <v>0</v>
      </c>
      <c r="P975" t="n">
        <v>0</v>
      </c>
      <c r="Q975" t="n">
        <v>0</v>
      </c>
      <c r="R975" s="2" t="inlineStr"/>
    </row>
    <row r="976" ht="15" customHeight="1">
      <c r="A976" t="inlineStr">
        <is>
          <t>A 59309-2021</t>
        </is>
      </c>
      <c r="B976" s="1" t="n">
        <v>44491</v>
      </c>
      <c r="C976" s="1" t="n">
        <v>45583</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59343-2021</t>
        </is>
      </c>
      <c r="B977" s="1" t="n">
        <v>44490</v>
      </c>
      <c r="C977" s="1" t="n">
        <v>45583</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60324-2021</t>
        </is>
      </c>
      <c r="B978" s="1" t="n">
        <v>44496</v>
      </c>
      <c r="C978" s="1" t="n">
        <v>45583</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60757-2021</t>
        </is>
      </c>
      <c r="B979" s="1" t="n">
        <v>44497</v>
      </c>
      <c r="C979" s="1" t="n">
        <v>45583</v>
      </c>
      <c r="D979" t="inlineStr">
        <is>
          <t>VÄSTERNORRLANDS LÄN</t>
        </is>
      </c>
      <c r="E979" t="inlineStr">
        <is>
          <t>SOLLEFTEÅ</t>
        </is>
      </c>
      <c r="G979" t="n">
        <v>4.4</v>
      </c>
      <c r="H979" t="n">
        <v>0</v>
      </c>
      <c r="I979" t="n">
        <v>0</v>
      </c>
      <c r="J979" t="n">
        <v>0</v>
      </c>
      <c r="K979" t="n">
        <v>0</v>
      </c>
      <c r="L979" t="n">
        <v>0</v>
      </c>
      <c r="M979" t="n">
        <v>0</v>
      </c>
      <c r="N979" t="n">
        <v>0</v>
      </c>
      <c r="O979" t="n">
        <v>0</v>
      </c>
      <c r="P979" t="n">
        <v>0</v>
      </c>
      <c r="Q979" t="n">
        <v>0</v>
      </c>
      <c r="R979" s="2" t="inlineStr"/>
    </row>
    <row r="980" ht="15" customHeight="1">
      <c r="A980" t="inlineStr">
        <is>
          <t>A 60756-2021</t>
        </is>
      </c>
      <c r="B980" s="1" t="n">
        <v>44496</v>
      </c>
      <c r="C980" s="1" t="n">
        <v>45583</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61739-2021</t>
        </is>
      </c>
      <c r="B981" s="1" t="n">
        <v>44498</v>
      </c>
      <c r="C981" s="1" t="n">
        <v>45583</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61424-2021</t>
        </is>
      </c>
      <c r="B982" s="1" t="n">
        <v>44500</v>
      </c>
      <c r="C982" s="1" t="n">
        <v>45583</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61470-2021</t>
        </is>
      </c>
      <c r="B983" s="1" t="n">
        <v>44500</v>
      </c>
      <c r="C983" s="1" t="n">
        <v>45583</v>
      </c>
      <c r="D983" t="inlineStr">
        <is>
          <t>VÄSTERNORRLANDS LÄN</t>
        </is>
      </c>
      <c r="E983" t="inlineStr">
        <is>
          <t>SOLLEFTEÅ</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61480-2021</t>
        </is>
      </c>
      <c r="B984" s="1" t="n">
        <v>44500</v>
      </c>
      <c r="C984" s="1" t="n">
        <v>45583</v>
      </c>
      <c r="D984" t="inlineStr">
        <is>
          <t>VÄSTERNORRLANDS LÄN</t>
        </is>
      </c>
      <c r="E984" t="inlineStr">
        <is>
          <t>SOLLEFTEÅ</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61426-2021</t>
        </is>
      </c>
      <c r="B985" s="1" t="n">
        <v>44500</v>
      </c>
      <c r="C985" s="1" t="n">
        <v>45583</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61469-2021</t>
        </is>
      </c>
      <c r="B986" s="1" t="n">
        <v>44500</v>
      </c>
      <c r="C986" s="1" t="n">
        <v>45583</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61496-2021</t>
        </is>
      </c>
      <c r="B987" s="1" t="n">
        <v>44501</v>
      </c>
      <c r="C987" s="1" t="n">
        <v>45583</v>
      </c>
      <c r="D987" t="inlineStr">
        <is>
          <t>VÄSTERNORRLANDS LÄN</t>
        </is>
      </c>
      <c r="E987" t="inlineStr">
        <is>
          <t>SOLLEFTEÅ</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62214-2021</t>
        </is>
      </c>
      <c r="B988" s="1" t="n">
        <v>44502</v>
      </c>
      <c r="C988" s="1" t="n">
        <v>45583</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62210-2021</t>
        </is>
      </c>
      <c r="B989" s="1" t="n">
        <v>44502</v>
      </c>
      <c r="C989" s="1" t="n">
        <v>45583</v>
      </c>
      <c r="D989" t="inlineStr">
        <is>
          <t>VÄSTERNORRLANDS LÄN</t>
        </is>
      </c>
      <c r="E989" t="inlineStr">
        <is>
          <t>SOLLEFTEÅ</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62418-2021</t>
        </is>
      </c>
      <c r="B990" s="1" t="n">
        <v>44503</v>
      </c>
      <c r="C990" s="1" t="n">
        <v>45583</v>
      </c>
      <c r="D990" t="inlineStr">
        <is>
          <t>VÄSTERNORRLANDS LÄN</t>
        </is>
      </c>
      <c r="E990" t="inlineStr">
        <is>
          <t>SOLLEFTEÅ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62790-2021</t>
        </is>
      </c>
      <c r="B991" s="1" t="n">
        <v>44503</v>
      </c>
      <c r="C991" s="1" t="n">
        <v>45583</v>
      </c>
      <c r="D991" t="inlineStr">
        <is>
          <t>VÄSTERNORRLANDS LÄN</t>
        </is>
      </c>
      <c r="E991" t="inlineStr">
        <is>
          <t>SOLLEFTEÅ</t>
        </is>
      </c>
      <c r="G991" t="n">
        <v>2.5</v>
      </c>
      <c r="H991" t="n">
        <v>0</v>
      </c>
      <c r="I991" t="n">
        <v>0</v>
      </c>
      <c r="J991" t="n">
        <v>0</v>
      </c>
      <c r="K991" t="n">
        <v>0</v>
      </c>
      <c r="L991" t="n">
        <v>0</v>
      </c>
      <c r="M991" t="n">
        <v>0</v>
      </c>
      <c r="N991" t="n">
        <v>0</v>
      </c>
      <c r="O991" t="n">
        <v>0</v>
      </c>
      <c r="P991" t="n">
        <v>0</v>
      </c>
      <c r="Q991" t="n">
        <v>0</v>
      </c>
      <c r="R991" s="2" t="inlineStr"/>
    </row>
    <row r="992" ht="15" customHeight="1">
      <c r="A992" t="inlineStr">
        <is>
          <t>A 62697-2021</t>
        </is>
      </c>
      <c r="B992" s="1" t="n">
        <v>44504</v>
      </c>
      <c r="C992" s="1" t="n">
        <v>45583</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62692-2021</t>
        </is>
      </c>
      <c r="B993" s="1" t="n">
        <v>44504</v>
      </c>
      <c r="C993" s="1" t="n">
        <v>45583</v>
      </c>
      <c r="D993" t="inlineStr">
        <is>
          <t>VÄSTERNORRLANDS LÄN</t>
        </is>
      </c>
      <c r="E993" t="inlineStr">
        <is>
          <t>SOLLEFTEÅ</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63710-2021</t>
        </is>
      </c>
      <c r="B994" s="1" t="n">
        <v>44504</v>
      </c>
      <c r="C994" s="1" t="n">
        <v>45583</v>
      </c>
      <c r="D994" t="inlineStr">
        <is>
          <t>VÄSTERNORRLANDS LÄN</t>
        </is>
      </c>
      <c r="E994" t="inlineStr">
        <is>
          <t>SOLLEFTEÅ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64638-2021</t>
        </is>
      </c>
      <c r="B995" s="1" t="n">
        <v>44511</v>
      </c>
      <c r="C995" s="1" t="n">
        <v>45583</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64651-2021</t>
        </is>
      </c>
      <c r="B996" s="1" t="n">
        <v>44511</v>
      </c>
      <c r="C996" s="1" t="n">
        <v>45583</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64653-2021</t>
        </is>
      </c>
      <c r="B997" s="1" t="n">
        <v>44511</v>
      </c>
      <c r="C997" s="1" t="n">
        <v>45583</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64939-2021</t>
        </is>
      </c>
      <c r="B998" s="1" t="n">
        <v>44512</v>
      </c>
      <c r="C998" s="1" t="n">
        <v>45583</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64947-2021</t>
        </is>
      </c>
      <c r="B999" s="1" t="n">
        <v>44512</v>
      </c>
      <c r="C999" s="1" t="n">
        <v>45583</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64944-2021</t>
        </is>
      </c>
      <c r="B1000" s="1" t="n">
        <v>44512</v>
      </c>
      <c r="C1000" s="1" t="n">
        <v>45583</v>
      </c>
      <c r="D1000" t="inlineStr">
        <is>
          <t>VÄSTERNORRLANDS LÄN</t>
        </is>
      </c>
      <c r="E1000" t="inlineStr">
        <is>
          <t>SOLLEFTEÅ</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65009-2021</t>
        </is>
      </c>
      <c r="B1001" s="1" t="n">
        <v>44514</v>
      </c>
      <c r="C1001" s="1" t="n">
        <v>45583</v>
      </c>
      <c r="D1001" t="inlineStr">
        <is>
          <t>VÄSTERNORRLANDS LÄN</t>
        </is>
      </c>
      <c r="E1001" t="inlineStr">
        <is>
          <t>SOLLEFTEÅ</t>
        </is>
      </c>
      <c r="G1001" t="n">
        <v>17.3</v>
      </c>
      <c r="H1001" t="n">
        <v>0</v>
      </c>
      <c r="I1001" t="n">
        <v>0</v>
      </c>
      <c r="J1001" t="n">
        <v>0</v>
      </c>
      <c r="K1001" t="n">
        <v>0</v>
      </c>
      <c r="L1001" t="n">
        <v>0</v>
      </c>
      <c r="M1001" t="n">
        <v>0</v>
      </c>
      <c r="N1001" t="n">
        <v>0</v>
      </c>
      <c r="O1001" t="n">
        <v>0</v>
      </c>
      <c r="P1001" t="n">
        <v>0</v>
      </c>
      <c r="Q1001" t="n">
        <v>0</v>
      </c>
      <c r="R1001" s="2" t="inlineStr"/>
    </row>
    <row r="1002" ht="15" customHeight="1">
      <c r="A1002" t="inlineStr">
        <is>
          <t>A 66178-2021</t>
        </is>
      </c>
      <c r="B1002" s="1" t="n">
        <v>44517</v>
      </c>
      <c r="C1002" s="1" t="n">
        <v>45583</v>
      </c>
      <c r="D1002" t="inlineStr">
        <is>
          <t>VÄSTERNORRLANDS LÄN</t>
        </is>
      </c>
      <c r="E1002" t="inlineStr">
        <is>
          <t>SOLLEFTEÅ</t>
        </is>
      </c>
      <c r="F1002" t="inlineStr">
        <is>
          <t>SCA</t>
        </is>
      </c>
      <c r="G1002" t="n">
        <v>31.7</v>
      </c>
      <c r="H1002" t="n">
        <v>0</v>
      </c>
      <c r="I1002" t="n">
        <v>0</v>
      </c>
      <c r="J1002" t="n">
        <v>0</v>
      </c>
      <c r="K1002" t="n">
        <v>0</v>
      </c>
      <c r="L1002" t="n">
        <v>0</v>
      </c>
      <c r="M1002" t="n">
        <v>0</v>
      </c>
      <c r="N1002" t="n">
        <v>0</v>
      </c>
      <c r="O1002" t="n">
        <v>0</v>
      </c>
      <c r="P1002" t="n">
        <v>0</v>
      </c>
      <c r="Q1002" t="n">
        <v>0</v>
      </c>
      <c r="R1002" s="2" t="inlineStr"/>
    </row>
    <row r="1003" ht="15" customHeight="1">
      <c r="A1003" t="inlineStr">
        <is>
          <t>A 66856-2021</t>
        </is>
      </c>
      <c r="B1003" s="1" t="n">
        <v>44522</v>
      </c>
      <c r="C1003" s="1" t="n">
        <v>45583</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67085-2021</t>
        </is>
      </c>
      <c r="B1004" s="1" t="n">
        <v>44522</v>
      </c>
      <c r="C1004" s="1" t="n">
        <v>45583</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67143-2021</t>
        </is>
      </c>
      <c r="B1005" s="1" t="n">
        <v>44523</v>
      </c>
      <c r="C1005" s="1" t="n">
        <v>45583</v>
      </c>
      <c r="D1005" t="inlineStr">
        <is>
          <t>VÄSTERNORRLANDS LÄN</t>
        </is>
      </c>
      <c r="E1005" t="inlineStr">
        <is>
          <t>SOLLEFTEÅ</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67136-2021</t>
        </is>
      </c>
      <c r="B1006" s="1" t="n">
        <v>44523</v>
      </c>
      <c r="C1006" s="1" t="n">
        <v>45583</v>
      </c>
      <c r="D1006" t="inlineStr">
        <is>
          <t>VÄSTERNORRLANDS LÄN</t>
        </is>
      </c>
      <c r="E1006" t="inlineStr">
        <is>
          <t>SOLLEFTEÅ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67390-2021</t>
        </is>
      </c>
      <c r="B1007" s="1" t="n">
        <v>44523</v>
      </c>
      <c r="C1007" s="1" t="n">
        <v>45583</v>
      </c>
      <c r="D1007" t="inlineStr">
        <is>
          <t>VÄSTERNORRLANDS LÄN</t>
        </is>
      </c>
      <c r="E1007" t="inlineStr">
        <is>
          <t>SOLLEFTEÅ</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67401-2021</t>
        </is>
      </c>
      <c r="B1008" s="1" t="n">
        <v>44523</v>
      </c>
      <c r="C1008" s="1" t="n">
        <v>45583</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67689-2021</t>
        </is>
      </c>
      <c r="B1009" s="1" t="n">
        <v>44524</v>
      </c>
      <c r="C1009" s="1" t="n">
        <v>45583</v>
      </c>
      <c r="D1009" t="inlineStr">
        <is>
          <t>VÄSTERNORRLANDS LÄN</t>
        </is>
      </c>
      <c r="E1009" t="inlineStr">
        <is>
          <t>SOLLEFTEÅ</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67702-2021</t>
        </is>
      </c>
      <c r="B1010" s="1" t="n">
        <v>44524</v>
      </c>
      <c r="C1010" s="1" t="n">
        <v>45583</v>
      </c>
      <c r="D1010" t="inlineStr">
        <is>
          <t>VÄSTERNORRLANDS LÄN</t>
        </is>
      </c>
      <c r="E1010" t="inlineStr">
        <is>
          <t>SOLLEFTEÅ</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67822-2021</t>
        </is>
      </c>
      <c r="B1011" s="1" t="n">
        <v>44525</v>
      </c>
      <c r="C1011" s="1" t="n">
        <v>45583</v>
      </c>
      <c r="D1011" t="inlineStr">
        <is>
          <t>VÄSTERNORRLANDS LÄN</t>
        </is>
      </c>
      <c r="E1011" t="inlineStr">
        <is>
          <t>SOLLEFTEÅ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68317-2021</t>
        </is>
      </c>
      <c r="B1012" s="1" t="n">
        <v>44526</v>
      </c>
      <c r="C1012" s="1" t="n">
        <v>45583</v>
      </c>
      <c r="D1012" t="inlineStr">
        <is>
          <t>VÄSTERNORRLANDS LÄN</t>
        </is>
      </c>
      <c r="E1012" t="inlineStr">
        <is>
          <t>SOLLEFTEÅ</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68792-2021</t>
        </is>
      </c>
      <c r="B1013" s="1" t="n">
        <v>44529</v>
      </c>
      <c r="C1013" s="1" t="n">
        <v>45583</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68843-2021</t>
        </is>
      </c>
      <c r="B1014" s="1" t="n">
        <v>44530</v>
      </c>
      <c r="C1014" s="1" t="n">
        <v>45583</v>
      </c>
      <c r="D1014" t="inlineStr">
        <is>
          <t>VÄSTERNORRLANDS LÄN</t>
        </is>
      </c>
      <c r="E1014" t="inlineStr">
        <is>
          <t>SOLLEFTEÅ</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68863-2021</t>
        </is>
      </c>
      <c r="B1015" s="1" t="n">
        <v>44530</v>
      </c>
      <c r="C1015" s="1" t="n">
        <v>45583</v>
      </c>
      <c r="D1015" t="inlineStr">
        <is>
          <t>VÄSTERNORRLANDS LÄN</t>
        </is>
      </c>
      <c r="E1015" t="inlineStr">
        <is>
          <t>SOLLEFTEÅ</t>
        </is>
      </c>
      <c r="F1015" t="inlineStr">
        <is>
          <t>Holmen skog AB</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69121-2021</t>
        </is>
      </c>
      <c r="B1016" s="1" t="n">
        <v>44530</v>
      </c>
      <c r="C1016" s="1" t="n">
        <v>45583</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69543-2021</t>
        </is>
      </c>
      <c r="B1017" s="1" t="n">
        <v>44531</v>
      </c>
      <c r="C1017" s="1" t="n">
        <v>45583</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69542-2021</t>
        </is>
      </c>
      <c r="B1018" s="1" t="n">
        <v>44531</v>
      </c>
      <c r="C1018" s="1" t="n">
        <v>45583</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69919-2021</t>
        </is>
      </c>
      <c r="B1019" s="1" t="n">
        <v>44532</v>
      </c>
      <c r="C1019" s="1" t="n">
        <v>45583</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69916-2021</t>
        </is>
      </c>
      <c r="B1020" s="1" t="n">
        <v>44532</v>
      </c>
      <c r="C1020" s="1" t="n">
        <v>45583</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70180-2021</t>
        </is>
      </c>
      <c r="B1021" s="1" t="n">
        <v>44533</v>
      </c>
      <c r="C1021" s="1" t="n">
        <v>45583</v>
      </c>
      <c r="D1021" t="inlineStr">
        <is>
          <t>VÄSTERNORRLANDS LÄN</t>
        </is>
      </c>
      <c r="E1021" t="inlineStr">
        <is>
          <t>SOLLEFTEÅ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70821-2021</t>
        </is>
      </c>
      <c r="B1022" s="1" t="n">
        <v>44537</v>
      </c>
      <c r="C1022" s="1" t="n">
        <v>45583</v>
      </c>
      <c r="D1022" t="inlineStr">
        <is>
          <t>VÄSTERNORRLANDS LÄN</t>
        </is>
      </c>
      <c r="E1022" t="inlineStr">
        <is>
          <t>SOLLEFTEÅ</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71080-2021</t>
        </is>
      </c>
      <c r="B1023" s="1" t="n">
        <v>44538</v>
      </c>
      <c r="C1023" s="1" t="n">
        <v>45583</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71079-2021</t>
        </is>
      </c>
      <c r="B1024" s="1" t="n">
        <v>44538</v>
      </c>
      <c r="C1024" s="1" t="n">
        <v>45583</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71348-2021</t>
        </is>
      </c>
      <c r="B1025" s="1" t="n">
        <v>44539</v>
      </c>
      <c r="C1025" s="1" t="n">
        <v>45583</v>
      </c>
      <c r="D1025" t="inlineStr">
        <is>
          <t>VÄSTERNORRLANDS LÄN</t>
        </is>
      </c>
      <c r="E1025" t="inlineStr">
        <is>
          <t>SOLLEFTEÅ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71351-2021</t>
        </is>
      </c>
      <c r="B1026" s="1" t="n">
        <v>44539</v>
      </c>
      <c r="C1026" s="1" t="n">
        <v>45583</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71350-2021</t>
        </is>
      </c>
      <c r="B1027" s="1" t="n">
        <v>44539</v>
      </c>
      <c r="C1027" s="1" t="n">
        <v>45583</v>
      </c>
      <c r="D1027" t="inlineStr">
        <is>
          <t>VÄSTERNORRLANDS LÄN</t>
        </is>
      </c>
      <c r="E1027" t="inlineStr">
        <is>
          <t>SOLLEFTEÅ</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71580-2021</t>
        </is>
      </c>
      <c r="B1028" s="1" t="n">
        <v>44540</v>
      </c>
      <c r="C1028" s="1" t="n">
        <v>45583</v>
      </c>
      <c r="D1028" t="inlineStr">
        <is>
          <t>VÄSTERNORRLANDS LÄN</t>
        </is>
      </c>
      <c r="E1028" t="inlineStr">
        <is>
          <t>SOLLEFTEÅ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72244-2021</t>
        </is>
      </c>
      <c r="B1029" s="1" t="n">
        <v>44544</v>
      </c>
      <c r="C1029" s="1" t="n">
        <v>45583</v>
      </c>
      <c r="D1029" t="inlineStr">
        <is>
          <t>VÄSTERNORRLANDS LÄN</t>
        </is>
      </c>
      <c r="E1029" t="inlineStr">
        <is>
          <t>SOLLEFTEÅ</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72249-2021</t>
        </is>
      </c>
      <c r="B1030" s="1" t="n">
        <v>44544</v>
      </c>
      <c r="C1030" s="1" t="n">
        <v>45583</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72315-2021</t>
        </is>
      </c>
      <c r="B1031" s="1" t="n">
        <v>44545</v>
      </c>
      <c r="C1031" s="1" t="n">
        <v>45583</v>
      </c>
      <c r="D1031" t="inlineStr">
        <is>
          <t>VÄSTERNORRLANDS LÄN</t>
        </is>
      </c>
      <c r="E1031" t="inlineStr">
        <is>
          <t>SOLLEFTEÅ</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72485-2021</t>
        </is>
      </c>
      <c r="B1032" s="1" t="n">
        <v>44545</v>
      </c>
      <c r="C1032" s="1" t="n">
        <v>45583</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72496-2021</t>
        </is>
      </c>
      <c r="B1033" s="1" t="n">
        <v>44545</v>
      </c>
      <c r="C1033" s="1" t="n">
        <v>45583</v>
      </c>
      <c r="D1033" t="inlineStr">
        <is>
          <t>VÄSTERNORRLANDS LÄN</t>
        </is>
      </c>
      <c r="E1033" t="inlineStr">
        <is>
          <t>SOLLEFTEÅ</t>
        </is>
      </c>
      <c r="G1033" t="n">
        <v>20</v>
      </c>
      <c r="H1033" t="n">
        <v>0</v>
      </c>
      <c r="I1033" t="n">
        <v>0</v>
      </c>
      <c r="J1033" t="n">
        <v>0</v>
      </c>
      <c r="K1033" t="n">
        <v>0</v>
      </c>
      <c r="L1033" t="n">
        <v>0</v>
      </c>
      <c r="M1033" t="n">
        <v>0</v>
      </c>
      <c r="N1033" t="n">
        <v>0</v>
      </c>
      <c r="O1033" t="n">
        <v>0</v>
      </c>
      <c r="P1033" t="n">
        <v>0</v>
      </c>
      <c r="Q1033" t="n">
        <v>0</v>
      </c>
      <c r="R1033" s="2" t="inlineStr"/>
    </row>
    <row r="1034" ht="15" customHeight="1">
      <c r="A1034" t="inlineStr">
        <is>
          <t>A 72949-2021</t>
        </is>
      </c>
      <c r="B1034" s="1" t="n">
        <v>44547</v>
      </c>
      <c r="C1034" s="1" t="n">
        <v>45583</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72958-2021</t>
        </is>
      </c>
      <c r="B1035" s="1" t="n">
        <v>44547</v>
      </c>
      <c r="C1035" s="1" t="n">
        <v>45583</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72977-2021</t>
        </is>
      </c>
      <c r="B1036" s="1" t="n">
        <v>44548</v>
      </c>
      <c r="C1036" s="1" t="n">
        <v>45583</v>
      </c>
      <c r="D1036" t="inlineStr">
        <is>
          <t>VÄSTERNORRLANDS LÄN</t>
        </is>
      </c>
      <c r="E1036" t="inlineStr">
        <is>
          <t>SOLLEFTEÅ</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73285-2021</t>
        </is>
      </c>
      <c r="B1037" s="1" t="n">
        <v>44550</v>
      </c>
      <c r="C1037" s="1" t="n">
        <v>45583</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73367-2021</t>
        </is>
      </c>
      <c r="B1038" s="1" t="n">
        <v>44550</v>
      </c>
      <c r="C1038" s="1" t="n">
        <v>45583</v>
      </c>
      <c r="D1038" t="inlineStr">
        <is>
          <t>VÄSTERNORRLANDS LÄN</t>
        </is>
      </c>
      <c r="E1038" t="inlineStr">
        <is>
          <t>SOLLEFTEÅ</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73566-2021</t>
        </is>
      </c>
      <c r="B1039" s="1" t="n">
        <v>44551</v>
      </c>
      <c r="C1039" s="1" t="n">
        <v>45583</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73564-2021</t>
        </is>
      </c>
      <c r="B1040" s="1" t="n">
        <v>44551</v>
      </c>
      <c r="C1040" s="1" t="n">
        <v>45583</v>
      </c>
      <c r="D1040" t="inlineStr">
        <is>
          <t>VÄSTERNORRLANDS LÄN</t>
        </is>
      </c>
      <c r="E1040" t="inlineStr">
        <is>
          <t>SOLLEFTEÅ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73567-2021</t>
        </is>
      </c>
      <c r="B1041" s="1" t="n">
        <v>44551</v>
      </c>
      <c r="C1041" s="1" t="n">
        <v>45583</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73886-2021</t>
        </is>
      </c>
      <c r="B1042" s="1" t="n">
        <v>44553</v>
      </c>
      <c r="C1042" s="1" t="n">
        <v>45583</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73847-2021</t>
        </is>
      </c>
      <c r="B1043" s="1" t="n">
        <v>44553</v>
      </c>
      <c r="C1043" s="1" t="n">
        <v>45583</v>
      </c>
      <c r="D1043" t="inlineStr">
        <is>
          <t>VÄSTERNORRLANDS LÄN</t>
        </is>
      </c>
      <c r="E1043" t="inlineStr">
        <is>
          <t>SOLLEFTEÅ</t>
        </is>
      </c>
      <c r="F1043" t="inlineStr">
        <is>
          <t>Övriga Aktiebolag</t>
        </is>
      </c>
      <c r="G1043" t="n">
        <v>20.1</v>
      </c>
      <c r="H1043" t="n">
        <v>0</v>
      </c>
      <c r="I1043" t="n">
        <v>0</v>
      </c>
      <c r="J1043" t="n">
        <v>0</v>
      </c>
      <c r="K1043" t="n">
        <v>0</v>
      </c>
      <c r="L1043" t="n">
        <v>0</v>
      </c>
      <c r="M1043" t="n">
        <v>0</v>
      </c>
      <c r="N1043" t="n">
        <v>0</v>
      </c>
      <c r="O1043" t="n">
        <v>0</v>
      </c>
      <c r="P1043" t="n">
        <v>0</v>
      </c>
      <c r="Q1043" t="n">
        <v>0</v>
      </c>
      <c r="R1043" s="2" t="inlineStr"/>
    </row>
    <row r="1044" ht="15" customHeight="1">
      <c r="A1044" t="inlineStr">
        <is>
          <t>A 2-2022</t>
        </is>
      </c>
      <c r="B1044" s="1" t="n">
        <v>44562</v>
      </c>
      <c r="C1044" s="1" t="n">
        <v>45583</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19-2022</t>
        </is>
      </c>
      <c r="B1045" s="1" t="n">
        <v>44564</v>
      </c>
      <c r="C1045" s="1" t="n">
        <v>45583</v>
      </c>
      <c r="D1045" t="inlineStr">
        <is>
          <t>VÄSTERNORRLANDS LÄN</t>
        </is>
      </c>
      <c r="E1045" t="inlineStr">
        <is>
          <t>SOLLEFTEÅ</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576-2022</t>
        </is>
      </c>
      <c r="B1046" s="1" t="n">
        <v>44566</v>
      </c>
      <c r="C1046" s="1" t="n">
        <v>45583</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1095-2022</t>
        </is>
      </c>
      <c r="B1047" s="1" t="n">
        <v>44571</v>
      </c>
      <c r="C1047" s="1" t="n">
        <v>45583</v>
      </c>
      <c r="D1047" t="inlineStr">
        <is>
          <t>VÄSTERNORRLANDS LÄN</t>
        </is>
      </c>
      <c r="E1047" t="inlineStr">
        <is>
          <t>SOLLEFTEÅ</t>
        </is>
      </c>
      <c r="F1047" t="inlineStr">
        <is>
          <t>SCA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1094-2022</t>
        </is>
      </c>
      <c r="B1048" s="1" t="n">
        <v>44571</v>
      </c>
      <c r="C1048" s="1" t="n">
        <v>45583</v>
      </c>
      <c r="D1048" t="inlineStr">
        <is>
          <t>VÄSTERNORRLANDS LÄN</t>
        </is>
      </c>
      <c r="E1048" t="inlineStr">
        <is>
          <t>SOLLEFTEÅ</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1402-2022</t>
        </is>
      </c>
      <c r="B1049" s="1" t="n">
        <v>44573</v>
      </c>
      <c r="C1049" s="1" t="n">
        <v>45583</v>
      </c>
      <c r="D1049" t="inlineStr">
        <is>
          <t>VÄSTERNORRLANDS LÄN</t>
        </is>
      </c>
      <c r="E1049" t="inlineStr">
        <is>
          <t>SOLLEFTEÅ</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1987-2022</t>
        </is>
      </c>
      <c r="B1050" s="1" t="n">
        <v>44575</v>
      </c>
      <c r="C1050" s="1" t="n">
        <v>45583</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1997-2022</t>
        </is>
      </c>
      <c r="B1051" s="1" t="n">
        <v>44575</v>
      </c>
      <c r="C1051" s="1" t="n">
        <v>45583</v>
      </c>
      <c r="D1051" t="inlineStr">
        <is>
          <t>VÄSTERNORRLANDS LÄN</t>
        </is>
      </c>
      <c r="E1051" t="inlineStr">
        <is>
          <t>SOLLEFTEÅ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2536-2022</t>
        </is>
      </c>
      <c r="B1052" s="1" t="n">
        <v>44579</v>
      </c>
      <c r="C1052" s="1" t="n">
        <v>45583</v>
      </c>
      <c r="D1052" t="inlineStr">
        <is>
          <t>VÄSTERNORRLANDS LÄN</t>
        </is>
      </c>
      <c r="E1052" t="inlineStr">
        <is>
          <t>SOLLEFTEÅ</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2543-2022</t>
        </is>
      </c>
      <c r="B1053" s="1" t="n">
        <v>44580</v>
      </c>
      <c r="C1053" s="1" t="n">
        <v>45583</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2542-2022</t>
        </is>
      </c>
      <c r="B1054" s="1" t="n">
        <v>44580</v>
      </c>
      <c r="C1054" s="1" t="n">
        <v>45583</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2541-2022</t>
        </is>
      </c>
      <c r="B1055" s="1" t="n">
        <v>44580</v>
      </c>
      <c r="C1055" s="1" t="n">
        <v>45583</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2747-2022</t>
        </is>
      </c>
      <c r="B1056" s="1" t="n">
        <v>44580</v>
      </c>
      <c r="C1056" s="1" t="n">
        <v>45583</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3001-2022</t>
        </is>
      </c>
      <c r="B1057" s="1" t="n">
        <v>44581</v>
      </c>
      <c r="C1057" s="1" t="n">
        <v>45583</v>
      </c>
      <c r="D1057" t="inlineStr">
        <is>
          <t>VÄSTERNORRLANDS LÄN</t>
        </is>
      </c>
      <c r="E1057" t="inlineStr">
        <is>
          <t>SOLLEFTEÅ</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3541-2022</t>
        </is>
      </c>
      <c r="B1058" s="1" t="n">
        <v>44585</v>
      </c>
      <c r="C1058" s="1" t="n">
        <v>45583</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3548-2022</t>
        </is>
      </c>
      <c r="B1059" s="1" t="n">
        <v>44585</v>
      </c>
      <c r="C1059" s="1" t="n">
        <v>45583</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3554-2022</t>
        </is>
      </c>
      <c r="B1060" s="1" t="n">
        <v>44585</v>
      </c>
      <c r="C1060" s="1" t="n">
        <v>45583</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3560-2022</t>
        </is>
      </c>
      <c r="B1061" s="1" t="n">
        <v>44585</v>
      </c>
      <c r="C1061" s="1" t="n">
        <v>45583</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3549-2022</t>
        </is>
      </c>
      <c r="B1062" s="1" t="n">
        <v>44585</v>
      </c>
      <c r="C1062" s="1" t="n">
        <v>45583</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3551-2022</t>
        </is>
      </c>
      <c r="B1063" s="1" t="n">
        <v>44585</v>
      </c>
      <c r="C1063" s="1" t="n">
        <v>45583</v>
      </c>
      <c r="D1063" t="inlineStr">
        <is>
          <t>VÄSTERNORRLANDS LÄN</t>
        </is>
      </c>
      <c r="E1063" t="inlineStr">
        <is>
          <t>SOLLEFTEÅ</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3556-2022</t>
        </is>
      </c>
      <c r="B1064" s="1" t="n">
        <v>44585</v>
      </c>
      <c r="C1064" s="1" t="n">
        <v>45583</v>
      </c>
      <c r="D1064" t="inlineStr">
        <is>
          <t>VÄSTERNORRLANDS LÄN</t>
        </is>
      </c>
      <c r="E1064" t="inlineStr">
        <is>
          <t>SOLLEFTEÅ</t>
        </is>
      </c>
      <c r="F1064" t="inlineStr">
        <is>
          <t>SCA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3555-2022</t>
        </is>
      </c>
      <c r="B1065" s="1" t="n">
        <v>44585</v>
      </c>
      <c r="C1065" s="1" t="n">
        <v>45583</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3552-2022</t>
        </is>
      </c>
      <c r="B1066" s="1" t="n">
        <v>44585</v>
      </c>
      <c r="C1066" s="1" t="n">
        <v>45583</v>
      </c>
      <c r="D1066" t="inlineStr">
        <is>
          <t>VÄSTERNORRLANDS LÄN</t>
        </is>
      </c>
      <c r="E1066" t="inlineStr">
        <is>
          <t>SOLLEFTEÅ</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3557-2022</t>
        </is>
      </c>
      <c r="B1067" s="1" t="n">
        <v>44585</v>
      </c>
      <c r="C1067" s="1" t="n">
        <v>45583</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3699-2022</t>
        </is>
      </c>
      <c r="B1068" s="1" t="n">
        <v>44586</v>
      </c>
      <c r="C1068" s="1" t="n">
        <v>45583</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3793-2022</t>
        </is>
      </c>
      <c r="B1069" s="1" t="n">
        <v>44586</v>
      </c>
      <c r="C1069" s="1" t="n">
        <v>45583</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3795-2022</t>
        </is>
      </c>
      <c r="B1070" s="1" t="n">
        <v>44586</v>
      </c>
      <c r="C1070" s="1" t="n">
        <v>45583</v>
      </c>
      <c r="D1070" t="inlineStr">
        <is>
          <t>VÄSTERNORRLANDS LÄN</t>
        </is>
      </c>
      <c r="E1070" t="inlineStr">
        <is>
          <t>SOLLEFTEÅ</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4018-2022</t>
        </is>
      </c>
      <c r="B1071" s="1" t="n">
        <v>44587</v>
      </c>
      <c r="C1071" s="1" t="n">
        <v>45583</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4343-2022</t>
        </is>
      </c>
      <c r="B1072" s="1" t="n">
        <v>44588</v>
      </c>
      <c r="C1072" s="1" t="n">
        <v>45583</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4555-2022</t>
        </is>
      </c>
      <c r="B1073" s="1" t="n">
        <v>44590</v>
      </c>
      <c r="C1073" s="1" t="n">
        <v>45583</v>
      </c>
      <c r="D1073" t="inlineStr">
        <is>
          <t>VÄSTERNORRLANDS LÄN</t>
        </is>
      </c>
      <c r="E1073" t="inlineStr">
        <is>
          <t>SOLLEFTEÅ</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5108-2022</t>
        </is>
      </c>
      <c r="B1074" s="1" t="n">
        <v>44593</v>
      </c>
      <c r="C1074" s="1" t="n">
        <v>45583</v>
      </c>
      <c r="D1074" t="inlineStr">
        <is>
          <t>VÄSTERNORRLANDS LÄN</t>
        </is>
      </c>
      <c r="E1074" t="inlineStr">
        <is>
          <t>SOLLEFTEÅ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5110-2022</t>
        </is>
      </c>
      <c r="B1075" s="1" t="n">
        <v>44593</v>
      </c>
      <c r="C1075" s="1" t="n">
        <v>45583</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5111-2022</t>
        </is>
      </c>
      <c r="B1076" s="1" t="n">
        <v>44593</v>
      </c>
      <c r="C1076" s="1" t="n">
        <v>45583</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5134-2022</t>
        </is>
      </c>
      <c r="B1077" s="1" t="n">
        <v>44594</v>
      </c>
      <c r="C1077" s="1" t="n">
        <v>45583</v>
      </c>
      <c r="D1077" t="inlineStr">
        <is>
          <t>VÄSTERNORRLANDS LÄN</t>
        </is>
      </c>
      <c r="E1077" t="inlineStr">
        <is>
          <t>SOLLEFTEÅ</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5657-2022</t>
        </is>
      </c>
      <c r="B1078" s="1" t="n">
        <v>44595</v>
      </c>
      <c r="C1078" s="1" t="n">
        <v>45583</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5909-2022</t>
        </is>
      </c>
      <c r="B1079" s="1" t="n">
        <v>44596</v>
      </c>
      <c r="C1079" s="1" t="n">
        <v>45583</v>
      </c>
      <c r="D1079" t="inlineStr">
        <is>
          <t>VÄSTERNORRLANDS LÄN</t>
        </is>
      </c>
      <c r="E1079" t="inlineStr">
        <is>
          <t>SOLLEFTEÅ</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6121-2022</t>
        </is>
      </c>
      <c r="B1080" s="1" t="n">
        <v>44599</v>
      </c>
      <c r="C1080" s="1" t="n">
        <v>45583</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6172-2022</t>
        </is>
      </c>
      <c r="B1081" s="1" t="n">
        <v>44599</v>
      </c>
      <c r="C1081" s="1" t="n">
        <v>45583</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6170-2022</t>
        </is>
      </c>
      <c r="B1082" s="1" t="n">
        <v>44599</v>
      </c>
      <c r="C1082" s="1" t="n">
        <v>45583</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7667-2022</t>
        </is>
      </c>
      <c r="B1083" s="1" t="n">
        <v>44607</v>
      </c>
      <c r="C1083" s="1" t="n">
        <v>45583</v>
      </c>
      <c r="D1083" t="inlineStr">
        <is>
          <t>VÄSTERNORRLANDS LÄN</t>
        </is>
      </c>
      <c r="E1083" t="inlineStr">
        <is>
          <t>SOLLEFTEÅ</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7965-2022</t>
        </is>
      </c>
      <c r="B1084" s="1" t="n">
        <v>44608</v>
      </c>
      <c r="C1084" s="1" t="n">
        <v>45583</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7963-2022</t>
        </is>
      </c>
      <c r="B1085" s="1" t="n">
        <v>44608</v>
      </c>
      <c r="C1085" s="1" t="n">
        <v>45583</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7935-2022</t>
        </is>
      </c>
      <c r="B1086" s="1" t="n">
        <v>44608</v>
      </c>
      <c r="C1086" s="1" t="n">
        <v>45583</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7964-2022</t>
        </is>
      </c>
      <c r="B1087" s="1" t="n">
        <v>44608</v>
      </c>
      <c r="C1087" s="1" t="n">
        <v>45583</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8221-2022</t>
        </is>
      </c>
      <c r="B1088" s="1" t="n">
        <v>44609</v>
      </c>
      <c r="C1088" s="1" t="n">
        <v>45583</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8222-2022</t>
        </is>
      </c>
      <c r="B1089" s="1" t="n">
        <v>44609</v>
      </c>
      <c r="C1089" s="1" t="n">
        <v>45583</v>
      </c>
      <c r="D1089" t="inlineStr">
        <is>
          <t>VÄSTERNORRLANDS LÄN</t>
        </is>
      </c>
      <c r="E1089" t="inlineStr">
        <is>
          <t>SOLLEFTEÅ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8728-2022</t>
        </is>
      </c>
      <c r="B1090" s="1" t="n">
        <v>44613</v>
      </c>
      <c r="C1090" s="1" t="n">
        <v>45583</v>
      </c>
      <c r="D1090" t="inlineStr">
        <is>
          <t>VÄSTERNORRLANDS LÄN</t>
        </is>
      </c>
      <c r="E1090" t="inlineStr">
        <is>
          <t>SOLLEFTEÅ</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8729-2022</t>
        </is>
      </c>
      <c r="B1091" s="1" t="n">
        <v>44613</v>
      </c>
      <c r="C1091" s="1" t="n">
        <v>45583</v>
      </c>
      <c r="D1091" t="inlineStr">
        <is>
          <t>VÄSTERNORRLANDS LÄN</t>
        </is>
      </c>
      <c r="E1091" t="inlineStr">
        <is>
          <t>SOLLEFTEÅ</t>
        </is>
      </c>
      <c r="F1091" t="inlineStr">
        <is>
          <t>SCA</t>
        </is>
      </c>
      <c r="G1091" t="n">
        <v>16.5</v>
      </c>
      <c r="H1091" t="n">
        <v>0</v>
      </c>
      <c r="I1091" t="n">
        <v>0</v>
      </c>
      <c r="J1091" t="n">
        <v>0</v>
      </c>
      <c r="K1091" t="n">
        <v>0</v>
      </c>
      <c r="L1091" t="n">
        <v>0</v>
      </c>
      <c r="M1091" t="n">
        <v>0</v>
      </c>
      <c r="N1091" t="n">
        <v>0</v>
      </c>
      <c r="O1091" t="n">
        <v>0</v>
      </c>
      <c r="P1091" t="n">
        <v>0</v>
      </c>
      <c r="Q1091" t="n">
        <v>0</v>
      </c>
      <c r="R1091" s="2" t="inlineStr"/>
    </row>
    <row r="1092" ht="15" customHeight="1">
      <c r="A1092" t="inlineStr">
        <is>
          <t>A 8734-2022</t>
        </is>
      </c>
      <c r="B1092" s="1" t="n">
        <v>44613</v>
      </c>
      <c r="C1092" s="1" t="n">
        <v>45583</v>
      </c>
      <c r="D1092" t="inlineStr">
        <is>
          <t>VÄSTERNORRLANDS LÄN</t>
        </is>
      </c>
      <c r="E1092" t="inlineStr">
        <is>
          <t>SOLLEFTEÅ</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9124-2022</t>
        </is>
      </c>
      <c r="B1093" s="1" t="n">
        <v>44615</v>
      </c>
      <c r="C1093" s="1" t="n">
        <v>45583</v>
      </c>
      <c r="D1093" t="inlineStr">
        <is>
          <t>VÄSTERNORRLANDS LÄN</t>
        </is>
      </c>
      <c r="E1093" t="inlineStr">
        <is>
          <t>SOLLEFTEÅ</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9487-2022</t>
        </is>
      </c>
      <c r="B1094" s="1" t="n">
        <v>44616</v>
      </c>
      <c r="C1094" s="1" t="n">
        <v>45583</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9586-2022</t>
        </is>
      </c>
      <c r="B1095" s="1" t="n">
        <v>44617</v>
      </c>
      <c r="C1095" s="1" t="n">
        <v>45583</v>
      </c>
      <c r="D1095" t="inlineStr">
        <is>
          <t>VÄSTERNORRLANDS LÄN</t>
        </is>
      </c>
      <c r="E1095" t="inlineStr">
        <is>
          <t>SOLLEFTEÅ</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10138-2022</t>
        </is>
      </c>
      <c r="B1096" s="1" t="n">
        <v>44621</v>
      </c>
      <c r="C1096" s="1" t="n">
        <v>45583</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10139-2022</t>
        </is>
      </c>
      <c r="B1097" s="1" t="n">
        <v>44621</v>
      </c>
      <c r="C1097" s="1" t="n">
        <v>45583</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10140-2022</t>
        </is>
      </c>
      <c r="B1098" s="1" t="n">
        <v>44621</v>
      </c>
      <c r="C1098" s="1" t="n">
        <v>45583</v>
      </c>
      <c r="D1098" t="inlineStr">
        <is>
          <t>VÄSTERNORRLANDS LÄN</t>
        </is>
      </c>
      <c r="E1098" t="inlineStr">
        <is>
          <t>SOLLEFTEÅ</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10141-2022</t>
        </is>
      </c>
      <c r="B1099" s="1" t="n">
        <v>44621</v>
      </c>
      <c r="C1099" s="1" t="n">
        <v>45583</v>
      </c>
      <c r="D1099" t="inlineStr">
        <is>
          <t>VÄSTERNORRLANDS LÄN</t>
        </is>
      </c>
      <c r="E1099" t="inlineStr">
        <is>
          <t>SOLLEFTEÅ</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10198-2022</t>
        </is>
      </c>
      <c r="B1100" s="1" t="n">
        <v>44622</v>
      </c>
      <c r="C1100" s="1" t="n">
        <v>45583</v>
      </c>
      <c r="D1100" t="inlineStr">
        <is>
          <t>VÄSTERNORRLANDS LÄN</t>
        </is>
      </c>
      <c r="E1100" t="inlineStr">
        <is>
          <t>SOLLEFTEÅ</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10242-2022</t>
        </is>
      </c>
      <c r="B1101" s="1" t="n">
        <v>44622</v>
      </c>
      <c r="C1101" s="1" t="n">
        <v>45583</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10308-2022</t>
        </is>
      </c>
      <c r="B1102" s="1" t="n">
        <v>44622</v>
      </c>
      <c r="C1102" s="1" t="n">
        <v>45583</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10250-2022</t>
        </is>
      </c>
      <c r="B1103" s="1" t="n">
        <v>44622</v>
      </c>
      <c r="C1103" s="1" t="n">
        <v>45583</v>
      </c>
      <c r="D1103" t="inlineStr">
        <is>
          <t>VÄSTERNORRLANDS LÄN</t>
        </is>
      </c>
      <c r="E1103" t="inlineStr">
        <is>
          <t>SOLLEFTEÅ</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10310-2022</t>
        </is>
      </c>
      <c r="B1104" s="1" t="n">
        <v>44622</v>
      </c>
      <c r="C1104" s="1" t="n">
        <v>45583</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10307-2022</t>
        </is>
      </c>
      <c r="B1105" s="1" t="n">
        <v>44622</v>
      </c>
      <c r="C1105" s="1" t="n">
        <v>45583</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10311-2022</t>
        </is>
      </c>
      <c r="B1106" s="1" t="n">
        <v>44622</v>
      </c>
      <c r="C1106" s="1" t="n">
        <v>45583</v>
      </c>
      <c r="D1106" t="inlineStr">
        <is>
          <t>VÄSTERNORRLANDS LÄN</t>
        </is>
      </c>
      <c r="E1106" t="inlineStr">
        <is>
          <t>SOLLEFTEÅ</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10309-2022</t>
        </is>
      </c>
      <c r="B1107" s="1" t="n">
        <v>44622</v>
      </c>
      <c r="C1107" s="1" t="n">
        <v>45583</v>
      </c>
      <c r="D1107" t="inlineStr">
        <is>
          <t>VÄSTERNORRLANDS LÄN</t>
        </is>
      </c>
      <c r="E1107" t="inlineStr">
        <is>
          <t>SOLLEFTEÅ</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10314-2022</t>
        </is>
      </c>
      <c r="B1108" s="1" t="n">
        <v>44622</v>
      </c>
      <c r="C1108" s="1" t="n">
        <v>45583</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10417-2022</t>
        </is>
      </c>
      <c r="B1109" s="1" t="n">
        <v>44623</v>
      </c>
      <c r="C1109" s="1" t="n">
        <v>45583</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10924-2022</t>
        </is>
      </c>
      <c r="B1110" s="1" t="n">
        <v>44627</v>
      </c>
      <c r="C1110" s="1" t="n">
        <v>45583</v>
      </c>
      <c r="D1110" t="inlineStr">
        <is>
          <t>VÄSTERNORRLANDS LÄN</t>
        </is>
      </c>
      <c r="E1110" t="inlineStr">
        <is>
          <t>SOLLEFTEÅ</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10926-2022</t>
        </is>
      </c>
      <c r="B1111" s="1" t="n">
        <v>44627</v>
      </c>
      <c r="C1111" s="1" t="n">
        <v>45583</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10925-2022</t>
        </is>
      </c>
      <c r="B1112" s="1" t="n">
        <v>44627</v>
      </c>
      <c r="C1112" s="1" t="n">
        <v>45583</v>
      </c>
      <c r="D1112" t="inlineStr">
        <is>
          <t>VÄSTERNORRLANDS LÄN</t>
        </is>
      </c>
      <c r="E1112" t="inlineStr">
        <is>
          <t>SOLLEFTEÅ</t>
        </is>
      </c>
      <c r="F1112" t="inlineStr">
        <is>
          <t>SCA</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10927-2022</t>
        </is>
      </c>
      <c r="B1113" s="1" t="n">
        <v>44627</v>
      </c>
      <c r="C1113" s="1" t="n">
        <v>45583</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11117-2022</t>
        </is>
      </c>
      <c r="B1114" s="1" t="n">
        <v>44628</v>
      </c>
      <c r="C1114" s="1" t="n">
        <v>45583</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11131-2022</t>
        </is>
      </c>
      <c r="B1115" s="1" t="n">
        <v>44628</v>
      </c>
      <c r="C1115" s="1" t="n">
        <v>45583</v>
      </c>
      <c r="D1115" t="inlineStr">
        <is>
          <t>VÄSTERNORRLANDS LÄN</t>
        </is>
      </c>
      <c r="E1115" t="inlineStr">
        <is>
          <t>SOLLEFTEÅ</t>
        </is>
      </c>
      <c r="F1115" t="inlineStr">
        <is>
          <t>SCA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11133-2022</t>
        </is>
      </c>
      <c r="B1116" s="1" t="n">
        <v>44628</v>
      </c>
      <c r="C1116" s="1" t="n">
        <v>45583</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11125-2022</t>
        </is>
      </c>
      <c r="B1117" s="1" t="n">
        <v>44628</v>
      </c>
      <c r="C1117" s="1" t="n">
        <v>45583</v>
      </c>
      <c r="D1117" t="inlineStr">
        <is>
          <t>VÄSTERNORRLANDS LÄN</t>
        </is>
      </c>
      <c r="E1117" t="inlineStr">
        <is>
          <t>SOLLEFTEÅ</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11241-2022</t>
        </is>
      </c>
      <c r="B1118" s="1" t="n">
        <v>44629</v>
      </c>
      <c r="C1118" s="1" t="n">
        <v>45583</v>
      </c>
      <c r="D1118" t="inlineStr">
        <is>
          <t>VÄSTERNORRLANDS LÄN</t>
        </is>
      </c>
      <c r="E1118" t="inlineStr">
        <is>
          <t>SOLLEFTEÅ</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11318-2022</t>
        </is>
      </c>
      <c r="B1119" s="1" t="n">
        <v>44629</v>
      </c>
      <c r="C1119" s="1" t="n">
        <v>45583</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11475-2022</t>
        </is>
      </c>
      <c r="B1120" s="1" t="n">
        <v>44630</v>
      </c>
      <c r="C1120" s="1" t="n">
        <v>45583</v>
      </c>
      <c r="D1120" t="inlineStr">
        <is>
          <t>VÄSTERNORRLANDS LÄN</t>
        </is>
      </c>
      <c r="E1120" t="inlineStr">
        <is>
          <t>SOLLEFTEÅ</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11484-2022</t>
        </is>
      </c>
      <c r="B1121" s="1" t="n">
        <v>44630</v>
      </c>
      <c r="C1121" s="1" t="n">
        <v>45583</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11474-2022</t>
        </is>
      </c>
      <c r="B1122" s="1" t="n">
        <v>44630</v>
      </c>
      <c r="C1122" s="1" t="n">
        <v>45583</v>
      </c>
      <c r="D1122" t="inlineStr">
        <is>
          <t>VÄSTERNORRLANDS LÄN</t>
        </is>
      </c>
      <c r="E1122" t="inlineStr">
        <is>
          <t>SOLLEFTEÅ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11483-2022</t>
        </is>
      </c>
      <c r="B1123" s="1" t="n">
        <v>44630</v>
      </c>
      <c r="C1123" s="1" t="n">
        <v>45583</v>
      </c>
      <c r="D1123" t="inlineStr">
        <is>
          <t>VÄSTERNORRLANDS LÄN</t>
        </is>
      </c>
      <c r="E1123" t="inlineStr">
        <is>
          <t>SOLLEFTEÅ</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11652-2022</t>
        </is>
      </c>
      <c r="B1124" s="1" t="n">
        <v>44631</v>
      </c>
      <c r="C1124" s="1" t="n">
        <v>45583</v>
      </c>
      <c r="D1124" t="inlineStr">
        <is>
          <t>VÄSTERNORRLANDS LÄN</t>
        </is>
      </c>
      <c r="E1124" t="inlineStr">
        <is>
          <t>SOLLEFTEÅ</t>
        </is>
      </c>
      <c r="F1124" t="inlineStr">
        <is>
          <t>SCA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11656-2022</t>
        </is>
      </c>
      <c r="B1125" s="1" t="n">
        <v>44631</v>
      </c>
      <c r="C1125" s="1" t="n">
        <v>45583</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11653-2022</t>
        </is>
      </c>
      <c r="B1126" s="1" t="n">
        <v>44631</v>
      </c>
      <c r="C1126" s="1" t="n">
        <v>45583</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11677-2022</t>
        </is>
      </c>
      <c r="B1127" s="1" t="n">
        <v>44633</v>
      </c>
      <c r="C1127" s="1" t="n">
        <v>45583</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11842-2022</t>
        </is>
      </c>
      <c r="B1128" s="1" t="n">
        <v>44634</v>
      </c>
      <c r="C1128" s="1" t="n">
        <v>45583</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11845-2022</t>
        </is>
      </c>
      <c r="B1129" s="1" t="n">
        <v>44634</v>
      </c>
      <c r="C1129" s="1" t="n">
        <v>45583</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11846-2022</t>
        </is>
      </c>
      <c r="B1130" s="1" t="n">
        <v>44634</v>
      </c>
      <c r="C1130" s="1" t="n">
        <v>45583</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11870-2022</t>
        </is>
      </c>
      <c r="B1131" s="1" t="n">
        <v>44635</v>
      </c>
      <c r="C1131" s="1" t="n">
        <v>45583</v>
      </c>
      <c r="D1131" t="inlineStr">
        <is>
          <t>VÄSTERNORRLANDS LÄN</t>
        </is>
      </c>
      <c r="E1131" t="inlineStr">
        <is>
          <t>SOLLEFTEÅ</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11874-2022</t>
        </is>
      </c>
      <c r="B1132" s="1" t="n">
        <v>44635</v>
      </c>
      <c r="C1132" s="1" t="n">
        <v>45583</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12007-2022</t>
        </is>
      </c>
      <c r="B1133" s="1" t="n">
        <v>44635</v>
      </c>
      <c r="C1133" s="1" t="n">
        <v>45583</v>
      </c>
      <c r="D1133" t="inlineStr">
        <is>
          <t>VÄSTERNORRLANDS LÄN</t>
        </is>
      </c>
      <c r="E1133" t="inlineStr">
        <is>
          <t>SOLLEFTEÅ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12001-2022</t>
        </is>
      </c>
      <c r="B1134" s="1" t="n">
        <v>44635</v>
      </c>
      <c r="C1134" s="1" t="n">
        <v>45583</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12006-2022</t>
        </is>
      </c>
      <c r="B1135" s="1" t="n">
        <v>44635</v>
      </c>
      <c r="C1135" s="1" t="n">
        <v>45583</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12022-2022</t>
        </is>
      </c>
      <c r="B1136" s="1" t="n">
        <v>44635</v>
      </c>
      <c r="C1136" s="1" t="n">
        <v>45583</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12191-2022</t>
        </is>
      </c>
      <c r="B1137" s="1" t="n">
        <v>44636</v>
      </c>
      <c r="C1137" s="1" t="n">
        <v>45583</v>
      </c>
      <c r="D1137" t="inlineStr">
        <is>
          <t>VÄSTERNORRLANDS LÄN</t>
        </is>
      </c>
      <c r="E1137" t="inlineStr">
        <is>
          <t>SOLLEFTEÅ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12201-2022</t>
        </is>
      </c>
      <c r="B1138" s="1" t="n">
        <v>44636</v>
      </c>
      <c r="C1138" s="1" t="n">
        <v>45583</v>
      </c>
      <c r="D1138" t="inlineStr">
        <is>
          <t>VÄSTERNORRLANDS LÄN</t>
        </is>
      </c>
      <c r="E1138" t="inlineStr">
        <is>
          <t>SOLLEFTEÅ</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12395-2022</t>
        </is>
      </c>
      <c r="B1139" s="1" t="n">
        <v>44637</v>
      </c>
      <c r="C1139" s="1" t="n">
        <v>45583</v>
      </c>
      <c r="D1139" t="inlineStr">
        <is>
          <t>VÄSTERNORRLANDS LÄN</t>
        </is>
      </c>
      <c r="E1139" t="inlineStr">
        <is>
          <t>SOLLEFTEÅ</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12561-2022</t>
        </is>
      </c>
      <c r="B1140" s="1" t="n">
        <v>44638</v>
      </c>
      <c r="C1140" s="1" t="n">
        <v>45583</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12565-2022</t>
        </is>
      </c>
      <c r="B1141" s="1" t="n">
        <v>44638</v>
      </c>
      <c r="C1141" s="1" t="n">
        <v>45583</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12572-2022</t>
        </is>
      </c>
      <c r="B1142" s="1" t="n">
        <v>44638</v>
      </c>
      <c r="C1142" s="1" t="n">
        <v>45583</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v>
      </c>
      <c r="C1143" s="1" t="n">
        <v>45583</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12568-2022</t>
        </is>
      </c>
      <c r="B1144" s="1" t="n">
        <v>44638</v>
      </c>
      <c r="C1144" s="1" t="n">
        <v>45583</v>
      </c>
      <c r="D1144" t="inlineStr">
        <is>
          <t>VÄSTERNORRLANDS LÄN</t>
        </is>
      </c>
      <c r="E1144" t="inlineStr">
        <is>
          <t>SOLLEFTEÅ</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12557-2022</t>
        </is>
      </c>
      <c r="B1145" s="1" t="n">
        <v>44638</v>
      </c>
      <c r="C1145" s="1" t="n">
        <v>45583</v>
      </c>
      <c r="D1145" t="inlineStr">
        <is>
          <t>VÄSTERNORRLANDS LÄN</t>
        </is>
      </c>
      <c r="E1145" t="inlineStr">
        <is>
          <t>SOLLEFTEÅ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12563-2022</t>
        </is>
      </c>
      <c r="B1146" s="1" t="n">
        <v>44638</v>
      </c>
      <c r="C1146" s="1" t="n">
        <v>45583</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12567-2022</t>
        </is>
      </c>
      <c r="B1147" s="1" t="n">
        <v>44638</v>
      </c>
      <c r="C1147" s="1" t="n">
        <v>45583</v>
      </c>
      <c r="D1147" t="inlineStr">
        <is>
          <t>VÄSTERNORRLANDS LÄN</t>
        </is>
      </c>
      <c r="E1147" t="inlineStr">
        <is>
          <t>SOLLEFTEÅ</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12562-2022</t>
        </is>
      </c>
      <c r="B1148" s="1" t="n">
        <v>44638</v>
      </c>
      <c r="C1148" s="1" t="n">
        <v>45583</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12566-2022</t>
        </is>
      </c>
      <c r="B1149" s="1" t="n">
        <v>44638</v>
      </c>
      <c r="C1149" s="1" t="n">
        <v>45583</v>
      </c>
      <c r="D1149" t="inlineStr">
        <is>
          <t>VÄSTERNORRLANDS LÄN</t>
        </is>
      </c>
      <c r="E1149" t="inlineStr">
        <is>
          <t>SOLLEFTEÅ</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12758-2022</t>
        </is>
      </c>
      <c r="B1150" s="1" t="n">
        <v>44641</v>
      </c>
      <c r="C1150" s="1" t="n">
        <v>45583</v>
      </c>
      <c r="D1150" t="inlineStr">
        <is>
          <t>VÄSTERNORRLANDS LÄN</t>
        </is>
      </c>
      <c r="E1150" t="inlineStr">
        <is>
          <t>SOLLEFTEÅ</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12764-2022</t>
        </is>
      </c>
      <c r="B1151" s="1" t="n">
        <v>44641</v>
      </c>
      <c r="C1151" s="1" t="n">
        <v>45583</v>
      </c>
      <c r="D1151" t="inlineStr">
        <is>
          <t>VÄSTERNORRLANDS LÄN</t>
        </is>
      </c>
      <c r="E1151" t="inlineStr">
        <is>
          <t>SOLLEFTEÅ</t>
        </is>
      </c>
      <c r="F1151" t="inlineStr">
        <is>
          <t>SCA</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12774-2022</t>
        </is>
      </c>
      <c r="B1152" s="1" t="n">
        <v>44641</v>
      </c>
      <c r="C1152" s="1" t="n">
        <v>45583</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13300-2022</t>
        </is>
      </c>
      <c r="B1153" s="1" t="n">
        <v>44644</v>
      </c>
      <c r="C1153" s="1" t="n">
        <v>45583</v>
      </c>
      <c r="D1153" t="inlineStr">
        <is>
          <t>VÄSTERNORRLANDS LÄN</t>
        </is>
      </c>
      <c r="E1153" t="inlineStr">
        <is>
          <t>SOLLEFTEÅ</t>
        </is>
      </c>
      <c r="F1153" t="inlineStr">
        <is>
          <t>SCA</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13311-2022</t>
        </is>
      </c>
      <c r="B1154" s="1" t="n">
        <v>44644</v>
      </c>
      <c r="C1154" s="1" t="n">
        <v>45583</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13309-2022</t>
        </is>
      </c>
      <c r="B1155" s="1" t="n">
        <v>44644</v>
      </c>
      <c r="C1155" s="1" t="n">
        <v>45583</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13492-2022</t>
        </is>
      </c>
      <c r="B1156" s="1" t="n">
        <v>44646</v>
      </c>
      <c r="C1156" s="1" t="n">
        <v>45583</v>
      </c>
      <c r="D1156" t="inlineStr">
        <is>
          <t>VÄSTERNORRLANDS LÄN</t>
        </is>
      </c>
      <c r="E1156" t="inlineStr">
        <is>
          <t>SOLLEFTEÅ</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13598-2022</t>
        </is>
      </c>
      <c r="B1157" s="1" t="n">
        <v>44648</v>
      </c>
      <c r="C1157" s="1" t="n">
        <v>45583</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13658-2022</t>
        </is>
      </c>
      <c r="B1158" s="1" t="n">
        <v>44648</v>
      </c>
      <c r="C1158" s="1" t="n">
        <v>45583</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13710-2022</t>
        </is>
      </c>
      <c r="B1159" s="1" t="n">
        <v>44649</v>
      </c>
      <c r="C1159" s="1" t="n">
        <v>45583</v>
      </c>
      <c r="D1159" t="inlineStr">
        <is>
          <t>VÄSTERNORRLANDS LÄN</t>
        </is>
      </c>
      <c r="E1159" t="inlineStr">
        <is>
          <t>SOLLEFTEÅ</t>
        </is>
      </c>
      <c r="F1159" t="inlineStr">
        <is>
          <t>SCA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14061-2022</t>
        </is>
      </c>
      <c r="B1160" s="1" t="n">
        <v>44651</v>
      </c>
      <c r="C1160" s="1" t="n">
        <v>45583</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14066-2022</t>
        </is>
      </c>
      <c r="B1161" s="1" t="n">
        <v>44650</v>
      </c>
      <c r="C1161" s="1" t="n">
        <v>45583</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14058-2022</t>
        </is>
      </c>
      <c r="B1162" s="1" t="n">
        <v>44651</v>
      </c>
      <c r="C1162" s="1" t="n">
        <v>45583</v>
      </c>
      <c r="D1162" t="inlineStr">
        <is>
          <t>VÄSTERNORRLANDS LÄN</t>
        </is>
      </c>
      <c r="E1162" t="inlineStr">
        <is>
          <t>SOLLEFTEÅ</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14063-2022</t>
        </is>
      </c>
      <c r="B1163" s="1" t="n">
        <v>44651</v>
      </c>
      <c r="C1163" s="1" t="n">
        <v>45583</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14055-2022</t>
        </is>
      </c>
      <c r="B1164" s="1" t="n">
        <v>44651</v>
      </c>
      <c r="C1164" s="1" t="n">
        <v>45583</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14060-2022</t>
        </is>
      </c>
      <c r="B1165" s="1" t="n">
        <v>44651</v>
      </c>
      <c r="C1165" s="1" t="n">
        <v>45583</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14065-2022</t>
        </is>
      </c>
      <c r="B1166" s="1" t="n">
        <v>44650</v>
      </c>
      <c r="C1166" s="1" t="n">
        <v>45583</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14059-2022</t>
        </is>
      </c>
      <c r="B1167" s="1" t="n">
        <v>44651</v>
      </c>
      <c r="C1167" s="1" t="n">
        <v>45583</v>
      </c>
      <c r="D1167" t="inlineStr">
        <is>
          <t>VÄSTERNORRLANDS LÄN</t>
        </is>
      </c>
      <c r="E1167" t="inlineStr">
        <is>
          <t>SOLLEFTEÅ</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14064-2022</t>
        </is>
      </c>
      <c r="B1168" s="1" t="n">
        <v>44651</v>
      </c>
      <c r="C1168" s="1" t="n">
        <v>45583</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14276-2022</t>
        </is>
      </c>
      <c r="B1169" s="1" t="n">
        <v>44652</v>
      </c>
      <c r="C1169" s="1" t="n">
        <v>45583</v>
      </c>
      <c r="D1169" t="inlineStr">
        <is>
          <t>VÄSTERNORRLANDS LÄN</t>
        </is>
      </c>
      <c r="E1169" t="inlineStr">
        <is>
          <t>SOLLEFTEÅ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14297-2022</t>
        </is>
      </c>
      <c r="B1170" s="1" t="n">
        <v>44651</v>
      </c>
      <c r="C1170" s="1" t="n">
        <v>45583</v>
      </c>
      <c r="D1170" t="inlineStr">
        <is>
          <t>VÄSTERNORRLANDS LÄN</t>
        </is>
      </c>
      <c r="E1170" t="inlineStr">
        <is>
          <t>SOLLEFTEÅ</t>
        </is>
      </c>
      <c r="F1170" t="inlineStr">
        <is>
          <t>SCA</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14300-2022</t>
        </is>
      </c>
      <c r="B1171" s="1" t="n">
        <v>44652</v>
      </c>
      <c r="C1171" s="1" t="n">
        <v>45583</v>
      </c>
      <c r="D1171" t="inlineStr">
        <is>
          <t>VÄSTERNORRLANDS LÄN</t>
        </is>
      </c>
      <c r="E1171" t="inlineStr">
        <is>
          <t>SOLLEFTEÅ</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14308-2022</t>
        </is>
      </c>
      <c r="B1172" s="1" t="n">
        <v>44652</v>
      </c>
      <c r="C1172" s="1" t="n">
        <v>45583</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14275-2022</t>
        </is>
      </c>
      <c r="B1173" s="1" t="n">
        <v>44651</v>
      </c>
      <c r="C1173" s="1" t="n">
        <v>45583</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14299-2022</t>
        </is>
      </c>
      <c r="B1174" s="1" t="n">
        <v>44652</v>
      </c>
      <c r="C1174" s="1" t="n">
        <v>45583</v>
      </c>
      <c r="D1174" t="inlineStr">
        <is>
          <t>VÄSTERNORRLANDS LÄN</t>
        </is>
      </c>
      <c r="E1174" t="inlineStr">
        <is>
          <t>SOLLEFTEÅ</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14296-2022</t>
        </is>
      </c>
      <c r="B1175" s="1" t="n">
        <v>44652</v>
      </c>
      <c r="C1175" s="1" t="n">
        <v>45583</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14302-2022</t>
        </is>
      </c>
      <c r="B1176" s="1" t="n">
        <v>44651</v>
      </c>
      <c r="C1176" s="1" t="n">
        <v>45583</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14448-2022</t>
        </is>
      </c>
      <c r="B1177" s="1" t="n">
        <v>44652</v>
      </c>
      <c r="C1177" s="1" t="n">
        <v>45583</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14449-2022</t>
        </is>
      </c>
      <c r="B1178" s="1" t="n">
        <v>44652</v>
      </c>
      <c r="C1178" s="1" t="n">
        <v>45583</v>
      </c>
      <c r="D1178" t="inlineStr">
        <is>
          <t>VÄSTERNORRLANDS LÄN</t>
        </is>
      </c>
      <c r="E1178" t="inlineStr">
        <is>
          <t>SOLLEFTEÅ</t>
        </is>
      </c>
      <c r="F1178" t="inlineStr">
        <is>
          <t>SCA</t>
        </is>
      </c>
      <c r="G1178" t="n">
        <v>31.8</v>
      </c>
      <c r="H1178" t="n">
        <v>0</v>
      </c>
      <c r="I1178" t="n">
        <v>0</v>
      </c>
      <c r="J1178" t="n">
        <v>0</v>
      </c>
      <c r="K1178" t="n">
        <v>0</v>
      </c>
      <c r="L1178" t="n">
        <v>0</v>
      </c>
      <c r="M1178" t="n">
        <v>0</v>
      </c>
      <c r="N1178" t="n">
        <v>0</v>
      </c>
      <c r="O1178" t="n">
        <v>0</v>
      </c>
      <c r="P1178" t="n">
        <v>0</v>
      </c>
      <c r="Q1178" t="n">
        <v>0</v>
      </c>
      <c r="R1178" s="2" t="inlineStr"/>
    </row>
    <row r="1179" ht="15" customHeight="1">
      <c r="A1179" t="inlineStr">
        <is>
          <t>A 14450-2022</t>
        </is>
      </c>
      <c r="B1179" s="1" t="n">
        <v>44653</v>
      </c>
      <c r="C1179" s="1" t="n">
        <v>45583</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14447-2022</t>
        </is>
      </c>
      <c r="B1180" s="1" t="n">
        <v>44653</v>
      </c>
      <c r="C1180" s="1" t="n">
        <v>45583</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14477-2022</t>
        </is>
      </c>
      <c r="B1181" s="1" t="n">
        <v>44655</v>
      </c>
      <c r="C1181" s="1" t="n">
        <v>45583</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14910-2022</t>
        </is>
      </c>
      <c r="B1182" s="1" t="n">
        <v>44657</v>
      </c>
      <c r="C1182" s="1" t="n">
        <v>45583</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15090-2022</t>
        </is>
      </c>
      <c r="B1183" s="1" t="n">
        <v>44658</v>
      </c>
      <c r="C1183" s="1" t="n">
        <v>45583</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15241-2022</t>
        </is>
      </c>
      <c r="B1184" s="1" t="n">
        <v>44659</v>
      </c>
      <c r="C1184" s="1" t="n">
        <v>45583</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15234-2022</t>
        </is>
      </c>
      <c r="B1185" s="1" t="n">
        <v>44659</v>
      </c>
      <c r="C1185" s="1" t="n">
        <v>45583</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15658-2022</t>
        </is>
      </c>
      <c r="B1186" s="1" t="n">
        <v>44663</v>
      </c>
      <c r="C1186" s="1" t="n">
        <v>45583</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15809-2022</t>
        </is>
      </c>
      <c r="B1187" s="1" t="n">
        <v>44663</v>
      </c>
      <c r="C1187" s="1" t="n">
        <v>45583</v>
      </c>
      <c r="D1187" t="inlineStr">
        <is>
          <t>VÄSTERNORRLANDS LÄN</t>
        </is>
      </c>
      <c r="E1187" t="inlineStr">
        <is>
          <t>SOLLEFTEÅ</t>
        </is>
      </c>
      <c r="F1187" t="inlineStr">
        <is>
          <t>SCA</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15964-2022</t>
        </is>
      </c>
      <c r="B1188" s="1" t="n">
        <v>44665</v>
      </c>
      <c r="C1188" s="1" t="n">
        <v>45583</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15974-2022</t>
        </is>
      </c>
      <c r="B1189" s="1" t="n">
        <v>44665</v>
      </c>
      <c r="C1189" s="1" t="n">
        <v>45583</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16088-2022</t>
        </is>
      </c>
      <c r="B1190" s="1" t="n">
        <v>44665</v>
      </c>
      <c r="C1190" s="1" t="n">
        <v>45583</v>
      </c>
      <c r="D1190" t="inlineStr">
        <is>
          <t>VÄSTERNORRLANDS LÄN</t>
        </is>
      </c>
      <c r="E1190" t="inlineStr">
        <is>
          <t>SOLLEFTEÅ</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16000-2022</t>
        </is>
      </c>
      <c r="B1191" s="1" t="n">
        <v>44665</v>
      </c>
      <c r="C1191" s="1" t="n">
        <v>45583</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16083-2022</t>
        </is>
      </c>
      <c r="B1192" s="1" t="n">
        <v>44665</v>
      </c>
      <c r="C1192" s="1" t="n">
        <v>45583</v>
      </c>
      <c r="D1192" t="inlineStr">
        <is>
          <t>VÄSTERNORRLANDS LÄN</t>
        </is>
      </c>
      <c r="E1192" t="inlineStr">
        <is>
          <t>SOLLEFTEÅ</t>
        </is>
      </c>
      <c r="F1192" t="inlineStr">
        <is>
          <t>Holmen skog AB</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16093-2022</t>
        </is>
      </c>
      <c r="B1193" s="1" t="n">
        <v>44665</v>
      </c>
      <c r="C1193" s="1" t="n">
        <v>45583</v>
      </c>
      <c r="D1193" t="inlineStr">
        <is>
          <t>VÄSTERNORRLANDS LÄN</t>
        </is>
      </c>
      <c r="E1193" t="inlineStr">
        <is>
          <t>SOLLEFTEÅ</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16365-2022</t>
        </is>
      </c>
      <c r="B1194" s="1" t="n">
        <v>44671</v>
      </c>
      <c r="C1194" s="1" t="n">
        <v>45583</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16419-2022</t>
        </is>
      </c>
      <c r="B1195" s="1" t="n">
        <v>44671</v>
      </c>
      <c r="C1195" s="1" t="n">
        <v>45583</v>
      </c>
      <c r="D1195" t="inlineStr">
        <is>
          <t>VÄSTERNORRLANDS LÄN</t>
        </is>
      </c>
      <c r="E1195" t="inlineStr">
        <is>
          <t>SOLLEFTEÅ</t>
        </is>
      </c>
      <c r="F1195" t="inlineStr">
        <is>
          <t>Kommuner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16521-2022</t>
        </is>
      </c>
      <c r="B1196" s="1" t="n">
        <v>44671</v>
      </c>
      <c r="C1196" s="1" t="n">
        <v>45583</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16675-2022</t>
        </is>
      </c>
      <c r="B1197" s="1" t="n">
        <v>44672</v>
      </c>
      <c r="C1197" s="1" t="n">
        <v>45583</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16611-2022</t>
        </is>
      </c>
      <c r="B1198" s="1" t="n">
        <v>44672</v>
      </c>
      <c r="C1198" s="1" t="n">
        <v>45583</v>
      </c>
      <c r="D1198" t="inlineStr">
        <is>
          <t>VÄSTERNORRLANDS LÄN</t>
        </is>
      </c>
      <c r="E1198" t="inlineStr">
        <is>
          <t>SOLLEFTEÅ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16670-2022</t>
        </is>
      </c>
      <c r="B1199" s="1" t="n">
        <v>44673</v>
      </c>
      <c r="C1199" s="1" t="n">
        <v>45583</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17045-2022</t>
        </is>
      </c>
      <c r="B1200" s="1" t="n">
        <v>44676</v>
      </c>
      <c r="C1200" s="1" t="n">
        <v>45583</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17049-2022</t>
        </is>
      </c>
      <c r="B1201" s="1" t="n">
        <v>44676</v>
      </c>
      <c r="C1201" s="1" t="n">
        <v>45583</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c r="U1201">
        <f>HYPERLINK("https://klasma.github.io/Logging_2283/knärot/A 17049-2022 karta knärot.png", "A 17049-2022")</f>
        <v/>
      </c>
      <c r="V1201">
        <f>HYPERLINK("https://klasma.github.io/Logging_2283/klagomål/A 17049-2022 FSC-klagomål.docx", "A 17049-2022")</f>
        <v/>
      </c>
      <c r="W1201">
        <f>HYPERLINK("https://klasma.github.io/Logging_2283/klagomålsmail/A 17049-2022 FSC-klagomål mail.docx", "A 17049-2022")</f>
        <v/>
      </c>
      <c r="X1201">
        <f>HYPERLINK("https://klasma.github.io/Logging_2283/tillsyn/A 17049-2022 tillsynsbegäran.docx", "A 17049-2022")</f>
        <v/>
      </c>
      <c r="Y1201">
        <f>HYPERLINK("https://klasma.github.io/Logging_2283/tillsynsmail/A 17049-2022 tillsynsbegäran mail.docx", "A 17049-2022")</f>
        <v/>
      </c>
    </row>
    <row r="1202" ht="15" customHeight="1">
      <c r="A1202" t="inlineStr">
        <is>
          <t>A 17344-2022</t>
        </is>
      </c>
      <c r="B1202" s="1" t="n">
        <v>44678</v>
      </c>
      <c r="C1202" s="1" t="n">
        <v>45583</v>
      </c>
      <c r="D1202" t="inlineStr">
        <is>
          <t>VÄSTERNORRLANDS LÄN</t>
        </is>
      </c>
      <c r="E1202" t="inlineStr">
        <is>
          <t>SOLLEFTEÅ</t>
        </is>
      </c>
      <c r="G1202" t="n">
        <v>34.2</v>
      </c>
      <c r="H1202" t="n">
        <v>0</v>
      </c>
      <c r="I1202" t="n">
        <v>0</v>
      </c>
      <c r="J1202" t="n">
        <v>0</v>
      </c>
      <c r="K1202" t="n">
        <v>0</v>
      </c>
      <c r="L1202" t="n">
        <v>0</v>
      </c>
      <c r="M1202" t="n">
        <v>0</v>
      </c>
      <c r="N1202" t="n">
        <v>0</v>
      </c>
      <c r="O1202" t="n">
        <v>0</v>
      </c>
      <c r="P1202" t="n">
        <v>0</v>
      </c>
      <c r="Q1202" t="n">
        <v>0</v>
      </c>
      <c r="R1202" s="2" t="inlineStr"/>
    </row>
    <row r="1203" ht="15" customHeight="1">
      <c r="A1203" t="inlineStr">
        <is>
          <t>A 17995-2022</t>
        </is>
      </c>
      <c r="B1203" s="1" t="n">
        <v>44684</v>
      </c>
      <c r="C1203" s="1" t="n">
        <v>45583</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18000-2022</t>
        </is>
      </c>
      <c r="B1204" s="1" t="n">
        <v>44684</v>
      </c>
      <c r="C1204" s="1" t="n">
        <v>45583</v>
      </c>
      <c r="D1204" t="inlineStr">
        <is>
          <t>VÄSTERNORRLANDS LÄN</t>
        </is>
      </c>
      <c r="E1204" t="inlineStr">
        <is>
          <t>SOLLEFTEÅ</t>
        </is>
      </c>
      <c r="F1204" t="inlineStr">
        <is>
          <t>SCA</t>
        </is>
      </c>
      <c r="G1204" t="n">
        <v>14.4</v>
      </c>
      <c r="H1204" t="n">
        <v>0</v>
      </c>
      <c r="I1204" t="n">
        <v>0</v>
      </c>
      <c r="J1204" t="n">
        <v>0</v>
      </c>
      <c r="K1204" t="n">
        <v>0</v>
      </c>
      <c r="L1204" t="n">
        <v>0</v>
      </c>
      <c r="M1204" t="n">
        <v>0</v>
      </c>
      <c r="N1204" t="n">
        <v>0</v>
      </c>
      <c r="O1204" t="n">
        <v>0</v>
      </c>
      <c r="P1204" t="n">
        <v>0</v>
      </c>
      <c r="Q1204" t="n">
        <v>0</v>
      </c>
      <c r="R1204" s="2" t="inlineStr"/>
    </row>
    <row r="1205" ht="15" customHeight="1">
      <c r="A1205" t="inlineStr">
        <is>
          <t>A 18011-2022</t>
        </is>
      </c>
      <c r="B1205" s="1" t="n">
        <v>44683</v>
      </c>
      <c r="C1205" s="1" t="n">
        <v>45583</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18015-2022</t>
        </is>
      </c>
      <c r="B1206" s="1" t="n">
        <v>44684</v>
      </c>
      <c r="C1206" s="1" t="n">
        <v>45583</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18016-2022</t>
        </is>
      </c>
      <c r="B1207" s="1" t="n">
        <v>44684</v>
      </c>
      <c r="C1207" s="1" t="n">
        <v>45583</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17999-2022</t>
        </is>
      </c>
      <c r="B1208" s="1" t="n">
        <v>44683</v>
      </c>
      <c r="C1208" s="1" t="n">
        <v>45583</v>
      </c>
      <c r="D1208" t="inlineStr">
        <is>
          <t>VÄSTERNORRLANDS LÄN</t>
        </is>
      </c>
      <c r="E1208" t="inlineStr">
        <is>
          <t>SOLLEFTEÅ</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18013-2022</t>
        </is>
      </c>
      <c r="B1209" s="1" t="n">
        <v>44684</v>
      </c>
      <c r="C1209" s="1" t="n">
        <v>45583</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18017-2022</t>
        </is>
      </c>
      <c r="B1210" s="1" t="n">
        <v>44683</v>
      </c>
      <c r="C1210" s="1" t="n">
        <v>45583</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18187-2022</t>
        </is>
      </c>
      <c r="B1211" s="1" t="n">
        <v>44684</v>
      </c>
      <c r="C1211" s="1" t="n">
        <v>45583</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18190-2022</t>
        </is>
      </c>
      <c r="B1212" s="1" t="n">
        <v>44685</v>
      </c>
      <c r="C1212" s="1" t="n">
        <v>45583</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18197-2022</t>
        </is>
      </c>
      <c r="B1213" s="1" t="n">
        <v>44684</v>
      </c>
      <c r="C1213" s="1" t="n">
        <v>45583</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18188-2022</t>
        </is>
      </c>
      <c r="B1214" s="1" t="n">
        <v>44685</v>
      </c>
      <c r="C1214" s="1" t="n">
        <v>45583</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18196-2022</t>
        </is>
      </c>
      <c r="B1215" s="1" t="n">
        <v>44685</v>
      </c>
      <c r="C1215" s="1" t="n">
        <v>45583</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18202-2022</t>
        </is>
      </c>
      <c r="B1216" s="1" t="n">
        <v>44684</v>
      </c>
      <c r="C1216" s="1" t="n">
        <v>45583</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18304-2022</t>
        </is>
      </c>
      <c r="B1217" s="1" t="n">
        <v>44685</v>
      </c>
      <c r="C1217" s="1" t="n">
        <v>45583</v>
      </c>
      <c r="D1217" t="inlineStr">
        <is>
          <t>VÄSTERNORRLANDS LÄN</t>
        </is>
      </c>
      <c r="E1217" t="inlineStr">
        <is>
          <t>SOLLEFTEÅ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18372-2022</t>
        </is>
      </c>
      <c r="B1218" s="1" t="n">
        <v>44685</v>
      </c>
      <c r="C1218" s="1" t="n">
        <v>45583</v>
      </c>
      <c r="D1218" t="inlineStr">
        <is>
          <t>VÄSTERNORRLANDS LÄN</t>
        </is>
      </c>
      <c r="E1218" t="inlineStr">
        <is>
          <t>SOLLEFTEÅ</t>
        </is>
      </c>
      <c r="F1218" t="inlineStr">
        <is>
          <t>SCA</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18570-2022</t>
        </is>
      </c>
      <c r="B1219" s="1" t="n">
        <v>44687</v>
      </c>
      <c r="C1219" s="1" t="n">
        <v>45583</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18852-2022</t>
        </is>
      </c>
      <c r="B1220" s="1" t="n">
        <v>44690</v>
      </c>
      <c r="C1220" s="1" t="n">
        <v>45583</v>
      </c>
      <c r="D1220" t="inlineStr">
        <is>
          <t>VÄSTERNORRLANDS LÄN</t>
        </is>
      </c>
      <c r="E1220" t="inlineStr">
        <is>
          <t>SOLLEFTEÅ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19055-2022</t>
        </is>
      </c>
      <c r="B1221" s="1" t="n">
        <v>44691</v>
      </c>
      <c r="C1221" s="1" t="n">
        <v>45583</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19051-2022</t>
        </is>
      </c>
      <c r="B1222" s="1" t="n">
        <v>44691</v>
      </c>
      <c r="C1222" s="1" t="n">
        <v>45583</v>
      </c>
      <c r="D1222" t="inlineStr">
        <is>
          <t>VÄSTERNORRLANDS LÄN</t>
        </is>
      </c>
      <c r="E1222" t="inlineStr">
        <is>
          <t>SOLLEFTEÅ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19053-2022</t>
        </is>
      </c>
      <c r="B1223" s="1" t="n">
        <v>44691</v>
      </c>
      <c r="C1223" s="1" t="n">
        <v>45583</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19203-2022</t>
        </is>
      </c>
      <c r="B1224" s="1" t="n">
        <v>44692</v>
      </c>
      <c r="C1224" s="1" t="n">
        <v>45583</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19208-2022</t>
        </is>
      </c>
      <c r="B1225" s="1" t="n">
        <v>44691</v>
      </c>
      <c r="C1225" s="1" t="n">
        <v>45583</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19295-2022</t>
        </is>
      </c>
      <c r="B1226" s="1" t="n">
        <v>44692</v>
      </c>
      <c r="C1226" s="1" t="n">
        <v>45583</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19414-2022</t>
        </is>
      </c>
      <c r="B1227" s="1" t="n">
        <v>44693</v>
      </c>
      <c r="C1227" s="1" t="n">
        <v>45583</v>
      </c>
      <c r="D1227" t="inlineStr">
        <is>
          <t>VÄSTERNORRLANDS LÄN</t>
        </is>
      </c>
      <c r="E1227" t="inlineStr">
        <is>
          <t>SOLLEFTEÅ</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19416-2022</t>
        </is>
      </c>
      <c r="B1228" s="1" t="n">
        <v>44693</v>
      </c>
      <c r="C1228" s="1" t="n">
        <v>45583</v>
      </c>
      <c r="D1228" t="inlineStr">
        <is>
          <t>VÄSTERNORRLANDS LÄN</t>
        </is>
      </c>
      <c r="E1228" t="inlineStr">
        <is>
          <t>SOLLEFTEÅ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19508-2022</t>
        </is>
      </c>
      <c r="B1229" s="1" t="n">
        <v>44693</v>
      </c>
      <c r="C1229" s="1" t="n">
        <v>45583</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19585-2022</t>
        </is>
      </c>
      <c r="B1230" s="1" t="n">
        <v>44693</v>
      </c>
      <c r="C1230" s="1" t="n">
        <v>45583</v>
      </c>
      <c r="D1230" t="inlineStr">
        <is>
          <t>VÄSTERNORRLANDS LÄN</t>
        </is>
      </c>
      <c r="E1230" t="inlineStr">
        <is>
          <t>SOLLEFTEÅ</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19583-2022</t>
        </is>
      </c>
      <c r="B1231" s="1" t="n">
        <v>44693</v>
      </c>
      <c r="C1231" s="1" t="n">
        <v>45583</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19593-2022</t>
        </is>
      </c>
      <c r="B1232" s="1" t="n">
        <v>44694</v>
      </c>
      <c r="C1232" s="1" t="n">
        <v>45583</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19588-2022</t>
        </is>
      </c>
      <c r="B1233" s="1" t="n">
        <v>44694</v>
      </c>
      <c r="C1233" s="1" t="n">
        <v>45583</v>
      </c>
      <c r="D1233" t="inlineStr">
        <is>
          <t>VÄSTERNORRLANDS LÄN</t>
        </is>
      </c>
      <c r="E1233" t="inlineStr">
        <is>
          <t>SOLLEFTEÅ</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19595-2022</t>
        </is>
      </c>
      <c r="B1234" s="1" t="n">
        <v>44693</v>
      </c>
      <c r="C1234" s="1" t="n">
        <v>45583</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19594-2022</t>
        </is>
      </c>
      <c r="B1235" s="1" t="n">
        <v>44694</v>
      </c>
      <c r="C1235" s="1" t="n">
        <v>45583</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19825-2022</t>
        </is>
      </c>
      <c r="B1236" s="1" t="n">
        <v>44695</v>
      </c>
      <c r="C1236" s="1" t="n">
        <v>45583</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19813-2022</t>
        </is>
      </c>
      <c r="B1237" s="1" t="n">
        <v>44695</v>
      </c>
      <c r="C1237" s="1" t="n">
        <v>45583</v>
      </c>
      <c r="D1237" t="inlineStr">
        <is>
          <t>VÄSTERNORRLANDS LÄN</t>
        </is>
      </c>
      <c r="E1237" t="inlineStr">
        <is>
          <t>SOLLEFTEÅ</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19814-2022</t>
        </is>
      </c>
      <c r="B1238" s="1" t="n">
        <v>44695</v>
      </c>
      <c r="C1238" s="1" t="n">
        <v>45583</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20061-2022</t>
        </is>
      </c>
      <c r="B1239" s="1" t="n">
        <v>44698</v>
      </c>
      <c r="C1239" s="1" t="n">
        <v>45583</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20062-2022</t>
        </is>
      </c>
      <c r="B1240" s="1" t="n">
        <v>44697</v>
      </c>
      <c r="C1240" s="1" t="n">
        <v>45583</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20296-2022</t>
        </is>
      </c>
      <c r="B1241" s="1" t="n">
        <v>44698</v>
      </c>
      <c r="C1241" s="1" t="n">
        <v>45583</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20551-2022</t>
        </is>
      </c>
      <c r="B1242" s="1" t="n">
        <v>44699</v>
      </c>
      <c r="C1242" s="1" t="n">
        <v>45583</v>
      </c>
      <c r="D1242" t="inlineStr">
        <is>
          <t>VÄSTERNORRLANDS LÄN</t>
        </is>
      </c>
      <c r="E1242" t="inlineStr">
        <is>
          <t>SOLLEFTEÅ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20699-2022</t>
        </is>
      </c>
      <c r="B1243" s="1" t="n">
        <v>44701</v>
      </c>
      <c r="C1243" s="1" t="n">
        <v>45583</v>
      </c>
      <c r="D1243" t="inlineStr">
        <is>
          <t>VÄSTERNORRLANDS LÄN</t>
        </is>
      </c>
      <c r="E1243" t="inlineStr">
        <is>
          <t>SOLLEFTEÅ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20704-2022</t>
        </is>
      </c>
      <c r="B1244" s="1" t="n">
        <v>44700</v>
      </c>
      <c r="C1244" s="1" t="n">
        <v>45583</v>
      </c>
      <c r="D1244" t="inlineStr">
        <is>
          <t>VÄSTERNORRLANDS LÄN</t>
        </is>
      </c>
      <c r="E1244" t="inlineStr">
        <is>
          <t>SOLLEFTEÅ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20702-2022</t>
        </is>
      </c>
      <c r="B1245" s="1" t="n">
        <v>44701</v>
      </c>
      <c r="C1245" s="1" t="n">
        <v>45583</v>
      </c>
      <c r="D1245" t="inlineStr">
        <is>
          <t>VÄSTERNORRLANDS LÄN</t>
        </is>
      </c>
      <c r="E1245" t="inlineStr">
        <is>
          <t>SOLLEFTEÅ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20703-2022</t>
        </is>
      </c>
      <c r="B1246" s="1" t="n">
        <v>44701</v>
      </c>
      <c r="C1246" s="1" t="n">
        <v>45583</v>
      </c>
      <c r="D1246" t="inlineStr">
        <is>
          <t>VÄSTERNORRLANDS LÄN</t>
        </is>
      </c>
      <c r="E1246" t="inlineStr">
        <is>
          <t>SOLLEFTEÅ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20724-2022</t>
        </is>
      </c>
      <c r="B1247" s="1" t="n">
        <v>44700</v>
      </c>
      <c r="C1247" s="1" t="n">
        <v>45583</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20738-2022</t>
        </is>
      </c>
      <c r="B1248" s="1" t="n">
        <v>44700</v>
      </c>
      <c r="C1248" s="1" t="n">
        <v>45583</v>
      </c>
      <c r="D1248" t="inlineStr">
        <is>
          <t>VÄSTERNORRLANDS LÄN</t>
        </is>
      </c>
      <c r="E1248" t="inlineStr">
        <is>
          <t>SOLLEFTEÅ</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20955-2022</t>
        </is>
      </c>
      <c r="B1249" s="1" t="n">
        <v>44702</v>
      </c>
      <c r="C1249" s="1" t="n">
        <v>45583</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20950-2022</t>
        </is>
      </c>
      <c r="B1250" s="1" t="n">
        <v>44701</v>
      </c>
      <c r="C1250" s="1" t="n">
        <v>45583</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20954-2022</t>
        </is>
      </c>
      <c r="B1251" s="1" t="n">
        <v>44702</v>
      </c>
      <c r="C1251" s="1" t="n">
        <v>45583</v>
      </c>
      <c r="D1251" t="inlineStr">
        <is>
          <t>VÄSTERNORRLANDS LÄN</t>
        </is>
      </c>
      <c r="E1251" t="inlineStr">
        <is>
          <t>SOLLEFTEÅ</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20951-2022</t>
        </is>
      </c>
      <c r="B1252" s="1" t="n">
        <v>44701</v>
      </c>
      <c r="C1252" s="1" t="n">
        <v>45583</v>
      </c>
      <c r="D1252" t="inlineStr">
        <is>
          <t>VÄSTERNORRLANDS LÄN</t>
        </is>
      </c>
      <c r="E1252" t="inlineStr">
        <is>
          <t>SOLLEFTEÅ</t>
        </is>
      </c>
      <c r="F1252" t="inlineStr">
        <is>
          <t>SCA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20942-2022</t>
        </is>
      </c>
      <c r="B1253" s="1" t="n">
        <v>44701</v>
      </c>
      <c r="C1253" s="1" t="n">
        <v>45583</v>
      </c>
      <c r="D1253" t="inlineStr">
        <is>
          <t>VÄSTERNORRLANDS LÄN</t>
        </is>
      </c>
      <c r="E1253" t="inlineStr">
        <is>
          <t>SOLLEFTEÅ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20996-2022</t>
        </is>
      </c>
      <c r="B1254" s="1" t="n">
        <v>44703</v>
      </c>
      <c r="C1254" s="1" t="n">
        <v>45583</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20994-2022</t>
        </is>
      </c>
      <c r="B1255" s="1" t="n">
        <v>44703</v>
      </c>
      <c r="C1255" s="1" t="n">
        <v>45583</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21050-2022</t>
        </is>
      </c>
      <c r="B1256" s="1" t="n">
        <v>44704</v>
      </c>
      <c r="C1256" s="1" t="n">
        <v>45583</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21191-2022</t>
        </is>
      </c>
      <c r="B1257" s="1" t="n">
        <v>44705</v>
      </c>
      <c r="C1257" s="1" t="n">
        <v>45583</v>
      </c>
      <c r="D1257" t="inlineStr">
        <is>
          <t>VÄSTERNORRLANDS LÄN</t>
        </is>
      </c>
      <c r="E1257" t="inlineStr">
        <is>
          <t>SOLLEFTEÅ</t>
        </is>
      </c>
      <c r="F1257" t="inlineStr">
        <is>
          <t>SCA</t>
        </is>
      </c>
      <c r="G1257" t="n">
        <v>26.5</v>
      </c>
      <c r="H1257" t="n">
        <v>0</v>
      </c>
      <c r="I1257" t="n">
        <v>0</v>
      </c>
      <c r="J1257" t="n">
        <v>0</v>
      </c>
      <c r="K1257" t="n">
        <v>0</v>
      </c>
      <c r="L1257" t="n">
        <v>0</v>
      </c>
      <c r="M1257" t="n">
        <v>0</v>
      </c>
      <c r="N1257" t="n">
        <v>0</v>
      </c>
      <c r="O1257" t="n">
        <v>0</v>
      </c>
      <c r="P1257" t="n">
        <v>0</v>
      </c>
      <c r="Q1257" t="n">
        <v>0</v>
      </c>
      <c r="R1257" s="2" t="inlineStr"/>
    </row>
    <row r="1258" ht="15" customHeight="1">
      <c r="A1258" t="inlineStr">
        <is>
          <t>A 21210-2022</t>
        </is>
      </c>
      <c r="B1258" s="1" t="n">
        <v>44705</v>
      </c>
      <c r="C1258" s="1" t="n">
        <v>45583</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21404-2022</t>
        </is>
      </c>
      <c r="B1259" s="1" t="n">
        <v>44706</v>
      </c>
      <c r="C1259" s="1" t="n">
        <v>45583</v>
      </c>
      <c r="D1259" t="inlineStr">
        <is>
          <t>VÄSTERNORRLANDS LÄN</t>
        </is>
      </c>
      <c r="E1259" t="inlineStr">
        <is>
          <t>SOLLEFTEÅ</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21582-2022</t>
        </is>
      </c>
      <c r="B1260" s="1" t="n">
        <v>44706</v>
      </c>
      <c r="C1260" s="1" t="n">
        <v>45583</v>
      </c>
      <c r="D1260" t="inlineStr">
        <is>
          <t>VÄSTERNORRLANDS LÄN</t>
        </is>
      </c>
      <c r="E1260" t="inlineStr">
        <is>
          <t>SOLLEFTEÅ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21637-2022</t>
        </is>
      </c>
      <c r="B1261" s="1" t="n">
        <v>44707</v>
      </c>
      <c r="C1261" s="1" t="n">
        <v>45583</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21636-2022</t>
        </is>
      </c>
      <c r="B1262" s="1" t="n">
        <v>44707</v>
      </c>
      <c r="C1262" s="1" t="n">
        <v>45583</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21635-2022</t>
        </is>
      </c>
      <c r="B1263" s="1" t="n">
        <v>44707</v>
      </c>
      <c r="C1263" s="1" t="n">
        <v>45583</v>
      </c>
      <c r="D1263" t="inlineStr">
        <is>
          <t>VÄSTERNORRLANDS LÄN</t>
        </is>
      </c>
      <c r="E1263" t="inlineStr">
        <is>
          <t>SOLLEFTEÅ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21713-2022</t>
        </is>
      </c>
      <c r="B1264" s="1" t="n">
        <v>44708</v>
      </c>
      <c r="C1264" s="1" t="n">
        <v>45583</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21714-2022</t>
        </is>
      </c>
      <c r="B1265" s="1" t="n">
        <v>44708</v>
      </c>
      <c r="C1265" s="1" t="n">
        <v>45583</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21715-2022</t>
        </is>
      </c>
      <c r="B1266" s="1" t="n">
        <v>44708</v>
      </c>
      <c r="C1266" s="1" t="n">
        <v>45583</v>
      </c>
      <c r="D1266" t="inlineStr">
        <is>
          <t>VÄSTERNORRLANDS LÄN</t>
        </is>
      </c>
      <c r="E1266" t="inlineStr">
        <is>
          <t>SOLLEFTEÅ</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21711-2022</t>
        </is>
      </c>
      <c r="B1267" s="1" t="n">
        <v>44707</v>
      </c>
      <c r="C1267" s="1" t="n">
        <v>45583</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21807-2022</t>
        </is>
      </c>
      <c r="B1268" s="1" t="n">
        <v>44708</v>
      </c>
      <c r="C1268" s="1" t="n">
        <v>45583</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22101-2022</t>
        </is>
      </c>
      <c r="B1269" s="1" t="n">
        <v>44712</v>
      </c>
      <c r="C1269" s="1" t="n">
        <v>45583</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22087-2022</t>
        </is>
      </c>
      <c r="B1270" s="1" t="n">
        <v>44712</v>
      </c>
      <c r="C1270" s="1" t="n">
        <v>45583</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22103-2022</t>
        </is>
      </c>
      <c r="B1271" s="1" t="n">
        <v>44712</v>
      </c>
      <c r="C1271" s="1" t="n">
        <v>45583</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22330-2022</t>
        </is>
      </c>
      <c r="B1272" s="1" t="n">
        <v>44712</v>
      </c>
      <c r="C1272" s="1" t="n">
        <v>45583</v>
      </c>
      <c r="D1272" t="inlineStr">
        <is>
          <t>VÄSTERNORRLANDS LÄN</t>
        </is>
      </c>
      <c r="E1272" t="inlineStr">
        <is>
          <t>SOLLEFTEÅ</t>
        </is>
      </c>
      <c r="F1272" t="inlineStr">
        <is>
          <t>SCA</t>
        </is>
      </c>
      <c r="G1272" t="n">
        <v>21.9</v>
      </c>
      <c r="H1272" t="n">
        <v>0</v>
      </c>
      <c r="I1272" t="n">
        <v>0</v>
      </c>
      <c r="J1272" t="n">
        <v>0</v>
      </c>
      <c r="K1272" t="n">
        <v>0</v>
      </c>
      <c r="L1272" t="n">
        <v>0</v>
      </c>
      <c r="M1272" t="n">
        <v>0</v>
      </c>
      <c r="N1272" t="n">
        <v>0</v>
      </c>
      <c r="O1272" t="n">
        <v>0</v>
      </c>
      <c r="P1272" t="n">
        <v>0</v>
      </c>
      <c r="Q1272" t="n">
        <v>0</v>
      </c>
      <c r="R1272" s="2" t="inlineStr"/>
    </row>
    <row r="1273" ht="15" customHeight="1">
      <c r="A1273" t="inlineStr">
        <is>
          <t>A 22341-2022</t>
        </is>
      </c>
      <c r="B1273" s="1" t="n">
        <v>44713</v>
      </c>
      <c r="C1273" s="1" t="n">
        <v>45583</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22342-2022</t>
        </is>
      </c>
      <c r="B1274" s="1" t="n">
        <v>44713</v>
      </c>
      <c r="C1274" s="1" t="n">
        <v>45583</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22343-2022</t>
        </is>
      </c>
      <c r="B1275" s="1" t="n">
        <v>44713</v>
      </c>
      <c r="C1275" s="1" t="n">
        <v>45583</v>
      </c>
      <c r="D1275" t="inlineStr">
        <is>
          <t>VÄSTERNORRLANDS LÄN</t>
        </is>
      </c>
      <c r="E1275" t="inlineStr">
        <is>
          <t>SOLLEFTEÅ</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22664-2022</t>
        </is>
      </c>
      <c r="B1276" s="1" t="n">
        <v>44714</v>
      </c>
      <c r="C1276" s="1" t="n">
        <v>45583</v>
      </c>
      <c r="D1276" t="inlineStr">
        <is>
          <t>VÄSTERNORRLANDS LÄN</t>
        </is>
      </c>
      <c r="E1276" t="inlineStr">
        <is>
          <t>SOLLEFTEÅ</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22762-2022</t>
        </is>
      </c>
      <c r="B1277" s="1" t="n">
        <v>44715</v>
      </c>
      <c r="C1277" s="1" t="n">
        <v>45583</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22956-2022</t>
        </is>
      </c>
      <c r="B1278" s="1" t="n">
        <v>44716</v>
      </c>
      <c r="C1278" s="1" t="n">
        <v>45583</v>
      </c>
      <c r="D1278" t="inlineStr">
        <is>
          <t>VÄSTERNORRLANDS LÄN</t>
        </is>
      </c>
      <c r="E1278" t="inlineStr">
        <is>
          <t>SOLLEFTEÅ</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22952-2022</t>
        </is>
      </c>
      <c r="B1279" s="1" t="n">
        <v>44716</v>
      </c>
      <c r="C1279" s="1" t="n">
        <v>45583</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22962-2022</t>
        </is>
      </c>
      <c r="B1280" s="1" t="n">
        <v>44715</v>
      </c>
      <c r="C1280" s="1" t="n">
        <v>45583</v>
      </c>
      <c r="D1280" t="inlineStr">
        <is>
          <t>VÄSTERNORRLANDS LÄN</t>
        </is>
      </c>
      <c r="E1280" t="inlineStr">
        <is>
          <t>SOLLEFTEÅ</t>
        </is>
      </c>
      <c r="F1280" t="inlineStr">
        <is>
          <t>SCA</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23111-2022</t>
        </is>
      </c>
      <c r="B1281" s="1" t="n">
        <v>44720</v>
      </c>
      <c r="C1281" s="1" t="n">
        <v>45583</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23230-2022</t>
        </is>
      </c>
      <c r="B1282" s="1" t="n">
        <v>44720</v>
      </c>
      <c r="C1282" s="1" t="n">
        <v>45583</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23282-2022</t>
        </is>
      </c>
      <c r="B1283" s="1" t="n">
        <v>44720</v>
      </c>
      <c r="C1283" s="1" t="n">
        <v>45583</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23436-2022</t>
        </is>
      </c>
      <c r="B1284" s="1" t="n">
        <v>44720</v>
      </c>
      <c r="C1284" s="1" t="n">
        <v>45583</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23445-2022</t>
        </is>
      </c>
      <c r="B1285" s="1" t="n">
        <v>44721</v>
      </c>
      <c r="C1285" s="1" t="n">
        <v>45583</v>
      </c>
      <c r="D1285" t="inlineStr">
        <is>
          <t>VÄSTERNORRLANDS LÄN</t>
        </is>
      </c>
      <c r="E1285" t="inlineStr">
        <is>
          <t>SOLLEFTEÅ</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23447-2022</t>
        </is>
      </c>
      <c r="B1286" s="1" t="n">
        <v>44721</v>
      </c>
      <c r="C1286" s="1" t="n">
        <v>45583</v>
      </c>
      <c r="D1286" t="inlineStr">
        <is>
          <t>VÄSTERNORRLANDS LÄN</t>
        </is>
      </c>
      <c r="E1286" t="inlineStr">
        <is>
          <t>SOLLEFTEÅ</t>
        </is>
      </c>
      <c r="F1286" t="inlineStr">
        <is>
          <t>SCA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23450-2022</t>
        </is>
      </c>
      <c r="B1287" s="1" t="n">
        <v>44720</v>
      </c>
      <c r="C1287" s="1" t="n">
        <v>45583</v>
      </c>
      <c r="D1287" t="inlineStr">
        <is>
          <t>VÄSTERNORRLANDS LÄN</t>
        </is>
      </c>
      <c r="E1287" t="inlineStr">
        <is>
          <t>SOLLEFTEÅ</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24008-2022</t>
        </is>
      </c>
      <c r="B1288" s="1" t="n">
        <v>44723</v>
      </c>
      <c r="C1288" s="1" t="n">
        <v>45583</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24024-2022</t>
        </is>
      </c>
      <c r="B1289" s="1" t="n">
        <v>44723</v>
      </c>
      <c r="C1289" s="1" t="n">
        <v>45583</v>
      </c>
      <c r="D1289" t="inlineStr">
        <is>
          <t>VÄSTERNORRLANDS LÄN</t>
        </is>
      </c>
      <c r="E1289" t="inlineStr">
        <is>
          <t>SOLLEFTEÅ</t>
        </is>
      </c>
      <c r="F1289" t="inlineStr">
        <is>
          <t>SCA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24322-2022</t>
        </is>
      </c>
      <c r="B1290" s="1" t="n">
        <v>44726</v>
      </c>
      <c r="C1290" s="1" t="n">
        <v>45583</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24723-2022</t>
        </is>
      </c>
      <c r="B1291" s="1" t="n">
        <v>44728</v>
      </c>
      <c r="C1291" s="1" t="n">
        <v>45583</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24739-2022</t>
        </is>
      </c>
      <c r="B1292" s="1" t="n">
        <v>44728</v>
      </c>
      <c r="C1292" s="1" t="n">
        <v>45583</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24734-2022</t>
        </is>
      </c>
      <c r="B1293" s="1" t="n">
        <v>44728</v>
      </c>
      <c r="C1293" s="1" t="n">
        <v>45583</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24735-2022</t>
        </is>
      </c>
      <c r="B1294" s="1" t="n">
        <v>44728</v>
      </c>
      <c r="C1294" s="1" t="n">
        <v>45583</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24721-2022</t>
        </is>
      </c>
      <c r="B1295" s="1" t="n">
        <v>44728</v>
      </c>
      <c r="C1295" s="1" t="n">
        <v>45583</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24737-2022</t>
        </is>
      </c>
      <c r="B1296" s="1" t="n">
        <v>44728</v>
      </c>
      <c r="C1296" s="1" t="n">
        <v>45583</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25019-2022</t>
        </is>
      </c>
      <c r="B1297" s="1" t="n">
        <v>44728</v>
      </c>
      <c r="C1297" s="1" t="n">
        <v>45583</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25024-2022</t>
        </is>
      </c>
      <c r="B1298" s="1" t="n">
        <v>44729</v>
      </c>
      <c r="C1298" s="1" t="n">
        <v>45583</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25026-2022</t>
        </is>
      </c>
      <c r="B1299" s="1" t="n">
        <v>44729</v>
      </c>
      <c r="C1299" s="1" t="n">
        <v>45583</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25017-2022</t>
        </is>
      </c>
      <c r="B1300" s="1" t="n">
        <v>44729</v>
      </c>
      <c r="C1300" s="1" t="n">
        <v>45583</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25295-2022</t>
        </is>
      </c>
      <c r="B1301" s="1" t="n">
        <v>44731</v>
      </c>
      <c r="C1301" s="1" t="n">
        <v>45583</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25339-2022</t>
        </is>
      </c>
      <c r="B1302" s="1" t="n">
        <v>44732</v>
      </c>
      <c r="C1302" s="1" t="n">
        <v>45583</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25338-2022</t>
        </is>
      </c>
      <c r="B1303" s="1" t="n">
        <v>44731</v>
      </c>
      <c r="C1303" s="1" t="n">
        <v>45583</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25341-2022</t>
        </is>
      </c>
      <c r="B1304" s="1" t="n">
        <v>44731</v>
      </c>
      <c r="C1304" s="1" t="n">
        <v>45583</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26407-2022</t>
        </is>
      </c>
      <c r="B1305" s="1" t="n">
        <v>44735</v>
      </c>
      <c r="C1305" s="1" t="n">
        <v>45583</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26416-2022</t>
        </is>
      </c>
      <c r="B1306" s="1" t="n">
        <v>44736</v>
      </c>
      <c r="C1306" s="1" t="n">
        <v>45583</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26415-2022</t>
        </is>
      </c>
      <c r="B1307" s="1" t="n">
        <v>44735</v>
      </c>
      <c r="C1307" s="1" t="n">
        <v>45583</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26435-2022</t>
        </is>
      </c>
      <c r="B1308" s="1" t="n">
        <v>44737</v>
      </c>
      <c r="C1308" s="1" t="n">
        <v>45583</v>
      </c>
      <c r="D1308" t="inlineStr">
        <is>
          <t>VÄSTERNORRLANDS LÄN</t>
        </is>
      </c>
      <c r="E1308" t="inlineStr">
        <is>
          <t>SOLLEFTEÅ</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26732-2022</t>
        </is>
      </c>
      <c r="B1309" s="1" t="n">
        <v>44740</v>
      </c>
      <c r="C1309" s="1" t="n">
        <v>45583</v>
      </c>
      <c r="D1309" t="inlineStr">
        <is>
          <t>VÄSTERNORRLANDS LÄN</t>
        </is>
      </c>
      <c r="E1309" t="inlineStr">
        <is>
          <t>SOLLEFTEÅ</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26744-2022</t>
        </is>
      </c>
      <c r="B1310" s="1" t="n">
        <v>44739</v>
      </c>
      <c r="C1310" s="1" t="n">
        <v>45583</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26736-2022</t>
        </is>
      </c>
      <c r="B1311" s="1" t="n">
        <v>44740</v>
      </c>
      <c r="C1311" s="1" t="n">
        <v>45583</v>
      </c>
      <c r="D1311" t="inlineStr">
        <is>
          <t>VÄSTERNORRLANDS LÄN</t>
        </is>
      </c>
      <c r="E1311" t="inlineStr">
        <is>
          <t>SOLLEFTEÅ</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27016-2022</t>
        </is>
      </c>
      <c r="B1312" s="1" t="n">
        <v>44741</v>
      </c>
      <c r="C1312" s="1" t="n">
        <v>45583</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27019-2022</t>
        </is>
      </c>
      <c r="B1313" s="1" t="n">
        <v>44741</v>
      </c>
      <c r="C1313" s="1" t="n">
        <v>45583</v>
      </c>
      <c r="D1313" t="inlineStr">
        <is>
          <t>VÄSTERNORRLANDS LÄN</t>
        </is>
      </c>
      <c r="E1313" t="inlineStr">
        <is>
          <t>SOLLEFTEÅ</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27012-2022</t>
        </is>
      </c>
      <c r="B1314" s="1" t="n">
        <v>44740</v>
      </c>
      <c r="C1314" s="1" t="n">
        <v>45583</v>
      </c>
      <c r="D1314" t="inlineStr">
        <is>
          <t>VÄSTERNORRLANDS LÄN</t>
        </is>
      </c>
      <c r="E1314" t="inlineStr">
        <is>
          <t>SOLLEFTEÅ</t>
        </is>
      </c>
      <c r="F1314" t="inlineStr">
        <is>
          <t>SCA</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27020-2022</t>
        </is>
      </c>
      <c r="B1315" s="1" t="n">
        <v>44741</v>
      </c>
      <c r="C1315" s="1" t="n">
        <v>45583</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27024-2022</t>
        </is>
      </c>
      <c r="B1316" s="1" t="n">
        <v>44741</v>
      </c>
      <c r="C1316" s="1" t="n">
        <v>45583</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27023-2022</t>
        </is>
      </c>
      <c r="B1317" s="1" t="n">
        <v>44741</v>
      </c>
      <c r="C1317" s="1" t="n">
        <v>45583</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27018-2022</t>
        </is>
      </c>
      <c r="B1318" s="1" t="n">
        <v>44740</v>
      </c>
      <c r="C1318" s="1" t="n">
        <v>45583</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27022-2022</t>
        </is>
      </c>
      <c r="B1319" s="1" t="n">
        <v>44741</v>
      </c>
      <c r="C1319" s="1" t="n">
        <v>45583</v>
      </c>
      <c r="D1319" t="inlineStr">
        <is>
          <t>VÄSTERNORRLANDS LÄN</t>
        </is>
      </c>
      <c r="E1319" t="inlineStr">
        <is>
          <t>SOLLEFTEÅ</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27082-2022</t>
        </is>
      </c>
      <c r="B1320" s="1" t="n">
        <v>44741</v>
      </c>
      <c r="C1320" s="1" t="n">
        <v>45583</v>
      </c>
      <c r="D1320" t="inlineStr">
        <is>
          <t>VÄSTERNORRLANDS LÄN</t>
        </is>
      </c>
      <c r="E1320" t="inlineStr">
        <is>
          <t>SOLLEFTEÅ</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27283-2022</t>
        </is>
      </c>
      <c r="B1321" s="1" t="n">
        <v>44742</v>
      </c>
      <c r="C1321" s="1" t="n">
        <v>45583</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27282-2022</t>
        </is>
      </c>
      <c r="B1322" s="1" t="n">
        <v>44741</v>
      </c>
      <c r="C1322" s="1" t="n">
        <v>45583</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27573-2022</t>
        </is>
      </c>
      <c r="B1323" s="1" t="n">
        <v>44743</v>
      </c>
      <c r="C1323" s="1" t="n">
        <v>45583</v>
      </c>
      <c r="D1323" t="inlineStr">
        <is>
          <t>VÄSTERNORRLANDS LÄN</t>
        </is>
      </c>
      <c r="E1323" t="inlineStr">
        <is>
          <t>SOLLEFTEÅ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27572-2022</t>
        </is>
      </c>
      <c r="B1324" s="1" t="n">
        <v>44743</v>
      </c>
      <c r="C1324" s="1" t="n">
        <v>45583</v>
      </c>
      <c r="D1324" t="inlineStr">
        <is>
          <t>VÄSTERNORRLANDS LÄN</t>
        </is>
      </c>
      <c r="E1324" t="inlineStr">
        <is>
          <t>SOLLEFTEÅ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27603-2022</t>
        </is>
      </c>
      <c r="B1325" s="1" t="n">
        <v>44743</v>
      </c>
      <c r="C1325" s="1" t="n">
        <v>45583</v>
      </c>
      <c r="D1325" t="inlineStr">
        <is>
          <t>VÄSTERNORRLANDS LÄN</t>
        </is>
      </c>
      <c r="E1325" t="inlineStr">
        <is>
          <t>SOLLEFTEÅ</t>
        </is>
      </c>
      <c r="F1325" t="inlineStr">
        <is>
          <t>SCA</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27593-2022</t>
        </is>
      </c>
      <c r="B1326" s="1" t="n">
        <v>44742</v>
      </c>
      <c r="C1326" s="1" t="n">
        <v>45583</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27926-2022</t>
        </is>
      </c>
      <c r="B1327" s="1" t="n">
        <v>44743</v>
      </c>
      <c r="C1327" s="1" t="n">
        <v>45583</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27943-2022</t>
        </is>
      </c>
      <c r="B1328" s="1" t="n">
        <v>44743</v>
      </c>
      <c r="C1328" s="1" t="n">
        <v>45583</v>
      </c>
      <c r="D1328" t="inlineStr">
        <is>
          <t>VÄSTERNORRLANDS LÄN</t>
        </is>
      </c>
      <c r="E1328" t="inlineStr">
        <is>
          <t>SOLLEFTEÅ</t>
        </is>
      </c>
      <c r="F1328" t="inlineStr">
        <is>
          <t>SCA</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28293-2022</t>
        </is>
      </c>
      <c r="B1329" s="1" t="n">
        <v>44747</v>
      </c>
      <c r="C1329" s="1" t="n">
        <v>45583</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28700-2022</t>
        </is>
      </c>
      <c r="B1330" s="1" t="n">
        <v>44748</v>
      </c>
      <c r="C1330" s="1" t="n">
        <v>45583</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28729-2022</t>
        </is>
      </c>
      <c r="B1331" s="1" t="n">
        <v>44748</v>
      </c>
      <c r="C1331" s="1" t="n">
        <v>45583</v>
      </c>
      <c r="D1331" t="inlineStr">
        <is>
          <t>VÄSTERNORRLANDS LÄN</t>
        </is>
      </c>
      <c r="E1331" t="inlineStr">
        <is>
          <t>SOLLEFTEÅ</t>
        </is>
      </c>
      <c r="F1331" t="inlineStr">
        <is>
          <t>SCA</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28730-2022</t>
        </is>
      </c>
      <c r="B1332" s="1" t="n">
        <v>44748</v>
      </c>
      <c r="C1332" s="1" t="n">
        <v>45583</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28828-2022</t>
        </is>
      </c>
      <c r="B1333" s="1" t="n">
        <v>44749</v>
      </c>
      <c r="C1333" s="1" t="n">
        <v>45583</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28893-2022</t>
        </is>
      </c>
      <c r="B1334" s="1" t="n">
        <v>44749</v>
      </c>
      <c r="C1334" s="1" t="n">
        <v>45583</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28909-2022</t>
        </is>
      </c>
      <c r="B1335" s="1" t="n">
        <v>44749</v>
      </c>
      <c r="C1335" s="1" t="n">
        <v>45583</v>
      </c>
      <c r="D1335" t="inlineStr">
        <is>
          <t>VÄSTERNORRLANDS LÄN</t>
        </is>
      </c>
      <c r="E1335" t="inlineStr">
        <is>
          <t>SOLLEFTEÅ</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28896-2022</t>
        </is>
      </c>
      <c r="B1336" s="1" t="n">
        <v>44749</v>
      </c>
      <c r="C1336" s="1" t="n">
        <v>45583</v>
      </c>
      <c r="D1336" t="inlineStr">
        <is>
          <t>VÄSTERNORRLANDS LÄN</t>
        </is>
      </c>
      <c r="E1336" t="inlineStr">
        <is>
          <t>SOLLEFTEÅ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28903-2022</t>
        </is>
      </c>
      <c r="B1337" s="1" t="n">
        <v>44749</v>
      </c>
      <c r="C1337" s="1" t="n">
        <v>45583</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28973-2022</t>
        </is>
      </c>
      <c r="B1338" s="1" t="n">
        <v>44749</v>
      </c>
      <c r="C1338" s="1" t="n">
        <v>45583</v>
      </c>
      <c r="D1338" t="inlineStr">
        <is>
          <t>VÄSTERNORRLANDS LÄN</t>
        </is>
      </c>
      <c r="E1338" t="inlineStr">
        <is>
          <t>SOLLEFTEÅ</t>
        </is>
      </c>
      <c r="F1338" t="inlineStr">
        <is>
          <t>Holmen skog AB</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29290-2022</t>
        </is>
      </c>
      <c r="B1339" s="1" t="n">
        <v>44750</v>
      </c>
      <c r="C1339" s="1" t="n">
        <v>45583</v>
      </c>
      <c r="D1339" t="inlineStr">
        <is>
          <t>VÄSTERNORRLANDS LÄN</t>
        </is>
      </c>
      <c r="E1339" t="inlineStr">
        <is>
          <t>SOLLEFTEÅ</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29294-2022</t>
        </is>
      </c>
      <c r="B1340" s="1" t="n">
        <v>44751</v>
      </c>
      <c r="C1340" s="1" t="n">
        <v>45583</v>
      </c>
      <c r="D1340" t="inlineStr">
        <is>
          <t>VÄSTERNORRLANDS LÄN</t>
        </is>
      </c>
      <c r="E1340" t="inlineStr">
        <is>
          <t>SOLLEFTEÅ</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29300-2022</t>
        </is>
      </c>
      <c r="B1341" s="1" t="n">
        <v>44750</v>
      </c>
      <c r="C1341" s="1" t="n">
        <v>45583</v>
      </c>
      <c r="D1341" t="inlineStr">
        <is>
          <t>VÄSTERNORRLANDS LÄN</t>
        </is>
      </c>
      <c r="E1341" t="inlineStr">
        <is>
          <t>SOLLEFTEÅ</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29292-2022</t>
        </is>
      </c>
      <c r="B1342" s="1" t="n">
        <v>44750</v>
      </c>
      <c r="C1342" s="1" t="n">
        <v>45583</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29538-2022</t>
        </is>
      </c>
      <c r="B1343" s="1" t="n">
        <v>44754</v>
      </c>
      <c r="C1343" s="1" t="n">
        <v>45583</v>
      </c>
      <c r="D1343" t="inlineStr">
        <is>
          <t>VÄSTERNORRLANDS LÄN</t>
        </is>
      </c>
      <c r="E1343" t="inlineStr">
        <is>
          <t>SOLLEFTEÅ</t>
        </is>
      </c>
      <c r="F1343" t="inlineStr">
        <is>
          <t>SCA</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29842-2022</t>
        </is>
      </c>
      <c r="B1344" s="1" t="n">
        <v>44756</v>
      </c>
      <c r="C1344" s="1" t="n">
        <v>45583</v>
      </c>
      <c r="D1344" t="inlineStr">
        <is>
          <t>VÄSTERNORRLANDS LÄN</t>
        </is>
      </c>
      <c r="E1344" t="inlineStr">
        <is>
          <t>SOLLEFTEÅ</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30032-2022</t>
        </is>
      </c>
      <c r="B1345" s="1" t="n">
        <v>44756</v>
      </c>
      <c r="C1345" s="1" t="n">
        <v>45583</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30041-2022</t>
        </is>
      </c>
      <c r="B1346" s="1" t="n">
        <v>44756</v>
      </c>
      <c r="C1346" s="1" t="n">
        <v>45583</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30045-2022</t>
        </is>
      </c>
      <c r="B1347" s="1" t="n">
        <v>44756</v>
      </c>
      <c r="C1347" s="1" t="n">
        <v>45583</v>
      </c>
      <c r="D1347" t="inlineStr">
        <is>
          <t>VÄSTERNORRLANDS LÄN</t>
        </is>
      </c>
      <c r="E1347" t="inlineStr">
        <is>
          <t>SOLLEFTEÅ</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30013-2022</t>
        </is>
      </c>
      <c r="B1348" s="1" t="n">
        <v>44756</v>
      </c>
      <c r="C1348" s="1" t="n">
        <v>45583</v>
      </c>
      <c r="D1348" t="inlineStr">
        <is>
          <t>VÄSTERNORRLANDS LÄN</t>
        </is>
      </c>
      <c r="E1348" t="inlineStr">
        <is>
          <t>SOLLEFTEÅ</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30033-2022</t>
        </is>
      </c>
      <c r="B1349" s="1" t="n">
        <v>44756</v>
      </c>
      <c r="C1349" s="1" t="n">
        <v>45583</v>
      </c>
      <c r="D1349" t="inlineStr">
        <is>
          <t>VÄSTERNORRLANDS LÄN</t>
        </is>
      </c>
      <c r="E1349" t="inlineStr">
        <is>
          <t>SOLLEFTEÅ</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30040-2022</t>
        </is>
      </c>
      <c r="B1350" s="1" t="n">
        <v>44757</v>
      </c>
      <c r="C1350" s="1" t="n">
        <v>45583</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30034-2022</t>
        </is>
      </c>
      <c r="B1351" s="1" t="n">
        <v>44757</v>
      </c>
      <c r="C1351" s="1" t="n">
        <v>45583</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30039-2022</t>
        </is>
      </c>
      <c r="B1352" s="1" t="n">
        <v>44757</v>
      </c>
      <c r="C1352" s="1" t="n">
        <v>45583</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30043-2022</t>
        </is>
      </c>
      <c r="B1353" s="1" t="n">
        <v>44756</v>
      </c>
      <c r="C1353" s="1" t="n">
        <v>45583</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30238-2022</t>
        </is>
      </c>
      <c r="B1354" s="1" t="n">
        <v>44757</v>
      </c>
      <c r="C1354" s="1" t="n">
        <v>45583</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30239-2022</t>
        </is>
      </c>
      <c r="B1355" s="1" t="n">
        <v>44758</v>
      </c>
      <c r="C1355" s="1" t="n">
        <v>45583</v>
      </c>
      <c r="D1355" t="inlineStr">
        <is>
          <t>VÄSTERNORRLANDS LÄN</t>
        </is>
      </c>
      <c r="E1355" t="inlineStr">
        <is>
          <t>SOLLEFTEÅ</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30237-2022</t>
        </is>
      </c>
      <c r="B1356" s="1" t="n">
        <v>44758</v>
      </c>
      <c r="C1356" s="1" t="n">
        <v>45583</v>
      </c>
      <c r="D1356" t="inlineStr">
        <is>
          <t>VÄSTERNORRLANDS LÄN</t>
        </is>
      </c>
      <c r="E1356" t="inlineStr">
        <is>
          <t>SOLLEFTEÅ</t>
        </is>
      </c>
      <c r="F1356" t="inlineStr">
        <is>
          <t>SCA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30236-2022</t>
        </is>
      </c>
      <c r="B1357" s="1" t="n">
        <v>44757</v>
      </c>
      <c r="C1357" s="1" t="n">
        <v>45583</v>
      </c>
      <c r="D1357" t="inlineStr">
        <is>
          <t>VÄSTERNORRLANDS LÄN</t>
        </is>
      </c>
      <c r="E1357" t="inlineStr">
        <is>
          <t>SOLLEFTEÅ</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30240-2022</t>
        </is>
      </c>
      <c r="B1358" s="1" t="n">
        <v>44757</v>
      </c>
      <c r="C1358" s="1" t="n">
        <v>45583</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30606-2022</t>
        </is>
      </c>
      <c r="B1359" s="1" t="n">
        <v>44763</v>
      </c>
      <c r="C1359" s="1" t="n">
        <v>45583</v>
      </c>
      <c r="D1359" t="inlineStr">
        <is>
          <t>VÄSTERNORRLANDS LÄN</t>
        </is>
      </c>
      <c r="E1359" t="inlineStr">
        <is>
          <t>SOLLEFTEÅ</t>
        </is>
      </c>
      <c r="F1359" t="inlineStr">
        <is>
          <t>SCA</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30805-2022</t>
        </is>
      </c>
      <c r="B1360" s="1" t="n">
        <v>44765</v>
      </c>
      <c r="C1360" s="1" t="n">
        <v>45583</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30936-2022</t>
        </is>
      </c>
      <c r="B1361" s="1" t="n">
        <v>44768</v>
      </c>
      <c r="C1361" s="1" t="n">
        <v>45583</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30937-2022</t>
        </is>
      </c>
      <c r="B1362" s="1" t="n">
        <v>44768</v>
      </c>
      <c r="C1362" s="1" t="n">
        <v>45583</v>
      </c>
      <c r="D1362" t="inlineStr">
        <is>
          <t>VÄSTERNORRLANDS LÄN</t>
        </is>
      </c>
      <c r="E1362" t="inlineStr">
        <is>
          <t>SOLLEFTEÅ</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31005-2022</t>
        </is>
      </c>
      <c r="B1363" s="1" t="n">
        <v>44768</v>
      </c>
      <c r="C1363" s="1" t="n">
        <v>45583</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31444-2022</t>
        </is>
      </c>
      <c r="B1364" s="1" t="n">
        <v>44774</v>
      </c>
      <c r="C1364" s="1" t="n">
        <v>45583</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31453-2022</t>
        </is>
      </c>
      <c r="B1365" s="1" t="n">
        <v>44775</v>
      </c>
      <c r="C1365" s="1" t="n">
        <v>45583</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31474-2022</t>
        </is>
      </c>
      <c r="B1366" s="1" t="n">
        <v>44775</v>
      </c>
      <c r="C1366" s="1" t="n">
        <v>45583</v>
      </c>
      <c r="D1366" t="inlineStr">
        <is>
          <t>VÄSTERNORRLANDS LÄN</t>
        </is>
      </c>
      <c r="E1366" t="inlineStr">
        <is>
          <t>SOLLEFTEÅ</t>
        </is>
      </c>
      <c r="F1366" t="inlineStr">
        <is>
          <t>SCA</t>
        </is>
      </c>
      <c r="G1366" t="n">
        <v>28.3</v>
      </c>
      <c r="H1366" t="n">
        <v>0</v>
      </c>
      <c r="I1366" t="n">
        <v>0</v>
      </c>
      <c r="J1366" t="n">
        <v>0</v>
      </c>
      <c r="K1366" t="n">
        <v>0</v>
      </c>
      <c r="L1366" t="n">
        <v>0</v>
      </c>
      <c r="M1366" t="n">
        <v>0</v>
      </c>
      <c r="N1366" t="n">
        <v>0</v>
      </c>
      <c r="O1366" t="n">
        <v>0</v>
      </c>
      <c r="P1366" t="n">
        <v>0</v>
      </c>
      <c r="Q1366" t="n">
        <v>0</v>
      </c>
      <c r="R1366" s="2" t="inlineStr"/>
    </row>
    <row r="1367" ht="15" customHeight="1">
      <c r="A1367" t="inlineStr">
        <is>
          <t>A 31440-2022</t>
        </is>
      </c>
      <c r="B1367" s="1" t="n">
        <v>44775</v>
      </c>
      <c r="C1367" s="1" t="n">
        <v>45583</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31464-2022</t>
        </is>
      </c>
      <c r="B1368" s="1" t="n">
        <v>44774</v>
      </c>
      <c r="C1368" s="1" t="n">
        <v>45583</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31452-2022</t>
        </is>
      </c>
      <c r="B1369" s="1" t="n">
        <v>44775</v>
      </c>
      <c r="C1369" s="1" t="n">
        <v>45583</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31490-2022</t>
        </is>
      </c>
      <c r="B1370" s="1" t="n">
        <v>44775</v>
      </c>
      <c r="C1370" s="1" t="n">
        <v>45583</v>
      </c>
      <c r="D1370" t="inlineStr">
        <is>
          <t>VÄSTERNORRLANDS LÄN</t>
        </is>
      </c>
      <c r="E1370" t="inlineStr">
        <is>
          <t>SOLLEFTEÅ</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31451-2022</t>
        </is>
      </c>
      <c r="B1371" s="1" t="n">
        <v>44775</v>
      </c>
      <c r="C1371" s="1" t="n">
        <v>45583</v>
      </c>
      <c r="D1371" t="inlineStr">
        <is>
          <t>VÄSTERNORRLANDS LÄN</t>
        </is>
      </c>
      <c r="E1371" t="inlineStr">
        <is>
          <t>SOLLEFTEÅ</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31482-2022</t>
        </is>
      </c>
      <c r="B1372" s="1" t="n">
        <v>44775</v>
      </c>
      <c r="C1372" s="1" t="n">
        <v>45583</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31588-2022</t>
        </is>
      </c>
      <c r="B1373" s="1" t="n">
        <v>44775</v>
      </c>
      <c r="C1373" s="1" t="n">
        <v>45583</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31646-2022</t>
        </is>
      </c>
      <c r="B1374" s="1" t="n">
        <v>44776</v>
      </c>
      <c r="C1374" s="1" t="n">
        <v>45583</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31672-2022</t>
        </is>
      </c>
      <c r="B1375" s="1" t="n">
        <v>44776</v>
      </c>
      <c r="C1375" s="1" t="n">
        <v>45583</v>
      </c>
      <c r="D1375" t="inlineStr">
        <is>
          <t>VÄSTERNORRLANDS LÄN</t>
        </is>
      </c>
      <c r="E1375" t="inlineStr">
        <is>
          <t>SOLLEFTEÅ</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31856-2022</t>
        </is>
      </c>
      <c r="B1376" s="1" t="n">
        <v>44776</v>
      </c>
      <c r="C1376" s="1" t="n">
        <v>45583</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31968-2022</t>
        </is>
      </c>
      <c r="B1377" s="1" t="n">
        <v>44778</v>
      </c>
      <c r="C1377" s="1" t="n">
        <v>45583</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31967-2022</t>
        </is>
      </c>
      <c r="B1378" s="1" t="n">
        <v>44778</v>
      </c>
      <c r="C1378" s="1" t="n">
        <v>45583</v>
      </c>
      <c r="D1378" t="inlineStr">
        <is>
          <t>VÄSTERNORRLANDS LÄN</t>
        </is>
      </c>
      <c r="E1378" t="inlineStr">
        <is>
          <t>SOLLEFTEÅ</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31965-2022</t>
        </is>
      </c>
      <c r="B1379" s="1" t="n">
        <v>44778</v>
      </c>
      <c r="C1379" s="1" t="n">
        <v>45583</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31966-2022</t>
        </is>
      </c>
      <c r="B1380" s="1" t="n">
        <v>44778</v>
      </c>
      <c r="C1380" s="1" t="n">
        <v>45583</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32127-2022</t>
        </is>
      </c>
      <c r="B1381" s="1" t="n">
        <v>44779</v>
      </c>
      <c r="C1381" s="1" t="n">
        <v>45583</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32129-2022</t>
        </is>
      </c>
      <c r="B1382" s="1" t="n">
        <v>44779</v>
      </c>
      <c r="C1382" s="1" t="n">
        <v>45583</v>
      </c>
      <c r="D1382" t="inlineStr">
        <is>
          <t>VÄSTERNORRLANDS LÄN</t>
        </is>
      </c>
      <c r="E1382" t="inlineStr">
        <is>
          <t>SOLLEFTEÅ</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32126-2022</t>
        </is>
      </c>
      <c r="B1383" s="1" t="n">
        <v>44778</v>
      </c>
      <c r="C1383" s="1" t="n">
        <v>45583</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32130-2022</t>
        </is>
      </c>
      <c r="B1384" s="1" t="n">
        <v>44779</v>
      </c>
      <c r="C1384" s="1" t="n">
        <v>45583</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32453-2022</t>
        </is>
      </c>
      <c r="B1385" s="1" t="n">
        <v>44782</v>
      </c>
      <c r="C1385" s="1" t="n">
        <v>45583</v>
      </c>
      <c r="D1385" t="inlineStr">
        <is>
          <t>VÄSTERNORRLANDS LÄN</t>
        </is>
      </c>
      <c r="E1385" t="inlineStr">
        <is>
          <t>SOLLEFTEÅ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32531-2022</t>
        </is>
      </c>
      <c r="B1386" s="1" t="n">
        <v>44783</v>
      </c>
      <c r="C1386" s="1" t="n">
        <v>45583</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44784</v>
      </c>
      <c r="C1387" s="1" t="n">
        <v>45583</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32969-2022</t>
        </is>
      </c>
      <c r="B1388" s="1" t="n">
        <v>44785</v>
      </c>
      <c r="C1388" s="1" t="n">
        <v>45583</v>
      </c>
      <c r="D1388" t="inlineStr">
        <is>
          <t>VÄSTERNORRLANDS LÄN</t>
        </is>
      </c>
      <c r="E1388" t="inlineStr">
        <is>
          <t>SOLLEFTEÅ</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33056-2022</t>
        </is>
      </c>
      <c r="B1389" s="1" t="n">
        <v>44785</v>
      </c>
      <c r="C1389" s="1" t="n">
        <v>45583</v>
      </c>
      <c r="D1389" t="inlineStr">
        <is>
          <t>VÄSTERNORRLANDS LÄN</t>
        </is>
      </c>
      <c r="E1389" t="inlineStr">
        <is>
          <t>SOLLEFTEÅ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33083-2022</t>
        </is>
      </c>
      <c r="B1390" s="1" t="n">
        <v>44785</v>
      </c>
      <c r="C1390" s="1" t="n">
        <v>45583</v>
      </c>
      <c r="D1390" t="inlineStr">
        <is>
          <t>VÄSTERNORRLANDS LÄN</t>
        </is>
      </c>
      <c r="E1390" t="inlineStr">
        <is>
          <t>SOLLEFTEÅ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33077-2022</t>
        </is>
      </c>
      <c r="B1391" s="1" t="n">
        <v>44785</v>
      </c>
      <c r="C1391" s="1" t="n">
        <v>45583</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33226-2022</t>
        </is>
      </c>
      <c r="B1392" s="1" t="n">
        <v>44786</v>
      </c>
      <c r="C1392" s="1" t="n">
        <v>45583</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33505-2022</t>
        </is>
      </c>
      <c r="B1393" s="1" t="n">
        <v>44789</v>
      </c>
      <c r="C1393" s="1" t="n">
        <v>45583</v>
      </c>
      <c r="D1393" t="inlineStr">
        <is>
          <t>VÄSTERNORRLANDS LÄN</t>
        </is>
      </c>
      <c r="E1393" t="inlineStr">
        <is>
          <t>SOLLEFTEÅ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33519-2022</t>
        </is>
      </c>
      <c r="B1394" s="1" t="n">
        <v>44789</v>
      </c>
      <c r="C1394" s="1" t="n">
        <v>45583</v>
      </c>
      <c r="D1394" t="inlineStr">
        <is>
          <t>VÄSTERNORRLANDS LÄN</t>
        </is>
      </c>
      <c r="E1394" t="inlineStr">
        <is>
          <t>SOLLEFTEÅ</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33528-2022</t>
        </is>
      </c>
      <c r="B1395" s="1" t="n">
        <v>44788</v>
      </c>
      <c r="C1395" s="1" t="n">
        <v>45583</v>
      </c>
      <c r="D1395" t="inlineStr">
        <is>
          <t>VÄSTERNORRLANDS LÄN</t>
        </is>
      </c>
      <c r="E1395" t="inlineStr">
        <is>
          <t>SOLLEFTEÅ</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33734-2022</t>
        </is>
      </c>
      <c r="B1396" s="1" t="n">
        <v>44790</v>
      </c>
      <c r="C1396" s="1" t="n">
        <v>45583</v>
      </c>
      <c r="D1396" t="inlineStr">
        <is>
          <t>VÄSTERNORRLANDS LÄN</t>
        </is>
      </c>
      <c r="E1396" t="inlineStr">
        <is>
          <t>SOLLEFTEÅ</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33990-2022</t>
        </is>
      </c>
      <c r="B1397" s="1" t="n">
        <v>44790</v>
      </c>
      <c r="C1397" s="1" t="n">
        <v>45583</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33995-2022</t>
        </is>
      </c>
      <c r="B1398" s="1" t="n">
        <v>44791</v>
      </c>
      <c r="C1398" s="1" t="n">
        <v>45583</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33994-2022</t>
        </is>
      </c>
      <c r="B1399" s="1" t="n">
        <v>44791</v>
      </c>
      <c r="C1399" s="1" t="n">
        <v>45583</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34242-2022</t>
        </is>
      </c>
      <c r="B1400" s="1" t="n">
        <v>44792</v>
      </c>
      <c r="C1400" s="1" t="n">
        <v>45583</v>
      </c>
      <c r="D1400" t="inlineStr">
        <is>
          <t>VÄSTERNORRLANDS LÄN</t>
        </is>
      </c>
      <c r="E1400" t="inlineStr">
        <is>
          <t>SOLLEFTEÅ</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34252-2022</t>
        </is>
      </c>
      <c r="B1401" s="1" t="n">
        <v>44792</v>
      </c>
      <c r="C1401" s="1" t="n">
        <v>45583</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34267-2022</t>
        </is>
      </c>
      <c r="B1402" s="1" t="n">
        <v>44792</v>
      </c>
      <c r="C1402" s="1" t="n">
        <v>45583</v>
      </c>
      <c r="D1402" t="inlineStr">
        <is>
          <t>VÄSTERNORRLANDS LÄN</t>
        </is>
      </c>
      <c r="E1402" t="inlineStr">
        <is>
          <t>SOLLEFTEÅ</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34281-2022</t>
        </is>
      </c>
      <c r="B1403" s="1" t="n">
        <v>44791</v>
      </c>
      <c r="C1403" s="1" t="n">
        <v>45583</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34518-2022</t>
        </is>
      </c>
      <c r="B1404" s="1" t="n">
        <v>44793</v>
      </c>
      <c r="C1404" s="1" t="n">
        <v>45583</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34517-2022</t>
        </is>
      </c>
      <c r="B1405" s="1" t="n">
        <v>44793</v>
      </c>
      <c r="C1405" s="1" t="n">
        <v>45583</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34527-2022</t>
        </is>
      </c>
      <c r="B1406" s="1" t="n">
        <v>44793</v>
      </c>
      <c r="C1406" s="1" t="n">
        <v>45583</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34534-2022</t>
        </is>
      </c>
      <c r="B1407" s="1" t="n">
        <v>44793</v>
      </c>
      <c r="C1407" s="1" t="n">
        <v>45583</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34516-2022</t>
        </is>
      </c>
      <c r="B1408" s="1" t="n">
        <v>44792</v>
      </c>
      <c r="C1408" s="1" t="n">
        <v>45583</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34648-2022</t>
        </is>
      </c>
      <c r="B1409" s="1" t="n">
        <v>44792</v>
      </c>
      <c r="C1409" s="1" t="n">
        <v>45583</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34549-2022</t>
        </is>
      </c>
      <c r="B1410" s="1" t="n">
        <v>44793</v>
      </c>
      <c r="C1410" s="1" t="n">
        <v>45583</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34542-2022</t>
        </is>
      </c>
      <c r="B1411" s="1" t="n">
        <v>44793</v>
      </c>
      <c r="C1411" s="1" t="n">
        <v>45583</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45583</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34552-2022</t>
        </is>
      </c>
      <c r="B1413" s="1" t="n">
        <v>44794</v>
      </c>
      <c r="C1413" s="1" t="n">
        <v>45583</v>
      </c>
      <c r="D1413" t="inlineStr">
        <is>
          <t>VÄSTERNORRLANDS LÄN</t>
        </is>
      </c>
      <c r="E1413" t="inlineStr">
        <is>
          <t>SOLLEFTEÅ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34804-2022</t>
        </is>
      </c>
      <c r="B1414" s="1" t="n">
        <v>44796</v>
      </c>
      <c r="C1414" s="1" t="n">
        <v>45583</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35019-2022</t>
        </is>
      </c>
      <c r="B1415" s="1" t="n">
        <v>44797</v>
      </c>
      <c r="C1415" s="1" t="n">
        <v>45583</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35229-2022</t>
        </is>
      </c>
      <c r="B1416" s="1" t="n">
        <v>44798</v>
      </c>
      <c r="C1416" s="1" t="n">
        <v>45583</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35747-2022</t>
        </is>
      </c>
      <c r="B1417" s="1" t="n">
        <v>44799</v>
      </c>
      <c r="C1417" s="1" t="n">
        <v>45583</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35797-2022</t>
        </is>
      </c>
      <c r="B1418" s="1" t="n">
        <v>44802</v>
      </c>
      <c r="C1418" s="1" t="n">
        <v>45583</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36080-2022</t>
        </is>
      </c>
      <c r="B1419" s="1" t="n">
        <v>44803</v>
      </c>
      <c r="C1419" s="1" t="n">
        <v>45583</v>
      </c>
      <c r="D1419" t="inlineStr">
        <is>
          <t>VÄSTERNORRLANDS LÄN</t>
        </is>
      </c>
      <c r="E1419" t="inlineStr">
        <is>
          <t>SOLLEFTEÅ</t>
        </is>
      </c>
      <c r="F1419" t="inlineStr">
        <is>
          <t>SCA</t>
        </is>
      </c>
      <c r="G1419" t="n">
        <v>78.2</v>
      </c>
      <c r="H1419" t="n">
        <v>0</v>
      </c>
      <c r="I1419" t="n">
        <v>0</v>
      </c>
      <c r="J1419" t="n">
        <v>0</v>
      </c>
      <c r="K1419" t="n">
        <v>0</v>
      </c>
      <c r="L1419" t="n">
        <v>0</v>
      </c>
      <c r="M1419" t="n">
        <v>0</v>
      </c>
      <c r="N1419" t="n">
        <v>0</v>
      </c>
      <c r="O1419" t="n">
        <v>0</v>
      </c>
      <c r="P1419" t="n">
        <v>0</v>
      </c>
      <c r="Q1419" t="n">
        <v>0</v>
      </c>
      <c r="R1419" s="2" t="inlineStr"/>
    </row>
    <row r="1420" ht="15" customHeight="1">
      <c r="A1420" t="inlineStr">
        <is>
          <t>A 36078-2022</t>
        </is>
      </c>
      <c r="B1420" s="1" t="n">
        <v>44803</v>
      </c>
      <c r="C1420" s="1" t="n">
        <v>45583</v>
      </c>
      <c r="D1420" t="inlineStr">
        <is>
          <t>VÄSTERNORRLANDS LÄN</t>
        </is>
      </c>
      <c r="E1420" t="inlineStr">
        <is>
          <t>SOLLEFTEÅ</t>
        </is>
      </c>
      <c r="F1420" t="inlineStr">
        <is>
          <t>SCA</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36368-2022</t>
        </is>
      </c>
      <c r="B1421" s="1" t="n">
        <v>44804</v>
      </c>
      <c r="C1421" s="1" t="n">
        <v>45583</v>
      </c>
      <c r="D1421" t="inlineStr">
        <is>
          <t>VÄSTERNORRLANDS LÄN</t>
        </is>
      </c>
      <c r="E1421" t="inlineStr">
        <is>
          <t>SOLLEFTEÅ</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36367-2022</t>
        </is>
      </c>
      <c r="B1422" s="1" t="n">
        <v>44804</v>
      </c>
      <c r="C1422" s="1" t="n">
        <v>45583</v>
      </c>
      <c r="D1422" t="inlineStr">
        <is>
          <t>VÄSTERNORRLANDS LÄN</t>
        </is>
      </c>
      <c r="E1422" t="inlineStr">
        <is>
          <t>SOLLEFTEÅ</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36688-2022</t>
        </is>
      </c>
      <c r="B1423" s="1" t="n">
        <v>44804</v>
      </c>
      <c r="C1423" s="1" t="n">
        <v>45583</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36681-2022</t>
        </is>
      </c>
      <c r="B1424" s="1" t="n">
        <v>44804</v>
      </c>
      <c r="C1424" s="1" t="n">
        <v>45583</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36926-2022</t>
        </is>
      </c>
      <c r="B1425" s="1" t="n">
        <v>44806</v>
      </c>
      <c r="C1425" s="1" t="n">
        <v>45583</v>
      </c>
      <c r="D1425" t="inlineStr">
        <is>
          <t>VÄSTERNORRLANDS LÄN</t>
        </is>
      </c>
      <c r="E1425" t="inlineStr">
        <is>
          <t>SOLLEFTEÅ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37242-2022</t>
        </is>
      </c>
      <c r="B1426" s="1" t="n">
        <v>44807</v>
      </c>
      <c r="C1426" s="1" t="n">
        <v>45583</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37589-2022</t>
        </is>
      </c>
      <c r="B1427" s="1" t="n">
        <v>44810</v>
      </c>
      <c r="C1427" s="1" t="n">
        <v>45583</v>
      </c>
      <c r="D1427" t="inlineStr">
        <is>
          <t>VÄSTERNORRLANDS LÄN</t>
        </is>
      </c>
      <c r="E1427" t="inlineStr">
        <is>
          <t>SOLLEFTEÅ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37596-2022</t>
        </is>
      </c>
      <c r="B1428" s="1" t="n">
        <v>44810</v>
      </c>
      <c r="C1428" s="1" t="n">
        <v>45583</v>
      </c>
      <c r="D1428" t="inlineStr">
        <is>
          <t>VÄSTERNORRLANDS LÄN</t>
        </is>
      </c>
      <c r="E1428" t="inlineStr">
        <is>
          <t>SOLLEFTEÅ</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37597-2022</t>
        </is>
      </c>
      <c r="B1429" s="1" t="n">
        <v>44810</v>
      </c>
      <c r="C1429" s="1" t="n">
        <v>45583</v>
      </c>
      <c r="D1429" t="inlineStr">
        <is>
          <t>VÄSTERNORRLANDS LÄN</t>
        </is>
      </c>
      <c r="E1429" t="inlineStr">
        <is>
          <t>SOLLEFTEÅ</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37835-2022</t>
        </is>
      </c>
      <c r="B1430" s="1" t="n">
        <v>44810</v>
      </c>
      <c r="C1430" s="1" t="n">
        <v>45583</v>
      </c>
      <c r="D1430" t="inlineStr">
        <is>
          <t>VÄSTERNORRLANDS LÄN</t>
        </is>
      </c>
      <c r="E1430" t="inlineStr">
        <is>
          <t>SOLLEFTEÅ</t>
        </is>
      </c>
      <c r="F1430" t="inlineStr">
        <is>
          <t>SCA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37826-2022</t>
        </is>
      </c>
      <c r="B1431" s="1" t="n">
        <v>44811</v>
      </c>
      <c r="C1431" s="1" t="n">
        <v>45583</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37840-2022</t>
        </is>
      </c>
      <c r="B1432" s="1" t="n">
        <v>44810</v>
      </c>
      <c r="C1432" s="1" t="n">
        <v>45583</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38096-2022</t>
        </is>
      </c>
      <c r="B1433" s="1" t="n">
        <v>44812</v>
      </c>
      <c r="C1433" s="1" t="n">
        <v>45583</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38095-2022</t>
        </is>
      </c>
      <c r="B1434" s="1" t="n">
        <v>44811</v>
      </c>
      <c r="C1434" s="1" t="n">
        <v>45583</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37977-2022</t>
        </is>
      </c>
      <c r="B1435" s="1" t="n">
        <v>44811</v>
      </c>
      <c r="C1435" s="1" t="n">
        <v>45583</v>
      </c>
      <c r="D1435" t="inlineStr">
        <is>
          <t>VÄSTERNORRLANDS LÄN</t>
        </is>
      </c>
      <c r="E1435" t="inlineStr">
        <is>
          <t>SOLLEFTEÅ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38102-2022</t>
        </is>
      </c>
      <c r="B1436" s="1" t="n">
        <v>44811</v>
      </c>
      <c r="C1436" s="1" t="n">
        <v>45583</v>
      </c>
      <c r="D1436" t="inlineStr">
        <is>
          <t>VÄSTERNORRLANDS LÄN</t>
        </is>
      </c>
      <c r="E1436" t="inlineStr">
        <is>
          <t>SOLLEFTEÅ</t>
        </is>
      </c>
      <c r="F1436" t="inlineStr">
        <is>
          <t>SCA</t>
        </is>
      </c>
      <c r="G1436" t="n">
        <v>4.9</v>
      </c>
      <c r="H1436" t="n">
        <v>0</v>
      </c>
      <c r="I1436" t="n">
        <v>0</v>
      </c>
      <c r="J1436" t="n">
        <v>0</v>
      </c>
      <c r="K1436" t="n">
        <v>0</v>
      </c>
      <c r="L1436" t="n">
        <v>0</v>
      </c>
      <c r="M1436" t="n">
        <v>0</v>
      </c>
      <c r="N1436" t="n">
        <v>0</v>
      </c>
      <c r="O1436" t="n">
        <v>0</v>
      </c>
      <c r="P1436" t="n">
        <v>0</v>
      </c>
      <c r="Q1436" t="n">
        <v>0</v>
      </c>
      <c r="R1436" s="2" t="inlineStr"/>
      <c r="U1436">
        <f>HYPERLINK("https://klasma.github.io/Logging_2283/knärot/A 38102-2022 karta knärot.png", "A 38102-2022")</f>
        <v/>
      </c>
      <c r="V1436">
        <f>HYPERLINK("https://klasma.github.io/Logging_2283/klagomål/A 38102-2022 FSC-klagomål.docx", "A 38102-2022")</f>
        <v/>
      </c>
      <c r="W1436">
        <f>HYPERLINK("https://klasma.github.io/Logging_2283/klagomålsmail/A 38102-2022 FSC-klagomål mail.docx", "A 38102-2022")</f>
        <v/>
      </c>
      <c r="X1436">
        <f>HYPERLINK("https://klasma.github.io/Logging_2283/tillsyn/A 38102-2022 tillsynsbegäran.docx", "A 38102-2022")</f>
        <v/>
      </c>
      <c r="Y1436">
        <f>HYPERLINK("https://klasma.github.io/Logging_2283/tillsynsmail/A 38102-2022 tillsynsbegäran mail.docx", "A 38102-2022")</f>
        <v/>
      </c>
    </row>
    <row r="1437" ht="15" customHeight="1">
      <c r="A1437" t="inlineStr">
        <is>
          <t>A 38230-2022</t>
        </is>
      </c>
      <c r="B1437" s="1" t="n">
        <v>44812</v>
      </c>
      <c r="C1437" s="1" t="n">
        <v>45583</v>
      </c>
      <c r="D1437" t="inlineStr">
        <is>
          <t>VÄSTERNORRLANDS LÄN</t>
        </is>
      </c>
      <c r="E1437" t="inlineStr">
        <is>
          <t>SOLLEFTEÅ</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38430-2022</t>
        </is>
      </c>
      <c r="B1438" s="1" t="n">
        <v>44812</v>
      </c>
      <c r="C1438" s="1" t="n">
        <v>45583</v>
      </c>
      <c r="D1438" t="inlineStr">
        <is>
          <t>VÄSTERNORRLANDS LÄN</t>
        </is>
      </c>
      <c r="E1438" t="inlineStr">
        <is>
          <t>SOLLEFTEÅ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38433-2022</t>
        </is>
      </c>
      <c r="B1439" s="1" t="n">
        <v>44812</v>
      </c>
      <c r="C1439" s="1" t="n">
        <v>45583</v>
      </c>
      <c r="D1439" t="inlineStr">
        <is>
          <t>VÄSTERNORRLANDS LÄN</t>
        </is>
      </c>
      <c r="E1439" t="inlineStr">
        <is>
          <t>SOLLEFTEÅ</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38312-2022</t>
        </is>
      </c>
      <c r="B1440" s="1" t="n">
        <v>44812</v>
      </c>
      <c r="C1440" s="1" t="n">
        <v>45583</v>
      </c>
      <c r="D1440" t="inlineStr">
        <is>
          <t>VÄSTERNORRLANDS LÄN</t>
        </is>
      </c>
      <c r="E1440" t="inlineStr">
        <is>
          <t>SOLLEFTEÅ</t>
        </is>
      </c>
      <c r="F1440" t="inlineStr">
        <is>
          <t>Holmen skog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38428-2022</t>
        </is>
      </c>
      <c r="B1441" s="1" t="n">
        <v>44812</v>
      </c>
      <c r="C1441" s="1" t="n">
        <v>45583</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38432-2022</t>
        </is>
      </c>
      <c r="B1442" s="1" t="n">
        <v>44812</v>
      </c>
      <c r="C1442" s="1" t="n">
        <v>45583</v>
      </c>
      <c r="D1442" t="inlineStr">
        <is>
          <t>VÄSTERNORRLANDS LÄN</t>
        </is>
      </c>
      <c r="E1442" t="inlineStr">
        <is>
          <t>SOLLEFTEÅ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44814</v>
      </c>
      <c r="C1443" s="1" t="n">
        <v>45583</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44817</v>
      </c>
      <c r="C1444" s="1" t="n">
        <v>45583</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39012-2022</t>
        </is>
      </c>
      <c r="B1445" s="1" t="n">
        <v>44816</v>
      </c>
      <c r="C1445" s="1" t="n">
        <v>45583</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39384-2022</t>
        </is>
      </c>
      <c r="B1446" s="1" t="n">
        <v>44818</v>
      </c>
      <c r="C1446" s="1" t="n">
        <v>45583</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39372-2022</t>
        </is>
      </c>
      <c r="B1447" s="1" t="n">
        <v>44818</v>
      </c>
      <c r="C1447" s="1" t="n">
        <v>45583</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39371-2022</t>
        </is>
      </c>
      <c r="B1448" s="1" t="n">
        <v>44818</v>
      </c>
      <c r="C1448" s="1" t="n">
        <v>45583</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39688-2022</t>
        </is>
      </c>
      <c r="B1449" s="1" t="n">
        <v>44818</v>
      </c>
      <c r="C1449" s="1" t="n">
        <v>45583</v>
      </c>
      <c r="D1449" t="inlineStr">
        <is>
          <t>VÄSTERNORRLANDS LÄN</t>
        </is>
      </c>
      <c r="E1449" t="inlineStr">
        <is>
          <t>SOLLEFTEÅ</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39699-2022</t>
        </is>
      </c>
      <c r="B1450" s="1" t="n">
        <v>44819</v>
      </c>
      <c r="C1450" s="1" t="n">
        <v>45583</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39944-2022</t>
        </is>
      </c>
      <c r="B1451" s="1" t="n">
        <v>44819</v>
      </c>
      <c r="C1451" s="1" t="n">
        <v>45583</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39942-2022</t>
        </is>
      </c>
      <c r="B1452" s="1" t="n">
        <v>44820</v>
      </c>
      <c r="C1452" s="1" t="n">
        <v>45583</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39947-2022</t>
        </is>
      </c>
      <c r="B1453" s="1" t="n">
        <v>44819</v>
      </c>
      <c r="C1453" s="1" t="n">
        <v>45583</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39943-2022</t>
        </is>
      </c>
      <c r="B1454" s="1" t="n">
        <v>44820</v>
      </c>
      <c r="C1454" s="1" t="n">
        <v>45583</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39951-2022</t>
        </is>
      </c>
      <c r="B1455" s="1" t="n">
        <v>44820</v>
      </c>
      <c r="C1455" s="1" t="n">
        <v>45583</v>
      </c>
      <c r="D1455" t="inlineStr">
        <is>
          <t>VÄSTERNORRLANDS LÄN</t>
        </is>
      </c>
      <c r="E1455" t="inlineStr">
        <is>
          <t>SOLLEFTEÅ</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39934-2022</t>
        </is>
      </c>
      <c r="B1456" s="1" t="n">
        <v>44820</v>
      </c>
      <c r="C1456" s="1" t="n">
        <v>45583</v>
      </c>
      <c r="D1456" t="inlineStr">
        <is>
          <t>VÄSTERNORRLANDS LÄN</t>
        </is>
      </c>
      <c r="E1456" t="inlineStr">
        <is>
          <t>SOLLEFTEÅ</t>
        </is>
      </c>
      <c r="F1456" t="inlineStr">
        <is>
          <t>SCA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39946-2022</t>
        </is>
      </c>
      <c r="B1457" s="1" t="n">
        <v>44819</v>
      </c>
      <c r="C1457" s="1" t="n">
        <v>45583</v>
      </c>
      <c r="D1457" t="inlineStr">
        <is>
          <t>VÄSTERNORRLANDS LÄN</t>
        </is>
      </c>
      <c r="E1457" t="inlineStr">
        <is>
          <t>SOLLEFTEÅ</t>
        </is>
      </c>
      <c r="F1457" t="inlineStr">
        <is>
          <t>SCA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40608-2022</t>
        </is>
      </c>
      <c r="B1458" s="1" t="n">
        <v>44824</v>
      </c>
      <c r="C1458" s="1" t="n">
        <v>45583</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40609-2022</t>
        </is>
      </c>
      <c r="B1459" s="1" t="n">
        <v>44824</v>
      </c>
      <c r="C1459" s="1" t="n">
        <v>45583</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40610-2022</t>
        </is>
      </c>
      <c r="B1460" s="1" t="n">
        <v>44824</v>
      </c>
      <c r="C1460" s="1" t="n">
        <v>45583</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40599-2022</t>
        </is>
      </c>
      <c r="B1461" s="1" t="n">
        <v>44824</v>
      </c>
      <c r="C1461" s="1" t="n">
        <v>45583</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40611-2022</t>
        </is>
      </c>
      <c r="B1462" s="1" t="n">
        <v>44824</v>
      </c>
      <c r="C1462" s="1" t="n">
        <v>45583</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40832-2022</t>
        </is>
      </c>
      <c r="B1463" s="1" t="n">
        <v>44825</v>
      </c>
      <c r="C1463" s="1" t="n">
        <v>45583</v>
      </c>
      <c r="D1463" t="inlineStr">
        <is>
          <t>VÄSTERNORRLANDS LÄN</t>
        </is>
      </c>
      <c r="E1463" t="inlineStr">
        <is>
          <t>SOLLEFTEÅ</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41187-2022</t>
        </is>
      </c>
      <c r="B1464" s="1" t="n">
        <v>44826</v>
      </c>
      <c r="C1464" s="1" t="n">
        <v>45583</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41192-2022</t>
        </is>
      </c>
      <c r="B1465" s="1" t="n">
        <v>44826</v>
      </c>
      <c r="C1465" s="1" t="n">
        <v>45583</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41168-2022</t>
        </is>
      </c>
      <c r="B1466" s="1" t="n">
        <v>44826</v>
      </c>
      <c r="C1466" s="1" t="n">
        <v>45583</v>
      </c>
      <c r="D1466" t="inlineStr">
        <is>
          <t>VÄSTERNORRLANDS LÄN</t>
        </is>
      </c>
      <c r="E1466" t="inlineStr">
        <is>
          <t>SOLLEFTEÅ</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44826</v>
      </c>
      <c r="C1467" s="1" t="n">
        <v>45583</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41176-2022</t>
        </is>
      </c>
      <c r="B1468" s="1" t="n">
        <v>44826</v>
      </c>
      <c r="C1468" s="1" t="n">
        <v>45583</v>
      </c>
      <c r="D1468" t="inlineStr">
        <is>
          <t>VÄSTERNORRLANDS LÄN</t>
        </is>
      </c>
      <c r="E1468" t="inlineStr">
        <is>
          <t>SOLLEFTEÅ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41189-2022</t>
        </is>
      </c>
      <c r="B1469" s="1" t="n">
        <v>44826</v>
      </c>
      <c r="C1469" s="1" t="n">
        <v>45583</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41196-2022</t>
        </is>
      </c>
      <c r="B1470" s="1" t="n">
        <v>44826</v>
      </c>
      <c r="C1470" s="1" t="n">
        <v>45583</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41195-2022</t>
        </is>
      </c>
      <c r="B1471" s="1" t="n">
        <v>44826</v>
      </c>
      <c r="C1471" s="1" t="n">
        <v>45583</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41456-2022</t>
        </is>
      </c>
      <c r="B1472" s="1" t="n">
        <v>44826</v>
      </c>
      <c r="C1472" s="1" t="n">
        <v>45583</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41463-2022</t>
        </is>
      </c>
      <c r="B1473" s="1" t="n">
        <v>44827</v>
      </c>
      <c r="C1473" s="1" t="n">
        <v>45583</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41475-2022</t>
        </is>
      </c>
      <c r="B1474" s="1" t="n">
        <v>44826</v>
      </c>
      <c r="C1474" s="1" t="n">
        <v>45583</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41481-2022</t>
        </is>
      </c>
      <c r="B1475" s="1" t="n">
        <v>44827</v>
      </c>
      <c r="C1475" s="1" t="n">
        <v>45583</v>
      </c>
      <c r="D1475" t="inlineStr">
        <is>
          <t>VÄSTERNORRLANDS LÄN</t>
        </is>
      </c>
      <c r="E1475" t="inlineStr">
        <is>
          <t>SOLLEFTEÅ</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41478-2022</t>
        </is>
      </c>
      <c r="B1476" s="1" t="n">
        <v>44827</v>
      </c>
      <c r="C1476" s="1" t="n">
        <v>45583</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41486-2022</t>
        </is>
      </c>
      <c r="B1477" s="1" t="n">
        <v>44827</v>
      </c>
      <c r="C1477" s="1" t="n">
        <v>45583</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41455-2022</t>
        </is>
      </c>
      <c r="B1478" s="1" t="n">
        <v>44826</v>
      </c>
      <c r="C1478" s="1" t="n">
        <v>45583</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41474-2022</t>
        </is>
      </c>
      <c r="B1479" s="1" t="n">
        <v>44827</v>
      </c>
      <c r="C1479" s="1" t="n">
        <v>45583</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41480-2022</t>
        </is>
      </c>
      <c r="B1480" s="1" t="n">
        <v>44827</v>
      </c>
      <c r="C1480" s="1" t="n">
        <v>45583</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41488-2022</t>
        </is>
      </c>
      <c r="B1481" s="1" t="n">
        <v>44826</v>
      </c>
      <c r="C1481" s="1" t="n">
        <v>45583</v>
      </c>
      <c r="D1481" t="inlineStr">
        <is>
          <t>VÄSTERNORRLANDS LÄN</t>
        </is>
      </c>
      <c r="E1481" t="inlineStr">
        <is>
          <t>SOLLEFTEÅ</t>
        </is>
      </c>
      <c r="F1481" t="inlineStr">
        <is>
          <t>SCA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41487-2022</t>
        </is>
      </c>
      <c r="B1482" s="1" t="n">
        <v>44827</v>
      </c>
      <c r="C1482" s="1" t="n">
        <v>45583</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41479-2022</t>
        </is>
      </c>
      <c r="B1483" s="1" t="n">
        <v>44827</v>
      </c>
      <c r="C1483" s="1" t="n">
        <v>45583</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41813-2022</t>
        </is>
      </c>
      <c r="B1484" s="1" t="n">
        <v>44828</v>
      </c>
      <c r="C1484" s="1" t="n">
        <v>45583</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42272-2022</t>
        </is>
      </c>
      <c r="B1485" s="1" t="n">
        <v>44831</v>
      </c>
      <c r="C1485" s="1" t="n">
        <v>45583</v>
      </c>
      <c r="D1485" t="inlineStr">
        <is>
          <t>VÄSTERNORRLANDS LÄN</t>
        </is>
      </c>
      <c r="E1485" t="inlineStr">
        <is>
          <t>SOLLEFTEÅ</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42299-2022</t>
        </is>
      </c>
      <c r="B1486" s="1" t="n">
        <v>44830</v>
      </c>
      <c r="C1486" s="1" t="n">
        <v>45583</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42303-2022</t>
        </is>
      </c>
      <c r="B1487" s="1" t="n">
        <v>44831</v>
      </c>
      <c r="C1487" s="1" t="n">
        <v>45583</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42275-2022</t>
        </is>
      </c>
      <c r="B1488" s="1" t="n">
        <v>44830</v>
      </c>
      <c r="C1488" s="1" t="n">
        <v>45583</v>
      </c>
      <c r="D1488" t="inlineStr">
        <is>
          <t>VÄSTERNORRLANDS LÄN</t>
        </is>
      </c>
      <c r="E1488" t="inlineStr">
        <is>
          <t>SOLLEFTEÅ</t>
        </is>
      </c>
      <c r="F1488" t="inlineStr">
        <is>
          <t>SCA</t>
        </is>
      </c>
      <c r="G1488" t="n">
        <v>26.9</v>
      </c>
      <c r="H1488" t="n">
        <v>0</v>
      </c>
      <c r="I1488" t="n">
        <v>0</v>
      </c>
      <c r="J1488" t="n">
        <v>0</v>
      </c>
      <c r="K1488" t="n">
        <v>0</v>
      </c>
      <c r="L1488" t="n">
        <v>0</v>
      </c>
      <c r="M1488" t="n">
        <v>0</v>
      </c>
      <c r="N1488" t="n">
        <v>0</v>
      </c>
      <c r="O1488" t="n">
        <v>0</v>
      </c>
      <c r="P1488" t="n">
        <v>0</v>
      </c>
      <c r="Q1488" t="n">
        <v>0</v>
      </c>
      <c r="R1488" s="2" t="inlineStr"/>
    </row>
    <row r="1489" ht="15" customHeight="1">
      <c r="A1489" t="inlineStr">
        <is>
          <t>A 42300-2022</t>
        </is>
      </c>
      <c r="B1489" s="1" t="n">
        <v>44831</v>
      </c>
      <c r="C1489" s="1" t="n">
        <v>45583</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42302-2022</t>
        </is>
      </c>
      <c r="B1490" s="1" t="n">
        <v>44830</v>
      </c>
      <c r="C1490" s="1" t="n">
        <v>45583</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42482-2022</t>
        </is>
      </c>
      <c r="B1491" s="1" t="n">
        <v>44831</v>
      </c>
      <c r="C1491" s="1" t="n">
        <v>45583</v>
      </c>
      <c r="D1491" t="inlineStr">
        <is>
          <t>VÄSTERNORRLANDS LÄN</t>
        </is>
      </c>
      <c r="E1491" t="inlineStr">
        <is>
          <t>SOLLEFTEÅ</t>
        </is>
      </c>
      <c r="F1491" t="inlineStr">
        <is>
          <t>Holmen skog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42430-2022</t>
        </is>
      </c>
      <c r="B1492" s="1" t="n">
        <v>44831</v>
      </c>
      <c r="C1492" s="1" t="n">
        <v>45583</v>
      </c>
      <c r="D1492" t="inlineStr">
        <is>
          <t>VÄSTERNORRLANDS LÄN</t>
        </is>
      </c>
      <c r="E1492" t="inlineStr">
        <is>
          <t>SOLLEFTEÅ</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42634-2022</t>
        </is>
      </c>
      <c r="B1493" s="1" t="n">
        <v>44832</v>
      </c>
      <c r="C1493" s="1" t="n">
        <v>45583</v>
      </c>
      <c r="D1493" t="inlineStr">
        <is>
          <t>VÄSTERNORRLANDS LÄN</t>
        </is>
      </c>
      <c r="E1493" t="inlineStr">
        <is>
          <t>SOLLEFTEÅ</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42663-2022</t>
        </is>
      </c>
      <c r="B1494" s="1" t="n">
        <v>44831</v>
      </c>
      <c r="C1494" s="1" t="n">
        <v>45583</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42664-2022</t>
        </is>
      </c>
      <c r="B1495" s="1" t="n">
        <v>44831</v>
      </c>
      <c r="C1495" s="1" t="n">
        <v>45583</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42654-2022</t>
        </is>
      </c>
      <c r="B1496" s="1" t="n">
        <v>44832</v>
      </c>
      <c r="C1496" s="1" t="n">
        <v>45583</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42771-2022</t>
        </is>
      </c>
      <c r="B1497" s="1" t="n">
        <v>44832</v>
      </c>
      <c r="C1497" s="1" t="n">
        <v>45583</v>
      </c>
      <c r="D1497" t="inlineStr">
        <is>
          <t>VÄSTERNORRLANDS LÄN</t>
        </is>
      </c>
      <c r="E1497" t="inlineStr">
        <is>
          <t>SOLLEFTEÅ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42755-2022</t>
        </is>
      </c>
      <c r="B1498" s="1" t="n">
        <v>44832</v>
      </c>
      <c r="C1498" s="1" t="n">
        <v>45583</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42885-2022</t>
        </is>
      </c>
      <c r="B1499" s="1" t="n">
        <v>44833</v>
      </c>
      <c r="C1499" s="1" t="n">
        <v>45583</v>
      </c>
      <c r="D1499" t="inlineStr">
        <is>
          <t>VÄSTERNORRLANDS LÄN</t>
        </is>
      </c>
      <c r="E1499" t="inlineStr">
        <is>
          <t>SOLLEFTEÅ</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42891-2022</t>
        </is>
      </c>
      <c r="B1500" s="1" t="n">
        <v>44833</v>
      </c>
      <c r="C1500" s="1" t="n">
        <v>45583</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43035-2022</t>
        </is>
      </c>
      <c r="B1501" s="1" t="n">
        <v>44833</v>
      </c>
      <c r="C1501" s="1" t="n">
        <v>45583</v>
      </c>
      <c r="D1501" t="inlineStr">
        <is>
          <t>VÄSTERNORRLANDS LÄN</t>
        </is>
      </c>
      <c r="E1501" t="inlineStr">
        <is>
          <t>SOLLEFTEÅ</t>
        </is>
      </c>
      <c r="F1501" t="inlineStr">
        <is>
          <t>Kommuner</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43130-2022</t>
        </is>
      </c>
      <c r="B1502" s="1" t="n">
        <v>44833</v>
      </c>
      <c r="C1502" s="1" t="n">
        <v>45583</v>
      </c>
      <c r="D1502" t="inlineStr">
        <is>
          <t>VÄSTERNORRLANDS LÄN</t>
        </is>
      </c>
      <c r="E1502" t="inlineStr">
        <is>
          <t>SOLLEFTEÅ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43137-2022</t>
        </is>
      </c>
      <c r="B1503" s="1" t="n">
        <v>44834</v>
      </c>
      <c r="C1503" s="1" t="n">
        <v>45583</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43124-2022</t>
        </is>
      </c>
      <c r="B1504" s="1" t="n">
        <v>44834</v>
      </c>
      <c r="C1504" s="1" t="n">
        <v>45583</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43122-2022</t>
        </is>
      </c>
      <c r="B1505" s="1" t="n">
        <v>44834</v>
      </c>
      <c r="C1505" s="1" t="n">
        <v>45583</v>
      </c>
      <c r="D1505" t="inlineStr">
        <is>
          <t>VÄSTERNORRLANDS LÄN</t>
        </is>
      </c>
      <c r="E1505" t="inlineStr">
        <is>
          <t>SOLLEFTEÅ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43148-2022</t>
        </is>
      </c>
      <c r="B1506" s="1" t="n">
        <v>44834</v>
      </c>
      <c r="C1506" s="1" t="n">
        <v>45583</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43149-2022</t>
        </is>
      </c>
      <c r="B1507" s="1" t="n">
        <v>44834</v>
      </c>
      <c r="C1507" s="1" t="n">
        <v>45583</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43442-2022</t>
        </is>
      </c>
      <c r="B1508" s="1" t="n">
        <v>44834</v>
      </c>
      <c r="C1508" s="1" t="n">
        <v>45583</v>
      </c>
      <c r="D1508" t="inlineStr">
        <is>
          <t>VÄSTERNORRLANDS LÄN</t>
        </is>
      </c>
      <c r="E1508" t="inlineStr">
        <is>
          <t>SOLLEFTEÅ</t>
        </is>
      </c>
      <c r="F1508" t="inlineStr">
        <is>
          <t>Kyrkan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43469-2022</t>
        </is>
      </c>
      <c r="B1509" s="1" t="n">
        <v>44836</v>
      </c>
      <c r="C1509" s="1" t="n">
        <v>45583</v>
      </c>
      <c r="D1509" t="inlineStr">
        <is>
          <t>VÄSTERNORRLANDS LÄN</t>
        </is>
      </c>
      <c r="E1509" t="inlineStr">
        <is>
          <t>SOLLEFTEÅ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43774-2022</t>
        </is>
      </c>
      <c r="B1510" s="1" t="n">
        <v>44837</v>
      </c>
      <c r="C1510" s="1" t="n">
        <v>45583</v>
      </c>
      <c r="D1510" t="inlineStr">
        <is>
          <t>VÄSTERNORRLANDS LÄN</t>
        </is>
      </c>
      <c r="E1510" t="inlineStr">
        <is>
          <t>SOLLEFTEÅ</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43772-2022</t>
        </is>
      </c>
      <c r="B1511" s="1" t="n">
        <v>44837</v>
      </c>
      <c r="C1511" s="1" t="n">
        <v>45583</v>
      </c>
      <c r="D1511" t="inlineStr">
        <is>
          <t>VÄSTERNORRLANDS LÄN</t>
        </is>
      </c>
      <c r="E1511" t="inlineStr">
        <is>
          <t>SOLLEFTEÅ</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43762-2022</t>
        </is>
      </c>
      <c r="B1512" s="1" t="n">
        <v>44838</v>
      </c>
      <c r="C1512" s="1" t="n">
        <v>45583</v>
      </c>
      <c r="D1512" t="inlineStr">
        <is>
          <t>VÄSTERNORRLANDS LÄN</t>
        </is>
      </c>
      <c r="E1512" t="inlineStr">
        <is>
          <t>SOLLEFTEÅ</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43766-2022</t>
        </is>
      </c>
      <c r="B1513" s="1" t="n">
        <v>44838</v>
      </c>
      <c r="C1513" s="1" t="n">
        <v>45583</v>
      </c>
      <c r="D1513" t="inlineStr">
        <is>
          <t>VÄSTERNORRLANDS LÄN</t>
        </is>
      </c>
      <c r="E1513" t="inlineStr">
        <is>
          <t>SOLLEFTEÅ</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43782-2022</t>
        </is>
      </c>
      <c r="B1514" s="1" t="n">
        <v>44838</v>
      </c>
      <c r="C1514" s="1" t="n">
        <v>45583</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43786-2022</t>
        </is>
      </c>
      <c r="B1515" s="1" t="n">
        <v>44837</v>
      </c>
      <c r="C1515" s="1" t="n">
        <v>45583</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44042-2022</t>
        </is>
      </c>
      <c r="B1516" s="1" t="n">
        <v>44839</v>
      </c>
      <c r="C1516" s="1" t="n">
        <v>45583</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44285-2022</t>
        </is>
      </c>
      <c r="B1517" s="1" t="n">
        <v>44839</v>
      </c>
      <c r="C1517" s="1" t="n">
        <v>45583</v>
      </c>
      <c r="D1517" t="inlineStr">
        <is>
          <t>VÄSTERNORRLANDS LÄN</t>
        </is>
      </c>
      <c r="E1517" t="inlineStr">
        <is>
          <t>SOLLEFTEÅ</t>
        </is>
      </c>
      <c r="F1517" t="inlineStr">
        <is>
          <t>Holmen skog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44438-2022</t>
        </is>
      </c>
      <c r="B1518" s="1" t="n">
        <v>44840</v>
      </c>
      <c r="C1518" s="1" t="n">
        <v>45583</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44454-2022</t>
        </is>
      </c>
      <c r="B1519" s="1" t="n">
        <v>44840</v>
      </c>
      <c r="C1519" s="1" t="n">
        <v>45583</v>
      </c>
      <c r="D1519" t="inlineStr">
        <is>
          <t>VÄSTERNORRLANDS LÄN</t>
        </is>
      </c>
      <c r="E1519" t="inlineStr">
        <is>
          <t>SOLLEFTEÅ</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44208-2022</t>
        </is>
      </c>
      <c r="B1520" s="1" t="n">
        <v>44839</v>
      </c>
      <c r="C1520" s="1" t="n">
        <v>45583</v>
      </c>
      <c r="D1520" t="inlineStr">
        <is>
          <t>VÄSTERNORRLANDS LÄN</t>
        </is>
      </c>
      <c r="E1520" t="inlineStr">
        <is>
          <t>SOLLEFTEÅ</t>
        </is>
      </c>
      <c r="F1520" t="inlineStr">
        <is>
          <t>Holmen skog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44755-2022</t>
        </is>
      </c>
      <c r="B1521" s="1" t="n">
        <v>44841</v>
      </c>
      <c r="C1521" s="1" t="n">
        <v>45583</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44762-2022</t>
        </is>
      </c>
      <c r="B1522" s="1" t="n">
        <v>44840</v>
      </c>
      <c r="C1522" s="1" t="n">
        <v>45583</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44761-2022</t>
        </is>
      </c>
      <c r="B1523" s="1" t="n">
        <v>44840</v>
      </c>
      <c r="C1523" s="1" t="n">
        <v>45583</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44805-2022</t>
        </is>
      </c>
      <c r="B1524" s="1" t="n">
        <v>44841</v>
      </c>
      <c r="C1524" s="1" t="n">
        <v>45583</v>
      </c>
      <c r="D1524" t="inlineStr">
        <is>
          <t>VÄSTERNORRLANDS LÄN</t>
        </is>
      </c>
      <c r="E1524" t="inlineStr">
        <is>
          <t>SOLLEFTEÅ</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45085-2022</t>
        </is>
      </c>
      <c r="B1525" s="1" t="n">
        <v>44841</v>
      </c>
      <c r="C1525" s="1" t="n">
        <v>45583</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45119-2022</t>
        </is>
      </c>
      <c r="B1526" s="1" t="n">
        <v>44843</v>
      </c>
      <c r="C1526" s="1" t="n">
        <v>45583</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45117-2022</t>
        </is>
      </c>
      <c r="B1527" s="1" t="n">
        <v>44844</v>
      </c>
      <c r="C1527" s="1" t="n">
        <v>45583</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45121-2022</t>
        </is>
      </c>
      <c r="B1528" s="1" t="n">
        <v>44844</v>
      </c>
      <c r="C1528" s="1" t="n">
        <v>45583</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45120-2022</t>
        </is>
      </c>
      <c r="B1529" s="1" t="n">
        <v>44843</v>
      </c>
      <c r="C1529" s="1" t="n">
        <v>45583</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45118-2022</t>
        </is>
      </c>
      <c r="B1530" s="1" t="n">
        <v>44843</v>
      </c>
      <c r="C1530" s="1" t="n">
        <v>45583</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45419-2022</t>
        </is>
      </c>
      <c r="B1531" s="1" t="n">
        <v>44844</v>
      </c>
      <c r="C1531" s="1" t="n">
        <v>45583</v>
      </c>
      <c r="D1531" t="inlineStr">
        <is>
          <t>VÄSTERNORRLANDS LÄN</t>
        </is>
      </c>
      <c r="E1531" t="inlineStr">
        <is>
          <t>SOLLEFTEÅ</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44845</v>
      </c>
      <c r="C1532" s="1" t="n">
        <v>45583</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46130-2022</t>
        </is>
      </c>
      <c r="B1533" s="1" t="n">
        <v>44844</v>
      </c>
      <c r="C1533" s="1" t="n">
        <v>45583</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45719-2022</t>
        </is>
      </c>
      <c r="B1534" s="1" t="n">
        <v>44846</v>
      </c>
      <c r="C1534" s="1" t="n">
        <v>45583</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46039-2022</t>
        </is>
      </c>
      <c r="B1535" s="1" t="n">
        <v>44847</v>
      </c>
      <c r="C1535" s="1" t="n">
        <v>45583</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46032-2022</t>
        </is>
      </c>
      <c r="B1536" s="1" t="n">
        <v>44846</v>
      </c>
      <c r="C1536" s="1" t="n">
        <v>45583</v>
      </c>
      <c r="D1536" t="inlineStr">
        <is>
          <t>VÄSTERNORRLANDS LÄN</t>
        </is>
      </c>
      <c r="E1536" t="inlineStr">
        <is>
          <t>SOLLEFTEÅ</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46036-2022</t>
        </is>
      </c>
      <c r="B1537" s="1" t="n">
        <v>44846</v>
      </c>
      <c r="C1537" s="1" t="n">
        <v>45583</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46052-2022</t>
        </is>
      </c>
      <c r="B1538" s="1" t="n">
        <v>44846</v>
      </c>
      <c r="C1538" s="1" t="n">
        <v>45583</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46053-2022</t>
        </is>
      </c>
      <c r="B1539" s="1" t="n">
        <v>44846</v>
      </c>
      <c r="C1539" s="1" t="n">
        <v>45583</v>
      </c>
      <c r="D1539" t="inlineStr">
        <is>
          <t>VÄSTERNORRLANDS LÄN</t>
        </is>
      </c>
      <c r="E1539" t="inlineStr">
        <is>
          <t>SOLLEFTEÅ</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46324-2022</t>
        </is>
      </c>
      <c r="B1540" s="1" t="n">
        <v>44847</v>
      </c>
      <c r="C1540" s="1" t="n">
        <v>45583</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46626-2022</t>
        </is>
      </c>
      <c r="B1541" s="1" t="n">
        <v>44848</v>
      </c>
      <c r="C1541" s="1" t="n">
        <v>45583</v>
      </c>
      <c r="D1541" t="inlineStr">
        <is>
          <t>VÄSTERNORRLANDS LÄN</t>
        </is>
      </c>
      <c r="E1541" t="inlineStr">
        <is>
          <t>SOLLEFTEÅ</t>
        </is>
      </c>
      <c r="F1541" t="inlineStr">
        <is>
          <t>SCA</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46616-2022</t>
        </is>
      </c>
      <c r="B1542" s="1" t="n">
        <v>44848</v>
      </c>
      <c r="C1542" s="1" t="n">
        <v>45583</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44851</v>
      </c>
      <c r="C1543" s="1" t="n">
        <v>45583</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46871-2022</t>
        </is>
      </c>
      <c r="B1544" s="1" t="n">
        <v>44851</v>
      </c>
      <c r="C1544" s="1" t="n">
        <v>45583</v>
      </c>
      <c r="D1544" t="inlineStr">
        <is>
          <t>VÄSTERNORRLANDS LÄN</t>
        </is>
      </c>
      <c r="E1544" t="inlineStr">
        <is>
          <t>SOLLEFTEÅ</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46880-2022</t>
        </is>
      </c>
      <c r="B1545" s="1" t="n">
        <v>44851</v>
      </c>
      <c r="C1545" s="1" t="n">
        <v>45583</v>
      </c>
      <c r="D1545" t="inlineStr">
        <is>
          <t>VÄSTERNORRLANDS LÄN</t>
        </is>
      </c>
      <c r="E1545" t="inlineStr">
        <is>
          <t>SOLLEFTEÅ</t>
        </is>
      </c>
      <c r="F1545" t="inlineStr">
        <is>
          <t>Kyrkan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46986-2022</t>
        </is>
      </c>
      <c r="B1546" s="1" t="n">
        <v>44851</v>
      </c>
      <c r="C1546" s="1" t="n">
        <v>45583</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46985-2022</t>
        </is>
      </c>
      <c r="B1547" s="1" t="n">
        <v>44851</v>
      </c>
      <c r="C1547" s="1" t="n">
        <v>45583</v>
      </c>
      <c r="D1547" t="inlineStr">
        <is>
          <t>VÄSTERNORRLANDS LÄN</t>
        </is>
      </c>
      <c r="E1547" t="inlineStr">
        <is>
          <t>SOLLEFTEÅ</t>
        </is>
      </c>
      <c r="F1547" t="inlineStr">
        <is>
          <t>Kyrkan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47250-2022</t>
        </is>
      </c>
      <c r="B1548" s="1" t="n">
        <v>44852</v>
      </c>
      <c r="C1548" s="1" t="n">
        <v>45583</v>
      </c>
      <c r="D1548" t="inlineStr">
        <is>
          <t>VÄSTERNORRLANDS LÄN</t>
        </is>
      </c>
      <c r="E1548" t="inlineStr">
        <is>
          <t>SOLLEFTEÅ</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47268-2022</t>
        </is>
      </c>
      <c r="B1549" s="1" t="n">
        <v>44853</v>
      </c>
      <c r="C1549" s="1" t="n">
        <v>45583</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47269-2022</t>
        </is>
      </c>
      <c r="B1550" s="1" t="n">
        <v>44853</v>
      </c>
      <c r="C1550" s="1" t="n">
        <v>45583</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47272-2022</t>
        </is>
      </c>
      <c r="B1551" s="1" t="n">
        <v>44853</v>
      </c>
      <c r="C1551" s="1" t="n">
        <v>45583</v>
      </c>
      <c r="D1551" t="inlineStr">
        <is>
          <t>VÄSTERNORRLANDS LÄN</t>
        </is>
      </c>
      <c r="E1551" t="inlineStr">
        <is>
          <t>SOLLEFTEÅ</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47564-2022</t>
        </is>
      </c>
      <c r="B1552" s="1" t="n">
        <v>44854</v>
      </c>
      <c r="C1552" s="1" t="n">
        <v>45583</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47580-2022</t>
        </is>
      </c>
      <c r="B1553" s="1" t="n">
        <v>44854</v>
      </c>
      <c r="C1553" s="1" t="n">
        <v>45583</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47787-2022</t>
        </is>
      </c>
      <c r="B1554" s="1" t="n">
        <v>44855</v>
      </c>
      <c r="C1554" s="1" t="n">
        <v>45583</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47814-2022</t>
        </is>
      </c>
      <c r="B1555" s="1" t="n">
        <v>44855</v>
      </c>
      <c r="C1555" s="1" t="n">
        <v>45583</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47812-2022</t>
        </is>
      </c>
      <c r="B1556" s="1" t="n">
        <v>44855</v>
      </c>
      <c r="C1556" s="1" t="n">
        <v>45583</v>
      </c>
      <c r="D1556" t="inlineStr">
        <is>
          <t>VÄSTERNORRLANDS LÄN</t>
        </is>
      </c>
      <c r="E1556" t="inlineStr">
        <is>
          <t>SOLLEFTEÅ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47875-2022</t>
        </is>
      </c>
      <c r="B1557" s="1" t="n">
        <v>44855</v>
      </c>
      <c r="C1557" s="1" t="n">
        <v>45583</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48056-2022</t>
        </is>
      </c>
      <c r="B1558" s="1" t="n">
        <v>44856</v>
      </c>
      <c r="C1558" s="1" t="n">
        <v>45583</v>
      </c>
      <c r="D1558" t="inlineStr">
        <is>
          <t>VÄSTERNORRLANDS LÄN</t>
        </is>
      </c>
      <c r="E1558" t="inlineStr">
        <is>
          <t>SOLLEFTEÅ</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48064-2022</t>
        </is>
      </c>
      <c r="B1559" s="1" t="n">
        <v>44856</v>
      </c>
      <c r="C1559" s="1" t="n">
        <v>45583</v>
      </c>
      <c r="D1559" t="inlineStr">
        <is>
          <t>VÄSTERNORRLANDS LÄN</t>
        </is>
      </c>
      <c r="E1559" t="inlineStr">
        <is>
          <t>SOLLEFTEÅ</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48067-2022</t>
        </is>
      </c>
      <c r="B1560" s="1" t="n">
        <v>44855</v>
      </c>
      <c r="C1560" s="1" t="n">
        <v>45583</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48062-2022</t>
        </is>
      </c>
      <c r="B1561" s="1" t="n">
        <v>44856</v>
      </c>
      <c r="C1561" s="1" t="n">
        <v>45583</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47826-2022</t>
        </is>
      </c>
      <c r="B1562" s="1" t="n">
        <v>44855</v>
      </c>
      <c r="C1562" s="1" t="n">
        <v>45583</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48057-2022</t>
        </is>
      </c>
      <c r="B1563" s="1" t="n">
        <v>44856</v>
      </c>
      <c r="C1563" s="1" t="n">
        <v>45583</v>
      </c>
      <c r="D1563" t="inlineStr">
        <is>
          <t>VÄSTERNORRLANDS LÄN</t>
        </is>
      </c>
      <c r="E1563" t="inlineStr">
        <is>
          <t>SOLLEFTEÅ</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48061-2022</t>
        </is>
      </c>
      <c r="B1564" s="1" t="n">
        <v>44855</v>
      </c>
      <c r="C1564" s="1" t="n">
        <v>45583</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48065-2022</t>
        </is>
      </c>
      <c r="B1565" s="1" t="n">
        <v>44856</v>
      </c>
      <c r="C1565" s="1" t="n">
        <v>45583</v>
      </c>
      <c r="D1565" t="inlineStr">
        <is>
          <t>VÄSTERNORRLANDS LÄN</t>
        </is>
      </c>
      <c r="E1565" t="inlineStr">
        <is>
          <t>SOLLEFTEÅ</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48738-2022</t>
        </is>
      </c>
      <c r="B1566" s="1" t="n">
        <v>44855</v>
      </c>
      <c r="C1566" s="1" t="n">
        <v>45583</v>
      </c>
      <c r="D1566" t="inlineStr">
        <is>
          <t>VÄSTERNORRLANDS LÄN</t>
        </is>
      </c>
      <c r="E1566" t="inlineStr">
        <is>
          <t>SOLLEFTEÅ</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48240-2022</t>
        </is>
      </c>
      <c r="B1567" s="1" t="n">
        <v>44858</v>
      </c>
      <c r="C1567" s="1" t="n">
        <v>45583</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48511-2022</t>
        </is>
      </c>
      <c r="B1568" s="1" t="n">
        <v>44859</v>
      </c>
      <c r="C1568" s="1" t="n">
        <v>45583</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48512-2022</t>
        </is>
      </c>
      <c r="B1569" s="1" t="n">
        <v>44859</v>
      </c>
      <c r="C1569" s="1" t="n">
        <v>45583</v>
      </c>
      <c r="D1569" t="inlineStr">
        <is>
          <t>VÄSTERNORRLANDS LÄN</t>
        </is>
      </c>
      <c r="E1569" t="inlineStr">
        <is>
          <t>SOLLEFTEÅ</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48519-2022</t>
        </is>
      </c>
      <c r="B1570" s="1" t="n">
        <v>44858</v>
      </c>
      <c r="C1570" s="1" t="n">
        <v>45583</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48296-2022</t>
        </is>
      </c>
      <c r="B1571" s="1" t="n">
        <v>44858</v>
      </c>
      <c r="C1571" s="1" t="n">
        <v>45583</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48510-2022</t>
        </is>
      </c>
      <c r="B1572" s="1" t="n">
        <v>44858</v>
      </c>
      <c r="C1572" s="1" t="n">
        <v>45583</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48535-2022</t>
        </is>
      </c>
      <c r="B1573" s="1" t="n">
        <v>44859</v>
      </c>
      <c r="C1573" s="1" t="n">
        <v>45583</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48513-2022</t>
        </is>
      </c>
      <c r="B1574" s="1" t="n">
        <v>44859</v>
      </c>
      <c r="C1574" s="1" t="n">
        <v>45583</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48905-2022</t>
        </is>
      </c>
      <c r="B1575" s="1" t="n">
        <v>44859</v>
      </c>
      <c r="C1575" s="1" t="n">
        <v>45583</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48915-2022</t>
        </is>
      </c>
      <c r="B1576" s="1" t="n">
        <v>44860</v>
      </c>
      <c r="C1576" s="1" t="n">
        <v>45583</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48919-2022</t>
        </is>
      </c>
      <c r="B1577" s="1" t="n">
        <v>44859</v>
      </c>
      <c r="C1577" s="1" t="n">
        <v>45583</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48901-2022</t>
        </is>
      </c>
      <c r="B1578" s="1" t="n">
        <v>44860</v>
      </c>
      <c r="C1578" s="1" t="n">
        <v>45583</v>
      </c>
      <c r="D1578" t="inlineStr">
        <is>
          <t>VÄSTERNORRLANDS LÄN</t>
        </is>
      </c>
      <c r="E1578" t="inlineStr">
        <is>
          <t>SOLLEFTEÅ</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48913-2022</t>
        </is>
      </c>
      <c r="B1579" s="1" t="n">
        <v>44860</v>
      </c>
      <c r="C1579" s="1" t="n">
        <v>45583</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44860</v>
      </c>
      <c r="C1580" s="1" t="n">
        <v>45583</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48902-2022</t>
        </is>
      </c>
      <c r="B1581" s="1" t="n">
        <v>44859</v>
      </c>
      <c r="C1581" s="1" t="n">
        <v>45583</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48914-2022</t>
        </is>
      </c>
      <c r="B1582" s="1" t="n">
        <v>44860</v>
      </c>
      <c r="C1582" s="1" t="n">
        <v>45583</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45583</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49708-2022</t>
        </is>
      </c>
      <c r="B1584" s="1" t="n">
        <v>44859</v>
      </c>
      <c r="C1584" s="1" t="n">
        <v>45583</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49176-2022</t>
        </is>
      </c>
      <c r="B1585" s="1" t="n">
        <v>44861</v>
      </c>
      <c r="C1585" s="1" t="n">
        <v>45583</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49181-2022</t>
        </is>
      </c>
      <c r="B1586" s="1" t="n">
        <v>44861</v>
      </c>
      <c r="C1586" s="1" t="n">
        <v>45583</v>
      </c>
      <c r="D1586" t="inlineStr">
        <is>
          <t>VÄSTERNORRLANDS LÄN</t>
        </is>
      </c>
      <c r="E1586" t="inlineStr">
        <is>
          <t>SOLLEFTEÅ</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49170-2022</t>
        </is>
      </c>
      <c r="B1587" s="1" t="n">
        <v>44861</v>
      </c>
      <c r="C1587" s="1" t="n">
        <v>45583</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49198-2022</t>
        </is>
      </c>
      <c r="B1588" s="1" t="n">
        <v>44860</v>
      </c>
      <c r="C1588" s="1" t="n">
        <v>45583</v>
      </c>
      <c r="D1588" t="inlineStr">
        <is>
          <t>VÄSTERNORRLANDS LÄN</t>
        </is>
      </c>
      <c r="E1588" t="inlineStr">
        <is>
          <t>SOLLEFTEÅ</t>
        </is>
      </c>
      <c r="F1588" t="inlineStr">
        <is>
          <t>SCA</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49177-2022</t>
        </is>
      </c>
      <c r="B1589" s="1" t="n">
        <v>44861</v>
      </c>
      <c r="C1589" s="1" t="n">
        <v>45583</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44861</v>
      </c>
      <c r="C1590" s="1" t="n">
        <v>45583</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49175-2022</t>
        </is>
      </c>
      <c r="B1591" s="1" t="n">
        <v>44861</v>
      </c>
      <c r="C1591" s="1" t="n">
        <v>45583</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49200-2022</t>
        </is>
      </c>
      <c r="B1592" s="1" t="n">
        <v>44861</v>
      </c>
      <c r="C1592" s="1" t="n">
        <v>45583</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49520-2022</t>
        </is>
      </c>
      <c r="B1593" s="1" t="n">
        <v>44862</v>
      </c>
      <c r="C1593" s="1" t="n">
        <v>45583</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49513-2022</t>
        </is>
      </c>
      <c r="B1594" s="1" t="n">
        <v>44862</v>
      </c>
      <c r="C1594" s="1" t="n">
        <v>45583</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49512-2022</t>
        </is>
      </c>
      <c r="B1595" s="1" t="n">
        <v>44861</v>
      </c>
      <c r="C1595" s="1" t="n">
        <v>45583</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49521-2022</t>
        </is>
      </c>
      <c r="B1596" s="1" t="n">
        <v>44861</v>
      </c>
      <c r="C1596" s="1" t="n">
        <v>45583</v>
      </c>
      <c r="D1596" t="inlineStr">
        <is>
          <t>VÄSTERNORRLANDS LÄN</t>
        </is>
      </c>
      <c r="E1596" t="inlineStr">
        <is>
          <t>SOLLEFTEÅ</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49538-2022</t>
        </is>
      </c>
      <c r="B1597" s="1" t="n">
        <v>44861</v>
      </c>
      <c r="C1597" s="1" t="n">
        <v>45583</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49665-2022</t>
        </is>
      </c>
      <c r="B1598" s="1" t="n">
        <v>44862</v>
      </c>
      <c r="C1598" s="1" t="n">
        <v>45583</v>
      </c>
      <c r="D1598" t="inlineStr">
        <is>
          <t>VÄSTERNORRLANDS LÄN</t>
        </is>
      </c>
      <c r="E1598" t="inlineStr">
        <is>
          <t>SOLLEFTEÅ</t>
        </is>
      </c>
      <c r="F1598" t="inlineStr">
        <is>
          <t>Holmen skog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49860-2022</t>
        </is>
      </c>
      <c r="B1599" s="1" t="n">
        <v>44862</v>
      </c>
      <c r="C1599" s="1" t="n">
        <v>45583</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49866-2022</t>
        </is>
      </c>
      <c r="B1600" s="1" t="n">
        <v>44863</v>
      </c>
      <c r="C1600" s="1" t="n">
        <v>45583</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50813-2022</t>
        </is>
      </c>
      <c r="B1601" s="1" t="n">
        <v>44862</v>
      </c>
      <c r="C1601" s="1" t="n">
        <v>45583</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50825-2022</t>
        </is>
      </c>
      <c r="B1602" s="1" t="n">
        <v>44862</v>
      </c>
      <c r="C1602" s="1" t="n">
        <v>45583</v>
      </c>
      <c r="D1602" t="inlineStr">
        <is>
          <t>VÄSTERNORRLANDS LÄN</t>
        </is>
      </c>
      <c r="E1602" t="inlineStr">
        <is>
          <t>SOLLEFTEÅ</t>
        </is>
      </c>
      <c r="F1602" t="inlineStr">
        <is>
          <t>Övriga statliga verk och myndigheter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49911-2022</t>
        </is>
      </c>
      <c r="B1603" s="1" t="n">
        <v>44865</v>
      </c>
      <c r="C1603" s="1" t="n">
        <v>45583</v>
      </c>
      <c r="D1603" t="inlineStr">
        <is>
          <t>VÄSTERNORRLANDS LÄN</t>
        </is>
      </c>
      <c r="E1603" t="inlineStr">
        <is>
          <t>SOLLEFTEÅ</t>
        </is>
      </c>
      <c r="F1603" t="inlineStr">
        <is>
          <t>Holmen skog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50318-2022</t>
        </is>
      </c>
      <c r="B1604" s="1" t="n">
        <v>44865</v>
      </c>
      <c r="C1604" s="1" t="n">
        <v>45583</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51080-2022</t>
        </is>
      </c>
      <c r="B1605" s="1" t="n">
        <v>44865</v>
      </c>
      <c r="C1605" s="1" t="n">
        <v>45583</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50641-2022</t>
        </is>
      </c>
      <c r="B1606" s="1" t="n">
        <v>44866</v>
      </c>
      <c r="C1606" s="1" t="n">
        <v>45583</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50642-2022</t>
        </is>
      </c>
      <c r="B1607" s="1" t="n">
        <v>44866</v>
      </c>
      <c r="C1607" s="1" t="n">
        <v>45583</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50655-2022</t>
        </is>
      </c>
      <c r="B1608" s="1" t="n">
        <v>44866</v>
      </c>
      <c r="C1608" s="1" t="n">
        <v>45583</v>
      </c>
      <c r="D1608" t="inlineStr">
        <is>
          <t>VÄSTERNORRLANDS LÄN</t>
        </is>
      </c>
      <c r="E1608" t="inlineStr">
        <is>
          <t>SOLLEFTEÅ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50656-2022</t>
        </is>
      </c>
      <c r="B1609" s="1" t="n">
        <v>44866</v>
      </c>
      <c r="C1609" s="1" t="n">
        <v>45583</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50662-2022</t>
        </is>
      </c>
      <c r="B1610" s="1" t="n">
        <v>44866</v>
      </c>
      <c r="C1610" s="1" t="n">
        <v>45583</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51249-2022</t>
        </is>
      </c>
      <c r="B1611" s="1" t="n">
        <v>44866</v>
      </c>
      <c r="C1611" s="1" t="n">
        <v>45583</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51006-2022</t>
        </is>
      </c>
      <c r="B1612" s="1" t="n">
        <v>44867</v>
      </c>
      <c r="C1612" s="1" t="n">
        <v>45583</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51212-2022</t>
        </is>
      </c>
      <c r="B1613" s="1" t="n">
        <v>44868</v>
      </c>
      <c r="C1613" s="1" t="n">
        <v>45583</v>
      </c>
      <c r="D1613" t="inlineStr">
        <is>
          <t>VÄSTERNORRLANDS LÄN</t>
        </is>
      </c>
      <c r="E1613" t="inlineStr">
        <is>
          <t>SOLLEFTEÅ</t>
        </is>
      </c>
      <c r="F1613" t="inlineStr">
        <is>
          <t>Holmen skog AB</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51317-2022</t>
        </is>
      </c>
      <c r="B1614" s="1" t="n">
        <v>44868</v>
      </c>
      <c r="C1614" s="1" t="n">
        <v>45583</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51314-2022</t>
        </is>
      </c>
      <c r="B1615" s="1" t="n">
        <v>44868</v>
      </c>
      <c r="C1615" s="1" t="n">
        <v>45583</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51544-2022</t>
        </is>
      </c>
      <c r="B1616" s="1" t="n">
        <v>44869</v>
      </c>
      <c r="C1616" s="1" t="n">
        <v>45583</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51541-2022</t>
        </is>
      </c>
      <c r="B1617" s="1" t="n">
        <v>44869</v>
      </c>
      <c r="C1617" s="1" t="n">
        <v>45583</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51543-2022</t>
        </is>
      </c>
      <c r="B1618" s="1" t="n">
        <v>44869</v>
      </c>
      <c r="C1618" s="1" t="n">
        <v>45583</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51739-2022</t>
        </is>
      </c>
      <c r="B1619" s="1" t="n">
        <v>44872</v>
      </c>
      <c r="C1619" s="1" t="n">
        <v>45583</v>
      </c>
      <c r="D1619" t="inlineStr">
        <is>
          <t>VÄSTERNORRLANDS LÄN</t>
        </is>
      </c>
      <c r="E1619" t="inlineStr">
        <is>
          <t>SOLLEFTEÅ</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52013-2022</t>
        </is>
      </c>
      <c r="B1620" s="1" t="n">
        <v>44872</v>
      </c>
      <c r="C1620" s="1" t="n">
        <v>45583</v>
      </c>
      <c r="D1620" t="inlineStr">
        <is>
          <t>VÄSTERNORRLANDS LÄN</t>
        </is>
      </c>
      <c r="E1620" t="inlineStr">
        <is>
          <t>SOLLEFTEÅ</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52034-2022</t>
        </is>
      </c>
      <c r="B1621" s="1" t="n">
        <v>44872</v>
      </c>
      <c r="C1621" s="1" t="n">
        <v>45583</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52040-2022</t>
        </is>
      </c>
      <c r="B1622" s="1" t="n">
        <v>44872</v>
      </c>
      <c r="C1622" s="1" t="n">
        <v>45583</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52035-2022</t>
        </is>
      </c>
      <c r="B1623" s="1" t="n">
        <v>44872</v>
      </c>
      <c r="C1623" s="1" t="n">
        <v>45583</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52039-2022</t>
        </is>
      </c>
      <c r="B1624" s="1" t="n">
        <v>44872</v>
      </c>
      <c r="C1624" s="1" t="n">
        <v>45583</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53128-2022</t>
        </is>
      </c>
      <c r="B1625" s="1" t="n">
        <v>44873</v>
      </c>
      <c r="C1625" s="1" t="n">
        <v>45583</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53123-2022</t>
        </is>
      </c>
      <c r="B1626" s="1" t="n">
        <v>44873</v>
      </c>
      <c r="C1626" s="1" t="n">
        <v>45583</v>
      </c>
      <c r="D1626" t="inlineStr">
        <is>
          <t>VÄSTERNORRLANDS LÄN</t>
        </is>
      </c>
      <c r="E1626" t="inlineStr">
        <is>
          <t>SOLLEFTEÅ</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52549-2022</t>
        </is>
      </c>
      <c r="B1627" s="1" t="n">
        <v>44874</v>
      </c>
      <c r="C1627" s="1" t="n">
        <v>45583</v>
      </c>
      <c r="D1627" t="inlineStr">
        <is>
          <t>VÄSTERNORRLANDS LÄN</t>
        </is>
      </c>
      <c r="E1627" t="inlineStr">
        <is>
          <t>SOLLEFTEÅ</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52735-2022</t>
        </is>
      </c>
      <c r="B1628" s="1" t="n">
        <v>44874</v>
      </c>
      <c r="C1628" s="1" t="n">
        <v>45583</v>
      </c>
      <c r="D1628" t="inlineStr">
        <is>
          <t>VÄSTERNORRLANDS LÄN</t>
        </is>
      </c>
      <c r="E1628" t="inlineStr">
        <is>
          <t>SOLLEFTEÅ</t>
        </is>
      </c>
      <c r="F1628" t="inlineStr">
        <is>
          <t>SCA</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52595-2022</t>
        </is>
      </c>
      <c r="B1629" s="1" t="n">
        <v>44874</v>
      </c>
      <c r="C1629" s="1" t="n">
        <v>45583</v>
      </c>
      <c r="D1629" t="inlineStr">
        <is>
          <t>VÄSTERNORRLANDS LÄN</t>
        </is>
      </c>
      <c r="E1629" t="inlineStr">
        <is>
          <t>SOLLEFTEÅ</t>
        </is>
      </c>
      <c r="F1629" t="inlineStr">
        <is>
          <t>Holmen skog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52717-2022</t>
        </is>
      </c>
      <c r="B1630" s="1" t="n">
        <v>44874</v>
      </c>
      <c r="C1630" s="1" t="n">
        <v>45583</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52718-2022</t>
        </is>
      </c>
      <c r="B1631" s="1" t="n">
        <v>44874</v>
      </c>
      <c r="C1631" s="1" t="n">
        <v>45583</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53012-2022</t>
        </is>
      </c>
      <c r="B1632" s="1" t="n">
        <v>44875</v>
      </c>
      <c r="C1632" s="1" t="n">
        <v>45583</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52777-2022</t>
        </is>
      </c>
      <c r="B1633" s="1" t="n">
        <v>44875</v>
      </c>
      <c r="C1633" s="1" t="n">
        <v>45583</v>
      </c>
      <c r="D1633" t="inlineStr">
        <is>
          <t>VÄSTERNORRLANDS LÄN</t>
        </is>
      </c>
      <c r="E1633" t="inlineStr">
        <is>
          <t>SOLLEFTEÅ</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53000-2022</t>
        </is>
      </c>
      <c r="B1634" s="1" t="n">
        <v>44875</v>
      </c>
      <c r="C1634" s="1" t="n">
        <v>45583</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53011-2022</t>
        </is>
      </c>
      <c r="B1635" s="1" t="n">
        <v>44875</v>
      </c>
      <c r="C1635" s="1" t="n">
        <v>45583</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53669-2022</t>
        </is>
      </c>
      <c r="B1636" s="1" t="n">
        <v>44879</v>
      </c>
      <c r="C1636" s="1" t="n">
        <v>45583</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53933-2022</t>
        </is>
      </c>
      <c r="B1637" s="1" t="n">
        <v>44880</v>
      </c>
      <c r="C1637" s="1" t="n">
        <v>45583</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53929-2022</t>
        </is>
      </c>
      <c r="B1638" s="1" t="n">
        <v>44880</v>
      </c>
      <c r="C1638" s="1" t="n">
        <v>45583</v>
      </c>
      <c r="D1638" t="inlineStr">
        <is>
          <t>VÄSTERNORRLANDS LÄN</t>
        </is>
      </c>
      <c r="E1638" t="inlineStr">
        <is>
          <t>SOLLEFTEÅ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53944-2022</t>
        </is>
      </c>
      <c r="B1639" s="1" t="n">
        <v>44880</v>
      </c>
      <c r="C1639" s="1" t="n">
        <v>45583</v>
      </c>
      <c r="D1639" t="inlineStr">
        <is>
          <t>VÄSTERNORRLANDS LÄN</t>
        </is>
      </c>
      <c r="E1639" t="inlineStr">
        <is>
          <t>SOLLEFTEÅ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53947-2022</t>
        </is>
      </c>
      <c r="B1640" s="1" t="n">
        <v>44880</v>
      </c>
      <c r="C1640" s="1" t="n">
        <v>45583</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53985-2022</t>
        </is>
      </c>
      <c r="B1641" s="1" t="n">
        <v>44881</v>
      </c>
      <c r="C1641" s="1" t="n">
        <v>45583</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54256-2022</t>
        </is>
      </c>
      <c r="B1642" s="1" t="n">
        <v>44881</v>
      </c>
      <c r="C1642" s="1" t="n">
        <v>45583</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54242-2022</t>
        </is>
      </c>
      <c r="B1643" s="1" t="n">
        <v>44881</v>
      </c>
      <c r="C1643" s="1" t="n">
        <v>45583</v>
      </c>
      <c r="D1643" t="inlineStr">
        <is>
          <t>VÄSTERNORRLANDS LÄN</t>
        </is>
      </c>
      <c r="E1643" t="inlineStr">
        <is>
          <t>SOLLEFTEÅ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54249-2022</t>
        </is>
      </c>
      <c r="B1644" s="1" t="n">
        <v>44881</v>
      </c>
      <c r="C1644" s="1" t="n">
        <v>45583</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54255-2022</t>
        </is>
      </c>
      <c r="B1645" s="1" t="n">
        <v>44881</v>
      </c>
      <c r="C1645" s="1" t="n">
        <v>45583</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54280-2022</t>
        </is>
      </c>
      <c r="B1646" s="1" t="n">
        <v>44882</v>
      </c>
      <c r="C1646" s="1" t="n">
        <v>45583</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54538-2022</t>
        </is>
      </c>
      <c r="B1647" s="1" t="n">
        <v>44882</v>
      </c>
      <c r="C1647" s="1" t="n">
        <v>45583</v>
      </c>
      <c r="D1647" t="inlineStr">
        <is>
          <t>VÄSTERNORRLANDS LÄN</t>
        </is>
      </c>
      <c r="E1647" t="inlineStr">
        <is>
          <t>SOLLEFTEÅ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54559-2022</t>
        </is>
      </c>
      <c r="B1648" s="1" t="n">
        <v>44882</v>
      </c>
      <c r="C1648" s="1" t="n">
        <v>45583</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54573-2022</t>
        </is>
      </c>
      <c r="B1649" s="1" t="n">
        <v>44882</v>
      </c>
      <c r="C1649" s="1" t="n">
        <v>45583</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54569-2022</t>
        </is>
      </c>
      <c r="B1650" s="1" t="n">
        <v>44882</v>
      </c>
      <c r="C1650" s="1" t="n">
        <v>45583</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55209-2022</t>
        </is>
      </c>
      <c r="B1651" s="1" t="n">
        <v>44887</v>
      </c>
      <c r="C1651" s="1" t="n">
        <v>45583</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55692-2022</t>
        </is>
      </c>
      <c r="B1652" s="1" t="n">
        <v>44888</v>
      </c>
      <c r="C1652" s="1" t="n">
        <v>45583</v>
      </c>
      <c r="D1652" t="inlineStr">
        <is>
          <t>VÄSTERNORRLANDS LÄN</t>
        </is>
      </c>
      <c r="E1652" t="inlineStr">
        <is>
          <t>SOLLEFTEÅ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55898-2022</t>
        </is>
      </c>
      <c r="B1653" s="1" t="n">
        <v>44888</v>
      </c>
      <c r="C1653" s="1" t="n">
        <v>45583</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56176-2022</t>
        </is>
      </c>
      <c r="B1654" s="1" t="n">
        <v>44889</v>
      </c>
      <c r="C1654" s="1" t="n">
        <v>45583</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56175-2022</t>
        </is>
      </c>
      <c r="B1655" s="1" t="n">
        <v>44889</v>
      </c>
      <c r="C1655" s="1" t="n">
        <v>45583</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56184-2022</t>
        </is>
      </c>
      <c r="B1656" s="1" t="n">
        <v>44889</v>
      </c>
      <c r="C1656" s="1" t="n">
        <v>45583</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56544-2022</t>
        </is>
      </c>
      <c r="B1657" s="1" t="n">
        <v>44893</v>
      </c>
      <c r="C1657" s="1" t="n">
        <v>45583</v>
      </c>
      <c r="D1657" t="inlineStr">
        <is>
          <t>VÄSTERNORRLANDS LÄN</t>
        </is>
      </c>
      <c r="E1657" t="inlineStr">
        <is>
          <t>SOLLEFTEÅ</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57019-2022</t>
        </is>
      </c>
      <c r="B1658" s="1" t="n">
        <v>44895</v>
      </c>
      <c r="C1658" s="1" t="n">
        <v>45583</v>
      </c>
      <c r="D1658" t="inlineStr">
        <is>
          <t>VÄSTERNORRLANDS LÄN</t>
        </is>
      </c>
      <c r="E1658" t="inlineStr">
        <is>
          <t>SOLLEFTEÅ</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57020-2022</t>
        </is>
      </c>
      <c r="B1659" s="1" t="n">
        <v>44895</v>
      </c>
      <c r="C1659" s="1" t="n">
        <v>45583</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57282-2022</t>
        </is>
      </c>
      <c r="B1660" s="1" t="n">
        <v>44895</v>
      </c>
      <c r="C1660" s="1" t="n">
        <v>45583</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57273-2022</t>
        </is>
      </c>
      <c r="B1661" s="1" t="n">
        <v>44895</v>
      </c>
      <c r="C1661" s="1" t="n">
        <v>45583</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58643-2022</t>
        </is>
      </c>
      <c r="B1662" s="1" t="n">
        <v>44895</v>
      </c>
      <c r="C1662" s="1" t="n">
        <v>45583</v>
      </c>
      <c r="D1662" t="inlineStr">
        <is>
          <t>VÄSTERNORRLANDS LÄN</t>
        </is>
      </c>
      <c r="E1662" t="inlineStr">
        <is>
          <t>SOLLEFTEÅ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58636-2022</t>
        </is>
      </c>
      <c r="B1663" s="1" t="n">
        <v>44895</v>
      </c>
      <c r="C1663" s="1" t="n">
        <v>45583</v>
      </c>
      <c r="D1663" t="inlineStr">
        <is>
          <t>VÄSTERNORRLANDS LÄN</t>
        </is>
      </c>
      <c r="E1663" t="inlineStr">
        <is>
          <t>SOLLEFTEÅ</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58646-2022</t>
        </is>
      </c>
      <c r="B1664" s="1" t="n">
        <v>44895</v>
      </c>
      <c r="C1664" s="1" t="n">
        <v>45583</v>
      </c>
      <c r="D1664" t="inlineStr">
        <is>
          <t>VÄSTERNORRLANDS LÄN</t>
        </is>
      </c>
      <c r="E1664" t="inlineStr">
        <is>
          <t>SOLLEFTEÅ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57991-2022</t>
        </is>
      </c>
      <c r="B1665" s="1" t="n">
        <v>44900</v>
      </c>
      <c r="C1665" s="1" t="n">
        <v>45583</v>
      </c>
      <c r="D1665" t="inlineStr">
        <is>
          <t>VÄSTERNORRLANDS LÄN</t>
        </is>
      </c>
      <c r="E1665" t="inlineStr">
        <is>
          <t>SOLLEFTEÅ</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58173-2022</t>
        </is>
      </c>
      <c r="B1666" s="1" t="n">
        <v>44900</v>
      </c>
      <c r="C1666" s="1" t="n">
        <v>45583</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58172-2022</t>
        </is>
      </c>
      <c r="B1667" s="1" t="n">
        <v>44900</v>
      </c>
      <c r="C1667" s="1" t="n">
        <v>45583</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58171-2022</t>
        </is>
      </c>
      <c r="B1668" s="1" t="n">
        <v>44900</v>
      </c>
      <c r="C1668" s="1" t="n">
        <v>45583</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58401-2022</t>
        </is>
      </c>
      <c r="B1669" s="1" t="n">
        <v>44901</v>
      </c>
      <c r="C1669" s="1" t="n">
        <v>45583</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58765-2022</t>
        </is>
      </c>
      <c r="B1670" s="1" t="n">
        <v>44903</v>
      </c>
      <c r="C1670" s="1" t="n">
        <v>45583</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59036-2022</t>
        </is>
      </c>
      <c r="B1671" s="1" t="n">
        <v>44903</v>
      </c>
      <c r="C1671" s="1" t="n">
        <v>45583</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59038-2022</t>
        </is>
      </c>
      <c r="B1672" s="1" t="n">
        <v>44903</v>
      </c>
      <c r="C1672" s="1" t="n">
        <v>45583</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59037-2022</t>
        </is>
      </c>
      <c r="B1673" s="1" t="n">
        <v>44903</v>
      </c>
      <c r="C1673" s="1" t="n">
        <v>45583</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59371-2022</t>
        </is>
      </c>
      <c r="B1674" s="1" t="n">
        <v>44904</v>
      </c>
      <c r="C1674" s="1" t="n">
        <v>45583</v>
      </c>
      <c r="D1674" t="inlineStr">
        <is>
          <t>VÄSTERNORRLANDS LÄN</t>
        </is>
      </c>
      <c r="E1674" t="inlineStr">
        <is>
          <t>SOLLEFTEÅ</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60482-2022</t>
        </is>
      </c>
      <c r="B1675" s="1" t="n">
        <v>44904</v>
      </c>
      <c r="C1675" s="1" t="n">
        <v>45583</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60856-2022</t>
        </is>
      </c>
      <c r="B1676" s="1" t="n">
        <v>44907</v>
      </c>
      <c r="C1676" s="1" t="n">
        <v>45583</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59647-2022</t>
        </is>
      </c>
      <c r="B1677" s="1" t="n">
        <v>44908</v>
      </c>
      <c r="C1677" s="1" t="n">
        <v>45583</v>
      </c>
      <c r="D1677" t="inlineStr">
        <is>
          <t>VÄSTERNORRLANDS LÄN</t>
        </is>
      </c>
      <c r="E1677" t="inlineStr">
        <is>
          <t>SOLLEFTEÅ</t>
        </is>
      </c>
      <c r="F1677" t="inlineStr">
        <is>
          <t>SCA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59908-2022</t>
        </is>
      </c>
      <c r="B1678" s="1" t="n">
        <v>44908</v>
      </c>
      <c r="C1678" s="1" t="n">
        <v>45583</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59854-2022</t>
        </is>
      </c>
      <c r="B1679" s="1" t="n">
        <v>44908</v>
      </c>
      <c r="C1679" s="1" t="n">
        <v>45583</v>
      </c>
      <c r="D1679" t="inlineStr">
        <is>
          <t>VÄSTERNORRLANDS LÄN</t>
        </is>
      </c>
      <c r="E1679" t="inlineStr">
        <is>
          <t>SOLLEFTEÅ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60170-2022</t>
        </is>
      </c>
      <c r="B1680" s="1" t="n">
        <v>44909</v>
      </c>
      <c r="C1680" s="1" t="n">
        <v>45583</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60169-2022</t>
        </is>
      </c>
      <c r="B1681" s="1" t="n">
        <v>44909</v>
      </c>
      <c r="C1681" s="1" t="n">
        <v>45583</v>
      </c>
      <c r="D1681" t="inlineStr">
        <is>
          <t>VÄSTERNORRLANDS LÄN</t>
        </is>
      </c>
      <c r="E1681" t="inlineStr">
        <is>
          <t>SOLLEFTEÅ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60171-2022</t>
        </is>
      </c>
      <c r="B1682" s="1" t="n">
        <v>44909</v>
      </c>
      <c r="C1682" s="1" t="n">
        <v>45583</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60168-2022</t>
        </is>
      </c>
      <c r="B1683" s="1" t="n">
        <v>44909</v>
      </c>
      <c r="C1683" s="1" t="n">
        <v>45583</v>
      </c>
      <c r="D1683" t="inlineStr">
        <is>
          <t>VÄSTERNORRLANDS LÄN</t>
        </is>
      </c>
      <c r="E1683" t="inlineStr">
        <is>
          <t>SOLLEFTEÅ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60338-2022</t>
        </is>
      </c>
      <c r="B1684" s="1" t="n">
        <v>44910</v>
      </c>
      <c r="C1684" s="1" t="n">
        <v>45583</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60420-2022</t>
        </is>
      </c>
      <c r="B1685" s="1" t="n">
        <v>44910</v>
      </c>
      <c r="C1685" s="1" t="n">
        <v>45583</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61473-2022</t>
        </is>
      </c>
      <c r="B1686" s="1" t="n">
        <v>44910</v>
      </c>
      <c r="C1686" s="1" t="n">
        <v>45583</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61459-2022</t>
        </is>
      </c>
      <c r="B1687" s="1" t="n">
        <v>44910</v>
      </c>
      <c r="C1687" s="1" t="n">
        <v>45583</v>
      </c>
      <c r="D1687" t="inlineStr">
        <is>
          <t>VÄSTERNORRLANDS LÄN</t>
        </is>
      </c>
      <c r="E1687" t="inlineStr">
        <is>
          <t>SOLLEFTEÅ</t>
        </is>
      </c>
      <c r="G1687" t="n">
        <v>20.6</v>
      </c>
      <c r="H1687" t="n">
        <v>0</v>
      </c>
      <c r="I1687" t="n">
        <v>0</v>
      </c>
      <c r="J1687" t="n">
        <v>0</v>
      </c>
      <c r="K1687" t="n">
        <v>0</v>
      </c>
      <c r="L1687" t="n">
        <v>0</v>
      </c>
      <c r="M1687" t="n">
        <v>0</v>
      </c>
      <c r="N1687" t="n">
        <v>0</v>
      </c>
      <c r="O1687" t="n">
        <v>0</v>
      </c>
      <c r="P1687" t="n">
        <v>0</v>
      </c>
      <c r="Q1687" t="n">
        <v>0</v>
      </c>
      <c r="R1687" s="2" t="inlineStr"/>
    </row>
    <row r="1688" ht="15" customHeight="1">
      <c r="A1688" t="inlineStr">
        <is>
          <t>A 60665-2022</t>
        </is>
      </c>
      <c r="B1688" s="1" t="n">
        <v>44911</v>
      </c>
      <c r="C1688" s="1" t="n">
        <v>45583</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60664-2022</t>
        </is>
      </c>
      <c r="B1689" s="1" t="n">
        <v>44911</v>
      </c>
      <c r="C1689" s="1" t="n">
        <v>45583</v>
      </c>
      <c r="D1689" t="inlineStr">
        <is>
          <t>VÄSTERNORRLANDS LÄN</t>
        </is>
      </c>
      <c r="E1689" t="inlineStr">
        <is>
          <t>SOLLEFTEÅ</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60666-2022</t>
        </is>
      </c>
      <c r="B1690" s="1" t="n">
        <v>44911</v>
      </c>
      <c r="C1690" s="1" t="n">
        <v>45583</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61384-2022</t>
        </is>
      </c>
      <c r="B1691" s="1" t="n">
        <v>44915</v>
      </c>
      <c r="C1691" s="1" t="n">
        <v>45583</v>
      </c>
      <c r="D1691" t="inlineStr">
        <is>
          <t>VÄSTERNORRLANDS LÄN</t>
        </is>
      </c>
      <c r="E1691" t="inlineStr">
        <is>
          <t>SOLLEFTEÅ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61345-2022</t>
        </is>
      </c>
      <c r="B1692" s="1" t="n">
        <v>44915</v>
      </c>
      <c r="C1692" s="1" t="n">
        <v>45583</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61341-2022</t>
        </is>
      </c>
      <c r="B1693" s="1" t="n">
        <v>44915</v>
      </c>
      <c r="C1693" s="1" t="n">
        <v>45583</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61376-2022</t>
        </is>
      </c>
      <c r="B1694" s="1" t="n">
        <v>44915</v>
      </c>
      <c r="C1694" s="1" t="n">
        <v>45583</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61391-2022</t>
        </is>
      </c>
      <c r="B1695" s="1" t="n">
        <v>44915</v>
      </c>
      <c r="C1695" s="1" t="n">
        <v>45583</v>
      </c>
      <c r="D1695" t="inlineStr">
        <is>
          <t>VÄSTERNORRLANDS LÄN</t>
        </is>
      </c>
      <c r="E1695" t="inlineStr">
        <is>
          <t>SOLLEFTEÅ</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61383-2022</t>
        </is>
      </c>
      <c r="B1696" s="1" t="n">
        <v>44915</v>
      </c>
      <c r="C1696" s="1" t="n">
        <v>45583</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45583</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45583</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45583</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45583</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45583</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45583</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45583</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45583</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45583</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45583</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45583</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45583</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45583</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45583</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45583</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45583</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45583</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45583</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45583</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45583</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45583</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45583</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45583</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45583</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45583</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45583</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45583</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45583</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45583</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45583</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45583</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45583</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45583</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45583</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45583</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45583</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45583</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45583</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45583</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45583</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45583</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45583</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45583</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45583</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45583</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45583</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45583</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45583</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45583</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45583</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45583</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45583</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45583</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45583</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45583</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45583</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45583</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45583</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45583</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45583</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45583</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45583</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45583</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45583</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45583</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c r="U1761">
        <f>HYPERLINK("https://klasma.github.io/Logging_2283/knärot/A 6236-2023 karta knärot.png", "A 6236-2023")</f>
        <v/>
      </c>
      <c r="V1761">
        <f>HYPERLINK("https://klasma.github.io/Logging_2283/klagomål/A 6236-2023 FSC-klagomål.docx", "A 6236-2023")</f>
        <v/>
      </c>
      <c r="W1761">
        <f>HYPERLINK("https://klasma.github.io/Logging_2283/klagomålsmail/A 6236-2023 FSC-klagomål mail.docx", "A 6236-2023")</f>
        <v/>
      </c>
      <c r="X1761">
        <f>HYPERLINK("https://klasma.github.io/Logging_2283/tillsyn/A 6236-2023 tillsynsbegäran.docx", "A 6236-2023")</f>
        <v/>
      </c>
      <c r="Y1761">
        <f>HYPERLINK("https://klasma.github.io/Logging_2283/tillsynsmail/A 6236-2023 tillsynsbegäran mail.docx", "A 6236-2023")</f>
        <v/>
      </c>
    </row>
    <row r="1762" ht="15" customHeight="1">
      <c r="A1762" t="inlineStr">
        <is>
          <t>A 6474-2023</t>
        </is>
      </c>
      <c r="B1762" s="1" t="n">
        <v>44965</v>
      </c>
      <c r="C1762" s="1" t="n">
        <v>45583</v>
      </c>
      <c r="D1762" t="inlineStr">
        <is>
          <t>VÄSTERNORRLANDS LÄN</t>
        </is>
      </c>
      <c r="E1762" t="inlineStr">
        <is>
          <t>SOLLEFTEÅ</t>
        </is>
      </c>
      <c r="F1762" t="inlineStr">
        <is>
          <t>SCA</t>
        </is>
      </c>
      <c r="G1762" t="n">
        <v>47.3</v>
      </c>
      <c r="H1762" t="n">
        <v>0</v>
      </c>
      <c r="I1762" t="n">
        <v>0</v>
      </c>
      <c r="J1762" t="n">
        <v>0</v>
      </c>
      <c r="K1762" t="n">
        <v>0</v>
      </c>
      <c r="L1762" t="n">
        <v>0</v>
      </c>
      <c r="M1762" t="n">
        <v>0</v>
      </c>
      <c r="N1762" t="n">
        <v>0</v>
      </c>
      <c r="O1762" t="n">
        <v>0</v>
      </c>
      <c r="P1762" t="n">
        <v>0</v>
      </c>
      <c r="Q1762" t="n">
        <v>0</v>
      </c>
      <c r="R1762" s="2" t="inlineStr"/>
    </row>
    <row r="1763" ht="15" customHeight="1">
      <c r="A1763" t="inlineStr">
        <is>
          <t>A 7009-2023</t>
        </is>
      </c>
      <c r="B1763" s="1" t="n">
        <v>44967</v>
      </c>
      <c r="C1763" s="1" t="n">
        <v>45583</v>
      </c>
      <c r="D1763" t="inlineStr">
        <is>
          <t>VÄSTERNORRLANDS LÄN</t>
        </is>
      </c>
      <c r="E1763" t="inlineStr">
        <is>
          <t>SOLLEFTEÅ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7332-2023</t>
        </is>
      </c>
      <c r="B1764" s="1" t="n">
        <v>44970</v>
      </c>
      <c r="C1764" s="1" t="n">
        <v>45583</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7324-2023</t>
        </is>
      </c>
      <c r="B1765" s="1" t="n">
        <v>44970</v>
      </c>
      <c r="C1765" s="1" t="n">
        <v>45583</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7325-2023</t>
        </is>
      </c>
      <c r="B1766" s="1" t="n">
        <v>44970</v>
      </c>
      <c r="C1766" s="1" t="n">
        <v>45583</v>
      </c>
      <c r="D1766" t="inlineStr">
        <is>
          <t>VÄSTERNORRLANDS LÄN</t>
        </is>
      </c>
      <c r="E1766" t="inlineStr">
        <is>
          <t>SOLLEFTEÅ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7330-2023</t>
        </is>
      </c>
      <c r="B1767" s="1" t="n">
        <v>44971</v>
      </c>
      <c r="C1767" s="1" t="n">
        <v>45583</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7331-2023</t>
        </is>
      </c>
      <c r="B1768" s="1" t="n">
        <v>44970</v>
      </c>
      <c r="C1768" s="1" t="n">
        <v>45583</v>
      </c>
      <c r="D1768" t="inlineStr">
        <is>
          <t>VÄSTERNORRLANDS LÄN</t>
        </is>
      </c>
      <c r="E1768" t="inlineStr">
        <is>
          <t>SOLLEFTEÅ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7333-2023</t>
        </is>
      </c>
      <c r="B1769" s="1" t="n">
        <v>44971</v>
      </c>
      <c r="C1769" s="1" t="n">
        <v>45583</v>
      </c>
      <c r="D1769" t="inlineStr">
        <is>
          <t>VÄSTERNORRLANDS LÄN</t>
        </is>
      </c>
      <c r="E1769" t="inlineStr">
        <is>
          <t>SOLLEFTEÅ</t>
        </is>
      </c>
      <c r="F1769" t="inlineStr">
        <is>
          <t>SCA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7713-2023</t>
        </is>
      </c>
      <c r="B1770" s="1" t="n">
        <v>44972</v>
      </c>
      <c r="C1770" s="1" t="n">
        <v>45583</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7721-2023</t>
        </is>
      </c>
      <c r="B1771" s="1" t="n">
        <v>44972</v>
      </c>
      <c r="C1771" s="1" t="n">
        <v>45583</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8030-2023</t>
        </is>
      </c>
      <c r="B1772" s="1" t="n">
        <v>44973</v>
      </c>
      <c r="C1772" s="1" t="n">
        <v>45583</v>
      </c>
      <c r="D1772" t="inlineStr">
        <is>
          <t>VÄSTERNORRLANDS LÄN</t>
        </is>
      </c>
      <c r="E1772" t="inlineStr">
        <is>
          <t>SOLLEFTEÅ</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8959-2023</t>
        </is>
      </c>
      <c r="B1773" s="1" t="n">
        <v>44974</v>
      </c>
      <c r="C1773" s="1" t="n">
        <v>45583</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8640-2023</t>
        </is>
      </c>
      <c r="B1774" s="1" t="n">
        <v>44978</v>
      </c>
      <c r="C1774" s="1" t="n">
        <v>45583</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8658-2023</t>
        </is>
      </c>
      <c r="B1775" s="1" t="n">
        <v>44978</v>
      </c>
      <c r="C1775" s="1" t="n">
        <v>45583</v>
      </c>
      <c r="D1775" t="inlineStr">
        <is>
          <t>VÄSTERNORRLANDS LÄN</t>
        </is>
      </c>
      <c r="E1775" t="inlineStr">
        <is>
          <t>SOLLEFTEÅ</t>
        </is>
      </c>
      <c r="F1775" t="inlineStr">
        <is>
          <t>SCA</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8668-2023</t>
        </is>
      </c>
      <c r="B1776" s="1" t="n">
        <v>44978</v>
      </c>
      <c r="C1776" s="1" t="n">
        <v>45583</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8672-2023</t>
        </is>
      </c>
      <c r="B1777" s="1" t="n">
        <v>44977</v>
      </c>
      <c r="C1777" s="1" t="n">
        <v>45583</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8656-2023</t>
        </is>
      </c>
      <c r="B1778" s="1" t="n">
        <v>44978</v>
      </c>
      <c r="C1778" s="1" t="n">
        <v>45583</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8670-2023</t>
        </is>
      </c>
      <c r="B1779" s="1" t="n">
        <v>44977</v>
      </c>
      <c r="C1779" s="1" t="n">
        <v>45583</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8667-2023</t>
        </is>
      </c>
      <c r="B1780" s="1" t="n">
        <v>44978</v>
      </c>
      <c r="C1780" s="1" t="n">
        <v>45583</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8671-2023</t>
        </is>
      </c>
      <c r="B1781" s="1" t="n">
        <v>44978</v>
      </c>
      <c r="C1781" s="1" t="n">
        <v>45583</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8875-2023</t>
        </is>
      </c>
      <c r="B1782" s="1" t="n">
        <v>44978</v>
      </c>
      <c r="C1782" s="1" t="n">
        <v>45583</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8880-2023</t>
        </is>
      </c>
      <c r="B1783" s="1" t="n">
        <v>44978</v>
      </c>
      <c r="C1783" s="1" t="n">
        <v>45583</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9097-2023</t>
        </is>
      </c>
      <c r="B1784" s="1" t="n">
        <v>44979</v>
      </c>
      <c r="C1784" s="1" t="n">
        <v>45583</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9095-2023</t>
        </is>
      </c>
      <c r="B1785" s="1" t="n">
        <v>44979</v>
      </c>
      <c r="C1785" s="1" t="n">
        <v>45583</v>
      </c>
      <c r="D1785" t="inlineStr">
        <is>
          <t>VÄSTERNORRLANDS LÄN</t>
        </is>
      </c>
      <c r="E1785" t="inlineStr">
        <is>
          <t>SOLLEFTEÅ</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9099-2023</t>
        </is>
      </c>
      <c r="B1786" s="1" t="n">
        <v>44979</v>
      </c>
      <c r="C1786" s="1" t="n">
        <v>45583</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9096-2023</t>
        </is>
      </c>
      <c r="B1787" s="1" t="n">
        <v>44979</v>
      </c>
      <c r="C1787" s="1" t="n">
        <v>45583</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9104-2023</t>
        </is>
      </c>
      <c r="B1788" s="1" t="n">
        <v>44979</v>
      </c>
      <c r="C1788" s="1" t="n">
        <v>45583</v>
      </c>
      <c r="D1788" t="inlineStr">
        <is>
          <t>VÄSTERNORRLANDS LÄN</t>
        </is>
      </c>
      <c r="E1788" t="inlineStr">
        <is>
          <t>SOLLEFTEÅ</t>
        </is>
      </c>
      <c r="F1788" t="inlineStr">
        <is>
          <t>SCA</t>
        </is>
      </c>
      <c r="G1788" t="n">
        <v>22.1</v>
      </c>
      <c r="H1788" t="n">
        <v>0</v>
      </c>
      <c r="I1788" t="n">
        <v>0</v>
      </c>
      <c r="J1788" t="n">
        <v>0</v>
      </c>
      <c r="K1788" t="n">
        <v>0</v>
      </c>
      <c r="L1788" t="n">
        <v>0</v>
      </c>
      <c r="M1788" t="n">
        <v>0</v>
      </c>
      <c r="N1788" t="n">
        <v>0</v>
      </c>
      <c r="O1788" t="n">
        <v>0</v>
      </c>
      <c r="P1788" t="n">
        <v>0</v>
      </c>
      <c r="Q1788" t="n">
        <v>0</v>
      </c>
      <c r="R1788" s="2" t="inlineStr"/>
    </row>
    <row r="1789" ht="15" customHeight="1">
      <c r="A1789" t="inlineStr">
        <is>
          <t>A 9098-2023</t>
        </is>
      </c>
      <c r="B1789" s="1" t="n">
        <v>44979</v>
      </c>
      <c r="C1789" s="1" t="n">
        <v>45583</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9105-2023</t>
        </is>
      </c>
      <c r="B1790" s="1" t="n">
        <v>44979</v>
      </c>
      <c r="C1790" s="1" t="n">
        <v>45583</v>
      </c>
      <c r="D1790" t="inlineStr">
        <is>
          <t>VÄSTERNORRLANDS LÄN</t>
        </is>
      </c>
      <c r="E1790" t="inlineStr">
        <is>
          <t>SOLLEFTEÅ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9358-2023</t>
        </is>
      </c>
      <c r="B1791" s="1" t="n">
        <v>44980</v>
      </c>
      <c r="C1791" s="1" t="n">
        <v>45583</v>
      </c>
      <c r="D1791" t="inlineStr">
        <is>
          <t>VÄSTERNORRLANDS LÄN</t>
        </is>
      </c>
      <c r="E1791" t="inlineStr">
        <is>
          <t>SOLLEFTEÅ</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45583</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45583</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45583</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45583</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45583</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45583</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45583</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45583</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45583</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45583</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45583</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45583</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45583</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45583</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45583</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45583</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45583</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45583</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45583</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45583</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45583</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45583</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45583</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45583</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45583</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45583</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45583</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45583</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45583</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45583</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45583</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45583</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45583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45583</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45583</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45583</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45583</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45583</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45583</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45583</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45583</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45583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45583</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45583</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45583</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45583</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45583</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45583</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45583</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45583</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45583</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45583</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45583</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45583</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45583</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45583</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45583</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45583</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45583</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45583</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45583</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45583</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45583</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45583</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45583</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45583</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45583</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45583</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45583</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45583</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45583</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45583</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45583</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45583</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45583</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45583</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45583</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45583</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45583</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45583</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45583</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45583</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45583</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45583</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45583</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45583</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45583</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45583</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45583</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45583</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45583</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45583</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45583</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45583</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45583</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45583</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45583</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45583</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45583</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45583</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45583</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45583</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45583</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45583</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45583</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45583</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45583</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45583</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45583</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45583</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45583</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45583</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45583</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45583</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45583</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45583</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45583</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45583</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45583</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45583</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45583</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45583</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45583</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45583</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45583</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45583</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45583</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45583</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45583</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45583</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45583</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45583</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45583</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45583</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45583</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45583</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45583</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45583</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45583</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45583</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45583</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45583</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45583</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45583</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45583</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45583</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45583</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45583</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45583</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45583</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45583</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45583</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45583</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45583</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45583</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45583</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45583</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45583</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45583</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45583</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45583</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45583</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45583</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45583</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45583</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45583</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45583</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45583</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45583</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45583</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45583</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45583</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45583</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22008-2023</t>
        </is>
      </c>
      <c r="B1965" s="1" t="n">
        <v>45068</v>
      </c>
      <c r="C1965" s="1" t="n">
        <v>45583</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22220-2023</t>
        </is>
      </c>
      <c r="B1966" s="1" t="n">
        <v>45070</v>
      </c>
      <c r="C1966" s="1" t="n">
        <v>45583</v>
      </c>
      <c r="D1966" t="inlineStr">
        <is>
          <t>VÄSTERNORRLANDS LÄN</t>
        </is>
      </c>
      <c r="E1966" t="inlineStr">
        <is>
          <t>SOLLEFTEÅ</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22229-2023</t>
        </is>
      </c>
      <c r="B1967" s="1" t="n">
        <v>45070</v>
      </c>
      <c r="C1967" s="1" t="n">
        <v>45583</v>
      </c>
      <c r="D1967" t="inlineStr">
        <is>
          <t>VÄSTERNORRLANDS LÄN</t>
        </is>
      </c>
      <c r="E1967" t="inlineStr">
        <is>
          <t>SOLLEFTEÅ</t>
        </is>
      </c>
      <c r="F1967" t="inlineStr">
        <is>
          <t>SCA</t>
        </is>
      </c>
      <c r="G1967" t="n">
        <v>20.8</v>
      </c>
      <c r="H1967" t="n">
        <v>0</v>
      </c>
      <c r="I1967" t="n">
        <v>0</v>
      </c>
      <c r="J1967" t="n">
        <v>0</v>
      </c>
      <c r="K1967" t="n">
        <v>0</v>
      </c>
      <c r="L1967" t="n">
        <v>0</v>
      </c>
      <c r="M1967" t="n">
        <v>0</v>
      </c>
      <c r="N1967" t="n">
        <v>0</v>
      </c>
      <c r="O1967" t="n">
        <v>0</v>
      </c>
      <c r="P1967" t="n">
        <v>0</v>
      </c>
      <c r="Q1967" t="n">
        <v>0</v>
      </c>
      <c r="R1967" s="2" t="inlineStr"/>
    </row>
    <row r="1968" ht="15" customHeight="1">
      <c r="A1968" t="inlineStr">
        <is>
          <t>A 22750-2023</t>
        </is>
      </c>
      <c r="B1968" s="1" t="n">
        <v>45072</v>
      </c>
      <c r="C1968" s="1" t="n">
        <v>45583</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22994-2023</t>
        </is>
      </c>
      <c r="B1969" s="1" t="n">
        <v>45072</v>
      </c>
      <c r="C1969" s="1" t="n">
        <v>45583</v>
      </c>
      <c r="D1969" t="inlineStr">
        <is>
          <t>VÄSTERNORRLANDS LÄN</t>
        </is>
      </c>
      <c r="E1969" t="inlineStr">
        <is>
          <t>SOLLEFTEÅ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22992-2023</t>
        </is>
      </c>
      <c r="B1970" s="1" t="n">
        <v>45072</v>
      </c>
      <c r="C1970" s="1" t="n">
        <v>45583</v>
      </c>
      <c r="D1970" t="inlineStr">
        <is>
          <t>VÄSTERNORRLANDS LÄN</t>
        </is>
      </c>
      <c r="E1970" t="inlineStr">
        <is>
          <t>SOLLEFTEÅ</t>
        </is>
      </c>
      <c r="F1970" t="inlineStr">
        <is>
          <t>SCA</t>
        </is>
      </c>
      <c r="G1970" t="n">
        <v>13.6</v>
      </c>
      <c r="H1970" t="n">
        <v>0</v>
      </c>
      <c r="I1970" t="n">
        <v>0</v>
      </c>
      <c r="J1970" t="n">
        <v>0</v>
      </c>
      <c r="K1970" t="n">
        <v>0</v>
      </c>
      <c r="L1970" t="n">
        <v>0</v>
      </c>
      <c r="M1970" t="n">
        <v>0</v>
      </c>
      <c r="N1970" t="n">
        <v>0</v>
      </c>
      <c r="O1970" t="n">
        <v>0</v>
      </c>
      <c r="P1970" t="n">
        <v>0</v>
      </c>
      <c r="Q1970" t="n">
        <v>0</v>
      </c>
      <c r="R1970" s="2" t="inlineStr"/>
    </row>
    <row r="1971" ht="15" customHeight="1">
      <c r="A1971" t="inlineStr">
        <is>
          <t>A 22995-2023</t>
        </is>
      </c>
      <c r="B1971" s="1" t="n">
        <v>45073</v>
      </c>
      <c r="C1971" s="1" t="n">
        <v>45583</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23488-2023</t>
        </is>
      </c>
      <c r="B1972" s="1" t="n">
        <v>45072</v>
      </c>
      <c r="C1972" s="1" t="n">
        <v>45583</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23016-2023</t>
        </is>
      </c>
      <c r="B1973" s="1" t="n">
        <v>45073</v>
      </c>
      <c r="C1973" s="1" t="n">
        <v>45583</v>
      </c>
      <c r="D1973" t="inlineStr">
        <is>
          <t>VÄSTERNORRLANDS LÄN</t>
        </is>
      </c>
      <c r="E1973" t="inlineStr">
        <is>
          <t>SOLLEFTEÅ</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23286-2023</t>
        </is>
      </c>
      <c r="B1974" s="1" t="n">
        <v>45075</v>
      </c>
      <c r="C1974" s="1" t="n">
        <v>45583</v>
      </c>
      <c r="D1974" t="inlineStr">
        <is>
          <t>VÄSTERNORRLANDS LÄN</t>
        </is>
      </c>
      <c r="E1974" t="inlineStr">
        <is>
          <t>SOLLEFTEÅ</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23277-2023</t>
        </is>
      </c>
      <c r="B1975" s="1" t="n">
        <v>45075</v>
      </c>
      <c r="C1975" s="1" t="n">
        <v>45583</v>
      </c>
      <c r="D1975" t="inlineStr">
        <is>
          <t>VÄSTERNORRLANDS LÄN</t>
        </is>
      </c>
      <c r="E1975" t="inlineStr">
        <is>
          <t>SOLLEFTEÅ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23285-2023</t>
        </is>
      </c>
      <c r="B1976" s="1" t="n">
        <v>45075</v>
      </c>
      <c r="C1976" s="1" t="n">
        <v>45583</v>
      </c>
      <c r="D1976" t="inlineStr">
        <is>
          <t>VÄSTERNORRLANDS LÄN</t>
        </is>
      </c>
      <c r="E1976" t="inlineStr">
        <is>
          <t>SOLLEFTEÅ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23289-2023</t>
        </is>
      </c>
      <c r="B1977" s="1" t="n">
        <v>45075</v>
      </c>
      <c r="C1977" s="1" t="n">
        <v>45583</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23287-2023</t>
        </is>
      </c>
      <c r="B1978" s="1" t="n">
        <v>45075</v>
      </c>
      <c r="C1978" s="1" t="n">
        <v>45583</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23288-2023</t>
        </is>
      </c>
      <c r="B1979" s="1" t="n">
        <v>45075</v>
      </c>
      <c r="C1979" s="1" t="n">
        <v>45583</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23523-2023</t>
        </is>
      </c>
      <c r="B1980" s="1" t="n">
        <v>45076</v>
      </c>
      <c r="C1980" s="1" t="n">
        <v>45583</v>
      </c>
      <c r="D1980" t="inlineStr">
        <is>
          <t>VÄSTERNORRLANDS LÄN</t>
        </is>
      </c>
      <c r="E1980" t="inlineStr">
        <is>
          <t>SOLLEFTEÅ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23527-2023</t>
        </is>
      </c>
      <c r="B1981" s="1" t="n">
        <v>45076</v>
      </c>
      <c r="C1981" s="1" t="n">
        <v>45583</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24306-2023</t>
        </is>
      </c>
      <c r="B1982" s="1" t="n">
        <v>45080</v>
      </c>
      <c r="C1982" s="1" t="n">
        <v>45583</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24314-2023</t>
        </is>
      </c>
      <c r="B1983" s="1" t="n">
        <v>45079</v>
      </c>
      <c r="C1983" s="1" t="n">
        <v>45583</v>
      </c>
      <c r="D1983" t="inlineStr">
        <is>
          <t>VÄSTERNORRLANDS LÄN</t>
        </is>
      </c>
      <c r="E1983" t="inlineStr">
        <is>
          <t>SOLLEFTEÅ</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25259-2023</t>
        </is>
      </c>
      <c r="B1984" s="1" t="n">
        <v>45079</v>
      </c>
      <c r="C1984" s="1" t="n">
        <v>45583</v>
      </c>
      <c r="D1984" t="inlineStr">
        <is>
          <t>VÄSTERNORRLANDS LÄN</t>
        </is>
      </c>
      <c r="E1984" t="inlineStr">
        <is>
          <t>SOLLEFTEÅ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25267-2023</t>
        </is>
      </c>
      <c r="B1985" s="1" t="n">
        <v>45079</v>
      </c>
      <c r="C1985" s="1" t="n">
        <v>45583</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25550-2023</t>
        </is>
      </c>
      <c r="B1986" s="1" t="n">
        <v>45082</v>
      </c>
      <c r="C1986" s="1" t="n">
        <v>45583</v>
      </c>
      <c r="D1986" t="inlineStr">
        <is>
          <t>VÄSTERNORRLANDS LÄN</t>
        </is>
      </c>
      <c r="E1986" t="inlineStr">
        <is>
          <t>SOLLEFTEÅ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24595-2023</t>
        </is>
      </c>
      <c r="B1987" s="1" t="n">
        <v>45084</v>
      </c>
      <c r="C1987" s="1" t="n">
        <v>45583</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24597-2023</t>
        </is>
      </c>
      <c r="B1988" s="1" t="n">
        <v>45083</v>
      </c>
      <c r="C1988" s="1" t="n">
        <v>45583</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24596-2023</t>
        </is>
      </c>
      <c r="B1989" s="1" t="n">
        <v>45084</v>
      </c>
      <c r="C1989" s="1" t="n">
        <v>45583</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25795-2023</t>
        </is>
      </c>
      <c r="B1990" s="1" t="n">
        <v>45085</v>
      </c>
      <c r="C1990" s="1" t="n">
        <v>45583</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25848-2023</t>
        </is>
      </c>
      <c r="B1991" s="1" t="n">
        <v>45085</v>
      </c>
      <c r="C1991" s="1" t="n">
        <v>45583</v>
      </c>
      <c r="D1991" t="inlineStr">
        <is>
          <t>VÄSTERNORRLANDS LÄN</t>
        </is>
      </c>
      <c r="E1991" t="inlineStr">
        <is>
          <t>SOLLEFTEÅ</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25079-2023</t>
        </is>
      </c>
      <c r="B1992" s="1" t="n">
        <v>45086</v>
      </c>
      <c r="C1992" s="1" t="n">
        <v>45583</v>
      </c>
      <c r="D1992" t="inlineStr">
        <is>
          <t>VÄSTERNORRLANDS LÄN</t>
        </is>
      </c>
      <c r="E1992" t="inlineStr">
        <is>
          <t>SOLLEFTEÅ</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25314-2023</t>
        </is>
      </c>
      <c r="B1993" s="1" t="n">
        <v>45086</v>
      </c>
      <c r="C1993" s="1" t="n">
        <v>45583</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25392-2023</t>
        </is>
      </c>
      <c r="B1994" s="1" t="n">
        <v>45089</v>
      </c>
      <c r="C1994" s="1" t="n">
        <v>45583</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25987-2023</t>
        </is>
      </c>
      <c r="B1995" s="1" t="n">
        <v>45091</v>
      </c>
      <c r="C1995" s="1" t="n">
        <v>45583</v>
      </c>
      <c r="D1995" t="inlineStr">
        <is>
          <t>VÄSTERNORRLANDS LÄN</t>
        </is>
      </c>
      <c r="E1995" t="inlineStr">
        <is>
          <t>SOLLEFTEÅ</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26210-2023</t>
        </is>
      </c>
      <c r="B1996" s="1" t="n">
        <v>45090</v>
      </c>
      <c r="C1996" s="1" t="n">
        <v>45583</v>
      </c>
      <c r="D1996" t="inlineStr">
        <is>
          <t>VÄSTERNORRLANDS LÄN</t>
        </is>
      </c>
      <c r="E1996" t="inlineStr">
        <is>
          <t>SOLLEFTEÅ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25986-2023</t>
        </is>
      </c>
      <c r="B1997" s="1" t="n">
        <v>45090</v>
      </c>
      <c r="C1997" s="1" t="n">
        <v>45583</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26373-2023</t>
        </is>
      </c>
      <c r="B1998" s="1" t="n">
        <v>45092</v>
      </c>
      <c r="C1998" s="1" t="n">
        <v>45583</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27544-2023</t>
        </is>
      </c>
      <c r="B1999" s="1" t="n">
        <v>45092</v>
      </c>
      <c r="C1999" s="1" t="n">
        <v>45583</v>
      </c>
      <c r="D1999" t="inlineStr">
        <is>
          <t>VÄSTERNORRLANDS LÄN</t>
        </is>
      </c>
      <c r="E1999" t="inlineStr">
        <is>
          <t>SOLLEFTEÅ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27534-2023</t>
        </is>
      </c>
      <c r="B2000" s="1" t="n">
        <v>45092</v>
      </c>
      <c r="C2000" s="1" t="n">
        <v>45583</v>
      </c>
      <c r="D2000" t="inlineStr">
        <is>
          <t>VÄSTERNORRLANDS LÄN</t>
        </is>
      </c>
      <c r="E2000" t="inlineStr">
        <is>
          <t>SOLLEFTEÅ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27381-2023</t>
        </is>
      </c>
      <c r="B2001" s="1" t="n">
        <v>45097</v>
      </c>
      <c r="C2001" s="1" t="n">
        <v>45583</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27382-2023</t>
        </is>
      </c>
      <c r="B2002" s="1" t="n">
        <v>45097</v>
      </c>
      <c r="C2002" s="1" t="n">
        <v>45583</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27384-2023</t>
        </is>
      </c>
      <c r="B2003" s="1" t="n">
        <v>45097</v>
      </c>
      <c r="C2003" s="1" t="n">
        <v>45583</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27392-2023</t>
        </is>
      </c>
      <c r="B2004" s="1" t="n">
        <v>45097</v>
      </c>
      <c r="C2004" s="1" t="n">
        <v>45583</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28653-2023</t>
        </is>
      </c>
      <c r="B2005" s="1" t="n">
        <v>45096</v>
      </c>
      <c r="C2005" s="1" t="n">
        <v>45583</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27383-2023</t>
        </is>
      </c>
      <c r="B2006" s="1" t="n">
        <v>45097</v>
      </c>
      <c r="C2006" s="1" t="n">
        <v>45583</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27391-2023</t>
        </is>
      </c>
      <c r="B2007" s="1" t="n">
        <v>45097</v>
      </c>
      <c r="C2007" s="1" t="n">
        <v>45583</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27674-2023</t>
        </is>
      </c>
      <c r="B2008" s="1" t="n">
        <v>45097</v>
      </c>
      <c r="C2008" s="1" t="n">
        <v>45583</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29210-2023</t>
        </is>
      </c>
      <c r="B2009" s="1" t="n">
        <v>45097</v>
      </c>
      <c r="C2009" s="1" t="n">
        <v>45583</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29197-2023</t>
        </is>
      </c>
      <c r="B2010" s="1" t="n">
        <v>45097</v>
      </c>
      <c r="C2010" s="1" t="n">
        <v>45583</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28384-2023</t>
        </is>
      </c>
      <c r="B2011" s="1" t="n">
        <v>45100</v>
      </c>
      <c r="C2011" s="1" t="n">
        <v>45583</v>
      </c>
      <c r="D2011" t="inlineStr">
        <is>
          <t>VÄSTERNORRLANDS LÄN</t>
        </is>
      </c>
      <c r="E2011" t="inlineStr">
        <is>
          <t>SOLLEFTEÅ</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28385-2023</t>
        </is>
      </c>
      <c r="B2012" s="1" t="n">
        <v>45099</v>
      </c>
      <c r="C2012" s="1" t="n">
        <v>45583</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28374-2023</t>
        </is>
      </c>
      <c r="B2013" s="1" t="n">
        <v>45099</v>
      </c>
      <c r="C2013" s="1" t="n">
        <v>45583</v>
      </c>
      <c r="D2013" t="inlineStr">
        <is>
          <t>VÄSTERNORRLANDS LÄN</t>
        </is>
      </c>
      <c r="E2013" t="inlineStr">
        <is>
          <t>SOLLEFTEÅ</t>
        </is>
      </c>
      <c r="F2013" t="inlineStr">
        <is>
          <t>SCA</t>
        </is>
      </c>
      <c r="G2013" t="n">
        <v>9.300000000000001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28366-2023</t>
        </is>
      </c>
      <c r="B2014" s="1" t="n">
        <v>45099</v>
      </c>
      <c r="C2014" s="1" t="n">
        <v>45583</v>
      </c>
      <c r="D2014" t="inlineStr">
        <is>
          <t>VÄSTERNORRLANDS LÄN</t>
        </is>
      </c>
      <c r="E2014" t="inlineStr">
        <is>
          <t>SOLLEFTEÅ</t>
        </is>
      </c>
      <c r="F2014" t="inlineStr">
        <is>
          <t>SCA</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28383-2023</t>
        </is>
      </c>
      <c r="B2015" s="1" t="n">
        <v>45099</v>
      </c>
      <c r="C2015" s="1" t="n">
        <v>45583</v>
      </c>
      <c r="D2015" t="inlineStr">
        <is>
          <t>VÄSTERNORRLANDS LÄN</t>
        </is>
      </c>
      <c r="E2015" t="inlineStr">
        <is>
          <t>SOLLEFTEÅ</t>
        </is>
      </c>
      <c r="F2015" t="inlineStr">
        <is>
          <t>SCA</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28375-2023</t>
        </is>
      </c>
      <c r="B2016" s="1" t="n">
        <v>45100</v>
      </c>
      <c r="C2016" s="1" t="n">
        <v>45583</v>
      </c>
      <c r="D2016" t="inlineStr">
        <is>
          <t>VÄSTERNORRLANDS LÄN</t>
        </is>
      </c>
      <c r="E2016" t="inlineStr">
        <is>
          <t>SOLLEFTEÅ</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30163-2023</t>
        </is>
      </c>
      <c r="B2017" s="1" t="n">
        <v>45099</v>
      </c>
      <c r="C2017" s="1" t="n">
        <v>45583</v>
      </c>
      <c r="D2017" t="inlineStr">
        <is>
          <t>VÄSTERNORRLANDS LÄN</t>
        </is>
      </c>
      <c r="E2017" t="inlineStr">
        <is>
          <t>SOLLEFTEÅ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28736-2023</t>
        </is>
      </c>
      <c r="B2018" s="1" t="n">
        <v>45104</v>
      </c>
      <c r="C2018" s="1" t="n">
        <v>45583</v>
      </c>
      <c r="D2018" t="inlineStr">
        <is>
          <t>VÄSTERNORRLANDS LÄN</t>
        </is>
      </c>
      <c r="E2018" t="inlineStr">
        <is>
          <t>SOLLEFTEÅ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28749-2023</t>
        </is>
      </c>
      <c r="B2019" s="1" t="n">
        <v>45103</v>
      </c>
      <c r="C2019" s="1" t="n">
        <v>45583</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29065-2023</t>
        </is>
      </c>
      <c r="B2020" s="1" t="n">
        <v>45105</v>
      </c>
      <c r="C2020" s="1" t="n">
        <v>45583</v>
      </c>
      <c r="D2020" t="inlineStr">
        <is>
          <t>VÄSTERNORRLANDS LÄN</t>
        </is>
      </c>
      <c r="E2020" t="inlineStr">
        <is>
          <t>SOLLEFTEÅ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29062-2023</t>
        </is>
      </c>
      <c r="B2021" s="1" t="n">
        <v>45104</v>
      </c>
      <c r="C2021" s="1" t="n">
        <v>45583</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29064-2023</t>
        </is>
      </c>
      <c r="B2022" s="1" t="n">
        <v>45105</v>
      </c>
      <c r="C2022" s="1" t="n">
        <v>45583</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29070-2023</t>
        </is>
      </c>
      <c r="B2023" s="1" t="n">
        <v>45105</v>
      </c>
      <c r="C2023" s="1" t="n">
        <v>45583</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29306-2023</t>
        </is>
      </c>
      <c r="B2024" s="1" t="n">
        <v>45106</v>
      </c>
      <c r="C2024" s="1" t="n">
        <v>45583</v>
      </c>
      <c r="D2024" t="inlineStr">
        <is>
          <t>VÄSTERNORRLANDS LÄN</t>
        </is>
      </c>
      <c r="E2024" t="inlineStr">
        <is>
          <t>SOLLEFTEÅ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29337-2023</t>
        </is>
      </c>
      <c r="B2025" s="1" t="n">
        <v>45105</v>
      </c>
      <c r="C2025" s="1" t="n">
        <v>45583</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45583</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29614-2023</t>
        </is>
      </c>
      <c r="B2027" s="1" t="n">
        <v>45107</v>
      </c>
      <c r="C2027" s="1" t="n">
        <v>45583</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29446-2023</t>
        </is>
      </c>
      <c r="B2028" s="1" t="n">
        <v>45106</v>
      </c>
      <c r="C2028" s="1" t="n">
        <v>45583</v>
      </c>
      <c r="D2028" t="inlineStr">
        <is>
          <t>VÄSTERNORRLANDS LÄN</t>
        </is>
      </c>
      <c r="E2028" t="inlineStr">
        <is>
          <t>SOLLEFTEÅ</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29612-2023</t>
        </is>
      </c>
      <c r="B2029" s="1" t="n">
        <v>45106</v>
      </c>
      <c r="C2029" s="1" t="n">
        <v>45583</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29619-2023</t>
        </is>
      </c>
      <c r="B2030" s="1" t="n">
        <v>45106</v>
      </c>
      <c r="C2030" s="1" t="n">
        <v>45583</v>
      </c>
      <c r="D2030" t="inlineStr">
        <is>
          <t>VÄSTERNORRLANDS LÄN</t>
        </is>
      </c>
      <c r="E2030" t="inlineStr">
        <is>
          <t>SOLLEFTEÅ</t>
        </is>
      </c>
      <c r="F2030" t="inlineStr">
        <is>
          <t>SCA</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29611-2023</t>
        </is>
      </c>
      <c r="B2031" s="1" t="n">
        <v>45106</v>
      </c>
      <c r="C2031" s="1" t="n">
        <v>45583</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29832-2023</t>
        </is>
      </c>
      <c r="B2032" s="1" t="n">
        <v>45107</v>
      </c>
      <c r="C2032" s="1" t="n">
        <v>45583</v>
      </c>
      <c r="D2032" t="inlineStr">
        <is>
          <t>VÄSTERNORRLANDS LÄN</t>
        </is>
      </c>
      <c r="E2032" t="inlineStr">
        <is>
          <t>SOLLEFTEÅ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29952-2023</t>
        </is>
      </c>
      <c r="B2033" s="1" t="n">
        <v>45107</v>
      </c>
      <c r="C2033" s="1" t="n">
        <v>45583</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29944-2023</t>
        </is>
      </c>
      <c r="B2034" s="1" t="n">
        <v>45108</v>
      </c>
      <c r="C2034" s="1" t="n">
        <v>45583</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29956-2023</t>
        </is>
      </c>
      <c r="B2035" s="1" t="n">
        <v>45107</v>
      </c>
      <c r="C2035" s="1" t="n">
        <v>45583</v>
      </c>
      <c r="D2035" t="inlineStr">
        <is>
          <t>VÄSTERNORRLANDS LÄN</t>
        </is>
      </c>
      <c r="E2035" t="inlineStr">
        <is>
          <t>SOLLEFTEÅ</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29949-2023</t>
        </is>
      </c>
      <c r="B2036" s="1" t="n">
        <v>45107</v>
      </c>
      <c r="C2036" s="1" t="n">
        <v>45583</v>
      </c>
      <c r="D2036" t="inlineStr">
        <is>
          <t>VÄSTERNORRLANDS LÄN</t>
        </is>
      </c>
      <c r="E2036" t="inlineStr">
        <is>
          <t>SOLLEFTEÅ</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29957-2023</t>
        </is>
      </c>
      <c r="B2037" s="1" t="n">
        <v>45107</v>
      </c>
      <c r="C2037" s="1" t="n">
        <v>45583</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29946-2023</t>
        </is>
      </c>
      <c r="B2038" s="1" t="n">
        <v>45108</v>
      </c>
      <c r="C2038" s="1" t="n">
        <v>45583</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29964-2023</t>
        </is>
      </c>
      <c r="B2039" s="1" t="n">
        <v>45108</v>
      </c>
      <c r="C2039" s="1" t="n">
        <v>45583</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30295-2023</t>
        </is>
      </c>
      <c r="B2040" s="1" t="n">
        <v>45110</v>
      </c>
      <c r="C2040" s="1" t="n">
        <v>45583</v>
      </c>
      <c r="D2040" t="inlineStr">
        <is>
          <t>VÄSTERNORRLANDS LÄN</t>
        </is>
      </c>
      <c r="E2040" t="inlineStr">
        <is>
          <t>SOLLEFTEÅ</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30567-2023</t>
        </is>
      </c>
      <c r="B2041" s="1" t="n">
        <v>45112</v>
      </c>
      <c r="C2041" s="1" t="n">
        <v>45583</v>
      </c>
      <c r="D2041" t="inlineStr">
        <is>
          <t>VÄSTERNORRLANDS LÄN</t>
        </is>
      </c>
      <c r="E2041" t="inlineStr">
        <is>
          <t>SOLLEFTEÅ</t>
        </is>
      </c>
      <c r="F2041" t="inlineStr">
        <is>
          <t>SCA</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30822-2023</t>
        </is>
      </c>
      <c r="B2042" s="1" t="n">
        <v>45113</v>
      </c>
      <c r="C2042" s="1" t="n">
        <v>45583</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30829-2023</t>
        </is>
      </c>
      <c r="B2043" s="1" t="n">
        <v>45113</v>
      </c>
      <c r="C2043" s="1" t="n">
        <v>45583</v>
      </c>
      <c r="D2043" t="inlineStr">
        <is>
          <t>VÄSTERNORRLANDS LÄN</t>
        </is>
      </c>
      <c r="E2043" t="inlineStr">
        <is>
          <t>SOLLEFTEÅ</t>
        </is>
      </c>
      <c r="F2043" t="inlineStr">
        <is>
          <t>SCA</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31177-2023</t>
        </is>
      </c>
      <c r="B2044" s="1" t="n">
        <v>45113</v>
      </c>
      <c r="C2044" s="1" t="n">
        <v>45583</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31179-2023</t>
        </is>
      </c>
      <c r="B2045" s="1" t="n">
        <v>45114</v>
      </c>
      <c r="C2045" s="1" t="n">
        <v>45583</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31178-2023</t>
        </is>
      </c>
      <c r="B2046" s="1" t="n">
        <v>45114</v>
      </c>
      <c r="C2046" s="1" t="n">
        <v>45583</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31387-2023</t>
        </is>
      </c>
      <c r="B2047" s="1" t="n">
        <v>45114</v>
      </c>
      <c r="C2047" s="1" t="n">
        <v>45583</v>
      </c>
      <c r="D2047" t="inlineStr">
        <is>
          <t>VÄSTERNORRLANDS LÄN</t>
        </is>
      </c>
      <c r="E2047" t="inlineStr">
        <is>
          <t>SOLLEFTEÅ</t>
        </is>
      </c>
      <c r="F2047" t="inlineStr">
        <is>
          <t>Övriga statliga verk och myndigheter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33203-2023</t>
        </is>
      </c>
      <c r="B2048" s="1" t="n">
        <v>45114</v>
      </c>
      <c r="C2048" s="1" t="n">
        <v>45583</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31913-2023</t>
        </is>
      </c>
      <c r="B2049" s="1" t="n">
        <v>45118</v>
      </c>
      <c r="C2049" s="1" t="n">
        <v>45583</v>
      </c>
      <c r="D2049" t="inlineStr">
        <is>
          <t>VÄSTERNORRLANDS LÄN</t>
        </is>
      </c>
      <c r="E2049" t="inlineStr">
        <is>
          <t>SOLLEFTEÅ</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31917-2023</t>
        </is>
      </c>
      <c r="B2050" s="1" t="n">
        <v>45119</v>
      </c>
      <c r="C2050" s="1" t="n">
        <v>45583</v>
      </c>
      <c r="D2050" t="inlineStr">
        <is>
          <t>VÄSTERNORRLANDS LÄN</t>
        </is>
      </c>
      <c r="E2050" t="inlineStr">
        <is>
          <t>SOLLEFTEÅ</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31915-2023</t>
        </is>
      </c>
      <c r="B2051" s="1" t="n">
        <v>45119</v>
      </c>
      <c r="C2051" s="1" t="n">
        <v>45583</v>
      </c>
      <c r="D2051" t="inlineStr">
        <is>
          <t>VÄSTERNORRLANDS LÄN</t>
        </is>
      </c>
      <c r="E2051" t="inlineStr">
        <is>
          <t>SOLLEFTEÅ</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31919-2023</t>
        </is>
      </c>
      <c r="B2052" s="1" t="n">
        <v>45118</v>
      </c>
      <c r="C2052" s="1" t="n">
        <v>45583</v>
      </c>
      <c r="D2052" t="inlineStr">
        <is>
          <t>VÄSTERNORRLANDS LÄN</t>
        </is>
      </c>
      <c r="E2052" t="inlineStr">
        <is>
          <t>SOLLEFTEÅ</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31923-2023</t>
        </is>
      </c>
      <c r="B2053" s="1" t="n">
        <v>45118</v>
      </c>
      <c r="C2053" s="1" t="n">
        <v>45583</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31914-2023</t>
        </is>
      </c>
      <c r="B2054" s="1" t="n">
        <v>45118</v>
      </c>
      <c r="C2054" s="1" t="n">
        <v>45583</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31918-2023</t>
        </is>
      </c>
      <c r="B2055" s="1" t="n">
        <v>45118</v>
      </c>
      <c r="C2055" s="1" t="n">
        <v>45583</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31922-2023</t>
        </is>
      </c>
      <c r="B2056" s="1" t="n">
        <v>45119</v>
      </c>
      <c r="C2056" s="1" t="n">
        <v>45583</v>
      </c>
      <c r="D2056" t="inlineStr">
        <is>
          <t>VÄSTERNORRLANDS LÄN</t>
        </is>
      </c>
      <c r="E2056" t="inlineStr">
        <is>
          <t>SOLLEFTEÅ</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31916-2023</t>
        </is>
      </c>
      <c r="B2057" s="1" t="n">
        <v>45119</v>
      </c>
      <c r="C2057" s="1" t="n">
        <v>45583</v>
      </c>
      <c r="D2057" t="inlineStr">
        <is>
          <t>VÄSTERNORRLANDS LÄN</t>
        </is>
      </c>
      <c r="E2057" t="inlineStr">
        <is>
          <t>SOLLEFTEÅ</t>
        </is>
      </c>
      <c r="F2057" t="inlineStr">
        <is>
          <t>SCA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31924-2023</t>
        </is>
      </c>
      <c r="B2058" s="1" t="n">
        <v>45118</v>
      </c>
      <c r="C2058" s="1" t="n">
        <v>45583</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31921-2023</t>
        </is>
      </c>
      <c r="B2059" s="1" t="n">
        <v>45119</v>
      </c>
      <c r="C2059" s="1" t="n">
        <v>45583</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31925-2023</t>
        </is>
      </c>
      <c r="B2060" s="1" t="n">
        <v>45118</v>
      </c>
      <c r="C2060" s="1" t="n">
        <v>45583</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33642-2023</t>
        </is>
      </c>
      <c r="B2061" s="1" t="n">
        <v>45119</v>
      </c>
      <c r="C2061" s="1" t="n">
        <v>45583</v>
      </c>
      <c r="D2061" t="inlineStr">
        <is>
          <t>VÄSTERNORRLANDS LÄN</t>
        </is>
      </c>
      <c r="E2061" t="inlineStr">
        <is>
          <t>SOLLEFTEÅ</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32466-2023</t>
        </is>
      </c>
      <c r="B2062" s="1" t="n">
        <v>45120</v>
      </c>
      <c r="C2062" s="1" t="n">
        <v>45583</v>
      </c>
      <c r="D2062" t="inlineStr">
        <is>
          <t>VÄSTERNORRLANDS LÄN</t>
        </is>
      </c>
      <c r="E2062" t="inlineStr">
        <is>
          <t>SOLLEFTEÅ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32726-2023</t>
        </is>
      </c>
      <c r="B2063" s="1" t="n">
        <v>45121</v>
      </c>
      <c r="C2063" s="1" t="n">
        <v>45583</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32728-2023</t>
        </is>
      </c>
      <c r="B2064" s="1" t="n">
        <v>45121</v>
      </c>
      <c r="C2064" s="1" t="n">
        <v>45583</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32733-2023</t>
        </is>
      </c>
      <c r="B2065" s="1" t="n">
        <v>45121</v>
      </c>
      <c r="C2065" s="1" t="n">
        <v>45583</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32727-2023</t>
        </is>
      </c>
      <c r="B2066" s="1" t="n">
        <v>45121</v>
      </c>
      <c r="C2066" s="1" t="n">
        <v>45583</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32735-2023</t>
        </is>
      </c>
      <c r="B2067" s="1" t="n">
        <v>45121</v>
      </c>
      <c r="C2067" s="1" t="n">
        <v>45583</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32780-2023</t>
        </is>
      </c>
      <c r="B2068" s="1" t="n">
        <v>45123</v>
      </c>
      <c r="C2068" s="1" t="n">
        <v>45583</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33964-2023</t>
        </is>
      </c>
      <c r="B2069" s="1" t="n">
        <v>45124</v>
      </c>
      <c r="C2069" s="1" t="n">
        <v>45583</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33037-2023</t>
        </is>
      </c>
      <c r="B2070" s="1" t="n">
        <v>45126</v>
      </c>
      <c r="C2070" s="1" t="n">
        <v>45583</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34100-2023</t>
        </is>
      </c>
      <c r="B2071" s="1" t="n">
        <v>45125</v>
      </c>
      <c r="C2071" s="1" t="n">
        <v>45583</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33175-2023</t>
        </is>
      </c>
      <c r="B2072" s="1" t="n">
        <v>45126</v>
      </c>
      <c r="C2072" s="1" t="n">
        <v>45583</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33328-2023</t>
        </is>
      </c>
      <c r="B2073" s="1" t="n">
        <v>45127</v>
      </c>
      <c r="C2073" s="1" t="n">
        <v>45583</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34284-2023</t>
        </is>
      </c>
      <c r="B2074" s="1" t="n">
        <v>45128</v>
      </c>
      <c r="C2074" s="1" t="n">
        <v>45583</v>
      </c>
      <c r="D2074" t="inlineStr">
        <is>
          <t>VÄSTERNORRLANDS LÄN</t>
        </is>
      </c>
      <c r="E2074" t="inlineStr">
        <is>
          <t>SOLLEFTEÅ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33591-2023</t>
        </is>
      </c>
      <c r="B2075" s="1" t="n">
        <v>45131</v>
      </c>
      <c r="C2075" s="1" t="n">
        <v>45583</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33709-2023</t>
        </is>
      </c>
      <c r="B2076" s="1" t="n">
        <v>45133</v>
      </c>
      <c r="C2076" s="1" t="n">
        <v>45583</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33713-2023</t>
        </is>
      </c>
      <c r="B2077" s="1" t="n">
        <v>45133</v>
      </c>
      <c r="C2077" s="1" t="n">
        <v>45583</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33999-2023</t>
        </is>
      </c>
      <c r="B2078" s="1" t="n">
        <v>45134</v>
      </c>
      <c r="C2078" s="1" t="n">
        <v>45583</v>
      </c>
      <c r="D2078" t="inlineStr">
        <is>
          <t>VÄSTERNORRLANDS LÄN</t>
        </is>
      </c>
      <c r="E2078" t="inlineStr">
        <is>
          <t>SOLLEFTEÅ</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34309-2023</t>
        </is>
      </c>
      <c r="B2079" s="1" t="n">
        <v>45139</v>
      </c>
      <c r="C2079" s="1" t="n">
        <v>45583</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34306-2023</t>
        </is>
      </c>
      <c r="B2080" s="1" t="n">
        <v>45138</v>
      </c>
      <c r="C2080" s="1" t="n">
        <v>45583</v>
      </c>
      <c r="D2080" t="inlineStr">
        <is>
          <t>VÄSTERNORRLANDS LÄN</t>
        </is>
      </c>
      <c r="E2080" t="inlineStr">
        <is>
          <t>SOLLEFTEÅ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34310-2023</t>
        </is>
      </c>
      <c r="B2081" s="1" t="n">
        <v>45139</v>
      </c>
      <c r="C2081" s="1" t="n">
        <v>45583</v>
      </c>
      <c r="D2081" t="inlineStr">
        <is>
          <t>VÄSTERNORRLANDS LÄN</t>
        </is>
      </c>
      <c r="E2081" t="inlineStr">
        <is>
          <t>SOLLEFTEÅ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34308-2023</t>
        </is>
      </c>
      <c r="B2082" s="1" t="n">
        <v>45138</v>
      </c>
      <c r="C2082" s="1" t="n">
        <v>45583</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34329-2023</t>
        </is>
      </c>
      <c r="B2083" s="1" t="n">
        <v>45139</v>
      </c>
      <c r="C2083" s="1" t="n">
        <v>45583</v>
      </c>
      <c r="D2083" t="inlineStr">
        <is>
          <t>VÄSTERNORRLANDS LÄN</t>
        </is>
      </c>
      <c r="E2083" t="inlineStr">
        <is>
          <t>SOLLEFTEÅ</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34330-2023</t>
        </is>
      </c>
      <c r="B2084" s="1" t="n">
        <v>45138</v>
      </c>
      <c r="C2084" s="1" t="n">
        <v>45583</v>
      </c>
      <c r="D2084" t="inlineStr">
        <is>
          <t>VÄSTERNORRLANDS LÄN</t>
        </is>
      </c>
      <c r="E2084" t="inlineStr">
        <is>
          <t>SOLLEFTEÅ</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34328-2023</t>
        </is>
      </c>
      <c r="B2085" s="1" t="n">
        <v>45139</v>
      </c>
      <c r="C2085" s="1" t="n">
        <v>45583</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34307-2023</t>
        </is>
      </c>
      <c r="B2086" s="1" t="n">
        <v>45138</v>
      </c>
      <c r="C2086" s="1" t="n">
        <v>45583</v>
      </c>
      <c r="D2086" t="inlineStr">
        <is>
          <t>VÄSTERNORRLANDS LÄN</t>
        </is>
      </c>
      <c r="E2086" t="inlineStr">
        <is>
          <t>SOLLEFTEÅ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34311-2023</t>
        </is>
      </c>
      <c r="B2087" s="1" t="n">
        <v>45139</v>
      </c>
      <c r="C2087" s="1" t="n">
        <v>45583</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34327-2023</t>
        </is>
      </c>
      <c r="B2088" s="1" t="n">
        <v>45139</v>
      </c>
      <c r="C2088" s="1" t="n">
        <v>45583</v>
      </c>
      <c r="D2088" t="inlineStr">
        <is>
          <t>VÄSTERNORRLANDS LÄN</t>
        </is>
      </c>
      <c r="E2088" t="inlineStr">
        <is>
          <t>SOLLEFTEÅ</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34487-2023</t>
        </is>
      </c>
      <c r="B2089" s="1" t="n">
        <v>45140</v>
      </c>
      <c r="C2089" s="1" t="n">
        <v>45583</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34741-2023</t>
        </is>
      </c>
      <c r="B2090" s="1" t="n">
        <v>45139</v>
      </c>
      <c r="C2090" s="1" t="n">
        <v>45583</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34737-2023</t>
        </is>
      </c>
      <c r="B2091" s="1" t="n">
        <v>45139</v>
      </c>
      <c r="C2091" s="1" t="n">
        <v>45583</v>
      </c>
      <c r="D2091" t="inlineStr">
        <is>
          <t>VÄSTERNORRLANDS LÄN</t>
        </is>
      </c>
      <c r="E2091" t="inlineStr">
        <is>
          <t>SOLLEFTEÅ</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34687-2023</t>
        </is>
      </c>
      <c r="B2092" s="1" t="n">
        <v>45141</v>
      </c>
      <c r="C2092" s="1" t="n">
        <v>45583</v>
      </c>
      <c r="D2092" t="inlineStr">
        <is>
          <t>VÄSTERNORRLANDS LÄN</t>
        </is>
      </c>
      <c r="E2092" t="inlineStr">
        <is>
          <t>SOLLEFTEÅ</t>
        </is>
      </c>
      <c r="F2092" t="inlineStr">
        <is>
          <t>SCA</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34686-2023</t>
        </is>
      </c>
      <c r="B2093" s="1" t="n">
        <v>45141</v>
      </c>
      <c r="C2093" s="1" t="n">
        <v>45583</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34696-2023</t>
        </is>
      </c>
      <c r="B2094" s="1" t="n">
        <v>45141</v>
      </c>
      <c r="C2094" s="1" t="n">
        <v>45583</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34983-2023</t>
        </is>
      </c>
      <c r="B2095" s="1" t="n">
        <v>45141</v>
      </c>
      <c r="C2095" s="1" t="n">
        <v>45583</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34848-2023</t>
        </is>
      </c>
      <c r="B2096" s="1" t="n">
        <v>45142</v>
      </c>
      <c r="C2096" s="1" t="n">
        <v>45583</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35147-2023</t>
        </is>
      </c>
      <c r="B2097" s="1" t="n">
        <v>45142</v>
      </c>
      <c r="C2097" s="1" t="n">
        <v>45583</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35276-2023</t>
        </is>
      </c>
      <c r="B2098" s="1" t="n">
        <v>45146</v>
      </c>
      <c r="C2098" s="1" t="n">
        <v>45583</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35295-2023</t>
        </is>
      </c>
      <c r="B2099" s="1" t="n">
        <v>45145</v>
      </c>
      <c r="C2099" s="1" t="n">
        <v>45583</v>
      </c>
      <c r="D2099" t="inlineStr">
        <is>
          <t>VÄSTERNORRLANDS LÄN</t>
        </is>
      </c>
      <c r="E2099" t="inlineStr">
        <is>
          <t>SOLLEFTEÅ</t>
        </is>
      </c>
      <c r="F2099" t="inlineStr">
        <is>
          <t>SCA</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35277-2023</t>
        </is>
      </c>
      <c r="B2100" s="1" t="n">
        <v>45145</v>
      </c>
      <c r="C2100" s="1" t="n">
        <v>45583</v>
      </c>
      <c r="D2100" t="inlineStr">
        <is>
          <t>VÄSTERNORRLANDS LÄN</t>
        </is>
      </c>
      <c r="E2100" t="inlineStr">
        <is>
          <t>SOLLEFTEÅ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35352-2023</t>
        </is>
      </c>
      <c r="B2101" s="1" t="n">
        <v>45145</v>
      </c>
      <c r="C2101" s="1" t="n">
        <v>45583</v>
      </c>
      <c r="D2101" t="inlineStr">
        <is>
          <t>VÄSTERNORRLANDS LÄN</t>
        </is>
      </c>
      <c r="E2101" t="inlineStr">
        <is>
          <t>SOLLEFTEÅ</t>
        </is>
      </c>
      <c r="F2101" t="inlineStr">
        <is>
          <t>SCA</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35470-2023</t>
        </is>
      </c>
      <c r="B2102" s="1" t="n">
        <v>45146</v>
      </c>
      <c r="C2102" s="1" t="n">
        <v>45583</v>
      </c>
      <c r="D2102" t="inlineStr">
        <is>
          <t>VÄSTERNORRLANDS LÄN</t>
        </is>
      </c>
      <c r="E2102" t="inlineStr">
        <is>
          <t>SOLLEFTEÅ</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35511-2023</t>
        </is>
      </c>
      <c r="B2103" s="1" t="n">
        <v>45146</v>
      </c>
      <c r="C2103" s="1" t="n">
        <v>45583</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35509-2023</t>
        </is>
      </c>
      <c r="B2104" s="1" t="n">
        <v>45147</v>
      </c>
      <c r="C2104" s="1" t="n">
        <v>45583</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35569-2023</t>
        </is>
      </c>
      <c r="B2105" s="1" t="n">
        <v>45147</v>
      </c>
      <c r="C2105" s="1" t="n">
        <v>45583</v>
      </c>
      <c r="D2105" t="inlineStr">
        <is>
          <t>VÄSTERNORRLANDS LÄN</t>
        </is>
      </c>
      <c r="E2105" t="inlineStr">
        <is>
          <t>SOLLEFTEÅ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35746-2023</t>
        </is>
      </c>
      <c r="B2106" s="1" t="n">
        <v>45148</v>
      </c>
      <c r="C2106" s="1" t="n">
        <v>45583</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35556-2023</t>
        </is>
      </c>
      <c r="B2107" s="1" t="n">
        <v>45147</v>
      </c>
      <c r="C2107" s="1" t="n">
        <v>45583</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35764-2023</t>
        </is>
      </c>
      <c r="B2108" s="1" t="n">
        <v>45147</v>
      </c>
      <c r="C2108" s="1" t="n">
        <v>45583</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35745-2023</t>
        </is>
      </c>
      <c r="B2109" s="1" t="n">
        <v>45148</v>
      </c>
      <c r="C2109" s="1" t="n">
        <v>45583</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35761-2023</t>
        </is>
      </c>
      <c r="B2110" s="1" t="n">
        <v>45148</v>
      </c>
      <c r="C2110" s="1" t="n">
        <v>45583</v>
      </c>
      <c r="D2110" t="inlineStr">
        <is>
          <t>VÄSTERNORRLANDS LÄN</t>
        </is>
      </c>
      <c r="E2110" t="inlineStr">
        <is>
          <t>SOLLEFTEÅ</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35945-2023</t>
        </is>
      </c>
      <c r="B2111" s="1" t="n">
        <v>45148</v>
      </c>
      <c r="C2111" s="1" t="n">
        <v>45583</v>
      </c>
      <c r="D2111" t="inlineStr">
        <is>
          <t>VÄSTERNORRLANDS LÄN</t>
        </is>
      </c>
      <c r="E2111" t="inlineStr">
        <is>
          <t>SOLLEFTEÅ</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35980-2023</t>
        </is>
      </c>
      <c r="B2112" s="1" t="n">
        <v>45149</v>
      </c>
      <c r="C2112" s="1" t="n">
        <v>45583</v>
      </c>
      <c r="D2112" t="inlineStr">
        <is>
          <t>VÄSTERNORRLANDS LÄN</t>
        </is>
      </c>
      <c r="E2112" t="inlineStr">
        <is>
          <t>SOLLEFTEÅ</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35975-2023</t>
        </is>
      </c>
      <c r="B2113" s="1" t="n">
        <v>45148</v>
      </c>
      <c r="C2113" s="1" t="n">
        <v>45583</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35974-2023</t>
        </is>
      </c>
      <c r="B2114" s="1" t="n">
        <v>45148</v>
      </c>
      <c r="C2114" s="1" t="n">
        <v>45583</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35978-2023</t>
        </is>
      </c>
      <c r="B2115" s="1" t="n">
        <v>45148</v>
      </c>
      <c r="C2115" s="1" t="n">
        <v>45583</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35977-2023</t>
        </is>
      </c>
      <c r="B2116" s="1" t="n">
        <v>45149</v>
      </c>
      <c r="C2116" s="1" t="n">
        <v>45583</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36211-2023</t>
        </is>
      </c>
      <c r="B2117" s="1" t="n">
        <v>45150</v>
      </c>
      <c r="C2117" s="1" t="n">
        <v>45583</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36222-2023</t>
        </is>
      </c>
      <c r="B2118" s="1" t="n">
        <v>45150</v>
      </c>
      <c r="C2118" s="1" t="n">
        <v>45583</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36511-2023</t>
        </is>
      </c>
      <c r="B2119" s="1" t="n">
        <v>45153</v>
      </c>
      <c r="C2119" s="1" t="n">
        <v>45583</v>
      </c>
      <c r="D2119" t="inlineStr">
        <is>
          <t>VÄSTERNORRLANDS LÄN</t>
        </is>
      </c>
      <c r="E2119" t="inlineStr">
        <is>
          <t>SOLLEFTEÅ</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36514-2023</t>
        </is>
      </c>
      <c r="B2120" s="1" t="n">
        <v>45153</v>
      </c>
      <c r="C2120" s="1" t="n">
        <v>45583</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36508-2023</t>
        </is>
      </c>
      <c r="B2121" s="1" t="n">
        <v>45153</v>
      </c>
      <c r="C2121" s="1" t="n">
        <v>45583</v>
      </c>
      <c r="D2121" t="inlineStr">
        <is>
          <t>VÄSTERNORRLANDS LÄN</t>
        </is>
      </c>
      <c r="E2121" t="inlineStr">
        <is>
          <t>SOLLEFTEÅ</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36512-2023</t>
        </is>
      </c>
      <c r="B2122" s="1" t="n">
        <v>45152</v>
      </c>
      <c r="C2122" s="1" t="n">
        <v>45583</v>
      </c>
      <c r="D2122" t="inlineStr">
        <is>
          <t>VÄSTERNORRLANDS LÄN</t>
        </is>
      </c>
      <c r="E2122" t="inlineStr">
        <is>
          <t>SOLLEFTEÅ</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36513-2023</t>
        </is>
      </c>
      <c r="B2123" s="1" t="n">
        <v>45153</v>
      </c>
      <c r="C2123" s="1" t="n">
        <v>45583</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36770-2023</t>
        </is>
      </c>
      <c r="B2124" s="1" t="n">
        <v>45153</v>
      </c>
      <c r="C2124" s="1" t="n">
        <v>45583</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36771-2023</t>
        </is>
      </c>
      <c r="B2125" s="1" t="n">
        <v>45153</v>
      </c>
      <c r="C2125" s="1" t="n">
        <v>45583</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36944-2023</t>
        </is>
      </c>
      <c r="B2126" s="1" t="n">
        <v>45154</v>
      </c>
      <c r="C2126" s="1" t="n">
        <v>45583</v>
      </c>
      <c r="D2126" t="inlineStr">
        <is>
          <t>VÄSTERNORRLANDS LÄN</t>
        </is>
      </c>
      <c r="E2126" t="inlineStr">
        <is>
          <t>SOLLEFTEÅ</t>
        </is>
      </c>
      <c r="F2126" t="inlineStr">
        <is>
          <t>Övriga Aktiebolag</t>
        </is>
      </c>
      <c r="G2126" t="n">
        <v>16.9</v>
      </c>
      <c r="H2126" t="n">
        <v>0</v>
      </c>
      <c r="I2126" t="n">
        <v>0</v>
      </c>
      <c r="J2126" t="n">
        <v>0</v>
      </c>
      <c r="K2126" t="n">
        <v>0</v>
      </c>
      <c r="L2126" t="n">
        <v>0</v>
      </c>
      <c r="M2126" t="n">
        <v>0</v>
      </c>
      <c r="N2126" t="n">
        <v>0</v>
      </c>
      <c r="O2126" t="n">
        <v>0</v>
      </c>
      <c r="P2126" t="n">
        <v>0</v>
      </c>
      <c r="Q2126" t="n">
        <v>0</v>
      </c>
      <c r="R2126" s="2" t="inlineStr"/>
    </row>
    <row r="2127" ht="15" customHeight="1">
      <c r="A2127" t="inlineStr">
        <is>
          <t>A 36976-2023</t>
        </is>
      </c>
      <c r="B2127" s="1" t="n">
        <v>45155</v>
      </c>
      <c r="C2127" s="1" t="n">
        <v>45583</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36977-2023</t>
        </is>
      </c>
      <c r="B2128" s="1" t="n">
        <v>45155</v>
      </c>
      <c r="C2128" s="1" t="n">
        <v>45583</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36967-2023</t>
        </is>
      </c>
      <c r="B2129" s="1" t="n">
        <v>45155</v>
      </c>
      <c r="C2129" s="1" t="n">
        <v>45583</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37269-2023</t>
        </is>
      </c>
      <c r="B2130" s="1" t="n">
        <v>45155</v>
      </c>
      <c r="C2130" s="1" t="n">
        <v>45583</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37412-2023</t>
        </is>
      </c>
      <c r="B2131" s="1" t="n">
        <v>45155</v>
      </c>
      <c r="C2131" s="1" t="n">
        <v>45583</v>
      </c>
      <c r="D2131" t="inlineStr">
        <is>
          <t>VÄSTERNORRLANDS LÄN</t>
        </is>
      </c>
      <c r="E2131" t="inlineStr">
        <is>
          <t>SOLLEFTEÅ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37381-2023</t>
        </is>
      </c>
      <c r="B2132" s="1" t="n">
        <v>45155</v>
      </c>
      <c r="C2132" s="1" t="n">
        <v>45583</v>
      </c>
      <c r="D2132" t="inlineStr">
        <is>
          <t>VÄSTERNORRLANDS LÄN</t>
        </is>
      </c>
      <c r="E2132" t="inlineStr">
        <is>
          <t>SOLLEFTEÅ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37484-2023</t>
        </is>
      </c>
      <c r="B2133" s="1" t="n">
        <v>45156</v>
      </c>
      <c r="C2133" s="1" t="n">
        <v>45583</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37615-2023</t>
        </is>
      </c>
      <c r="B2134" s="1" t="n">
        <v>45156</v>
      </c>
      <c r="C2134" s="1" t="n">
        <v>45583</v>
      </c>
      <c r="D2134" t="inlineStr">
        <is>
          <t>VÄSTERNORRLANDS LÄN</t>
        </is>
      </c>
      <c r="E2134" t="inlineStr">
        <is>
          <t>SOLLEFTEÅ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37711-2023</t>
        </is>
      </c>
      <c r="B2135" s="1" t="n">
        <v>45156</v>
      </c>
      <c r="C2135" s="1" t="n">
        <v>45583</v>
      </c>
      <c r="D2135" t="inlineStr">
        <is>
          <t>VÄSTERNORRLANDS LÄN</t>
        </is>
      </c>
      <c r="E2135" t="inlineStr">
        <is>
          <t>SOLLEFTEÅ</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37735-2023</t>
        </is>
      </c>
      <c r="B2136" s="1" t="n">
        <v>45156</v>
      </c>
      <c r="C2136" s="1" t="n">
        <v>45583</v>
      </c>
      <c r="D2136" t="inlineStr">
        <is>
          <t>VÄSTERNORRLANDS LÄN</t>
        </is>
      </c>
      <c r="E2136" t="inlineStr">
        <is>
          <t>SOLLEFTEÅ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37486-2023</t>
        </is>
      </c>
      <c r="B2137" s="1" t="n">
        <v>45157</v>
      </c>
      <c r="C2137" s="1" t="n">
        <v>45583</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37691-2023</t>
        </is>
      </c>
      <c r="B2138" s="1" t="n">
        <v>45156</v>
      </c>
      <c r="C2138" s="1" t="n">
        <v>45583</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37722-2023</t>
        </is>
      </c>
      <c r="B2139" s="1" t="n">
        <v>45156</v>
      </c>
      <c r="C2139" s="1" t="n">
        <v>45583</v>
      </c>
      <c r="D2139" t="inlineStr">
        <is>
          <t>VÄSTERNORRLANDS LÄN</t>
        </is>
      </c>
      <c r="E2139" t="inlineStr">
        <is>
          <t>SOLLEFTEÅ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37611-2023</t>
        </is>
      </c>
      <c r="B2140" s="1" t="n">
        <v>45156</v>
      </c>
      <c r="C2140" s="1" t="n">
        <v>45583</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37671-2023</t>
        </is>
      </c>
      <c r="B2141" s="1" t="n">
        <v>45156</v>
      </c>
      <c r="C2141" s="1" t="n">
        <v>45583</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37696-2023</t>
        </is>
      </c>
      <c r="B2142" s="1" t="n">
        <v>45156</v>
      </c>
      <c r="C2142" s="1" t="n">
        <v>45583</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37726-2023</t>
        </is>
      </c>
      <c r="B2143" s="1" t="n">
        <v>45156</v>
      </c>
      <c r="C2143" s="1" t="n">
        <v>45583</v>
      </c>
      <c r="D2143" t="inlineStr">
        <is>
          <t>VÄSTERNORRLANDS LÄN</t>
        </is>
      </c>
      <c r="E2143" t="inlineStr">
        <is>
          <t>SOLLEFTEÅ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37483-2023</t>
        </is>
      </c>
      <c r="B2144" s="1" t="n">
        <v>45157</v>
      </c>
      <c r="C2144" s="1" t="n">
        <v>45583</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37487-2023</t>
        </is>
      </c>
      <c r="B2145" s="1" t="n">
        <v>45157</v>
      </c>
      <c r="C2145" s="1" t="n">
        <v>45583</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37699-2023</t>
        </is>
      </c>
      <c r="B2146" s="1" t="n">
        <v>45156</v>
      </c>
      <c r="C2146" s="1" t="n">
        <v>45583</v>
      </c>
      <c r="D2146" t="inlineStr">
        <is>
          <t>VÄSTERNORRLANDS LÄN</t>
        </is>
      </c>
      <c r="E2146" t="inlineStr">
        <is>
          <t>SOLLEFTEÅ</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37731-2023</t>
        </is>
      </c>
      <c r="B2147" s="1" t="n">
        <v>45156</v>
      </c>
      <c r="C2147" s="1" t="n">
        <v>45583</v>
      </c>
      <c r="D2147" t="inlineStr">
        <is>
          <t>VÄSTERNORRLANDS LÄN</t>
        </is>
      </c>
      <c r="E2147" t="inlineStr">
        <is>
          <t>SOLLEFTEÅ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37807-2023</t>
        </is>
      </c>
      <c r="B2148" s="1" t="n">
        <v>45160</v>
      </c>
      <c r="C2148" s="1" t="n">
        <v>45583</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38093-2023</t>
        </is>
      </c>
      <c r="B2149" s="1" t="n">
        <v>45160</v>
      </c>
      <c r="C2149" s="1" t="n">
        <v>45583</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38097-2023</t>
        </is>
      </c>
      <c r="B2150" s="1" t="n">
        <v>45160</v>
      </c>
      <c r="C2150" s="1" t="n">
        <v>45583</v>
      </c>
      <c r="D2150" t="inlineStr">
        <is>
          <t>VÄSTERNORRLANDS LÄN</t>
        </is>
      </c>
      <c r="E2150" t="inlineStr">
        <is>
          <t>SOLLEFTEÅ</t>
        </is>
      </c>
      <c r="F2150" t="inlineStr">
        <is>
          <t>SCA</t>
        </is>
      </c>
      <c r="G2150" t="n">
        <v>47.1</v>
      </c>
      <c r="H2150" t="n">
        <v>0</v>
      </c>
      <c r="I2150" t="n">
        <v>0</v>
      </c>
      <c r="J2150" t="n">
        <v>0</v>
      </c>
      <c r="K2150" t="n">
        <v>0</v>
      </c>
      <c r="L2150" t="n">
        <v>0</v>
      </c>
      <c r="M2150" t="n">
        <v>0</v>
      </c>
      <c r="N2150" t="n">
        <v>0</v>
      </c>
      <c r="O2150" t="n">
        <v>0</v>
      </c>
      <c r="P2150" t="n">
        <v>0</v>
      </c>
      <c r="Q2150" t="n">
        <v>0</v>
      </c>
      <c r="R2150" s="2" t="inlineStr"/>
    </row>
    <row r="2151" ht="15" customHeight="1">
      <c r="A2151" t="inlineStr">
        <is>
          <t>A 38092-2023</t>
        </is>
      </c>
      <c r="B2151" s="1" t="n">
        <v>45161</v>
      </c>
      <c r="C2151" s="1" t="n">
        <v>45583</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38100-2023</t>
        </is>
      </c>
      <c r="B2152" s="1" t="n">
        <v>45161</v>
      </c>
      <c r="C2152" s="1" t="n">
        <v>45583</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39077-2023</t>
        </is>
      </c>
      <c r="B2153" s="1" t="n">
        <v>45164</v>
      </c>
      <c r="C2153" s="1" t="n">
        <v>45583</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39399-2023</t>
        </is>
      </c>
      <c r="B2154" s="1" t="n">
        <v>45163</v>
      </c>
      <c r="C2154" s="1" t="n">
        <v>45583</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39058-2023</t>
        </is>
      </c>
      <c r="B2155" s="1" t="n">
        <v>45164</v>
      </c>
      <c r="C2155" s="1" t="n">
        <v>45583</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39379-2023</t>
        </is>
      </c>
      <c r="B2156" s="1" t="n">
        <v>45163</v>
      </c>
      <c r="C2156" s="1" t="n">
        <v>45583</v>
      </c>
      <c r="D2156" t="inlineStr">
        <is>
          <t>VÄSTERNORRLANDS LÄN</t>
        </is>
      </c>
      <c r="E2156" t="inlineStr">
        <is>
          <t>SOLLEFTEÅ</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39496-2023</t>
        </is>
      </c>
      <c r="B2157" s="1" t="n">
        <v>45167</v>
      </c>
      <c r="C2157" s="1" t="n">
        <v>45583</v>
      </c>
      <c r="D2157" t="inlineStr">
        <is>
          <t>VÄSTERNORRLANDS LÄN</t>
        </is>
      </c>
      <c r="E2157" t="inlineStr">
        <is>
          <t>SOLLEFTEÅ</t>
        </is>
      </c>
      <c r="F2157" t="inlineStr">
        <is>
          <t>SCA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39497-2023</t>
        </is>
      </c>
      <c r="B2158" s="1" t="n">
        <v>45167</v>
      </c>
      <c r="C2158" s="1" t="n">
        <v>45583</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39727-2023</t>
        </is>
      </c>
      <c r="B2159" s="1" t="n">
        <v>45166</v>
      </c>
      <c r="C2159" s="1" t="n">
        <v>45583</v>
      </c>
      <c r="D2159" t="inlineStr">
        <is>
          <t>VÄSTERNORRLANDS LÄN</t>
        </is>
      </c>
      <c r="E2159" t="inlineStr">
        <is>
          <t>SOLLEFTEÅ</t>
        </is>
      </c>
      <c r="F2159" t="inlineStr">
        <is>
          <t>SCA</t>
        </is>
      </c>
      <c r="G2159" t="n">
        <v>45.3</v>
      </c>
      <c r="H2159" t="n">
        <v>0</v>
      </c>
      <c r="I2159" t="n">
        <v>0</v>
      </c>
      <c r="J2159" t="n">
        <v>0</v>
      </c>
      <c r="K2159" t="n">
        <v>0</v>
      </c>
      <c r="L2159" t="n">
        <v>0</v>
      </c>
      <c r="M2159" t="n">
        <v>0</v>
      </c>
      <c r="N2159" t="n">
        <v>0</v>
      </c>
      <c r="O2159" t="n">
        <v>0</v>
      </c>
      <c r="P2159" t="n">
        <v>0</v>
      </c>
      <c r="Q2159" t="n">
        <v>0</v>
      </c>
      <c r="R2159" s="2" t="inlineStr"/>
    </row>
    <row r="2160" ht="15" customHeight="1">
      <c r="A2160" t="inlineStr">
        <is>
          <t>A 39495-2023</t>
        </is>
      </c>
      <c r="B2160" s="1" t="n">
        <v>45167</v>
      </c>
      <c r="C2160" s="1" t="n">
        <v>45583</v>
      </c>
      <c r="D2160" t="inlineStr">
        <is>
          <t>VÄSTERNORRLANDS LÄN</t>
        </is>
      </c>
      <c r="E2160" t="inlineStr">
        <is>
          <t>SOLLEFTEÅ</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40098-2023</t>
        </is>
      </c>
      <c r="B2161" s="1" t="n">
        <v>45169</v>
      </c>
      <c r="C2161" s="1" t="n">
        <v>45583</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40099-2023</t>
        </is>
      </c>
      <c r="B2162" s="1" t="n">
        <v>45169</v>
      </c>
      <c r="C2162" s="1" t="n">
        <v>45583</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40115-2023</t>
        </is>
      </c>
      <c r="B2163" s="1" t="n">
        <v>45169</v>
      </c>
      <c r="C2163" s="1" t="n">
        <v>45583</v>
      </c>
      <c r="D2163" t="inlineStr">
        <is>
          <t>VÄSTERNORRLANDS LÄN</t>
        </is>
      </c>
      <c r="E2163" t="inlineStr">
        <is>
          <t>SOLLEFTEÅ</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40202-2023</t>
        </is>
      </c>
      <c r="B2164" s="1" t="n">
        <v>45169</v>
      </c>
      <c r="C2164" s="1" t="n">
        <v>45583</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40403-2023</t>
        </is>
      </c>
      <c r="B2165" s="1" t="n">
        <v>45170</v>
      </c>
      <c r="C2165" s="1" t="n">
        <v>45583</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40404-2023</t>
        </is>
      </c>
      <c r="B2166" s="1" t="n">
        <v>45170</v>
      </c>
      <c r="C2166" s="1" t="n">
        <v>45583</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40429-2023</t>
        </is>
      </c>
      <c r="B2167" s="1" t="n">
        <v>45169</v>
      </c>
      <c r="C2167" s="1" t="n">
        <v>45583</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40421-2023</t>
        </is>
      </c>
      <c r="B2168" s="1" t="n">
        <v>45170</v>
      </c>
      <c r="C2168" s="1" t="n">
        <v>45583</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40766-2023</t>
        </is>
      </c>
      <c r="B2169" s="1" t="n">
        <v>45170</v>
      </c>
      <c r="C2169" s="1" t="n">
        <v>45583</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40764-2023</t>
        </is>
      </c>
      <c r="B2170" s="1" t="n">
        <v>45170</v>
      </c>
      <c r="C2170" s="1" t="n">
        <v>45583</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41145-2023</t>
        </is>
      </c>
      <c r="B2171" s="1" t="n">
        <v>45174</v>
      </c>
      <c r="C2171" s="1" t="n">
        <v>45583</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41146-2023</t>
        </is>
      </c>
      <c r="B2172" s="1" t="n">
        <v>45174</v>
      </c>
      <c r="C2172" s="1" t="n">
        <v>45583</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41143-2023</t>
        </is>
      </c>
      <c r="B2173" s="1" t="n">
        <v>45174</v>
      </c>
      <c r="C2173" s="1" t="n">
        <v>45583</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41257-2023</t>
        </is>
      </c>
      <c r="B2174" s="1" t="n">
        <v>45174</v>
      </c>
      <c r="C2174" s="1" t="n">
        <v>45583</v>
      </c>
      <c r="D2174" t="inlineStr">
        <is>
          <t>VÄSTERNORRLANDS LÄN</t>
        </is>
      </c>
      <c r="E2174" t="inlineStr">
        <is>
          <t>SOLLEFTEÅ</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41655-2023</t>
        </is>
      </c>
      <c r="B2175" s="1" t="n">
        <v>45176</v>
      </c>
      <c r="C2175" s="1" t="n">
        <v>45583</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41933-2023</t>
        </is>
      </c>
      <c r="B2176" s="1" t="n">
        <v>45177</v>
      </c>
      <c r="C2176" s="1" t="n">
        <v>45583</v>
      </c>
      <c r="D2176" t="inlineStr">
        <is>
          <t>VÄSTERNORRLANDS LÄN</t>
        </is>
      </c>
      <c r="E2176" t="inlineStr">
        <is>
          <t>SOLLEFTEÅ</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41924-2023</t>
        </is>
      </c>
      <c r="B2177" s="1" t="n">
        <v>45176</v>
      </c>
      <c r="C2177" s="1" t="n">
        <v>45583</v>
      </c>
      <c r="D2177" t="inlineStr">
        <is>
          <t>VÄSTERNORRLANDS LÄN</t>
        </is>
      </c>
      <c r="E2177" t="inlineStr">
        <is>
          <t>SOLLEFTEÅ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42150-2023</t>
        </is>
      </c>
      <c r="B2178" s="1" t="n">
        <v>45178</v>
      </c>
      <c r="C2178" s="1" t="n">
        <v>45583</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42162-2023</t>
        </is>
      </c>
      <c r="B2179" s="1" t="n">
        <v>45178</v>
      </c>
      <c r="C2179" s="1" t="n">
        <v>45583</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42140-2023</t>
        </is>
      </c>
      <c r="B2180" s="1" t="n">
        <v>45178</v>
      </c>
      <c r="C2180" s="1" t="n">
        <v>45583</v>
      </c>
      <c r="D2180" t="inlineStr">
        <is>
          <t>VÄSTERNORRLANDS LÄN</t>
        </is>
      </c>
      <c r="E2180" t="inlineStr">
        <is>
          <t>SOLLEFTEÅ</t>
        </is>
      </c>
      <c r="G2180" t="n">
        <v>13.3</v>
      </c>
      <c r="H2180" t="n">
        <v>0</v>
      </c>
      <c r="I2180" t="n">
        <v>0</v>
      </c>
      <c r="J2180" t="n">
        <v>0</v>
      </c>
      <c r="K2180" t="n">
        <v>0</v>
      </c>
      <c r="L2180" t="n">
        <v>0</v>
      </c>
      <c r="M2180" t="n">
        <v>0</v>
      </c>
      <c r="N2180" t="n">
        <v>0</v>
      </c>
      <c r="O2180" t="n">
        <v>0</v>
      </c>
      <c r="P2180" t="n">
        <v>0</v>
      </c>
      <c r="Q2180" t="n">
        <v>0</v>
      </c>
      <c r="R2180" s="2" t="inlineStr"/>
    </row>
    <row r="2181" ht="15" customHeight="1">
      <c r="A2181" t="inlineStr">
        <is>
          <t>A 42160-2023</t>
        </is>
      </c>
      <c r="B2181" s="1" t="n">
        <v>45177</v>
      </c>
      <c r="C2181" s="1" t="n">
        <v>45583</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42164-2023</t>
        </is>
      </c>
      <c r="B2182" s="1" t="n">
        <v>45178</v>
      </c>
      <c r="C2182" s="1" t="n">
        <v>45583</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42147-2023</t>
        </is>
      </c>
      <c r="B2183" s="1" t="n">
        <v>45177</v>
      </c>
      <c r="C2183" s="1" t="n">
        <v>45583</v>
      </c>
      <c r="D2183" t="inlineStr">
        <is>
          <t>VÄSTERNORRLANDS LÄN</t>
        </is>
      </c>
      <c r="E2183" t="inlineStr">
        <is>
          <t>SOLLEFTEÅ</t>
        </is>
      </c>
      <c r="G2183" t="n">
        <v>24.4</v>
      </c>
      <c r="H2183" t="n">
        <v>0</v>
      </c>
      <c r="I2183" t="n">
        <v>0</v>
      </c>
      <c r="J2183" t="n">
        <v>0</v>
      </c>
      <c r="K2183" t="n">
        <v>0</v>
      </c>
      <c r="L2183" t="n">
        <v>0</v>
      </c>
      <c r="M2183" t="n">
        <v>0</v>
      </c>
      <c r="N2183" t="n">
        <v>0</v>
      </c>
      <c r="O2183" t="n">
        <v>0</v>
      </c>
      <c r="P2183" t="n">
        <v>0</v>
      </c>
      <c r="Q2183" t="n">
        <v>0</v>
      </c>
      <c r="R2183" s="2" t="inlineStr"/>
    </row>
    <row r="2184" ht="15" customHeight="1">
      <c r="A2184" t="inlineStr">
        <is>
          <t>A 42440-2023</t>
        </is>
      </c>
      <c r="B2184" s="1" t="n">
        <v>45180</v>
      </c>
      <c r="C2184" s="1" t="n">
        <v>45583</v>
      </c>
      <c r="D2184" t="inlineStr">
        <is>
          <t>VÄSTERNORRLANDS LÄN</t>
        </is>
      </c>
      <c r="E2184" t="inlineStr">
        <is>
          <t>SOLLEFTEÅ</t>
        </is>
      </c>
      <c r="F2184" t="inlineStr">
        <is>
          <t>Holmen skog AB</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42514-2023</t>
        </is>
      </c>
      <c r="B2185" s="1" t="n">
        <v>45181</v>
      </c>
      <c r="C2185" s="1" t="n">
        <v>45583</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42512-2023</t>
        </is>
      </c>
      <c r="B2186" s="1" t="n">
        <v>45181</v>
      </c>
      <c r="C2186" s="1" t="n">
        <v>45583</v>
      </c>
      <c r="D2186" t="inlineStr">
        <is>
          <t>VÄSTERNORRLANDS LÄN</t>
        </is>
      </c>
      <c r="E2186" t="inlineStr">
        <is>
          <t>SOLLEFTEÅ</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43487-2023</t>
        </is>
      </c>
      <c r="B2187" s="1" t="n">
        <v>45181</v>
      </c>
      <c r="C2187" s="1" t="n">
        <v>45583</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43177-2023</t>
        </is>
      </c>
      <c r="B2188" s="1" t="n">
        <v>45181</v>
      </c>
      <c r="C2188" s="1" t="n">
        <v>45583</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43512-2023</t>
        </is>
      </c>
      <c r="B2189" s="1" t="n">
        <v>45181</v>
      </c>
      <c r="C2189" s="1" t="n">
        <v>45583</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44533-2023</t>
        </is>
      </c>
      <c r="B2190" s="1" t="n">
        <v>45183</v>
      </c>
      <c r="C2190" s="1" t="n">
        <v>45583</v>
      </c>
      <c r="D2190" t="inlineStr">
        <is>
          <t>VÄSTERNORRLANDS LÄN</t>
        </is>
      </c>
      <c r="E2190" t="inlineStr">
        <is>
          <t>SOLLEFTEÅ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43531-2023</t>
        </is>
      </c>
      <c r="B2191" s="1" t="n">
        <v>45184</v>
      </c>
      <c r="C2191" s="1" t="n">
        <v>45583</v>
      </c>
      <c r="D2191" t="inlineStr">
        <is>
          <t>VÄSTERNORRLANDS LÄN</t>
        </is>
      </c>
      <c r="E2191" t="inlineStr">
        <is>
          <t>SOLLEFTEÅ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43504-2023</t>
        </is>
      </c>
      <c r="B2192" s="1" t="n">
        <v>45184</v>
      </c>
      <c r="C2192" s="1" t="n">
        <v>45583</v>
      </c>
      <c r="D2192" t="inlineStr">
        <is>
          <t>VÄSTERNORRLANDS LÄN</t>
        </is>
      </c>
      <c r="E2192" t="inlineStr">
        <is>
          <t>SOLLEFTEÅ</t>
        </is>
      </c>
      <c r="F2192" t="inlineStr">
        <is>
          <t>Holmen skog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45193-2023</t>
        </is>
      </c>
      <c r="B2193" s="1" t="n">
        <v>45187</v>
      </c>
      <c r="C2193" s="1" t="n">
        <v>45583</v>
      </c>
      <c r="D2193" t="inlineStr">
        <is>
          <t>VÄSTERNORRLANDS LÄN</t>
        </is>
      </c>
      <c r="E2193" t="inlineStr">
        <is>
          <t>SOLLEFTEÅ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44389-2023</t>
        </is>
      </c>
      <c r="B2194" s="1" t="n">
        <v>45189</v>
      </c>
      <c r="C2194" s="1" t="n">
        <v>45583</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44393-2023</t>
        </is>
      </c>
      <c r="B2195" s="1" t="n">
        <v>45189</v>
      </c>
      <c r="C2195" s="1" t="n">
        <v>45583</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44388-2023</t>
        </is>
      </c>
      <c r="B2196" s="1" t="n">
        <v>45189</v>
      </c>
      <c r="C2196" s="1" t="n">
        <v>45583</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44392-2023</t>
        </is>
      </c>
      <c r="B2197" s="1" t="n">
        <v>45189</v>
      </c>
      <c r="C2197" s="1" t="n">
        <v>45583</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44408-2023</t>
        </is>
      </c>
      <c r="B2198" s="1" t="n">
        <v>45189</v>
      </c>
      <c r="C2198" s="1" t="n">
        <v>45583</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44391-2023</t>
        </is>
      </c>
      <c r="B2199" s="1" t="n">
        <v>45189</v>
      </c>
      <c r="C2199" s="1" t="n">
        <v>45583</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44407-2023</t>
        </is>
      </c>
      <c r="B2200" s="1" t="n">
        <v>45189</v>
      </c>
      <c r="C2200" s="1" t="n">
        <v>45583</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45644-2023</t>
        </is>
      </c>
      <c r="B2201" s="1" t="n">
        <v>45188</v>
      </c>
      <c r="C2201" s="1" t="n">
        <v>45583</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c r="U2201">
        <f>HYPERLINK("https://klasma.github.io/Logging_2283/knärot/A 45644-2023 karta knärot.png", "A 45644-2023")</f>
        <v/>
      </c>
      <c r="V2201">
        <f>HYPERLINK("https://klasma.github.io/Logging_2283/klagomål/A 45644-2023 FSC-klagomål.docx", "A 45644-2023")</f>
        <v/>
      </c>
      <c r="W2201">
        <f>HYPERLINK("https://klasma.github.io/Logging_2283/klagomålsmail/A 45644-2023 FSC-klagomål mail.docx", "A 45644-2023")</f>
        <v/>
      </c>
      <c r="X2201">
        <f>HYPERLINK("https://klasma.github.io/Logging_2283/tillsyn/A 45644-2023 tillsynsbegäran.docx", "A 45644-2023")</f>
        <v/>
      </c>
      <c r="Y2201">
        <f>HYPERLINK("https://klasma.github.io/Logging_2283/tillsynsmail/A 45644-2023 tillsynsbegäran mail.docx", "A 45644-2023")</f>
        <v/>
      </c>
    </row>
    <row r="2202" ht="15" customHeight="1">
      <c r="A2202" t="inlineStr">
        <is>
          <t>A 44410-2023</t>
        </is>
      </c>
      <c r="B2202" s="1" t="n">
        <v>45189</v>
      </c>
      <c r="C2202" s="1" t="n">
        <v>45583</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44905-2023</t>
        </is>
      </c>
      <c r="B2203" s="1" t="n">
        <v>45189</v>
      </c>
      <c r="C2203" s="1" t="n">
        <v>45583</v>
      </c>
      <c r="D2203" t="inlineStr">
        <is>
          <t>VÄSTERNORRLANDS LÄN</t>
        </is>
      </c>
      <c r="E2203" t="inlineStr">
        <is>
          <t>SOLLEFTEÅ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44781-2023</t>
        </is>
      </c>
      <c r="B2204" s="1" t="n">
        <v>45190</v>
      </c>
      <c r="C2204" s="1" t="n">
        <v>45583</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45007-2023</t>
        </is>
      </c>
      <c r="B2205" s="1" t="n">
        <v>45190</v>
      </c>
      <c r="C2205" s="1" t="n">
        <v>45583</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45015-2023</t>
        </is>
      </c>
      <c r="B2206" s="1" t="n">
        <v>45191</v>
      </c>
      <c r="C2206" s="1" t="n">
        <v>45583</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44984-2023</t>
        </is>
      </c>
      <c r="B2207" s="1" t="n">
        <v>45191</v>
      </c>
      <c r="C2207" s="1" t="n">
        <v>45583</v>
      </c>
      <c r="D2207" t="inlineStr">
        <is>
          <t>VÄSTERNORRLANDS LÄN</t>
        </is>
      </c>
      <c r="E2207" t="inlineStr">
        <is>
          <t>SOLLEFTEÅ</t>
        </is>
      </c>
      <c r="F2207" t="inlineStr">
        <is>
          <t>SCA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45016-2023</t>
        </is>
      </c>
      <c r="B2208" s="1" t="n">
        <v>45191</v>
      </c>
      <c r="C2208" s="1" t="n">
        <v>45583</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44986-2023</t>
        </is>
      </c>
      <c r="B2209" s="1" t="n">
        <v>45190</v>
      </c>
      <c r="C2209" s="1" t="n">
        <v>45583</v>
      </c>
      <c r="D2209" t="inlineStr">
        <is>
          <t>VÄSTERNORRLANDS LÄN</t>
        </is>
      </c>
      <c r="E2209" t="inlineStr">
        <is>
          <t>SOLLEFTEÅ</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44994-2023</t>
        </is>
      </c>
      <c r="B2210" s="1" t="n">
        <v>45190</v>
      </c>
      <c r="C2210" s="1" t="n">
        <v>45583</v>
      </c>
      <c r="D2210" t="inlineStr">
        <is>
          <t>VÄSTERNORRLANDS LÄN</t>
        </is>
      </c>
      <c r="E2210" t="inlineStr">
        <is>
          <t>SOLLEFTEÅ</t>
        </is>
      </c>
      <c r="F2210" t="inlineStr">
        <is>
          <t>SCA</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44998-2023</t>
        </is>
      </c>
      <c r="B2211" s="1" t="n">
        <v>45191</v>
      </c>
      <c r="C2211" s="1" t="n">
        <v>45583</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45014-2023</t>
        </is>
      </c>
      <c r="B2212" s="1" t="n">
        <v>45191</v>
      </c>
      <c r="C2212" s="1" t="n">
        <v>45583</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45017-2023</t>
        </is>
      </c>
      <c r="B2213" s="1" t="n">
        <v>45190</v>
      </c>
      <c r="C2213" s="1" t="n">
        <v>45583</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46212-2023</t>
        </is>
      </c>
      <c r="B2214" s="1" t="n">
        <v>45190</v>
      </c>
      <c r="C2214" s="1" t="n">
        <v>45583</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46207-2023</t>
        </is>
      </c>
      <c r="B2215" s="1" t="n">
        <v>45190</v>
      </c>
      <c r="C2215" s="1" t="n">
        <v>45583</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46357-2023</t>
        </is>
      </c>
      <c r="B2216" s="1" t="n">
        <v>45191</v>
      </c>
      <c r="C2216" s="1" t="n">
        <v>45583</v>
      </c>
      <c r="D2216" t="inlineStr">
        <is>
          <t>VÄSTERNORRLANDS LÄN</t>
        </is>
      </c>
      <c r="E2216" t="inlineStr">
        <is>
          <t>SOLLEFTEÅ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46344-2023</t>
        </is>
      </c>
      <c r="B2217" s="1" t="n">
        <v>45191</v>
      </c>
      <c r="C2217" s="1" t="n">
        <v>45583</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45570-2023</t>
        </is>
      </c>
      <c r="B2218" s="1" t="n">
        <v>45194</v>
      </c>
      <c r="C2218" s="1" t="n">
        <v>45583</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45958-2023</t>
        </is>
      </c>
      <c r="B2219" s="1" t="n">
        <v>45195</v>
      </c>
      <c r="C2219" s="1" t="n">
        <v>45583</v>
      </c>
      <c r="D2219" t="inlineStr">
        <is>
          <t>VÄSTERNORRLANDS LÄN</t>
        </is>
      </c>
      <c r="E2219" t="inlineStr">
        <is>
          <t>SOLLEFTEÅ</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45973-2023</t>
        </is>
      </c>
      <c r="B2220" s="1" t="n">
        <v>45195</v>
      </c>
      <c r="C2220" s="1" t="n">
        <v>45583</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46256-2023</t>
        </is>
      </c>
      <c r="B2221" s="1" t="n">
        <v>45197</v>
      </c>
      <c r="C2221" s="1" t="n">
        <v>45583</v>
      </c>
      <c r="D2221" t="inlineStr">
        <is>
          <t>VÄSTERNORRLANDS LÄN</t>
        </is>
      </c>
      <c r="E2221" t="inlineStr">
        <is>
          <t>SOLLEFTEÅ</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47329-2023</t>
        </is>
      </c>
      <c r="B2222" s="1" t="n">
        <v>45196</v>
      </c>
      <c r="C2222" s="1" t="n">
        <v>45583</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47327-2023</t>
        </is>
      </c>
      <c r="B2223" s="1" t="n">
        <v>45196</v>
      </c>
      <c r="C2223" s="1" t="n">
        <v>45583</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46553-2023</t>
        </is>
      </c>
      <c r="B2224" s="1" t="n">
        <v>45198</v>
      </c>
      <c r="C2224" s="1" t="n">
        <v>45583</v>
      </c>
      <c r="D2224" t="inlineStr">
        <is>
          <t>VÄSTERNORRLANDS LÄN</t>
        </is>
      </c>
      <c r="E2224" t="inlineStr">
        <is>
          <t>SOLLEFTEÅ</t>
        </is>
      </c>
      <c r="F2224" t="inlineStr">
        <is>
          <t>SCA</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46550-2023</t>
        </is>
      </c>
      <c r="B2225" s="1" t="n">
        <v>45198</v>
      </c>
      <c r="C2225" s="1" t="n">
        <v>45583</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46554-2023</t>
        </is>
      </c>
      <c r="B2226" s="1" t="n">
        <v>45198</v>
      </c>
      <c r="C2226" s="1" t="n">
        <v>45583</v>
      </c>
      <c r="D2226" t="inlineStr">
        <is>
          <t>VÄSTERNORRLANDS LÄN</t>
        </is>
      </c>
      <c r="E2226" t="inlineStr">
        <is>
          <t>SOLLEFTEÅ</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46555-2023</t>
        </is>
      </c>
      <c r="B2227" s="1" t="n">
        <v>45198</v>
      </c>
      <c r="C2227" s="1" t="n">
        <v>45583</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46804-2023</t>
        </is>
      </c>
      <c r="B2228" s="1" t="n">
        <v>45198</v>
      </c>
      <c r="C2228" s="1" t="n">
        <v>45583</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47741-2023</t>
        </is>
      </c>
      <c r="B2229" s="1" t="n">
        <v>45198</v>
      </c>
      <c r="C2229" s="1" t="n">
        <v>45583</v>
      </c>
      <c r="D2229" t="inlineStr">
        <is>
          <t>VÄSTERNORRLANDS LÄN</t>
        </is>
      </c>
      <c r="E2229" t="inlineStr">
        <is>
          <t>SOLLEFTEÅ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47159-2023</t>
        </is>
      </c>
      <c r="B2230" s="1" t="n">
        <v>45201</v>
      </c>
      <c r="C2230" s="1" t="n">
        <v>45583</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47167-2023</t>
        </is>
      </c>
      <c r="B2231" s="1" t="n">
        <v>45202</v>
      </c>
      <c r="C2231" s="1" t="n">
        <v>45583</v>
      </c>
      <c r="D2231" t="inlineStr">
        <is>
          <t>VÄSTERNORRLANDS LÄN</t>
        </is>
      </c>
      <c r="E2231" t="inlineStr">
        <is>
          <t>SOLLEFTEÅ</t>
        </is>
      </c>
      <c r="F2231" t="inlineStr">
        <is>
          <t>SCA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47175-2023</t>
        </is>
      </c>
      <c r="B2232" s="1" t="n">
        <v>45202</v>
      </c>
      <c r="C2232" s="1" t="n">
        <v>45583</v>
      </c>
      <c r="D2232" t="inlineStr">
        <is>
          <t>VÄSTERNORRLANDS LÄN</t>
        </is>
      </c>
      <c r="E2232" t="inlineStr">
        <is>
          <t>SOLLEFTEÅ</t>
        </is>
      </c>
      <c r="F2232" t="inlineStr">
        <is>
          <t>SCA</t>
        </is>
      </c>
      <c r="G2232" t="n">
        <v>14.7</v>
      </c>
      <c r="H2232" t="n">
        <v>0</v>
      </c>
      <c r="I2232" t="n">
        <v>0</v>
      </c>
      <c r="J2232" t="n">
        <v>0</v>
      </c>
      <c r="K2232" t="n">
        <v>0</v>
      </c>
      <c r="L2232" t="n">
        <v>0</v>
      </c>
      <c r="M2232" t="n">
        <v>0</v>
      </c>
      <c r="N2232" t="n">
        <v>0</v>
      </c>
      <c r="O2232" t="n">
        <v>0</v>
      </c>
      <c r="P2232" t="n">
        <v>0</v>
      </c>
      <c r="Q2232" t="n">
        <v>0</v>
      </c>
      <c r="R2232" s="2" t="inlineStr"/>
    </row>
    <row r="2233" ht="15" customHeight="1">
      <c r="A2233" t="inlineStr">
        <is>
          <t>A 47170-2023</t>
        </is>
      </c>
      <c r="B2233" s="1" t="n">
        <v>45202</v>
      </c>
      <c r="C2233" s="1" t="n">
        <v>45583</v>
      </c>
      <c r="D2233" t="inlineStr">
        <is>
          <t>VÄSTERNORRLANDS LÄN</t>
        </is>
      </c>
      <c r="E2233" t="inlineStr">
        <is>
          <t>SOLLEFTEÅ</t>
        </is>
      </c>
      <c r="F2233" t="inlineStr">
        <is>
          <t>SCA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47174-2023</t>
        </is>
      </c>
      <c r="B2234" s="1" t="n">
        <v>45202</v>
      </c>
      <c r="C2234" s="1" t="n">
        <v>45583</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47177-2023</t>
        </is>
      </c>
      <c r="B2235" s="1" t="n">
        <v>45201</v>
      </c>
      <c r="C2235" s="1" t="n">
        <v>45583</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47181-2023</t>
        </is>
      </c>
      <c r="B2236" s="1" t="n">
        <v>45202</v>
      </c>
      <c r="C2236" s="1" t="n">
        <v>45583</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47185-2023</t>
        </is>
      </c>
      <c r="B2237" s="1" t="n">
        <v>45201</v>
      </c>
      <c r="C2237" s="1" t="n">
        <v>45583</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47490-2023</t>
        </is>
      </c>
      <c r="B2238" s="1" t="n">
        <v>45203</v>
      </c>
      <c r="C2238" s="1" t="n">
        <v>45583</v>
      </c>
      <c r="D2238" t="inlineStr">
        <is>
          <t>VÄSTERNORRLANDS LÄN</t>
        </is>
      </c>
      <c r="E2238" t="inlineStr">
        <is>
          <t>SOLLEFTEÅ</t>
        </is>
      </c>
      <c r="F2238" t="inlineStr">
        <is>
          <t>SCA</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47457-2023</t>
        </is>
      </c>
      <c r="B2239" s="1" t="n">
        <v>45202</v>
      </c>
      <c r="C2239" s="1" t="n">
        <v>45583</v>
      </c>
      <c r="D2239" t="inlineStr">
        <is>
          <t>VÄSTERNORRLANDS LÄN</t>
        </is>
      </c>
      <c r="E2239" t="inlineStr">
        <is>
          <t>SOLLEFTEÅ</t>
        </is>
      </c>
      <c r="F2239" t="inlineStr">
        <is>
          <t>Holmen skog AB</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47477-2023</t>
        </is>
      </c>
      <c r="B2240" s="1" t="n">
        <v>45203</v>
      </c>
      <c r="C2240" s="1" t="n">
        <v>45583</v>
      </c>
      <c r="D2240" t="inlineStr">
        <is>
          <t>VÄSTERNORRLANDS LÄN</t>
        </is>
      </c>
      <c r="E2240" t="inlineStr">
        <is>
          <t>SOLLEFTEÅ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47794-2023</t>
        </is>
      </c>
      <c r="B2241" s="1" t="n">
        <v>45204</v>
      </c>
      <c r="C2241" s="1" t="n">
        <v>45583</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48077-2023</t>
        </is>
      </c>
      <c r="B2242" s="1" t="n">
        <v>45205</v>
      </c>
      <c r="C2242" s="1" t="n">
        <v>45583</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48085-2023</t>
        </is>
      </c>
      <c r="B2243" s="1" t="n">
        <v>45205</v>
      </c>
      <c r="C2243" s="1" t="n">
        <v>45583</v>
      </c>
      <c r="D2243" t="inlineStr">
        <is>
          <t>VÄSTERNORRLANDS LÄN</t>
        </is>
      </c>
      <c r="E2243" t="inlineStr">
        <is>
          <t>SOLLEFTEÅ</t>
        </is>
      </c>
      <c r="F2243" t="inlineStr">
        <is>
          <t>SCA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48089-2023</t>
        </is>
      </c>
      <c r="B2244" s="1" t="n">
        <v>45204</v>
      </c>
      <c r="C2244" s="1" t="n">
        <v>45583</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48083-2023</t>
        </is>
      </c>
      <c r="B2245" s="1" t="n">
        <v>45204</v>
      </c>
      <c r="C2245" s="1" t="n">
        <v>45583</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48086-2023</t>
        </is>
      </c>
      <c r="B2246" s="1" t="n">
        <v>45205</v>
      </c>
      <c r="C2246" s="1" t="n">
        <v>45583</v>
      </c>
      <c r="D2246" t="inlineStr">
        <is>
          <t>VÄSTERNORRLANDS LÄN</t>
        </is>
      </c>
      <c r="E2246" t="inlineStr">
        <is>
          <t>SOLLEFTEÅ</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48090-2023</t>
        </is>
      </c>
      <c r="B2247" s="1" t="n">
        <v>45205</v>
      </c>
      <c r="C2247" s="1" t="n">
        <v>45583</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48072-2023</t>
        </is>
      </c>
      <c r="B2248" s="1" t="n">
        <v>45205</v>
      </c>
      <c r="C2248" s="1" t="n">
        <v>45583</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48088-2023</t>
        </is>
      </c>
      <c r="B2249" s="1" t="n">
        <v>45205</v>
      </c>
      <c r="C2249" s="1" t="n">
        <v>45583</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48964-2023</t>
        </is>
      </c>
      <c r="B2250" s="1" t="n">
        <v>45204</v>
      </c>
      <c r="C2250" s="1" t="n">
        <v>45583</v>
      </c>
      <c r="D2250" t="inlineStr">
        <is>
          <t>VÄSTERNORRLANDS LÄN</t>
        </is>
      </c>
      <c r="E2250" t="inlineStr">
        <is>
          <t>SOLLEFTEÅ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49417-2023</t>
        </is>
      </c>
      <c r="B2251" s="1" t="n">
        <v>45205</v>
      </c>
      <c r="C2251" s="1" t="n">
        <v>45583</v>
      </c>
      <c r="D2251" t="inlineStr">
        <is>
          <t>VÄSTERNORRLANDS LÄN</t>
        </is>
      </c>
      <c r="E2251" t="inlineStr">
        <is>
          <t>SOLLEFTEÅ</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48767-2023</t>
        </is>
      </c>
      <c r="B2252" s="1" t="n">
        <v>45208</v>
      </c>
      <c r="C2252" s="1" t="n">
        <v>45583</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48528-2023</t>
        </is>
      </c>
      <c r="B2253" s="1" t="n">
        <v>45208</v>
      </c>
      <c r="C2253" s="1" t="n">
        <v>45583</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48570-2023</t>
        </is>
      </c>
      <c r="B2254" s="1" t="n">
        <v>45208</v>
      </c>
      <c r="C2254" s="1" t="n">
        <v>45583</v>
      </c>
      <c r="D2254" t="inlineStr">
        <is>
          <t>VÄSTERNORRLANDS LÄN</t>
        </is>
      </c>
      <c r="E2254" t="inlineStr">
        <is>
          <t>SOLLEFTEÅ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48999-2023</t>
        </is>
      </c>
      <c r="B2255" s="1" t="n">
        <v>45209</v>
      </c>
      <c r="C2255" s="1" t="n">
        <v>45583</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49036-2023</t>
        </is>
      </c>
      <c r="B2256" s="1" t="n">
        <v>45210</v>
      </c>
      <c r="C2256" s="1" t="n">
        <v>45583</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50313-2023</t>
        </is>
      </c>
      <c r="B2257" s="1" t="n">
        <v>45209</v>
      </c>
      <c r="C2257" s="1" t="n">
        <v>45583</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49313-2023</t>
        </is>
      </c>
      <c r="B2258" s="1" t="n">
        <v>45211</v>
      </c>
      <c r="C2258" s="1" t="n">
        <v>45583</v>
      </c>
      <c r="D2258" t="inlineStr">
        <is>
          <t>VÄSTERNORRLANDS LÄN</t>
        </is>
      </c>
      <c r="E2258" t="inlineStr">
        <is>
          <t>SOLLEFTEÅ</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49317-2023</t>
        </is>
      </c>
      <c r="B2259" s="1" t="n">
        <v>45210</v>
      </c>
      <c r="C2259" s="1" t="n">
        <v>45583</v>
      </c>
      <c r="D2259" t="inlineStr">
        <is>
          <t>VÄSTERNORRLANDS LÄN</t>
        </is>
      </c>
      <c r="E2259" t="inlineStr">
        <is>
          <t>SOLLEFTEÅ</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49323-2023</t>
        </is>
      </c>
      <c r="B2260" s="1" t="n">
        <v>45211</v>
      </c>
      <c r="C2260" s="1" t="n">
        <v>45583</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49324-2023</t>
        </is>
      </c>
      <c r="B2261" s="1" t="n">
        <v>45210</v>
      </c>
      <c r="C2261" s="1" t="n">
        <v>45583</v>
      </c>
      <c r="D2261" t="inlineStr">
        <is>
          <t>VÄSTERNORRLANDS LÄN</t>
        </is>
      </c>
      <c r="E2261" t="inlineStr">
        <is>
          <t>SOLLEFTEÅ</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50698-2023</t>
        </is>
      </c>
      <c r="B2262" s="1" t="n">
        <v>45210</v>
      </c>
      <c r="C2262" s="1" t="n">
        <v>45583</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50745-2023</t>
        </is>
      </c>
      <c r="B2263" s="1" t="n">
        <v>45210</v>
      </c>
      <c r="C2263" s="1" t="n">
        <v>45583</v>
      </c>
      <c r="D2263" t="inlineStr">
        <is>
          <t>VÄSTERNORRLANDS LÄN</t>
        </is>
      </c>
      <c r="E2263" t="inlineStr">
        <is>
          <t>SOLLEFTEÅ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50716-2023</t>
        </is>
      </c>
      <c r="B2264" s="1" t="n">
        <v>45210</v>
      </c>
      <c r="C2264" s="1" t="n">
        <v>45583</v>
      </c>
      <c r="D2264" t="inlineStr">
        <is>
          <t>VÄSTERNORRLANDS LÄN</t>
        </is>
      </c>
      <c r="E2264" t="inlineStr">
        <is>
          <t>SOLLEFTEÅ</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50674-2023</t>
        </is>
      </c>
      <c r="B2265" s="1" t="n">
        <v>45210</v>
      </c>
      <c r="C2265" s="1" t="n">
        <v>45583</v>
      </c>
      <c r="D2265" t="inlineStr">
        <is>
          <t>VÄSTERNORRLANDS LÄN</t>
        </is>
      </c>
      <c r="E2265" t="inlineStr">
        <is>
          <t>SOLLEFTEÅ</t>
        </is>
      </c>
      <c r="G2265" t="n">
        <v>11.8</v>
      </c>
      <c r="H2265" t="n">
        <v>0</v>
      </c>
      <c r="I2265" t="n">
        <v>0</v>
      </c>
      <c r="J2265" t="n">
        <v>0</v>
      </c>
      <c r="K2265" t="n">
        <v>0</v>
      </c>
      <c r="L2265" t="n">
        <v>0</v>
      </c>
      <c r="M2265" t="n">
        <v>0</v>
      </c>
      <c r="N2265" t="n">
        <v>0</v>
      </c>
      <c r="O2265" t="n">
        <v>0</v>
      </c>
      <c r="P2265" t="n">
        <v>0</v>
      </c>
      <c r="Q2265" t="n">
        <v>0</v>
      </c>
      <c r="R2265" s="2" t="inlineStr"/>
    </row>
    <row r="2266" ht="15" customHeight="1">
      <c r="A2266" t="inlineStr">
        <is>
          <t>A 50688-2023</t>
        </is>
      </c>
      <c r="B2266" s="1" t="n">
        <v>45210</v>
      </c>
      <c r="C2266" s="1" t="n">
        <v>45583</v>
      </c>
      <c r="D2266" t="inlineStr">
        <is>
          <t>VÄSTERNORRLANDS LÄN</t>
        </is>
      </c>
      <c r="E2266" t="inlineStr">
        <is>
          <t>SOLLEFTEÅ</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50708-2023</t>
        </is>
      </c>
      <c r="B2267" s="1" t="n">
        <v>45210</v>
      </c>
      <c r="C2267" s="1" t="n">
        <v>45583</v>
      </c>
      <c r="D2267" t="inlineStr">
        <is>
          <t>VÄSTERNORRLANDS LÄN</t>
        </is>
      </c>
      <c r="E2267" t="inlineStr">
        <is>
          <t>SOLLEFTEÅ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49649-2023</t>
        </is>
      </c>
      <c r="B2268" s="1" t="n">
        <v>45212</v>
      </c>
      <c r="C2268" s="1" t="n">
        <v>45583</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49810-2023</t>
        </is>
      </c>
      <c r="B2269" s="1" t="n">
        <v>45212</v>
      </c>
      <c r="C2269" s="1" t="n">
        <v>45583</v>
      </c>
      <c r="D2269" t="inlineStr">
        <is>
          <t>VÄSTERNORRLANDS LÄN</t>
        </is>
      </c>
      <c r="E2269" t="inlineStr">
        <is>
          <t>SOLLEFTEÅ</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50226-2023</t>
        </is>
      </c>
      <c r="B2270" s="1" t="n">
        <v>45216</v>
      </c>
      <c r="C2270" s="1" t="n">
        <v>45583</v>
      </c>
      <c r="D2270" t="inlineStr">
        <is>
          <t>VÄSTERNORRLANDS LÄN</t>
        </is>
      </c>
      <c r="E2270" t="inlineStr">
        <is>
          <t>SOLLEFTEÅ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51522-2023</t>
        </is>
      </c>
      <c r="B2271" s="1" t="n">
        <v>45215</v>
      </c>
      <c r="C2271" s="1" t="n">
        <v>45583</v>
      </c>
      <c r="D2271" t="inlineStr">
        <is>
          <t>VÄSTERNORRLANDS LÄN</t>
        </is>
      </c>
      <c r="E2271" t="inlineStr">
        <is>
          <t>SOLLEFTEÅ</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51515-2023</t>
        </is>
      </c>
      <c r="B2272" s="1" t="n">
        <v>45215</v>
      </c>
      <c r="C2272" s="1" t="n">
        <v>45583</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51681-2023</t>
        </is>
      </c>
      <c r="B2273" s="1" t="n">
        <v>45215</v>
      </c>
      <c r="C2273" s="1" t="n">
        <v>45583</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51677-2023</t>
        </is>
      </c>
      <c r="B2274" s="1" t="n">
        <v>45215</v>
      </c>
      <c r="C2274" s="1" t="n">
        <v>45583</v>
      </c>
      <c r="D2274" t="inlineStr">
        <is>
          <t>VÄSTERNORRLANDS LÄN</t>
        </is>
      </c>
      <c r="E2274" t="inlineStr">
        <is>
          <t>SOLLEFTEÅ</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51690-2023</t>
        </is>
      </c>
      <c r="B2275" s="1" t="n">
        <v>45215</v>
      </c>
      <c r="C2275" s="1" t="n">
        <v>45583</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50507-2023</t>
        </is>
      </c>
      <c r="B2276" s="1" t="n">
        <v>45217</v>
      </c>
      <c r="C2276" s="1" t="n">
        <v>45583</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50767-2023</t>
        </is>
      </c>
      <c r="B2277" s="1" t="n">
        <v>45217</v>
      </c>
      <c r="C2277" s="1" t="n">
        <v>45583</v>
      </c>
      <c r="D2277" t="inlineStr">
        <is>
          <t>VÄSTERNORRLANDS LÄN</t>
        </is>
      </c>
      <c r="E2277" t="inlineStr">
        <is>
          <t>SOLLEFTEÅ</t>
        </is>
      </c>
      <c r="F2277" t="inlineStr">
        <is>
          <t>Holmen skog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50841-2023</t>
        </is>
      </c>
      <c r="B2278" s="1" t="n">
        <v>45217</v>
      </c>
      <c r="C2278" s="1" t="n">
        <v>45583</v>
      </c>
      <c r="D2278" t="inlineStr">
        <is>
          <t>VÄSTERNORRLANDS LÄN</t>
        </is>
      </c>
      <c r="E2278" t="inlineStr">
        <is>
          <t>SOLLEFTEÅ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50615-2023</t>
        </is>
      </c>
      <c r="B2279" s="1" t="n">
        <v>45217</v>
      </c>
      <c r="C2279" s="1" t="n">
        <v>45583</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50757-2023</t>
        </is>
      </c>
      <c r="B2280" s="1" t="n">
        <v>45217</v>
      </c>
      <c r="C2280" s="1" t="n">
        <v>45583</v>
      </c>
      <c r="D2280" t="inlineStr">
        <is>
          <t>VÄSTERNORRLANDS LÄN</t>
        </is>
      </c>
      <c r="E2280" t="inlineStr">
        <is>
          <t>SOLLEFTEÅ</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50844-2023</t>
        </is>
      </c>
      <c r="B2281" s="1" t="n">
        <v>45217</v>
      </c>
      <c r="C2281" s="1" t="n">
        <v>45583</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52266-2023</t>
        </is>
      </c>
      <c r="B2282" s="1" t="n">
        <v>45217</v>
      </c>
      <c r="C2282" s="1" t="n">
        <v>45583</v>
      </c>
      <c r="D2282" t="inlineStr">
        <is>
          <t>VÄSTERNORRLANDS LÄN</t>
        </is>
      </c>
      <c r="E2282" t="inlineStr">
        <is>
          <t>SOLLEFTEÅ</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52267-2023</t>
        </is>
      </c>
      <c r="B2283" s="1" t="n">
        <v>45217</v>
      </c>
      <c r="C2283" s="1" t="n">
        <v>45583</v>
      </c>
      <c r="D2283" t="inlineStr">
        <is>
          <t>VÄSTERNORRLANDS LÄN</t>
        </is>
      </c>
      <c r="E2283" t="inlineStr">
        <is>
          <t>SOLLEFTEÅ</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51107-2023</t>
        </is>
      </c>
      <c r="B2284" s="1" t="n">
        <v>45219</v>
      </c>
      <c r="C2284" s="1" t="n">
        <v>45583</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51106-2023</t>
        </is>
      </c>
      <c r="B2285" s="1" t="n">
        <v>45219</v>
      </c>
      <c r="C2285" s="1" t="n">
        <v>45583</v>
      </c>
      <c r="D2285" t="inlineStr">
        <is>
          <t>VÄSTERNORRLANDS LÄN</t>
        </is>
      </c>
      <c r="E2285" t="inlineStr">
        <is>
          <t>SOLLEFTEÅ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51800-2023</t>
        </is>
      </c>
      <c r="B2286" s="1" t="n">
        <v>45222</v>
      </c>
      <c r="C2286" s="1" t="n">
        <v>45583</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51801-2023</t>
        </is>
      </c>
      <c r="B2287" s="1" t="n">
        <v>45222</v>
      </c>
      <c r="C2287" s="1" t="n">
        <v>45583</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53375-2023</t>
        </is>
      </c>
      <c r="B2288" s="1" t="n">
        <v>45222</v>
      </c>
      <c r="C2288" s="1" t="n">
        <v>45583</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53224-2023</t>
        </is>
      </c>
      <c r="B2289" s="1" t="n">
        <v>45222</v>
      </c>
      <c r="C2289" s="1" t="n">
        <v>45583</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53231-2023</t>
        </is>
      </c>
      <c r="B2290" s="1" t="n">
        <v>45222</v>
      </c>
      <c r="C2290" s="1" t="n">
        <v>45583</v>
      </c>
      <c r="D2290" t="inlineStr">
        <is>
          <t>VÄSTERNORRLANDS LÄN</t>
        </is>
      </c>
      <c r="E2290" t="inlineStr">
        <is>
          <t>SOLLEFTEÅ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53379-2023</t>
        </is>
      </c>
      <c r="B2291" s="1" t="n">
        <v>45222</v>
      </c>
      <c r="C2291" s="1" t="n">
        <v>45583</v>
      </c>
      <c r="D2291" t="inlineStr">
        <is>
          <t>VÄSTERNORRLANDS LÄN</t>
        </is>
      </c>
      <c r="E2291" t="inlineStr">
        <is>
          <t>SOLLEFTEÅ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51802-2023</t>
        </is>
      </c>
      <c r="B2292" s="1" t="n">
        <v>45223</v>
      </c>
      <c r="C2292" s="1" t="n">
        <v>45583</v>
      </c>
      <c r="D2292" t="inlineStr">
        <is>
          <t>VÄSTERNORRLANDS LÄN</t>
        </is>
      </c>
      <c r="E2292" t="inlineStr">
        <is>
          <t>SOLLEFTEÅ</t>
        </is>
      </c>
      <c r="F2292" t="inlineStr">
        <is>
          <t>SCA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53394-2023</t>
        </is>
      </c>
      <c r="B2293" s="1" t="n">
        <v>45222</v>
      </c>
      <c r="C2293" s="1" t="n">
        <v>45583</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52136-2023</t>
        </is>
      </c>
      <c r="B2294" s="1" t="n">
        <v>45224</v>
      </c>
      <c r="C2294" s="1" t="n">
        <v>45583</v>
      </c>
      <c r="D2294" t="inlineStr">
        <is>
          <t>VÄSTERNORRLANDS LÄN</t>
        </is>
      </c>
      <c r="E2294" t="inlineStr">
        <is>
          <t>SOLLEFTEÅ</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52087-2023</t>
        </is>
      </c>
      <c r="B2295" s="1" t="n">
        <v>45223</v>
      </c>
      <c r="C2295" s="1" t="n">
        <v>45583</v>
      </c>
      <c r="D2295" t="inlineStr">
        <is>
          <t>VÄSTERNORRLANDS LÄN</t>
        </is>
      </c>
      <c r="E2295" t="inlineStr">
        <is>
          <t>SOLLEFTEÅ</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53550-2023</t>
        </is>
      </c>
      <c r="B2296" s="1" t="n">
        <v>45223</v>
      </c>
      <c r="C2296" s="1" t="n">
        <v>45583</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53855-2023</t>
        </is>
      </c>
      <c r="B2297" s="1" t="n">
        <v>45224</v>
      </c>
      <c r="C2297" s="1" t="n">
        <v>45583</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53850-2023</t>
        </is>
      </c>
      <c r="B2298" s="1" t="n">
        <v>45224</v>
      </c>
      <c r="C2298" s="1" t="n">
        <v>45583</v>
      </c>
      <c r="D2298" t="inlineStr">
        <is>
          <t>VÄSTERNORRLANDS LÄN</t>
        </is>
      </c>
      <c r="E2298" t="inlineStr">
        <is>
          <t>SOLLEFTEÅ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53939-2023</t>
        </is>
      </c>
      <c r="B2299" s="1" t="n">
        <v>45224</v>
      </c>
      <c r="C2299" s="1" t="n">
        <v>45583</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52445-2023</t>
        </is>
      </c>
      <c r="B2300" s="1" t="n">
        <v>45225</v>
      </c>
      <c r="C2300" s="1" t="n">
        <v>45583</v>
      </c>
      <c r="D2300" t="inlineStr">
        <is>
          <t>VÄSTERNORRLANDS LÄN</t>
        </is>
      </c>
      <c r="E2300" t="inlineStr">
        <is>
          <t>SOLLEFTEÅ</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54307-2023</t>
        </is>
      </c>
      <c r="B2301" s="1" t="n">
        <v>45225</v>
      </c>
      <c r="C2301" s="1" t="n">
        <v>45583</v>
      </c>
      <c r="D2301" t="inlineStr">
        <is>
          <t>VÄSTERNORRLANDS LÄN</t>
        </is>
      </c>
      <c r="E2301" t="inlineStr">
        <is>
          <t>SOLLEFTEÅ</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53040-2023</t>
        </is>
      </c>
      <c r="B2302" s="1" t="n">
        <v>45226</v>
      </c>
      <c r="C2302" s="1" t="n">
        <v>45583</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54526-2023</t>
        </is>
      </c>
      <c r="B2303" s="1" t="n">
        <v>45226</v>
      </c>
      <c r="C2303" s="1" t="n">
        <v>45583</v>
      </c>
      <c r="D2303" t="inlineStr">
        <is>
          <t>VÄSTERNORRLANDS LÄN</t>
        </is>
      </c>
      <c r="E2303" t="inlineStr">
        <is>
          <t>SOLLEFTEÅ</t>
        </is>
      </c>
      <c r="G2303" t="n">
        <v>23.8</v>
      </c>
      <c r="H2303" t="n">
        <v>0</v>
      </c>
      <c r="I2303" t="n">
        <v>0</v>
      </c>
      <c r="J2303" t="n">
        <v>0</v>
      </c>
      <c r="K2303" t="n">
        <v>0</v>
      </c>
      <c r="L2303" t="n">
        <v>0</v>
      </c>
      <c r="M2303" t="n">
        <v>0</v>
      </c>
      <c r="N2303" t="n">
        <v>0</v>
      </c>
      <c r="O2303" t="n">
        <v>0</v>
      </c>
      <c r="P2303" t="n">
        <v>0</v>
      </c>
      <c r="Q2303" t="n">
        <v>0</v>
      </c>
      <c r="R2303" s="2" t="inlineStr"/>
    </row>
    <row r="2304" ht="15" customHeight="1">
      <c r="A2304" t="inlineStr">
        <is>
          <t>A 53057-2023</t>
        </is>
      </c>
      <c r="B2304" s="1" t="n">
        <v>45226</v>
      </c>
      <c r="C2304" s="1" t="n">
        <v>45583</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53041-2023</t>
        </is>
      </c>
      <c r="B2305" s="1" t="n">
        <v>45226</v>
      </c>
      <c r="C2305" s="1" t="n">
        <v>45583</v>
      </c>
      <c r="D2305" t="inlineStr">
        <is>
          <t>VÄSTERNORRLANDS LÄN</t>
        </is>
      </c>
      <c r="E2305" t="inlineStr">
        <is>
          <t>SOLLEFTEÅ</t>
        </is>
      </c>
      <c r="F2305" t="inlineStr">
        <is>
          <t>SCA</t>
        </is>
      </c>
      <c r="G2305" t="n">
        <v>50.2</v>
      </c>
      <c r="H2305" t="n">
        <v>0</v>
      </c>
      <c r="I2305" t="n">
        <v>0</v>
      </c>
      <c r="J2305" t="n">
        <v>0</v>
      </c>
      <c r="K2305" t="n">
        <v>0</v>
      </c>
      <c r="L2305" t="n">
        <v>0</v>
      </c>
      <c r="M2305" t="n">
        <v>0</v>
      </c>
      <c r="N2305" t="n">
        <v>0</v>
      </c>
      <c r="O2305" t="n">
        <v>0</v>
      </c>
      <c r="P2305" t="n">
        <v>0</v>
      </c>
      <c r="Q2305" t="n">
        <v>0</v>
      </c>
      <c r="R2305" s="2" t="inlineStr"/>
    </row>
    <row r="2306" ht="15" customHeight="1">
      <c r="A2306" t="inlineStr">
        <is>
          <t>A 53048-2023</t>
        </is>
      </c>
      <c r="B2306" s="1" t="n">
        <v>45226</v>
      </c>
      <c r="C2306" s="1" t="n">
        <v>45583</v>
      </c>
      <c r="D2306" t="inlineStr">
        <is>
          <t>VÄSTERNORRLANDS LÄN</t>
        </is>
      </c>
      <c r="E2306" t="inlineStr">
        <is>
          <t>SOLLEFTEÅ</t>
        </is>
      </c>
      <c r="F2306" t="inlineStr">
        <is>
          <t>SCA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53452-2023</t>
        </is>
      </c>
      <c r="B2307" s="1" t="n">
        <v>45229</v>
      </c>
      <c r="C2307" s="1" t="n">
        <v>45583</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53453-2023</t>
        </is>
      </c>
      <c r="B2308" s="1" t="n">
        <v>45230</v>
      </c>
      <c r="C2308" s="1" t="n">
        <v>45583</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53669-2023</t>
        </is>
      </c>
      <c r="B2309" s="1" t="n">
        <v>45230</v>
      </c>
      <c r="C2309" s="1" t="n">
        <v>45583</v>
      </c>
      <c r="D2309" t="inlineStr">
        <is>
          <t>VÄSTERNORRLANDS LÄN</t>
        </is>
      </c>
      <c r="E2309" t="inlineStr">
        <is>
          <t>SOLLEFTEÅ</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54016-2023</t>
        </is>
      </c>
      <c r="B2310" s="1" t="n">
        <v>45231</v>
      </c>
      <c r="C2310" s="1" t="n">
        <v>45583</v>
      </c>
      <c r="D2310" t="inlineStr">
        <is>
          <t>VÄSTERNORRLANDS LÄN</t>
        </is>
      </c>
      <c r="E2310" t="inlineStr">
        <is>
          <t>SOLLEFTEÅ</t>
        </is>
      </c>
      <c r="F2310" t="inlineStr">
        <is>
          <t>Holmen skog AB</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54020-2023</t>
        </is>
      </c>
      <c r="B2311" s="1" t="n">
        <v>45231</v>
      </c>
      <c r="C2311" s="1" t="n">
        <v>45583</v>
      </c>
      <c r="D2311" t="inlineStr">
        <is>
          <t>VÄSTERNORRLANDS LÄN</t>
        </is>
      </c>
      <c r="E2311" t="inlineStr">
        <is>
          <t>SOLLEFTEÅ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54034-2023</t>
        </is>
      </c>
      <c r="B2312" s="1" t="n">
        <v>45231</v>
      </c>
      <c r="C2312" s="1" t="n">
        <v>45583</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54033-2023</t>
        </is>
      </c>
      <c r="B2313" s="1" t="n">
        <v>45231</v>
      </c>
      <c r="C2313" s="1" t="n">
        <v>45583</v>
      </c>
      <c r="D2313" t="inlineStr">
        <is>
          <t>VÄSTERNORRLANDS LÄN</t>
        </is>
      </c>
      <c r="E2313" t="inlineStr">
        <is>
          <t>SOLLEFTEÅ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54035-2023</t>
        </is>
      </c>
      <c r="B2314" s="1" t="n">
        <v>45231</v>
      </c>
      <c r="C2314" s="1" t="n">
        <v>45583</v>
      </c>
      <c r="D2314" t="inlineStr">
        <is>
          <t>VÄSTERNORRLANDS LÄN</t>
        </is>
      </c>
      <c r="E2314" t="inlineStr">
        <is>
          <t>SOLLEFTEÅ</t>
        </is>
      </c>
      <c r="G2314" t="n">
        <v>12.7</v>
      </c>
      <c r="H2314" t="n">
        <v>0</v>
      </c>
      <c r="I2314" t="n">
        <v>0</v>
      </c>
      <c r="J2314" t="n">
        <v>0</v>
      </c>
      <c r="K2314" t="n">
        <v>0</v>
      </c>
      <c r="L2314" t="n">
        <v>0</v>
      </c>
      <c r="M2314" t="n">
        <v>0</v>
      </c>
      <c r="N2314" t="n">
        <v>0</v>
      </c>
      <c r="O2314" t="n">
        <v>0</v>
      </c>
      <c r="P2314" t="n">
        <v>0</v>
      </c>
      <c r="Q2314" t="n">
        <v>0</v>
      </c>
      <c r="R2314" s="2" t="inlineStr"/>
    </row>
    <row r="2315" ht="15" customHeight="1">
      <c r="A2315" t="inlineStr">
        <is>
          <t>A 54048-2023</t>
        </is>
      </c>
      <c r="B2315" s="1" t="n">
        <v>45232</v>
      </c>
      <c r="C2315" s="1" t="n">
        <v>45583</v>
      </c>
      <c r="D2315" t="inlineStr">
        <is>
          <t>VÄSTERNORRLANDS LÄN</t>
        </is>
      </c>
      <c r="E2315" t="inlineStr">
        <is>
          <t>SOLLEFTEÅ</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54036-2023</t>
        </is>
      </c>
      <c r="B2316" s="1" t="n">
        <v>45231</v>
      </c>
      <c r="C2316" s="1" t="n">
        <v>45583</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54045-2023</t>
        </is>
      </c>
      <c r="B2317" s="1" t="n">
        <v>45232</v>
      </c>
      <c r="C2317" s="1" t="n">
        <v>45583</v>
      </c>
      <c r="D2317" t="inlineStr">
        <is>
          <t>VÄSTERNORRLANDS LÄN</t>
        </is>
      </c>
      <c r="E2317" t="inlineStr">
        <is>
          <t>SOLLEFTEÅ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54092-2023</t>
        </is>
      </c>
      <c r="B2318" s="1" t="n">
        <v>45232</v>
      </c>
      <c r="C2318" s="1" t="n">
        <v>45583</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54088-2023</t>
        </is>
      </c>
      <c r="B2319" s="1" t="n">
        <v>45232</v>
      </c>
      <c r="C2319" s="1" t="n">
        <v>45583</v>
      </c>
      <c r="D2319" t="inlineStr">
        <is>
          <t>VÄSTERNORRLANDS LÄN</t>
        </is>
      </c>
      <c r="E2319" t="inlineStr">
        <is>
          <t>SOLLEFTEÅ</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54198-2023</t>
        </is>
      </c>
      <c r="B2320" s="1" t="n">
        <v>45232</v>
      </c>
      <c r="C2320" s="1" t="n">
        <v>45583</v>
      </c>
      <c r="D2320" t="inlineStr">
        <is>
          <t>VÄSTERNORRLANDS LÄN</t>
        </is>
      </c>
      <c r="E2320" t="inlineStr">
        <is>
          <t>SOLLEFTEÅ</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54330-2023</t>
        </is>
      </c>
      <c r="B2321" s="1" t="n">
        <v>45232</v>
      </c>
      <c r="C2321" s="1" t="n">
        <v>45583</v>
      </c>
      <c r="D2321" t="inlineStr">
        <is>
          <t>VÄSTERNORRLANDS LÄN</t>
        </is>
      </c>
      <c r="E2321" t="inlineStr">
        <is>
          <t>SOLLEFTEÅ</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54351-2023</t>
        </is>
      </c>
      <c r="B2322" s="1" t="n">
        <v>45232</v>
      </c>
      <c r="C2322" s="1" t="n">
        <v>45583</v>
      </c>
      <c r="D2322" t="inlineStr">
        <is>
          <t>VÄSTERNORRLANDS LÄN</t>
        </is>
      </c>
      <c r="E2322" t="inlineStr">
        <is>
          <t>SOLLEFTEÅ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54195-2023</t>
        </is>
      </c>
      <c r="B2323" s="1" t="n">
        <v>45232</v>
      </c>
      <c r="C2323" s="1" t="n">
        <v>45583</v>
      </c>
      <c r="D2323" t="inlineStr">
        <is>
          <t>VÄSTERNORRLANDS LÄN</t>
        </is>
      </c>
      <c r="E2323" t="inlineStr">
        <is>
          <t>SOLLEFTEÅ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54620-2023</t>
        </is>
      </c>
      <c r="B2324" s="1" t="n">
        <v>45233</v>
      </c>
      <c r="C2324" s="1" t="n">
        <v>45583</v>
      </c>
      <c r="D2324" t="inlineStr">
        <is>
          <t>VÄSTERNORRLANDS LÄN</t>
        </is>
      </c>
      <c r="E2324" t="inlineStr">
        <is>
          <t>SOLLEFTEÅ</t>
        </is>
      </c>
      <c r="F2324" t="inlineStr">
        <is>
          <t>SCA</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54617-2023</t>
        </is>
      </c>
      <c r="B2325" s="1" t="n">
        <v>45234</v>
      </c>
      <c r="C2325" s="1" t="n">
        <v>45583</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54607-2023</t>
        </is>
      </c>
      <c r="B2326" s="1" t="n">
        <v>45233</v>
      </c>
      <c r="C2326" s="1" t="n">
        <v>45583</v>
      </c>
      <c r="D2326" t="inlineStr">
        <is>
          <t>VÄSTERNORRLANDS LÄN</t>
        </is>
      </c>
      <c r="E2326" t="inlineStr">
        <is>
          <t>SOLLEFTEÅ</t>
        </is>
      </c>
      <c r="F2326" t="inlineStr">
        <is>
          <t>SCA</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54622-2023</t>
        </is>
      </c>
      <c r="B2327" s="1" t="n">
        <v>45233</v>
      </c>
      <c r="C2327" s="1" t="n">
        <v>45583</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54618-2023</t>
        </is>
      </c>
      <c r="B2328" s="1" t="n">
        <v>45233</v>
      </c>
      <c r="C2328" s="1" t="n">
        <v>45583</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54642-2023</t>
        </is>
      </c>
      <c r="B2329" s="1" t="n">
        <v>45234</v>
      </c>
      <c r="C2329" s="1" t="n">
        <v>45583</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54641-2023</t>
        </is>
      </c>
      <c r="B2330" s="1" t="n">
        <v>45234</v>
      </c>
      <c r="C2330" s="1" t="n">
        <v>45583</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54979-2023</t>
        </is>
      </c>
      <c r="B2331" s="1" t="n">
        <v>45236</v>
      </c>
      <c r="C2331" s="1" t="n">
        <v>45583</v>
      </c>
      <c r="D2331" t="inlineStr">
        <is>
          <t>VÄSTERNORRLANDS LÄN</t>
        </is>
      </c>
      <c r="E2331" t="inlineStr">
        <is>
          <t>SOLLEFTEÅ</t>
        </is>
      </c>
      <c r="F2331" t="inlineStr">
        <is>
          <t>SCA</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56148-2023</t>
        </is>
      </c>
      <c r="B2332" s="1" t="n">
        <v>45236</v>
      </c>
      <c r="C2332" s="1" t="n">
        <v>45583</v>
      </c>
      <c r="D2332" t="inlineStr">
        <is>
          <t>VÄSTERNORRLANDS LÄN</t>
        </is>
      </c>
      <c r="E2332" t="inlineStr">
        <is>
          <t>SOLLEFTEÅ</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54978-2023</t>
        </is>
      </c>
      <c r="B2333" s="1" t="n">
        <v>45237</v>
      </c>
      <c r="C2333" s="1" t="n">
        <v>45583</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55005-2023</t>
        </is>
      </c>
      <c r="B2334" s="1" t="n">
        <v>45236</v>
      </c>
      <c r="C2334" s="1" t="n">
        <v>45583</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56356-2023</t>
        </is>
      </c>
      <c r="B2335" s="1" t="n">
        <v>45236</v>
      </c>
      <c r="C2335" s="1" t="n">
        <v>45583</v>
      </c>
      <c r="D2335" t="inlineStr">
        <is>
          <t>VÄSTERNORRLANDS LÄN</t>
        </is>
      </c>
      <c r="E2335" t="inlineStr">
        <is>
          <t>SOLLEFTEÅ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56416-2023</t>
        </is>
      </c>
      <c r="B2336" s="1" t="n">
        <v>45237</v>
      </c>
      <c r="C2336" s="1" t="n">
        <v>45583</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56431-2023</t>
        </is>
      </c>
      <c r="B2337" s="1" t="n">
        <v>45237</v>
      </c>
      <c r="C2337" s="1" t="n">
        <v>45583</v>
      </c>
      <c r="D2337" t="inlineStr">
        <is>
          <t>VÄSTERNORRLANDS LÄN</t>
        </is>
      </c>
      <c r="E2337" t="inlineStr">
        <is>
          <t>SOLLEFTEÅ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55338-2023</t>
        </is>
      </c>
      <c r="B2338" s="1" t="n">
        <v>45238</v>
      </c>
      <c r="C2338" s="1" t="n">
        <v>45583</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56424-2023</t>
        </is>
      </c>
      <c r="B2339" s="1" t="n">
        <v>45237</v>
      </c>
      <c r="C2339" s="1" t="n">
        <v>45583</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55637-2023</t>
        </is>
      </c>
      <c r="B2340" s="1" t="n">
        <v>45238</v>
      </c>
      <c r="C2340" s="1" t="n">
        <v>45583</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55653-2023</t>
        </is>
      </c>
      <c r="B2341" s="1" t="n">
        <v>45239</v>
      </c>
      <c r="C2341" s="1" t="n">
        <v>45583</v>
      </c>
      <c r="D2341" t="inlineStr">
        <is>
          <t>VÄSTERNORRLANDS LÄN</t>
        </is>
      </c>
      <c r="E2341" t="inlineStr">
        <is>
          <t>SOLLEFTEÅ</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55622-2023</t>
        </is>
      </c>
      <c r="B2342" s="1" t="n">
        <v>45238</v>
      </c>
      <c r="C2342" s="1" t="n">
        <v>45583</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55638-2023</t>
        </is>
      </c>
      <c r="B2343" s="1" t="n">
        <v>45238</v>
      </c>
      <c r="C2343" s="1" t="n">
        <v>45583</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55650-2023</t>
        </is>
      </c>
      <c r="B2344" s="1" t="n">
        <v>45239</v>
      </c>
      <c r="C2344" s="1" t="n">
        <v>45583</v>
      </c>
      <c r="D2344" t="inlineStr">
        <is>
          <t>VÄSTERNORRLANDS LÄN</t>
        </is>
      </c>
      <c r="E2344" t="inlineStr">
        <is>
          <t>SOLLEFTEÅ</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55654-2023</t>
        </is>
      </c>
      <c r="B2345" s="1" t="n">
        <v>45239</v>
      </c>
      <c r="C2345" s="1" t="n">
        <v>45583</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55652-2023</t>
        </is>
      </c>
      <c r="B2346" s="1" t="n">
        <v>45238</v>
      </c>
      <c r="C2346" s="1" t="n">
        <v>45583</v>
      </c>
      <c r="D2346" t="inlineStr">
        <is>
          <t>VÄSTERNORRLANDS LÄN</t>
        </is>
      </c>
      <c r="E2346" t="inlineStr">
        <is>
          <t>SOLLEFTEÅ</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55651-2023</t>
        </is>
      </c>
      <c r="B2347" s="1" t="n">
        <v>45238</v>
      </c>
      <c r="C2347" s="1" t="n">
        <v>45583</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55687-2023</t>
        </is>
      </c>
      <c r="B2348" s="1" t="n">
        <v>45239</v>
      </c>
      <c r="C2348" s="1" t="n">
        <v>45583</v>
      </c>
      <c r="D2348" t="inlineStr">
        <is>
          <t>VÄSTERNORRLANDS LÄN</t>
        </is>
      </c>
      <c r="E2348" t="inlineStr">
        <is>
          <t>SOLLEFTEÅ</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55859-2023</t>
        </is>
      </c>
      <c r="B2349" s="1" t="n">
        <v>45239</v>
      </c>
      <c r="C2349" s="1" t="n">
        <v>45583</v>
      </c>
      <c r="D2349" t="inlineStr">
        <is>
          <t>VÄSTERNORRLANDS LÄN</t>
        </is>
      </c>
      <c r="E2349" t="inlineStr">
        <is>
          <t>SOLLEFTEÅ</t>
        </is>
      </c>
      <c r="F2349" t="inlineStr">
        <is>
          <t>Kommuner</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55910-2023</t>
        </is>
      </c>
      <c r="B2350" s="1" t="n">
        <v>45239</v>
      </c>
      <c r="C2350" s="1" t="n">
        <v>45583</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55912-2023</t>
        </is>
      </c>
      <c r="B2351" s="1" t="n">
        <v>45239</v>
      </c>
      <c r="C2351" s="1" t="n">
        <v>45583</v>
      </c>
      <c r="D2351" t="inlineStr">
        <is>
          <t>VÄSTERNORRLANDS LÄN</t>
        </is>
      </c>
      <c r="E2351" t="inlineStr">
        <is>
          <t>SOLLEFTEÅ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55929-2023</t>
        </is>
      </c>
      <c r="B2352" s="1" t="n">
        <v>45239</v>
      </c>
      <c r="C2352" s="1" t="n">
        <v>45583</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57010-2023</t>
        </is>
      </c>
      <c r="B2353" s="1" t="n">
        <v>45239</v>
      </c>
      <c r="C2353" s="1" t="n">
        <v>45583</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56261-2023</t>
        </is>
      </c>
      <c r="B2354" s="1" t="n">
        <v>45240</v>
      </c>
      <c r="C2354" s="1" t="n">
        <v>45583</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56249-2023</t>
        </is>
      </c>
      <c r="B2355" s="1" t="n">
        <v>45240</v>
      </c>
      <c r="C2355" s="1" t="n">
        <v>45583</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56201-2023</t>
        </is>
      </c>
      <c r="B2356" s="1" t="n">
        <v>45240</v>
      </c>
      <c r="C2356" s="1" t="n">
        <v>45583</v>
      </c>
      <c r="D2356" t="inlineStr">
        <is>
          <t>VÄSTERNORRLANDS LÄN</t>
        </is>
      </c>
      <c r="E2356" t="inlineStr">
        <is>
          <t>SOLLEFTEÅ</t>
        </is>
      </c>
      <c r="G2356" t="n">
        <v>43.3</v>
      </c>
      <c r="H2356" t="n">
        <v>0</v>
      </c>
      <c r="I2356" t="n">
        <v>0</v>
      </c>
      <c r="J2356" t="n">
        <v>0</v>
      </c>
      <c r="K2356" t="n">
        <v>0</v>
      </c>
      <c r="L2356" t="n">
        <v>0</v>
      </c>
      <c r="M2356" t="n">
        <v>0</v>
      </c>
      <c r="N2356" t="n">
        <v>0</v>
      </c>
      <c r="O2356" t="n">
        <v>0</v>
      </c>
      <c r="P2356" t="n">
        <v>0</v>
      </c>
      <c r="Q2356" t="n">
        <v>0</v>
      </c>
      <c r="R2356" s="2" t="inlineStr"/>
    </row>
    <row r="2357" ht="15" customHeight="1">
      <c r="A2357" t="inlineStr">
        <is>
          <t>A 56262-2023</t>
        </is>
      </c>
      <c r="B2357" s="1" t="n">
        <v>45240</v>
      </c>
      <c r="C2357" s="1" t="n">
        <v>45583</v>
      </c>
      <c r="D2357" t="inlineStr">
        <is>
          <t>VÄSTERNORRLANDS LÄN</t>
        </is>
      </c>
      <c r="E2357" t="inlineStr">
        <is>
          <t>SOLLEFTEÅ</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56234-2023</t>
        </is>
      </c>
      <c r="B2358" s="1" t="n">
        <v>45240</v>
      </c>
      <c r="C2358" s="1" t="n">
        <v>45583</v>
      </c>
      <c r="D2358" t="inlineStr">
        <is>
          <t>VÄSTERNORRLANDS LÄN</t>
        </is>
      </c>
      <c r="E2358" t="inlineStr">
        <is>
          <t>SOLLEFTEÅ</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56260-2023</t>
        </is>
      </c>
      <c r="B2359" s="1" t="n">
        <v>45240</v>
      </c>
      <c r="C2359" s="1" t="n">
        <v>45583</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56256-2023</t>
        </is>
      </c>
      <c r="B2360" s="1" t="n">
        <v>45240</v>
      </c>
      <c r="C2360" s="1" t="n">
        <v>45583</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56244-2023</t>
        </is>
      </c>
      <c r="B2361" s="1" t="n">
        <v>45240</v>
      </c>
      <c r="C2361" s="1" t="n">
        <v>45583</v>
      </c>
      <c r="D2361" t="inlineStr">
        <is>
          <t>VÄSTERNORRLANDS LÄN</t>
        </is>
      </c>
      <c r="E2361" t="inlineStr">
        <is>
          <t>SOLLEFTEÅ</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56134-2023</t>
        </is>
      </c>
      <c r="B2362" s="1" t="n">
        <v>45240</v>
      </c>
      <c r="C2362" s="1" t="n">
        <v>45583</v>
      </c>
      <c r="D2362" t="inlineStr">
        <is>
          <t>VÄSTERNORRLANDS LÄN</t>
        </is>
      </c>
      <c r="E2362" t="inlineStr">
        <is>
          <t>SOLLEFTEÅ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56137-2023</t>
        </is>
      </c>
      <c r="B2363" s="1" t="n">
        <v>45240</v>
      </c>
      <c r="C2363" s="1" t="n">
        <v>45583</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56139-2023</t>
        </is>
      </c>
      <c r="B2364" s="1" t="n">
        <v>45240</v>
      </c>
      <c r="C2364" s="1" t="n">
        <v>45583</v>
      </c>
      <c r="D2364" t="inlineStr">
        <is>
          <t>VÄSTERNORRLANDS LÄN</t>
        </is>
      </c>
      <c r="E2364" t="inlineStr">
        <is>
          <t>SOLLEFTEÅ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56310-2023</t>
        </is>
      </c>
      <c r="B2365" s="1" t="n">
        <v>45242</v>
      </c>
      <c r="C2365" s="1" t="n">
        <v>45583</v>
      </c>
      <c r="D2365" t="inlineStr">
        <is>
          <t>VÄSTERNORRLANDS LÄN</t>
        </is>
      </c>
      <c r="E2365" t="inlineStr">
        <is>
          <t>SOLLEFTEÅ</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57518-2023</t>
        </is>
      </c>
      <c r="B2366" s="1" t="n">
        <v>45242</v>
      </c>
      <c r="C2366" s="1" t="n">
        <v>45583</v>
      </c>
      <c r="D2366" t="inlineStr">
        <is>
          <t>VÄSTERNORRLANDS LÄN</t>
        </is>
      </c>
      <c r="E2366" t="inlineStr">
        <is>
          <t>SOLLEFTEÅ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56311-2023</t>
        </is>
      </c>
      <c r="B2367" s="1" t="n">
        <v>45242</v>
      </c>
      <c r="C2367" s="1" t="n">
        <v>45583</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56684-2023</t>
        </is>
      </c>
      <c r="B2368" s="1" t="n">
        <v>45244</v>
      </c>
      <c r="C2368" s="1" t="n">
        <v>45583</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56685-2023</t>
        </is>
      </c>
      <c r="B2369" s="1" t="n">
        <v>45244</v>
      </c>
      <c r="C2369" s="1" t="n">
        <v>45583</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57080-2023</t>
        </is>
      </c>
      <c r="B2370" s="1" t="n">
        <v>45244</v>
      </c>
      <c r="C2370" s="1" t="n">
        <v>45583</v>
      </c>
      <c r="D2370" t="inlineStr">
        <is>
          <t>VÄSTERNORRLANDS LÄN</t>
        </is>
      </c>
      <c r="E2370" t="inlineStr">
        <is>
          <t>SOLLEFTEÅ</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57066-2023</t>
        </is>
      </c>
      <c r="B2371" s="1" t="n">
        <v>45245</v>
      </c>
      <c r="C2371" s="1" t="n">
        <v>45583</v>
      </c>
      <c r="D2371" t="inlineStr">
        <is>
          <t>VÄSTERNORRLANDS LÄN</t>
        </is>
      </c>
      <c r="E2371" t="inlineStr">
        <is>
          <t>SOLLEFTEÅ</t>
        </is>
      </c>
      <c r="F2371" t="inlineStr">
        <is>
          <t>SCA</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57837-2023</t>
        </is>
      </c>
      <c r="B2372" s="1" t="n">
        <v>45244</v>
      </c>
      <c r="C2372" s="1" t="n">
        <v>45583</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57384-2023</t>
        </is>
      </c>
      <c r="B2373" s="1" t="n">
        <v>45245</v>
      </c>
      <c r="C2373" s="1" t="n">
        <v>45583</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57394-2023</t>
        </is>
      </c>
      <c r="B2374" s="1" t="n">
        <v>45246</v>
      </c>
      <c r="C2374" s="1" t="n">
        <v>45583</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57395-2023</t>
        </is>
      </c>
      <c r="B2375" s="1" t="n">
        <v>45246</v>
      </c>
      <c r="C2375" s="1" t="n">
        <v>45583</v>
      </c>
      <c r="D2375" t="inlineStr">
        <is>
          <t>VÄSTERNORRLANDS LÄN</t>
        </is>
      </c>
      <c r="E2375" t="inlineStr">
        <is>
          <t>SOLLEFTEÅ</t>
        </is>
      </c>
      <c r="F2375" t="inlineStr">
        <is>
          <t>SCA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57411-2023</t>
        </is>
      </c>
      <c r="B2376" s="1" t="n">
        <v>45245</v>
      </c>
      <c r="C2376" s="1" t="n">
        <v>45583</v>
      </c>
      <c r="D2376" t="inlineStr">
        <is>
          <t>VÄSTERNORRLANDS LÄN</t>
        </is>
      </c>
      <c r="E2376" t="inlineStr">
        <is>
          <t>SOLLEFTEÅ</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58298-2023</t>
        </is>
      </c>
      <c r="B2377" s="1" t="n">
        <v>45245</v>
      </c>
      <c r="C2377" s="1" t="n">
        <v>45583</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57655-2023</t>
        </is>
      </c>
      <c r="B2378" s="1" t="n">
        <v>45246</v>
      </c>
      <c r="C2378" s="1" t="n">
        <v>45583</v>
      </c>
      <c r="D2378" t="inlineStr">
        <is>
          <t>VÄSTERNORRLANDS LÄN</t>
        </is>
      </c>
      <c r="E2378" t="inlineStr">
        <is>
          <t>SOLLEFTEÅ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58085-2023</t>
        </is>
      </c>
      <c r="B2379" s="1" t="n">
        <v>45247</v>
      </c>
      <c r="C2379" s="1" t="n">
        <v>45583</v>
      </c>
      <c r="D2379" t="inlineStr">
        <is>
          <t>VÄSTERNORRLANDS LÄN</t>
        </is>
      </c>
      <c r="E2379" t="inlineStr">
        <is>
          <t>SOLLEFTEÅ</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58155-2023</t>
        </is>
      </c>
      <c r="B2380" s="1" t="n">
        <v>45250</v>
      </c>
      <c r="C2380" s="1" t="n">
        <v>45583</v>
      </c>
      <c r="D2380" t="inlineStr">
        <is>
          <t>VÄSTERNORRLANDS LÄN</t>
        </is>
      </c>
      <c r="E2380" t="inlineStr">
        <is>
          <t>SOLLEFTEÅ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58923-2023</t>
        </is>
      </c>
      <c r="B2381" s="1" t="n">
        <v>45250</v>
      </c>
      <c r="C2381" s="1" t="n">
        <v>45583</v>
      </c>
      <c r="D2381" t="inlineStr">
        <is>
          <t>VÄSTERNORRLANDS LÄN</t>
        </is>
      </c>
      <c r="E2381" t="inlineStr">
        <is>
          <t>SOLLEFTEÅ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58938-2023</t>
        </is>
      </c>
      <c r="B2382" s="1" t="n">
        <v>45250</v>
      </c>
      <c r="C2382" s="1" t="n">
        <v>45583</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58427-2023</t>
        </is>
      </c>
      <c r="B2383" s="1" t="n">
        <v>45250</v>
      </c>
      <c r="C2383" s="1" t="n">
        <v>45583</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58891-2023</t>
        </is>
      </c>
      <c r="B2384" s="1" t="n">
        <v>45250</v>
      </c>
      <c r="C2384" s="1" t="n">
        <v>45583</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58933-2023</t>
        </is>
      </c>
      <c r="B2385" s="1" t="n">
        <v>45250</v>
      </c>
      <c r="C2385" s="1" t="n">
        <v>45583</v>
      </c>
      <c r="D2385" t="inlineStr">
        <is>
          <t>VÄSTERNORRLANDS LÄN</t>
        </is>
      </c>
      <c r="E2385" t="inlineStr">
        <is>
          <t>SOLLEFTEÅ</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59098-2023</t>
        </is>
      </c>
      <c r="B2386" s="1" t="n">
        <v>45253</v>
      </c>
      <c r="C2386" s="1" t="n">
        <v>45583</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59339-2023</t>
        </is>
      </c>
      <c r="B2387" s="1" t="n">
        <v>45253</v>
      </c>
      <c r="C2387" s="1" t="n">
        <v>45583</v>
      </c>
      <c r="D2387" t="inlineStr">
        <is>
          <t>VÄSTERNORRLANDS LÄN</t>
        </is>
      </c>
      <c r="E2387" t="inlineStr">
        <is>
          <t>SOLLEFTEÅ</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59346-2023</t>
        </is>
      </c>
      <c r="B2388" s="1" t="n">
        <v>45253</v>
      </c>
      <c r="C2388" s="1" t="n">
        <v>45583</v>
      </c>
      <c r="D2388" t="inlineStr">
        <is>
          <t>VÄSTERNORRLANDS LÄN</t>
        </is>
      </c>
      <c r="E2388" t="inlineStr">
        <is>
          <t>SOLLEFTEÅ</t>
        </is>
      </c>
      <c r="F2388" t="inlineStr">
        <is>
          <t>Holmen skog AB</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59461-2023</t>
        </is>
      </c>
      <c r="B2389" s="1" t="n">
        <v>45253</v>
      </c>
      <c r="C2389" s="1" t="n">
        <v>45583</v>
      </c>
      <c r="D2389" t="inlineStr">
        <is>
          <t>VÄSTERNORRLANDS LÄN</t>
        </is>
      </c>
      <c r="E2389" t="inlineStr">
        <is>
          <t>SOLLEFTEÅ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59579-2023</t>
        </is>
      </c>
      <c r="B2390" s="1" t="n">
        <v>45253</v>
      </c>
      <c r="C2390" s="1" t="n">
        <v>45583</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59501-2023</t>
        </is>
      </c>
      <c r="B2391" s="1" t="n">
        <v>45254</v>
      </c>
      <c r="C2391" s="1" t="n">
        <v>45583</v>
      </c>
      <c r="D2391" t="inlineStr">
        <is>
          <t>VÄSTERNORRLANDS LÄN</t>
        </is>
      </c>
      <c r="E2391" t="inlineStr">
        <is>
          <t>SOLLEFTEÅ</t>
        </is>
      </c>
      <c r="F2391" t="inlineStr">
        <is>
          <t>Holmen skog AB</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59583-2023</t>
        </is>
      </c>
      <c r="B2392" s="1" t="n">
        <v>45254</v>
      </c>
      <c r="C2392" s="1" t="n">
        <v>45583</v>
      </c>
      <c r="D2392" t="inlineStr">
        <is>
          <t>VÄSTERNORRLANDS LÄN</t>
        </is>
      </c>
      <c r="E2392" t="inlineStr">
        <is>
          <t>SOLLEFTEÅ</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59657-2023</t>
        </is>
      </c>
      <c r="B2393" s="1" t="n">
        <v>45255</v>
      </c>
      <c r="C2393" s="1" t="n">
        <v>45583</v>
      </c>
      <c r="D2393" t="inlineStr">
        <is>
          <t>VÄSTERNORRLANDS LÄN</t>
        </is>
      </c>
      <c r="E2393" t="inlineStr">
        <is>
          <t>SOLLEFTEÅ</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59593-2023</t>
        </is>
      </c>
      <c r="B2394" s="1" t="n">
        <v>45254</v>
      </c>
      <c r="C2394" s="1" t="n">
        <v>45583</v>
      </c>
      <c r="D2394" t="inlineStr">
        <is>
          <t>VÄSTERNORRLANDS LÄN</t>
        </is>
      </c>
      <c r="E2394" t="inlineStr">
        <is>
          <t>SOLLEFTEÅ</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59879-2023</t>
        </is>
      </c>
      <c r="B2395" s="1" t="n">
        <v>45254</v>
      </c>
      <c r="C2395" s="1" t="n">
        <v>45583</v>
      </c>
      <c r="D2395" t="inlineStr">
        <is>
          <t>VÄSTERNORRLANDS LÄN</t>
        </is>
      </c>
      <c r="E2395" t="inlineStr">
        <is>
          <t>SOLLEFTEÅ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60039-2023</t>
        </is>
      </c>
      <c r="B2396" s="1" t="n">
        <v>45254</v>
      </c>
      <c r="C2396" s="1" t="n">
        <v>45583</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59794-2023</t>
        </is>
      </c>
      <c r="B2397" s="1" t="n">
        <v>45257</v>
      </c>
      <c r="C2397" s="1" t="n">
        <v>45583</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60099-2023</t>
        </is>
      </c>
      <c r="B2398" s="1" t="n">
        <v>45257</v>
      </c>
      <c r="C2398" s="1" t="n">
        <v>45583</v>
      </c>
      <c r="D2398" t="inlineStr">
        <is>
          <t>VÄSTERNORRLANDS LÄN</t>
        </is>
      </c>
      <c r="E2398" t="inlineStr">
        <is>
          <t>SOLLEFTEÅ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60329-2023</t>
        </is>
      </c>
      <c r="B2399" s="1" t="n">
        <v>45258</v>
      </c>
      <c r="C2399" s="1" t="n">
        <v>45583</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60328-2023</t>
        </is>
      </c>
      <c r="B2400" s="1" t="n">
        <v>45258</v>
      </c>
      <c r="C2400" s="1" t="n">
        <v>45583</v>
      </c>
      <c r="D2400" t="inlineStr">
        <is>
          <t>VÄSTERNORRLANDS LÄN</t>
        </is>
      </c>
      <c r="E2400" t="inlineStr">
        <is>
          <t>SOLLEFTEÅ</t>
        </is>
      </c>
      <c r="F2400" t="inlineStr">
        <is>
          <t>SCA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60462-2023</t>
        </is>
      </c>
      <c r="B2401" s="1" t="n">
        <v>45258</v>
      </c>
      <c r="C2401" s="1" t="n">
        <v>45583</v>
      </c>
      <c r="D2401" t="inlineStr">
        <is>
          <t>VÄSTERNORRLANDS LÄN</t>
        </is>
      </c>
      <c r="E2401" t="inlineStr">
        <is>
          <t>SOLLEFTEÅ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60480-2023</t>
        </is>
      </c>
      <c r="B2402" s="1" t="n">
        <v>45258</v>
      </c>
      <c r="C2402" s="1" t="n">
        <v>45583</v>
      </c>
      <c r="D2402" t="inlineStr">
        <is>
          <t>VÄSTERNORRLANDS LÄN</t>
        </is>
      </c>
      <c r="E2402" t="inlineStr">
        <is>
          <t>SOLLEFTEÅ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60883-2023</t>
        </is>
      </c>
      <c r="B2403" s="1" t="n">
        <v>45259</v>
      </c>
      <c r="C2403" s="1" t="n">
        <v>45583</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61028-2023</t>
        </is>
      </c>
      <c r="B2404" s="1" t="n">
        <v>45259</v>
      </c>
      <c r="C2404" s="1" t="n">
        <v>45583</v>
      </c>
      <c r="D2404" t="inlineStr">
        <is>
          <t>VÄSTERNORRLANDS LÄN</t>
        </is>
      </c>
      <c r="E2404" t="inlineStr">
        <is>
          <t>SOLLEFTEÅ</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61034-2023</t>
        </is>
      </c>
      <c r="B2405" s="1" t="n">
        <v>45259</v>
      </c>
      <c r="C2405" s="1" t="n">
        <v>45583</v>
      </c>
      <c r="D2405" t="inlineStr">
        <is>
          <t>VÄSTERNORRLANDS LÄN</t>
        </is>
      </c>
      <c r="E2405" t="inlineStr">
        <is>
          <t>SOLLEFTEÅ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60861-2023</t>
        </is>
      </c>
      <c r="B2406" s="1" t="n">
        <v>45260</v>
      </c>
      <c r="C2406" s="1" t="n">
        <v>45583</v>
      </c>
      <c r="D2406" t="inlineStr">
        <is>
          <t>VÄSTERNORRLANDS LÄN</t>
        </is>
      </c>
      <c r="E2406" t="inlineStr">
        <is>
          <t>SOLLEFTEÅ</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61213-2023</t>
        </is>
      </c>
      <c r="B2407" s="1" t="n">
        <v>45260</v>
      </c>
      <c r="C2407" s="1" t="n">
        <v>45583</v>
      </c>
      <c r="D2407" t="inlineStr">
        <is>
          <t>VÄSTERNORRLANDS LÄN</t>
        </is>
      </c>
      <c r="E2407" t="inlineStr">
        <is>
          <t>SOLLEFTEÅ</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61081-2023</t>
        </is>
      </c>
      <c r="B2408" s="1" t="n">
        <v>45261</v>
      </c>
      <c r="C2408" s="1" t="n">
        <v>45583</v>
      </c>
      <c r="D2408" t="inlineStr">
        <is>
          <t>VÄSTERNORRLANDS LÄN</t>
        </is>
      </c>
      <c r="E2408" t="inlineStr">
        <is>
          <t>SOLLEFTEÅ</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61137-2023</t>
        </is>
      </c>
      <c r="B2409" s="1" t="n">
        <v>45261</v>
      </c>
      <c r="C2409" s="1" t="n">
        <v>45583</v>
      </c>
      <c r="D2409" t="inlineStr">
        <is>
          <t>VÄSTERNORRLANDS LÄN</t>
        </is>
      </c>
      <c r="E2409" t="inlineStr">
        <is>
          <t>SOLLEFTEÅ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61138-2023</t>
        </is>
      </c>
      <c r="B2410" s="1" t="n">
        <v>45261</v>
      </c>
      <c r="C2410" s="1" t="n">
        <v>45583</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61469-2023</t>
        </is>
      </c>
      <c r="B2411" s="1" t="n">
        <v>45264</v>
      </c>
      <c r="C2411" s="1" t="n">
        <v>45583</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61473-2023</t>
        </is>
      </c>
      <c r="B2412" s="1" t="n">
        <v>45264</v>
      </c>
      <c r="C2412" s="1" t="n">
        <v>45583</v>
      </c>
      <c r="D2412" t="inlineStr">
        <is>
          <t>VÄSTERNORRLANDS LÄN</t>
        </is>
      </c>
      <c r="E2412" t="inlineStr">
        <is>
          <t>SOLLEFTEÅ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61462-2023</t>
        </is>
      </c>
      <c r="B2413" s="1" t="n">
        <v>45264</v>
      </c>
      <c r="C2413" s="1" t="n">
        <v>45583</v>
      </c>
      <c r="D2413" t="inlineStr">
        <is>
          <t>VÄSTERNORRLANDS LÄN</t>
        </is>
      </c>
      <c r="E2413" t="inlineStr">
        <is>
          <t>SOLLEFTEÅ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61470-2023</t>
        </is>
      </c>
      <c r="B2414" s="1" t="n">
        <v>45264</v>
      </c>
      <c r="C2414" s="1" t="n">
        <v>45583</v>
      </c>
      <c r="D2414" t="inlineStr">
        <is>
          <t>VÄSTERNORRLANDS LÄN</t>
        </is>
      </c>
      <c r="E2414" t="inlineStr">
        <is>
          <t>SOLLEFTEÅ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61809-2023</t>
        </is>
      </c>
      <c r="B2415" s="1" t="n">
        <v>45264</v>
      </c>
      <c r="C2415" s="1" t="n">
        <v>45583</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61805-2023</t>
        </is>
      </c>
      <c r="B2416" s="1" t="n">
        <v>45264</v>
      </c>
      <c r="C2416" s="1" t="n">
        <v>45583</v>
      </c>
      <c r="D2416" t="inlineStr">
        <is>
          <t>VÄSTERNORRLANDS LÄN</t>
        </is>
      </c>
      <c r="E2416" t="inlineStr">
        <is>
          <t>SOLLEFTEÅ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61485-2023</t>
        </is>
      </c>
      <c r="B2417" s="1" t="n">
        <v>45264</v>
      </c>
      <c r="C2417" s="1" t="n">
        <v>45583</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61784-2023</t>
        </is>
      </c>
      <c r="B2418" s="1" t="n">
        <v>45265</v>
      </c>
      <c r="C2418" s="1" t="n">
        <v>45583</v>
      </c>
      <c r="D2418" t="inlineStr">
        <is>
          <t>VÄSTERNORRLANDS LÄN</t>
        </is>
      </c>
      <c r="E2418" t="inlineStr">
        <is>
          <t>SOLLEFTEÅ</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62099-2023</t>
        </is>
      </c>
      <c r="B2419" s="1" t="n">
        <v>45266</v>
      </c>
      <c r="C2419" s="1" t="n">
        <v>45583</v>
      </c>
      <c r="D2419" t="inlineStr">
        <is>
          <t>VÄSTERNORRLANDS LÄN</t>
        </is>
      </c>
      <c r="E2419" t="inlineStr">
        <is>
          <t>SOLLEFTEÅ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62098-2023</t>
        </is>
      </c>
      <c r="B2420" s="1" t="n">
        <v>45266</v>
      </c>
      <c r="C2420" s="1" t="n">
        <v>45583</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62096-2023</t>
        </is>
      </c>
      <c r="B2421" s="1" t="n">
        <v>45266</v>
      </c>
      <c r="C2421" s="1" t="n">
        <v>45583</v>
      </c>
      <c r="D2421" t="inlineStr">
        <is>
          <t>VÄSTERNORRLANDS LÄN</t>
        </is>
      </c>
      <c r="E2421" t="inlineStr">
        <is>
          <t>SOLLEFTEÅ</t>
        </is>
      </c>
      <c r="F2421" t="inlineStr">
        <is>
          <t>Kyrkan</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62100-2023</t>
        </is>
      </c>
      <c r="B2422" s="1" t="n">
        <v>45266</v>
      </c>
      <c r="C2422" s="1" t="n">
        <v>45583</v>
      </c>
      <c r="D2422" t="inlineStr">
        <is>
          <t>VÄSTERNORRLANDS LÄN</t>
        </is>
      </c>
      <c r="E2422" t="inlineStr">
        <is>
          <t>SOLLEFTEÅ</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62115-2023</t>
        </is>
      </c>
      <c r="B2423" s="1" t="n">
        <v>45266</v>
      </c>
      <c r="C2423" s="1" t="n">
        <v>45583</v>
      </c>
      <c r="D2423" t="inlineStr">
        <is>
          <t>VÄSTERNORRLANDS LÄN</t>
        </is>
      </c>
      <c r="E2423" t="inlineStr">
        <is>
          <t>SOLLEFTEÅ</t>
        </is>
      </c>
      <c r="F2423" t="inlineStr">
        <is>
          <t>SCA</t>
        </is>
      </c>
      <c r="G2423" t="n">
        <v>43.1</v>
      </c>
      <c r="H2423" t="n">
        <v>0</v>
      </c>
      <c r="I2423" t="n">
        <v>0</v>
      </c>
      <c r="J2423" t="n">
        <v>0</v>
      </c>
      <c r="K2423" t="n">
        <v>0</v>
      </c>
      <c r="L2423" t="n">
        <v>0</v>
      </c>
      <c r="M2423" t="n">
        <v>0</v>
      </c>
      <c r="N2423" t="n">
        <v>0</v>
      </c>
      <c r="O2423" t="n">
        <v>0</v>
      </c>
      <c r="P2423" t="n">
        <v>0</v>
      </c>
      <c r="Q2423" t="n">
        <v>0</v>
      </c>
      <c r="R2423" s="2" t="inlineStr"/>
    </row>
    <row r="2424" ht="15" customHeight="1">
      <c r="A2424" t="inlineStr">
        <is>
          <t>A 62097-2023</t>
        </is>
      </c>
      <c r="B2424" s="1" t="n">
        <v>45266</v>
      </c>
      <c r="C2424" s="1" t="n">
        <v>45583</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62093-2023</t>
        </is>
      </c>
      <c r="B2425" s="1" t="n">
        <v>45266</v>
      </c>
      <c r="C2425" s="1" t="n">
        <v>45583</v>
      </c>
      <c r="D2425" t="inlineStr">
        <is>
          <t>VÄSTERNORRLANDS LÄN</t>
        </is>
      </c>
      <c r="E2425" t="inlineStr">
        <is>
          <t>SOLLEFTEÅ</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62343-2023</t>
        </is>
      </c>
      <c r="B2426" s="1" t="n">
        <v>45267</v>
      </c>
      <c r="C2426" s="1" t="n">
        <v>45583</v>
      </c>
      <c r="D2426" t="inlineStr">
        <is>
          <t>VÄSTERNORRLANDS LÄN</t>
        </is>
      </c>
      <c r="E2426" t="inlineStr">
        <is>
          <t>SOLLEFTEÅ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62363-2023</t>
        </is>
      </c>
      <c r="B2427" s="1" t="n">
        <v>45267</v>
      </c>
      <c r="C2427" s="1" t="n">
        <v>45583</v>
      </c>
      <c r="D2427" t="inlineStr">
        <is>
          <t>VÄSTERNORRLANDS LÄN</t>
        </is>
      </c>
      <c r="E2427" t="inlineStr">
        <is>
          <t>SOLLEFTEÅ</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62364-2023</t>
        </is>
      </c>
      <c r="B2428" s="1" t="n">
        <v>45267</v>
      </c>
      <c r="C2428" s="1" t="n">
        <v>45583</v>
      </c>
      <c r="D2428" t="inlineStr">
        <is>
          <t>VÄSTERNORRLANDS LÄN</t>
        </is>
      </c>
      <c r="E2428" t="inlineStr">
        <is>
          <t>SOLLEFTEÅ</t>
        </is>
      </c>
      <c r="F2428" t="inlineStr">
        <is>
          <t>SCA</t>
        </is>
      </c>
      <c r="G2428" t="n">
        <v>22.1</v>
      </c>
      <c r="H2428" t="n">
        <v>0</v>
      </c>
      <c r="I2428" t="n">
        <v>0</v>
      </c>
      <c r="J2428" t="n">
        <v>0</v>
      </c>
      <c r="K2428" t="n">
        <v>0</v>
      </c>
      <c r="L2428" t="n">
        <v>0</v>
      </c>
      <c r="M2428" t="n">
        <v>0</v>
      </c>
      <c r="N2428" t="n">
        <v>0</v>
      </c>
      <c r="O2428" t="n">
        <v>0</v>
      </c>
      <c r="P2428" t="n">
        <v>0</v>
      </c>
      <c r="Q2428" t="n">
        <v>0</v>
      </c>
      <c r="R2428" s="2" t="inlineStr"/>
    </row>
    <row r="2429" ht="15" customHeight="1">
      <c r="A2429" t="inlineStr">
        <is>
          <t>A 62523-2023</t>
        </is>
      </c>
      <c r="B2429" s="1" t="n">
        <v>45267</v>
      </c>
      <c r="C2429" s="1" t="n">
        <v>45583</v>
      </c>
      <c r="D2429" t="inlineStr">
        <is>
          <t>VÄSTERNORRLANDS LÄN</t>
        </is>
      </c>
      <c r="E2429" t="inlineStr">
        <is>
          <t>SOLLEFTEÅ</t>
        </is>
      </c>
      <c r="G2429" t="n">
        <v>33.6</v>
      </c>
      <c r="H2429" t="n">
        <v>0</v>
      </c>
      <c r="I2429" t="n">
        <v>0</v>
      </c>
      <c r="J2429" t="n">
        <v>0</v>
      </c>
      <c r="K2429" t="n">
        <v>0</v>
      </c>
      <c r="L2429" t="n">
        <v>0</v>
      </c>
      <c r="M2429" t="n">
        <v>0</v>
      </c>
      <c r="N2429" t="n">
        <v>0</v>
      </c>
      <c r="O2429" t="n">
        <v>0</v>
      </c>
      <c r="P2429" t="n">
        <v>0</v>
      </c>
      <c r="Q2429" t="n">
        <v>0</v>
      </c>
      <c r="R2429" s="2" t="inlineStr"/>
    </row>
    <row r="2430" ht="15" customHeight="1">
      <c r="A2430" t="inlineStr">
        <is>
          <t>A 62357-2023</t>
        </is>
      </c>
      <c r="B2430" s="1" t="n">
        <v>45267</v>
      </c>
      <c r="C2430" s="1" t="n">
        <v>45583</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62527-2023</t>
        </is>
      </c>
      <c r="B2431" s="1" t="n">
        <v>45267</v>
      </c>
      <c r="C2431" s="1" t="n">
        <v>45583</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62827-2023</t>
        </is>
      </c>
      <c r="B2432" s="1" t="n">
        <v>45271</v>
      </c>
      <c r="C2432" s="1" t="n">
        <v>45583</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63138-2023</t>
        </is>
      </c>
      <c r="B2433" s="1" t="n">
        <v>45272</v>
      </c>
      <c r="C2433" s="1" t="n">
        <v>45583</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63144-2023</t>
        </is>
      </c>
      <c r="B2434" s="1" t="n">
        <v>45272</v>
      </c>
      <c r="C2434" s="1" t="n">
        <v>45583</v>
      </c>
      <c r="D2434" t="inlineStr">
        <is>
          <t>VÄSTERNORRLANDS LÄN</t>
        </is>
      </c>
      <c r="E2434" t="inlineStr">
        <is>
          <t>SOLLEFTEÅ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63261-2023</t>
        </is>
      </c>
      <c r="B2435" s="1" t="n">
        <v>45273</v>
      </c>
      <c r="C2435" s="1" t="n">
        <v>45583</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63259-2023</t>
        </is>
      </c>
      <c r="B2436" s="1" t="n">
        <v>45273</v>
      </c>
      <c r="C2436" s="1" t="n">
        <v>45583</v>
      </c>
      <c r="D2436" t="inlineStr">
        <is>
          <t>VÄSTERNORRLANDS LÄN</t>
        </is>
      </c>
      <c r="E2436" t="inlineStr">
        <is>
          <t>SOLLEFTEÅ</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63529-2023</t>
        </is>
      </c>
      <c r="B2437" s="1" t="n">
        <v>45274</v>
      </c>
      <c r="C2437" s="1" t="n">
        <v>45583</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63422-2023</t>
        </is>
      </c>
      <c r="B2438" s="1" t="n">
        <v>45274</v>
      </c>
      <c r="C2438" s="1" t="n">
        <v>45583</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63462-2023</t>
        </is>
      </c>
      <c r="B2439" s="1" t="n">
        <v>45274</v>
      </c>
      <c r="C2439" s="1" t="n">
        <v>45583</v>
      </c>
      <c r="D2439" t="inlineStr">
        <is>
          <t>VÄSTERNORRLANDS LÄN</t>
        </is>
      </c>
      <c r="E2439" t="inlineStr">
        <is>
          <t>SOLLEFTEÅ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63413-2023</t>
        </is>
      </c>
      <c r="B2440" s="1" t="n">
        <v>45274</v>
      </c>
      <c r="C2440" s="1" t="n">
        <v>45583</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63547-2023</t>
        </is>
      </c>
      <c r="B2441" s="1" t="n">
        <v>45274</v>
      </c>
      <c r="C2441" s="1" t="n">
        <v>45583</v>
      </c>
      <c r="D2441" t="inlineStr">
        <is>
          <t>VÄSTERNORRLANDS LÄN</t>
        </is>
      </c>
      <c r="E2441" t="inlineStr">
        <is>
          <t>SOLLEFTEÅ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63652-2023</t>
        </is>
      </c>
      <c r="B2442" s="1" t="n">
        <v>45275</v>
      </c>
      <c r="C2442" s="1" t="n">
        <v>45583</v>
      </c>
      <c r="D2442" t="inlineStr">
        <is>
          <t>VÄSTERNORRLANDS LÄN</t>
        </is>
      </c>
      <c r="E2442" t="inlineStr">
        <is>
          <t>SOLLEFTEÅ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63712-2023</t>
        </is>
      </c>
      <c r="B2443" s="1" t="n">
        <v>45275</v>
      </c>
      <c r="C2443" s="1" t="n">
        <v>45583</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63707-2023</t>
        </is>
      </c>
      <c r="B2444" s="1" t="n">
        <v>45275</v>
      </c>
      <c r="C2444" s="1" t="n">
        <v>45583</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64013-2023</t>
        </is>
      </c>
      <c r="B2445" s="1" t="n">
        <v>45278</v>
      </c>
      <c r="C2445" s="1" t="n">
        <v>45583</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64014-2023</t>
        </is>
      </c>
      <c r="B2446" s="1" t="n">
        <v>45278</v>
      </c>
      <c r="C2446" s="1" t="n">
        <v>45583</v>
      </c>
      <c r="D2446" t="inlineStr">
        <is>
          <t>VÄSTERNORRLANDS LÄN</t>
        </is>
      </c>
      <c r="E2446" t="inlineStr">
        <is>
          <t>SOLLEFTEÅ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63979-2023</t>
        </is>
      </c>
      <c r="B2447" s="1" t="n">
        <v>45278</v>
      </c>
      <c r="C2447" s="1" t="n">
        <v>45583</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64111-2023</t>
        </is>
      </c>
      <c r="B2448" s="1" t="n">
        <v>45279</v>
      </c>
      <c r="C2448" s="1" t="n">
        <v>45583</v>
      </c>
      <c r="D2448" t="inlineStr">
        <is>
          <t>VÄSTERNORRLANDS LÄN</t>
        </is>
      </c>
      <c r="E2448" t="inlineStr">
        <is>
          <t>SOLLEFTEÅ</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64115-2023</t>
        </is>
      </c>
      <c r="B2449" s="1" t="n">
        <v>45279</v>
      </c>
      <c r="C2449" s="1" t="n">
        <v>45583</v>
      </c>
      <c r="D2449" t="inlineStr">
        <is>
          <t>VÄSTERNORRLANDS LÄN</t>
        </is>
      </c>
      <c r="E2449" t="inlineStr">
        <is>
          <t>SOLLEFTEÅ</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64120-2023</t>
        </is>
      </c>
      <c r="B2450" s="1" t="n">
        <v>45279</v>
      </c>
      <c r="C2450" s="1" t="n">
        <v>45583</v>
      </c>
      <c r="D2450" t="inlineStr">
        <is>
          <t>VÄSTERNORRLANDS LÄN</t>
        </is>
      </c>
      <c r="E2450" t="inlineStr">
        <is>
          <t>SOLLEFTEÅ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64133-2023</t>
        </is>
      </c>
      <c r="B2451" s="1" t="n">
        <v>45279</v>
      </c>
      <c r="C2451" s="1" t="n">
        <v>45583</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64131-2023</t>
        </is>
      </c>
      <c r="B2452" s="1" t="n">
        <v>45279</v>
      </c>
      <c r="C2452" s="1" t="n">
        <v>45583</v>
      </c>
      <c r="D2452" t="inlineStr">
        <is>
          <t>VÄSTERNORRLANDS LÄN</t>
        </is>
      </c>
      <c r="E2452" t="inlineStr">
        <is>
          <t>SOLLEFTEÅ</t>
        </is>
      </c>
      <c r="G2452" t="n">
        <v>12.9</v>
      </c>
      <c r="H2452" t="n">
        <v>0</v>
      </c>
      <c r="I2452" t="n">
        <v>0</v>
      </c>
      <c r="J2452" t="n">
        <v>0</v>
      </c>
      <c r="K2452" t="n">
        <v>0</v>
      </c>
      <c r="L2452" t="n">
        <v>0</v>
      </c>
      <c r="M2452" t="n">
        <v>0</v>
      </c>
      <c r="N2452" t="n">
        <v>0</v>
      </c>
      <c r="O2452" t="n">
        <v>0</v>
      </c>
      <c r="P2452" t="n">
        <v>0</v>
      </c>
      <c r="Q2452" t="n">
        <v>0</v>
      </c>
      <c r="R2452" s="2" t="inlineStr"/>
    </row>
    <row r="2453" ht="15" customHeight="1">
      <c r="A2453" t="inlineStr">
        <is>
          <t>A 64502-2023</t>
        </is>
      </c>
      <c r="B2453" s="1" t="n">
        <v>45280</v>
      </c>
      <c r="C2453" s="1" t="n">
        <v>45583</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64617-2023</t>
        </is>
      </c>
      <c r="B2454" s="1" t="n">
        <v>45281</v>
      </c>
      <c r="C2454" s="1" t="n">
        <v>45583</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64891-2023</t>
        </is>
      </c>
      <c r="B2455" s="1" t="n">
        <v>45282</v>
      </c>
      <c r="C2455" s="1" t="n">
        <v>45583</v>
      </c>
      <c r="D2455" t="inlineStr">
        <is>
          <t>VÄSTERNORRLANDS LÄN</t>
        </is>
      </c>
      <c r="E2455" t="inlineStr">
        <is>
          <t>SOLLEFTEÅ</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64961-2023</t>
        </is>
      </c>
      <c r="B2456" s="1" t="n">
        <v>45282</v>
      </c>
      <c r="C2456" s="1" t="n">
        <v>45583</v>
      </c>
      <c r="D2456" t="inlineStr">
        <is>
          <t>VÄSTERNORRLANDS LÄN</t>
        </is>
      </c>
      <c r="E2456" t="inlineStr">
        <is>
          <t>SOLLEFTEÅ</t>
        </is>
      </c>
      <c r="F2456" t="inlineStr">
        <is>
          <t>SCA</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64959-2023</t>
        </is>
      </c>
      <c r="B2457" s="1" t="n">
        <v>45282</v>
      </c>
      <c r="C2457" s="1" t="n">
        <v>45583</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65148-2023</t>
        </is>
      </c>
      <c r="B2458" s="1" t="n">
        <v>45288</v>
      </c>
      <c r="C2458" s="1" t="n">
        <v>45583</v>
      </c>
      <c r="D2458" t="inlineStr">
        <is>
          <t>VÄSTERNORRLANDS LÄN</t>
        </is>
      </c>
      <c r="E2458" t="inlineStr">
        <is>
          <t>SOLLEFTEÅ</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388-2024</t>
        </is>
      </c>
      <c r="B2459" s="1" t="n">
        <v>45296</v>
      </c>
      <c r="C2459" s="1" t="n">
        <v>45583</v>
      </c>
      <c r="D2459" t="inlineStr">
        <is>
          <t>VÄSTERNORRLANDS LÄN</t>
        </is>
      </c>
      <c r="E2459" t="inlineStr">
        <is>
          <t>SOLLEFTEÅ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394-2024</t>
        </is>
      </c>
      <c r="B2460" s="1" t="n">
        <v>45296</v>
      </c>
      <c r="C2460" s="1" t="n">
        <v>45583</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457-2024</t>
        </is>
      </c>
      <c r="B2461" s="1" t="n">
        <v>45297</v>
      </c>
      <c r="C2461" s="1" t="n">
        <v>45583</v>
      </c>
      <c r="D2461" t="inlineStr">
        <is>
          <t>VÄSTERNORRLANDS LÄN</t>
        </is>
      </c>
      <c r="E2461" t="inlineStr">
        <is>
          <t>SOLLEFTEÅ</t>
        </is>
      </c>
      <c r="F2461" t="inlineStr">
        <is>
          <t>SCA</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656-2024</t>
        </is>
      </c>
      <c r="B2462" s="1" t="n">
        <v>45299</v>
      </c>
      <c r="C2462" s="1" t="n">
        <v>45583</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858-2024</t>
        </is>
      </c>
      <c r="B2463" s="1" t="n">
        <v>45301</v>
      </c>
      <c r="C2463" s="1" t="n">
        <v>45583</v>
      </c>
      <c r="D2463" t="inlineStr">
        <is>
          <t>VÄSTERNORRLANDS LÄN</t>
        </is>
      </c>
      <c r="E2463" t="inlineStr">
        <is>
          <t>SOLLEFTEÅ</t>
        </is>
      </c>
      <c r="F2463" t="inlineStr">
        <is>
          <t>SCA</t>
        </is>
      </c>
      <c r="G2463" t="n">
        <v>56.2</v>
      </c>
      <c r="H2463" t="n">
        <v>0</v>
      </c>
      <c r="I2463" t="n">
        <v>0</v>
      </c>
      <c r="J2463" t="n">
        <v>0</v>
      </c>
      <c r="K2463" t="n">
        <v>0</v>
      </c>
      <c r="L2463" t="n">
        <v>0</v>
      </c>
      <c r="M2463" t="n">
        <v>0</v>
      </c>
      <c r="N2463" t="n">
        <v>0</v>
      </c>
      <c r="O2463" t="n">
        <v>0</v>
      </c>
      <c r="P2463" t="n">
        <v>0</v>
      </c>
      <c r="Q2463" t="n">
        <v>0</v>
      </c>
      <c r="R2463" s="2" t="inlineStr"/>
    </row>
    <row r="2464" ht="15" customHeight="1">
      <c r="A2464" t="inlineStr">
        <is>
          <t>A 1006-2024</t>
        </is>
      </c>
      <c r="B2464" s="1" t="n">
        <v>45301</v>
      </c>
      <c r="C2464" s="1" t="n">
        <v>45583</v>
      </c>
      <c r="D2464" t="inlineStr">
        <is>
          <t>VÄSTERNORRLANDS LÄN</t>
        </is>
      </c>
      <c r="E2464" t="inlineStr">
        <is>
          <t>SOLLEFTEÅ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1047-2024</t>
        </is>
      </c>
      <c r="B2465" s="1" t="n">
        <v>45301</v>
      </c>
      <c r="C2465" s="1" t="n">
        <v>45583</v>
      </c>
      <c r="D2465" t="inlineStr">
        <is>
          <t>VÄSTERNORRLANDS LÄN</t>
        </is>
      </c>
      <c r="E2465" t="inlineStr">
        <is>
          <t>SOLLEFTEÅ</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1054-2024</t>
        </is>
      </c>
      <c r="B2466" s="1" t="n">
        <v>45302</v>
      </c>
      <c r="C2466" s="1" t="n">
        <v>45583</v>
      </c>
      <c r="D2466" t="inlineStr">
        <is>
          <t>VÄSTERNORRLANDS LÄN</t>
        </is>
      </c>
      <c r="E2466" t="inlineStr">
        <is>
          <t>SOLLEFTEÅ</t>
        </is>
      </c>
      <c r="F2466" t="inlineStr">
        <is>
          <t>SCA</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1269-2024</t>
        </is>
      </c>
      <c r="B2467" s="1" t="n">
        <v>45302</v>
      </c>
      <c r="C2467" s="1" t="n">
        <v>45583</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1173-2024</t>
        </is>
      </c>
      <c r="B2468" s="1" t="n">
        <v>45302</v>
      </c>
      <c r="C2468" s="1" t="n">
        <v>45583</v>
      </c>
      <c r="D2468" t="inlineStr">
        <is>
          <t>VÄSTERNORRLANDS LÄN</t>
        </is>
      </c>
      <c r="E2468" t="inlineStr">
        <is>
          <t>SOLLEFTEÅ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1268-2024</t>
        </is>
      </c>
      <c r="B2469" s="1" t="n">
        <v>45302</v>
      </c>
      <c r="C2469" s="1" t="n">
        <v>45583</v>
      </c>
      <c r="D2469" t="inlineStr">
        <is>
          <t>VÄSTERNORRLANDS LÄN</t>
        </is>
      </c>
      <c r="E2469" t="inlineStr">
        <is>
          <t>SOLLEFTEÅ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1459-2024</t>
        </is>
      </c>
      <c r="B2470" s="1" t="n">
        <v>45303</v>
      </c>
      <c r="C2470" s="1" t="n">
        <v>45583</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1678-2024</t>
        </is>
      </c>
      <c r="B2471" s="1" t="n">
        <v>45307</v>
      </c>
      <c r="C2471" s="1" t="n">
        <v>45583</v>
      </c>
      <c r="D2471" t="inlineStr">
        <is>
          <t>VÄSTERNORRLANDS LÄN</t>
        </is>
      </c>
      <c r="E2471" t="inlineStr">
        <is>
          <t>SOLLEFTEÅ</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1679-2024</t>
        </is>
      </c>
      <c r="B2472" s="1" t="n">
        <v>45306</v>
      </c>
      <c r="C2472" s="1" t="n">
        <v>45583</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1840-2024</t>
        </is>
      </c>
      <c r="B2473" s="1" t="n">
        <v>45307</v>
      </c>
      <c r="C2473" s="1" t="n">
        <v>45583</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1844-2024</t>
        </is>
      </c>
      <c r="B2474" s="1" t="n">
        <v>45307</v>
      </c>
      <c r="C2474" s="1" t="n">
        <v>45583</v>
      </c>
      <c r="D2474" t="inlineStr">
        <is>
          <t>VÄSTERNORRLANDS LÄN</t>
        </is>
      </c>
      <c r="E2474" t="inlineStr">
        <is>
          <t>SOLLEFTEÅ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1848-2024</t>
        </is>
      </c>
      <c r="B2475" s="1" t="n">
        <v>45307</v>
      </c>
      <c r="C2475" s="1" t="n">
        <v>45583</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1880-2024</t>
        </is>
      </c>
      <c r="B2476" s="1" t="n">
        <v>45307</v>
      </c>
      <c r="C2476" s="1" t="n">
        <v>45583</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1878-2024</t>
        </is>
      </c>
      <c r="B2477" s="1" t="n">
        <v>45307</v>
      </c>
      <c r="C2477" s="1" t="n">
        <v>45583</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2223-2024</t>
        </is>
      </c>
      <c r="B2478" s="1" t="n">
        <v>45309</v>
      </c>
      <c r="C2478" s="1" t="n">
        <v>45583</v>
      </c>
      <c r="D2478" t="inlineStr">
        <is>
          <t>VÄSTERNORRLANDS LÄN</t>
        </is>
      </c>
      <c r="E2478" t="inlineStr">
        <is>
          <t>SOLLEFTEÅ</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2232-2024</t>
        </is>
      </c>
      <c r="B2479" s="1" t="n">
        <v>45309</v>
      </c>
      <c r="C2479" s="1" t="n">
        <v>45583</v>
      </c>
      <c r="D2479" t="inlineStr">
        <is>
          <t>VÄSTERNORRLANDS LÄN</t>
        </is>
      </c>
      <c r="E2479" t="inlineStr">
        <is>
          <t>SOLLEFTEÅ</t>
        </is>
      </c>
      <c r="F2479" t="inlineStr">
        <is>
          <t>SCA</t>
        </is>
      </c>
      <c r="G2479" t="n">
        <v>58.3</v>
      </c>
      <c r="H2479" t="n">
        <v>0</v>
      </c>
      <c r="I2479" t="n">
        <v>0</v>
      </c>
      <c r="J2479" t="n">
        <v>0</v>
      </c>
      <c r="K2479" t="n">
        <v>0</v>
      </c>
      <c r="L2479" t="n">
        <v>0</v>
      </c>
      <c r="M2479" t="n">
        <v>0</v>
      </c>
      <c r="N2479" t="n">
        <v>0</v>
      </c>
      <c r="O2479" t="n">
        <v>0</v>
      </c>
      <c r="P2479" t="n">
        <v>0</v>
      </c>
      <c r="Q2479" t="n">
        <v>0</v>
      </c>
      <c r="R2479" s="2" t="inlineStr"/>
    </row>
    <row r="2480" ht="15" customHeight="1">
      <c r="A2480" t="inlineStr">
        <is>
          <t>A 2229-2024</t>
        </is>
      </c>
      <c r="B2480" s="1" t="n">
        <v>45309</v>
      </c>
      <c r="C2480" s="1" t="n">
        <v>45583</v>
      </c>
      <c r="D2480" t="inlineStr">
        <is>
          <t>VÄSTERNORRLANDS LÄN</t>
        </is>
      </c>
      <c r="E2480" t="inlineStr">
        <is>
          <t>SOLLEFTEÅ</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2233-2024</t>
        </is>
      </c>
      <c r="B2481" s="1" t="n">
        <v>45309</v>
      </c>
      <c r="C2481" s="1" t="n">
        <v>45583</v>
      </c>
      <c r="D2481" t="inlineStr">
        <is>
          <t>VÄSTERNORRLANDS LÄN</t>
        </is>
      </c>
      <c r="E2481" t="inlineStr">
        <is>
          <t>SOLLEFTEÅ</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2425-2024</t>
        </is>
      </c>
      <c r="B2482" s="1" t="n">
        <v>45310</v>
      </c>
      <c r="C2482" s="1" t="n">
        <v>45583</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2703-2024</t>
        </is>
      </c>
      <c r="B2483" s="1" t="n">
        <v>45314</v>
      </c>
      <c r="C2483" s="1" t="n">
        <v>45583</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2816-2024</t>
        </is>
      </c>
      <c r="B2484" s="1" t="n">
        <v>45314</v>
      </c>
      <c r="C2484" s="1" t="n">
        <v>45583</v>
      </c>
      <c r="D2484" t="inlineStr">
        <is>
          <t>VÄSTERNORRLANDS LÄN</t>
        </is>
      </c>
      <c r="E2484" t="inlineStr">
        <is>
          <t>SOLLEFTEÅ</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2850-2024</t>
        </is>
      </c>
      <c r="B2485" s="1" t="n">
        <v>45315</v>
      </c>
      <c r="C2485" s="1" t="n">
        <v>45583</v>
      </c>
      <c r="D2485" t="inlineStr">
        <is>
          <t>VÄSTERNORRLANDS LÄN</t>
        </is>
      </c>
      <c r="E2485" t="inlineStr">
        <is>
          <t>SOLLEFTEÅ</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3211-2024</t>
        </is>
      </c>
      <c r="B2486" s="1" t="n">
        <v>45316</v>
      </c>
      <c r="C2486" s="1" t="n">
        <v>45583</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3231-2024</t>
        </is>
      </c>
      <c r="B2487" s="1" t="n">
        <v>45316</v>
      </c>
      <c r="C2487" s="1" t="n">
        <v>45583</v>
      </c>
      <c r="D2487" t="inlineStr">
        <is>
          <t>VÄSTERNORRLANDS LÄN</t>
        </is>
      </c>
      <c r="E2487" t="inlineStr">
        <is>
          <t>SOLLEFTEÅ</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3234-2024</t>
        </is>
      </c>
      <c r="B2488" s="1" t="n">
        <v>45316</v>
      </c>
      <c r="C2488" s="1" t="n">
        <v>45583</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3241-2024</t>
        </is>
      </c>
      <c r="B2489" s="1" t="n">
        <v>45316</v>
      </c>
      <c r="C2489" s="1" t="n">
        <v>45583</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3252-2024</t>
        </is>
      </c>
      <c r="B2490" s="1" t="n">
        <v>45316</v>
      </c>
      <c r="C2490" s="1" t="n">
        <v>45583</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3388-2024</t>
        </is>
      </c>
      <c r="B2491" s="1" t="n">
        <v>45317</v>
      </c>
      <c r="C2491" s="1" t="n">
        <v>45583</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3621-2024</t>
        </is>
      </c>
      <c r="B2492" s="1" t="n">
        <v>45320</v>
      </c>
      <c r="C2492" s="1" t="n">
        <v>45583</v>
      </c>
      <c r="D2492" t="inlineStr">
        <is>
          <t>VÄSTERNORRLANDS LÄN</t>
        </is>
      </c>
      <c r="E2492" t="inlineStr">
        <is>
          <t>SOLLEFTEÅ</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3633-2024</t>
        </is>
      </c>
      <c r="B2493" s="1" t="n">
        <v>45320</v>
      </c>
      <c r="C2493" s="1" t="n">
        <v>45583</v>
      </c>
      <c r="D2493" t="inlineStr">
        <is>
          <t>VÄSTERNORRLANDS LÄN</t>
        </is>
      </c>
      <c r="E2493" t="inlineStr">
        <is>
          <t>SOLLEFTEÅ</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3832-2024</t>
        </is>
      </c>
      <c r="B2494" s="1" t="n">
        <v>45321</v>
      </c>
      <c r="C2494" s="1" t="n">
        <v>45583</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3847-2024</t>
        </is>
      </c>
      <c r="B2495" s="1" t="n">
        <v>45322</v>
      </c>
      <c r="C2495" s="1" t="n">
        <v>45583</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3990-2024</t>
        </is>
      </c>
      <c r="B2496" s="1" t="n">
        <v>45322</v>
      </c>
      <c r="C2496" s="1" t="n">
        <v>45583</v>
      </c>
      <c r="D2496" t="inlineStr">
        <is>
          <t>VÄSTERNORRLANDS LÄN</t>
        </is>
      </c>
      <c r="E2496" t="inlineStr">
        <is>
          <t>SOLLEFTEÅ</t>
        </is>
      </c>
      <c r="F2496" t="inlineStr">
        <is>
          <t>SCA</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3998-2024</t>
        </is>
      </c>
      <c r="B2497" s="1" t="n">
        <v>45322</v>
      </c>
      <c r="C2497" s="1" t="n">
        <v>45583</v>
      </c>
      <c r="D2497" t="inlineStr">
        <is>
          <t>VÄSTERNORRLANDS LÄN</t>
        </is>
      </c>
      <c r="E2497" t="inlineStr">
        <is>
          <t>SOLLEFTEÅ</t>
        </is>
      </c>
      <c r="F2497" t="inlineStr">
        <is>
          <t>SCA</t>
        </is>
      </c>
      <c r="G2497" t="n">
        <v>23.9</v>
      </c>
      <c r="H2497" t="n">
        <v>0</v>
      </c>
      <c r="I2497" t="n">
        <v>0</v>
      </c>
      <c r="J2497" t="n">
        <v>0</v>
      </c>
      <c r="K2497" t="n">
        <v>0</v>
      </c>
      <c r="L2497" t="n">
        <v>0</v>
      </c>
      <c r="M2497" t="n">
        <v>0</v>
      </c>
      <c r="N2497" t="n">
        <v>0</v>
      </c>
      <c r="O2497" t="n">
        <v>0</v>
      </c>
      <c r="P2497" t="n">
        <v>0</v>
      </c>
      <c r="Q2497" t="n">
        <v>0</v>
      </c>
      <c r="R2497" s="2" t="inlineStr"/>
    </row>
    <row r="2498" ht="15" customHeight="1">
      <c r="A2498" t="inlineStr">
        <is>
          <t>A 3991-2024</t>
        </is>
      </c>
      <c r="B2498" s="1" t="n">
        <v>45322</v>
      </c>
      <c r="C2498" s="1" t="n">
        <v>45583</v>
      </c>
      <c r="D2498" t="inlineStr">
        <is>
          <t>VÄSTERNORRLANDS LÄN</t>
        </is>
      </c>
      <c r="E2498" t="inlineStr">
        <is>
          <t>SOLLEFTEÅ</t>
        </is>
      </c>
      <c r="F2498" t="inlineStr">
        <is>
          <t>SCA</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4061-2024</t>
        </is>
      </c>
      <c r="B2499" s="1" t="n">
        <v>45323</v>
      </c>
      <c r="C2499" s="1" t="n">
        <v>45583</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4064-2024</t>
        </is>
      </c>
      <c r="B2500" s="1" t="n">
        <v>45323</v>
      </c>
      <c r="C2500" s="1" t="n">
        <v>45583</v>
      </c>
      <c r="D2500" t="inlineStr">
        <is>
          <t>VÄSTERNORRLANDS LÄN</t>
        </is>
      </c>
      <c r="E2500" t="inlineStr">
        <is>
          <t>SOLLEFTEÅ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4167-2024</t>
        </is>
      </c>
      <c r="B2501" s="1" t="n">
        <v>45323</v>
      </c>
      <c r="C2501" s="1" t="n">
        <v>45583</v>
      </c>
      <c r="D2501" t="inlineStr">
        <is>
          <t>VÄSTERNORRLANDS LÄN</t>
        </is>
      </c>
      <c r="E2501" t="inlineStr">
        <is>
          <t>SOLLEFTEÅ</t>
        </is>
      </c>
      <c r="F2501" t="inlineStr">
        <is>
          <t>SCA</t>
        </is>
      </c>
      <c r="G2501" t="n">
        <v>13.7</v>
      </c>
      <c r="H2501" t="n">
        <v>0</v>
      </c>
      <c r="I2501" t="n">
        <v>0</v>
      </c>
      <c r="J2501" t="n">
        <v>0</v>
      </c>
      <c r="K2501" t="n">
        <v>0</v>
      </c>
      <c r="L2501" t="n">
        <v>0</v>
      </c>
      <c r="M2501" t="n">
        <v>0</v>
      </c>
      <c r="N2501" t="n">
        <v>0</v>
      </c>
      <c r="O2501" t="n">
        <v>0</v>
      </c>
      <c r="P2501" t="n">
        <v>0</v>
      </c>
      <c r="Q2501" t="n">
        <v>0</v>
      </c>
      <c r="R2501" s="2" t="inlineStr"/>
    </row>
    <row r="2502" ht="15" customHeight="1">
      <c r="A2502" t="inlineStr">
        <is>
          <t>A 4168-2024</t>
        </is>
      </c>
      <c r="B2502" s="1" t="n">
        <v>45323</v>
      </c>
      <c r="C2502" s="1" t="n">
        <v>45583</v>
      </c>
      <c r="D2502" t="inlineStr">
        <is>
          <t>VÄSTERNORRLANDS LÄN</t>
        </is>
      </c>
      <c r="E2502" t="inlineStr">
        <is>
          <t>SOLLEFTEÅ</t>
        </is>
      </c>
      <c r="F2502" t="inlineStr">
        <is>
          <t>SCA</t>
        </is>
      </c>
      <c r="G2502" t="n">
        <v>22.1</v>
      </c>
      <c r="H2502" t="n">
        <v>0</v>
      </c>
      <c r="I2502" t="n">
        <v>0</v>
      </c>
      <c r="J2502" t="n">
        <v>0</v>
      </c>
      <c r="K2502" t="n">
        <v>0</v>
      </c>
      <c r="L2502" t="n">
        <v>0</v>
      </c>
      <c r="M2502" t="n">
        <v>0</v>
      </c>
      <c r="N2502" t="n">
        <v>0</v>
      </c>
      <c r="O2502" t="n">
        <v>0</v>
      </c>
      <c r="P2502" t="n">
        <v>0</v>
      </c>
      <c r="Q2502" t="n">
        <v>0</v>
      </c>
      <c r="R2502" s="2" t="inlineStr"/>
    </row>
    <row r="2503" ht="15" customHeight="1">
      <c r="A2503" t="inlineStr">
        <is>
          <t>A 4348-2024</t>
        </is>
      </c>
      <c r="B2503" s="1" t="n">
        <v>45324</v>
      </c>
      <c r="C2503" s="1" t="n">
        <v>45583</v>
      </c>
      <c r="D2503" t="inlineStr">
        <is>
          <t>VÄSTERNORRLANDS LÄN</t>
        </is>
      </c>
      <c r="E2503" t="inlineStr">
        <is>
          <t>SOLLEFTEÅ</t>
        </is>
      </c>
      <c r="F2503" t="inlineStr">
        <is>
          <t>SCA</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4352-2024</t>
        </is>
      </c>
      <c r="B2504" s="1" t="n">
        <v>45324</v>
      </c>
      <c r="C2504" s="1" t="n">
        <v>45583</v>
      </c>
      <c r="D2504" t="inlineStr">
        <is>
          <t>VÄSTERNORRLANDS LÄN</t>
        </is>
      </c>
      <c r="E2504" t="inlineStr">
        <is>
          <t>SOLLEFTEÅ</t>
        </is>
      </c>
      <c r="F2504" t="inlineStr">
        <is>
          <t>SCA</t>
        </is>
      </c>
      <c r="G2504" t="n">
        <v>24.7</v>
      </c>
      <c r="H2504" t="n">
        <v>0</v>
      </c>
      <c r="I2504" t="n">
        <v>0</v>
      </c>
      <c r="J2504" t="n">
        <v>0</v>
      </c>
      <c r="K2504" t="n">
        <v>0</v>
      </c>
      <c r="L2504" t="n">
        <v>0</v>
      </c>
      <c r="M2504" t="n">
        <v>0</v>
      </c>
      <c r="N2504" t="n">
        <v>0</v>
      </c>
      <c r="O2504" t="n">
        <v>0</v>
      </c>
      <c r="P2504" t="n">
        <v>0</v>
      </c>
      <c r="Q2504" t="n">
        <v>0</v>
      </c>
      <c r="R2504" s="2" t="inlineStr"/>
    </row>
    <row r="2505" ht="15" customHeight="1">
      <c r="A2505" t="inlineStr">
        <is>
          <t>A 4347-2024</t>
        </is>
      </c>
      <c r="B2505" s="1" t="n">
        <v>45324</v>
      </c>
      <c r="C2505" s="1" t="n">
        <v>45583</v>
      </c>
      <c r="D2505" t="inlineStr">
        <is>
          <t>VÄSTERNORRLANDS LÄN</t>
        </is>
      </c>
      <c r="E2505" t="inlineStr">
        <is>
          <t>SOLLEFTEÅ</t>
        </is>
      </c>
      <c r="F2505" t="inlineStr">
        <is>
          <t>SCA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4349-2024</t>
        </is>
      </c>
      <c r="B2506" s="1" t="n">
        <v>45324</v>
      </c>
      <c r="C2506" s="1" t="n">
        <v>45583</v>
      </c>
      <c r="D2506" t="inlineStr">
        <is>
          <t>VÄSTERNORRLANDS LÄN</t>
        </is>
      </c>
      <c r="E2506" t="inlineStr">
        <is>
          <t>SOLLEFTEÅ</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4546-2024</t>
        </is>
      </c>
      <c r="B2507" s="1" t="n">
        <v>45327</v>
      </c>
      <c r="C2507" s="1" t="n">
        <v>45583</v>
      </c>
      <c r="D2507" t="inlineStr">
        <is>
          <t>VÄSTERNORRLANDS LÄN</t>
        </is>
      </c>
      <c r="E2507" t="inlineStr">
        <is>
          <t>SOLLEFTEÅ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4595-2024</t>
        </is>
      </c>
      <c r="B2508" s="1" t="n">
        <v>45327</v>
      </c>
      <c r="C2508" s="1" t="n">
        <v>45583</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4809-2024</t>
        </is>
      </c>
      <c r="B2509" s="1" t="n">
        <v>45328</v>
      </c>
      <c r="C2509" s="1" t="n">
        <v>45583</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4813-2024</t>
        </is>
      </c>
      <c r="B2510" s="1" t="n">
        <v>45328</v>
      </c>
      <c r="C2510" s="1" t="n">
        <v>45583</v>
      </c>
      <c r="D2510" t="inlineStr">
        <is>
          <t>VÄSTERNORRLANDS LÄN</t>
        </is>
      </c>
      <c r="E2510" t="inlineStr">
        <is>
          <t>SOLLEFTEÅ</t>
        </is>
      </c>
      <c r="F2510" t="inlineStr">
        <is>
          <t>SCA</t>
        </is>
      </c>
      <c r="G2510" t="n">
        <v>26.6</v>
      </c>
      <c r="H2510" t="n">
        <v>0</v>
      </c>
      <c r="I2510" t="n">
        <v>0</v>
      </c>
      <c r="J2510" t="n">
        <v>0</v>
      </c>
      <c r="K2510" t="n">
        <v>0</v>
      </c>
      <c r="L2510" t="n">
        <v>0</v>
      </c>
      <c r="M2510" t="n">
        <v>0</v>
      </c>
      <c r="N2510" t="n">
        <v>0</v>
      </c>
      <c r="O2510" t="n">
        <v>0</v>
      </c>
      <c r="P2510" t="n">
        <v>0</v>
      </c>
      <c r="Q2510" t="n">
        <v>0</v>
      </c>
      <c r="R2510" s="2" t="inlineStr"/>
    </row>
    <row r="2511" ht="15" customHeight="1">
      <c r="A2511" t="inlineStr">
        <is>
          <t>A 4808-2024</t>
        </is>
      </c>
      <c r="B2511" s="1" t="n">
        <v>45328</v>
      </c>
      <c r="C2511" s="1" t="n">
        <v>45583</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4812-2024</t>
        </is>
      </c>
      <c r="B2512" s="1" t="n">
        <v>45328</v>
      </c>
      <c r="C2512" s="1" t="n">
        <v>45583</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4857-2024</t>
        </is>
      </c>
      <c r="B2513" s="1" t="n">
        <v>45329</v>
      </c>
      <c r="C2513" s="1" t="n">
        <v>45583</v>
      </c>
      <c r="D2513" t="inlineStr">
        <is>
          <t>VÄSTERNORRLANDS LÄN</t>
        </is>
      </c>
      <c r="E2513" t="inlineStr">
        <is>
          <t>SOLLEFTEÅ</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5035-2024</t>
        </is>
      </c>
      <c r="B2514" s="1" t="n">
        <v>45329</v>
      </c>
      <c r="C2514" s="1" t="n">
        <v>45583</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5057-2024</t>
        </is>
      </c>
      <c r="B2515" s="1" t="n">
        <v>45329</v>
      </c>
      <c r="C2515" s="1" t="n">
        <v>45583</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5036-2024</t>
        </is>
      </c>
      <c r="B2516" s="1" t="n">
        <v>45329</v>
      </c>
      <c r="C2516" s="1" t="n">
        <v>45583</v>
      </c>
      <c r="D2516" t="inlineStr">
        <is>
          <t>VÄSTERNORRLANDS LÄN</t>
        </is>
      </c>
      <c r="E2516" t="inlineStr">
        <is>
          <t>SOLLEFTEÅ</t>
        </is>
      </c>
      <c r="F2516" t="inlineStr">
        <is>
          <t>Övriga Aktiebolag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5040-2024</t>
        </is>
      </c>
      <c r="B2517" s="1" t="n">
        <v>45329</v>
      </c>
      <c r="C2517" s="1" t="n">
        <v>45583</v>
      </c>
      <c r="D2517" t="inlineStr">
        <is>
          <t>VÄSTERNORRLANDS LÄN</t>
        </is>
      </c>
      <c r="E2517" t="inlineStr">
        <is>
          <t>SOLLEFTEÅ</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5072-2024</t>
        </is>
      </c>
      <c r="B2518" s="1" t="n">
        <v>45330</v>
      </c>
      <c r="C2518" s="1" t="n">
        <v>45583</v>
      </c>
      <c r="D2518" t="inlineStr">
        <is>
          <t>VÄSTERNORRLANDS LÄN</t>
        </is>
      </c>
      <c r="E2518" t="inlineStr">
        <is>
          <t>SOLLEFTEÅ</t>
        </is>
      </c>
      <c r="F2518" t="inlineStr">
        <is>
          <t>Övriga Aktiebolag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5064-2024</t>
        </is>
      </c>
      <c r="B2519" s="1" t="n">
        <v>45329</v>
      </c>
      <c r="C2519" s="1" t="n">
        <v>45583</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5061-2024</t>
        </is>
      </c>
      <c r="B2520" s="1" t="n">
        <v>45329</v>
      </c>
      <c r="C2520" s="1" t="n">
        <v>45583</v>
      </c>
      <c r="D2520" t="inlineStr">
        <is>
          <t>VÄSTERNORRLANDS LÄN</t>
        </is>
      </c>
      <c r="E2520" t="inlineStr">
        <is>
          <t>SOLLEFTEÅ</t>
        </is>
      </c>
      <c r="F2520" t="inlineStr">
        <is>
          <t>SCA</t>
        </is>
      </c>
      <c r="G2520" t="n">
        <v>34.1</v>
      </c>
      <c r="H2520" t="n">
        <v>0</v>
      </c>
      <c r="I2520" t="n">
        <v>0</v>
      </c>
      <c r="J2520" t="n">
        <v>0</v>
      </c>
      <c r="K2520" t="n">
        <v>0</v>
      </c>
      <c r="L2520" t="n">
        <v>0</v>
      </c>
      <c r="M2520" t="n">
        <v>0</v>
      </c>
      <c r="N2520" t="n">
        <v>0</v>
      </c>
      <c r="O2520" t="n">
        <v>0</v>
      </c>
      <c r="P2520" t="n">
        <v>0</v>
      </c>
      <c r="Q2520" t="n">
        <v>0</v>
      </c>
      <c r="R2520" s="2" t="inlineStr"/>
    </row>
    <row r="2521" ht="15" customHeight="1">
      <c r="A2521" t="inlineStr">
        <is>
          <t>A 5073-2024</t>
        </is>
      </c>
      <c r="B2521" s="1" t="n">
        <v>45330</v>
      </c>
      <c r="C2521" s="1" t="n">
        <v>45583</v>
      </c>
      <c r="D2521" t="inlineStr">
        <is>
          <t>VÄSTERNORRLANDS LÄN</t>
        </is>
      </c>
      <c r="E2521" t="inlineStr">
        <is>
          <t>SOLLEFTEÅ</t>
        </is>
      </c>
      <c r="F2521" t="inlineStr">
        <is>
          <t>Övriga Aktiebolag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5034-2024</t>
        </is>
      </c>
      <c r="B2522" s="1" t="n">
        <v>45329</v>
      </c>
      <c r="C2522" s="1" t="n">
        <v>45583</v>
      </c>
      <c r="D2522" t="inlineStr">
        <is>
          <t>VÄSTERNORRLANDS LÄN</t>
        </is>
      </c>
      <c r="E2522" t="inlineStr">
        <is>
          <t>SOLLEFTEÅ</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5038-2024</t>
        </is>
      </c>
      <c r="B2523" s="1" t="n">
        <v>45329</v>
      </c>
      <c r="C2523" s="1" t="n">
        <v>45583</v>
      </c>
      <c r="D2523" t="inlineStr">
        <is>
          <t>VÄSTERNORRLANDS LÄN</t>
        </is>
      </c>
      <c r="E2523" t="inlineStr">
        <is>
          <t>SOLLEFTEÅ</t>
        </is>
      </c>
      <c r="F2523" t="inlineStr">
        <is>
          <t>Övriga Aktiebolag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5062-2024</t>
        </is>
      </c>
      <c r="B2524" s="1" t="n">
        <v>45329</v>
      </c>
      <c r="C2524" s="1" t="n">
        <v>45583</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5058-2024</t>
        </is>
      </c>
      <c r="B2525" s="1" t="n">
        <v>45329</v>
      </c>
      <c r="C2525" s="1" t="n">
        <v>45583</v>
      </c>
      <c r="D2525" t="inlineStr">
        <is>
          <t>VÄSTERNORRLANDS LÄN</t>
        </is>
      </c>
      <c r="E2525" t="inlineStr">
        <is>
          <t>SOLLEFTEÅ</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5074-2024</t>
        </is>
      </c>
      <c r="B2526" s="1" t="n">
        <v>45330</v>
      </c>
      <c r="C2526" s="1" t="n">
        <v>45583</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5059-2024</t>
        </is>
      </c>
      <c r="B2527" s="1" t="n">
        <v>45329</v>
      </c>
      <c r="C2527" s="1" t="n">
        <v>45583</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5075-2024</t>
        </is>
      </c>
      <c r="B2528" s="1" t="n">
        <v>45329</v>
      </c>
      <c r="C2528" s="1" t="n">
        <v>45583</v>
      </c>
      <c r="D2528" t="inlineStr">
        <is>
          <t>VÄSTERNORRLANDS LÄN</t>
        </is>
      </c>
      <c r="E2528" t="inlineStr">
        <is>
          <t>SOLLEFTEÅ</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5063-2024</t>
        </is>
      </c>
      <c r="B2529" s="1" t="n">
        <v>45329</v>
      </c>
      <c r="C2529" s="1" t="n">
        <v>45583</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5256-2024</t>
        </is>
      </c>
      <c r="B2530" s="1" t="n">
        <v>45330</v>
      </c>
      <c r="C2530" s="1" t="n">
        <v>45583</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5255-2024</t>
        </is>
      </c>
      <c r="B2531" s="1" t="n">
        <v>45330</v>
      </c>
      <c r="C2531" s="1" t="n">
        <v>45583</v>
      </c>
      <c r="D2531" t="inlineStr">
        <is>
          <t>VÄSTERNORRLANDS LÄN</t>
        </is>
      </c>
      <c r="E2531" t="inlineStr">
        <is>
          <t>SOLLEFTEÅ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5254-2024</t>
        </is>
      </c>
      <c r="B2532" s="1" t="n">
        <v>45330</v>
      </c>
      <c r="C2532" s="1" t="n">
        <v>45583</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5253-2024</t>
        </is>
      </c>
      <c r="B2533" s="1" t="n">
        <v>45330</v>
      </c>
      <c r="C2533" s="1" t="n">
        <v>45583</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5446-2024</t>
        </is>
      </c>
      <c r="B2534" s="1" t="n">
        <v>45331</v>
      </c>
      <c r="C2534" s="1" t="n">
        <v>45583</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5452-2024</t>
        </is>
      </c>
      <c r="B2535" s="1" t="n">
        <v>45331</v>
      </c>
      <c r="C2535" s="1" t="n">
        <v>45583</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5854-2024</t>
        </is>
      </c>
      <c r="B2536" s="1" t="n">
        <v>45335</v>
      </c>
      <c r="C2536" s="1" t="n">
        <v>45583</v>
      </c>
      <c r="D2536" t="inlineStr">
        <is>
          <t>VÄSTERNORRLANDS LÄN</t>
        </is>
      </c>
      <c r="E2536" t="inlineStr">
        <is>
          <t>SOLLEFTEÅ</t>
        </is>
      </c>
      <c r="F2536" t="inlineStr">
        <is>
          <t>Övriga Aktiebolag</t>
        </is>
      </c>
      <c r="G2536" t="n">
        <v>24.9</v>
      </c>
      <c r="H2536" t="n">
        <v>0</v>
      </c>
      <c r="I2536" t="n">
        <v>0</v>
      </c>
      <c r="J2536" t="n">
        <v>0</v>
      </c>
      <c r="K2536" t="n">
        <v>0</v>
      </c>
      <c r="L2536" t="n">
        <v>0</v>
      </c>
      <c r="M2536" t="n">
        <v>0</v>
      </c>
      <c r="N2536" t="n">
        <v>0</v>
      </c>
      <c r="O2536" t="n">
        <v>0</v>
      </c>
      <c r="P2536" t="n">
        <v>0</v>
      </c>
      <c r="Q2536" t="n">
        <v>0</v>
      </c>
      <c r="R2536" s="2" t="inlineStr"/>
    </row>
    <row r="2537" ht="15" customHeight="1">
      <c r="A2537" t="inlineStr">
        <is>
          <t>A 5874-2024</t>
        </is>
      </c>
      <c r="B2537" s="1" t="n">
        <v>45335</v>
      </c>
      <c r="C2537" s="1" t="n">
        <v>45583</v>
      </c>
      <c r="D2537" t="inlineStr">
        <is>
          <t>VÄSTERNORRLANDS LÄN</t>
        </is>
      </c>
      <c r="E2537" t="inlineStr">
        <is>
          <t>SOLLEFTEÅ</t>
        </is>
      </c>
      <c r="F2537" t="inlineStr">
        <is>
          <t>Övriga Aktiebolag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5867-2024</t>
        </is>
      </c>
      <c r="B2538" s="1" t="n">
        <v>45335</v>
      </c>
      <c r="C2538" s="1" t="n">
        <v>45583</v>
      </c>
      <c r="D2538" t="inlineStr">
        <is>
          <t>VÄSTERNORRLANDS LÄN</t>
        </is>
      </c>
      <c r="E2538" t="inlineStr">
        <is>
          <t>SOLLEFTEÅ</t>
        </is>
      </c>
      <c r="F2538" t="inlineStr">
        <is>
          <t>Övriga Aktiebolag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5871-2024</t>
        </is>
      </c>
      <c r="B2539" s="1" t="n">
        <v>45335</v>
      </c>
      <c r="C2539" s="1" t="n">
        <v>45583</v>
      </c>
      <c r="D2539" t="inlineStr">
        <is>
          <t>VÄSTERNORRLANDS LÄN</t>
        </is>
      </c>
      <c r="E2539" t="inlineStr">
        <is>
          <t>SOLLEFTEÅ</t>
        </is>
      </c>
      <c r="F2539" t="inlineStr">
        <is>
          <t>Övriga Aktiebolag</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5882-2024</t>
        </is>
      </c>
      <c r="B2540" s="1" t="n">
        <v>45335</v>
      </c>
      <c r="C2540" s="1" t="n">
        <v>45583</v>
      </c>
      <c r="D2540" t="inlineStr">
        <is>
          <t>VÄSTERNORRLANDS LÄN</t>
        </is>
      </c>
      <c r="E2540" t="inlineStr">
        <is>
          <t>SOLLEFTEÅ</t>
        </is>
      </c>
      <c r="F2540" t="inlineStr">
        <is>
          <t>Övriga Aktiebolag</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5919-2024</t>
        </is>
      </c>
      <c r="B2541" s="1" t="n">
        <v>45335</v>
      </c>
      <c r="C2541" s="1" t="n">
        <v>45583</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5909-2024</t>
        </is>
      </c>
      <c r="B2542" s="1" t="n">
        <v>45335</v>
      </c>
      <c r="C2542" s="1" t="n">
        <v>45583</v>
      </c>
      <c r="D2542" t="inlineStr">
        <is>
          <t>VÄSTERNORRLANDS LÄN</t>
        </is>
      </c>
      <c r="E2542" t="inlineStr">
        <is>
          <t>SOLLEFTEÅ</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5917-2024</t>
        </is>
      </c>
      <c r="B2543" s="1" t="n">
        <v>45335</v>
      </c>
      <c r="C2543" s="1" t="n">
        <v>45583</v>
      </c>
      <c r="D2543" t="inlineStr">
        <is>
          <t>VÄSTERNORRLANDS LÄN</t>
        </is>
      </c>
      <c r="E2543" t="inlineStr">
        <is>
          <t>SOLLEFTEÅ</t>
        </is>
      </c>
      <c r="F2543" t="inlineStr">
        <is>
          <t>SCA</t>
        </is>
      </c>
      <c r="G2543" t="n">
        <v>21.2</v>
      </c>
      <c r="H2543" t="n">
        <v>0</v>
      </c>
      <c r="I2543" t="n">
        <v>0</v>
      </c>
      <c r="J2543" t="n">
        <v>0</v>
      </c>
      <c r="K2543" t="n">
        <v>0</v>
      </c>
      <c r="L2543" t="n">
        <v>0</v>
      </c>
      <c r="M2543" t="n">
        <v>0</v>
      </c>
      <c r="N2543" t="n">
        <v>0</v>
      </c>
      <c r="O2543" t="n">
        <v>0</v>
      </c>
      <c r="P2543" t="n">
        <v>0</v>
      </c>
      <c r="Q2543" t="n">
        <v>0</v>
      </c>
      <c r="R2543" s="2" t="inlineStr"/>
    </row>
    <row r="2544" ht="15" customHeight="1">
      <c r="A2544" t="inlineStr">
        <is>
          <t>A 5934-2024</t>
        </is>
      </c>
      <c r="B2544" s="1" t="n">
        <v>45336</v>
      </c>
      <c r="C2544" s="1" t="n">
        <v>45583</v>
      </c>
      <c r="D2544" t="inlineStr">
        <is>
          <t>VÄSTERNORRLANDS LÄN</t>
        </is>
      </c>
      <c r="E2544" t="inlineStr">
        <is>
          <t>SOLLEFTEÅ</t>
        </is>
      </c>
      <c r="F2544" t="inlineStr">
        <is>
          <t>Holmen skog AB</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6059-2024</t>
        </is>
      </c>
      <c r="B2545" s="1" t="n">
        <v>45336</v>
      </c>
      <c r="C2545" s="1" t="n">
        <v>45583</v>
      </c>
      <c r="D2545" t="inlineStr">
        <is>
          <t>VÄSTERNORRLANDS LÄN</t>
        </is>
      </c>
      <c r="E2545" t="inlineStr">
        <is>
          <t>SOLLEFTEÅ</t>
        </is>
      </c>
      <c r="F2545" t="inlineStr">
        <is>
          <t>Övriga Aktiebolag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6063-2024</t>
        </is>
      </c>
      <c r="B2546" s="1" t="n">
        <v>45336</v>
      </c>
      <c r="C2546" s="1" t="n">
        <v>45583</v>
      </c>
      <c r="D2546" t="inlineStr">
        <is>
          <t>VÄSTERNORRLANDS LÄN</t>
        </is>
      </c>
      <c r="E2546" t="inlineStr">
        <is>
          <t>SOLLEFTEÅ</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6067-2024</t>
        </is>
      </c>
      <c r="B2547" s="1" t="n">
        <v>45336</v>
      </c>
      <c r="C2547" s="1" t="n">
        <v>45583</v>
      </c>
      <c r="D2547" t="inlineStr">
        <is>
          <t>VÄSTERNORRLANDS LÄN</t>
        </is>
      </c>
      <c r="E2547" t="inlineStr">
        <is>
          <t>SOLLEFTEÅ</t>
        </is>
      </c>
      <c r="F2547" t="inlineStr">
        <is>
          <t>Övriga Aktiebolag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6058-2024</t>
        </is>
      </c>
      <c r="B2548" s="1" t="n">
        <v>45336</v>
      </c>
      <c r="C2548" s="1" t="n">
        <v>45583</v>
      </c>
      <c r="D2548" t="inlineStr">
        <is>
          <t>VÄSTERNORRLANDS LÄN</t>
        </is>
      </c>
      <c r="E2548" t="inlineStr">
        <is>
          <t>SOLLEFTEÅ</t>
        </is>
      </c>
      <c r="F2548" t="inlineStr">
        <is>
          <t>Övriga Aktiebolag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6064-2024</t>
        </is>
      </c>
      <c r="B2549" s="1" t="n">
        <v>45336</v>
      </c>
      <c r="C2549" s="1" t="n">
        <v>45583</v>
      </c>
      <c r="D2549" t="inlineStr">
        <is>
          <t>VÄSTERNORRLANDS LÄN</t>
        </is>
      </c>
      <c r="E2549" t="inlineStr">
        <is>
          <t>SOLLEFTEÅ</t>
        </is>
      </c>
      <c r="F2549" t="inlineStr">
        <is>
          <t>Övriga Aktiebolag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6066-2024</t>
        </is>
      </c>
      <c r="B2550" s="1" t="n">
        <v>45336</v>
      </c>
      <c r="C2550" s="1" t="n">
        <v>45583</v>
      </c>
      <c r="D2550" t="inlineStr">
        <is>
          <t>VÄSTERNORRLANDS LÄN</t>
        </is>
      </c>
      <c r="E2550" t="inlineStr">
        <is>
          <t>SOLLEFTEÅ</t>
        </is>
      </c>
      <c r="F2550" t="inlineStr">
        <is>
          <t>Övriga Aktiebolag</t>
        </is>
      </c>
      <c r="G2550" t="n">
        <v>14.8</v>
      </c>
      <c r="H2550" t="n">
        <v>0</v>
      </c>
      <c r="I2550" t="n">
        <v>0</v>
      </c>
      <c r="J2550" t="n">
        <v>0</v>
      </c>
      <c r="K2550" t="n">
        <v>0</v>
      </c>
      <c r="L2550" t="n">
        <v>0</v>
      </c>
      <c r="M2550" t="n">
        <v>0</v>
      </c>
      <c r="N2550" t="n">
        <v>0</v>
      </c>
      <c r="O2550" t="n">
        <v>0</v>
      </c>
      <c r="P2550" t="n">
        <v>0</v>
      </c>
      <c r="Q2550" t="n">
        <v>0</v>
      </c>
      <c r="R2550" s="2" t="inlineStr"/>
    </row>
    <row r="2551" ht="15" customHeight="1">
      <c r="A2551" t="inlineStr">
        <is>
          <t>A 6068-2024</t>
        </is>
      </c>
      <c r="B2551" s="1" t="n">
        <v>45336</v>
      </c>
      <c r="C2551" s="1" t="n">
        <v>45583</v>
      </c>
      <c r="D2551" t="inlineStr">
        <is>
          <t>VÄSTERNORRLANDS LÄN</t>
        </is>
      </c>
      <c r="E2551" t="inlineStr">
        <is>
          <t>SOLLEFTEÅ</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6057-2024</t>
        </is>
      </c>
      <c r="B2552" s="1" t="n">
        <v>45336</v>
      </c>
      <c r="C2552" s="1" t="n">
        <v>45583</v>
      </c>
      <c r="D2552" t="inlineStr">
        <is>
          <t>VÄSTERNORRLANDS LÄN</t>
        </is>
      </c>
      <c r="E2552" t="inlineStr">
        <is>
          <t>SOLLEFTEÅ</t>
        </is>
      </c>
      <c r="F2552" t="inlineStr">
        <is>
          <t>Övriga Aktiebolag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6065-2024</t>
        </is>
      </c>
      <c r="B2553" s="1" t="n">
        <v>45336</v>
      </c>
      <c r="C2553" s="1" t="n">
        <v>45583</v>
      </c>
      <c r="D2553" t="inlineStr">
        <is>
          <t>VÄSTERNORRLANDS LÄN</t>
        </is>
      </c>
      <c r="E2553" t="inlineStr">
        <is>
          <t>SOLLEFTEÅ</t>
        </is>
      </c>
      <c r="F2553" t="inlineStr">
        <is>
          <t>Övriga Aktiebolag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6139-2024</t>
        </is>
      </c>
      <c r="B2554" s="1" t="n">
        <v>45337</v>
      </c>
      <c r="C2554" s="1" t="n">
        <v>45583</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6279-2024</t>
        </is>
      </c>
      <c r="B2555" s="1" t="n">
        <v>45337</v>
      </c>
      <c r="C2555" s="1" t="n">
        <v>45583</v>
      </c>
      <c r="D2555" t="inlineStr">
        <is>
          <t>VÄSTERNORRLANDS LÄN</t>
        </is>
      </c>
      <c r="E2555" t="inlineStr">
        <is>
          <t>SOLLEFTEÅ</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6125-2024</t>
        </is>
      </c>
      <c r="B2556" s="1" t="n">
        <v>45337</v>
      </c>
      <c r="C2556" s="1" t="n">
        <v>45583</v>
      </c>
      <c r="D2556" t="inlineStr">
        <is>
          <t>VÄSTERNORRLANDS LÄN</t>
        </is>
      </c>
      <c r="E2556" t="inlineStr">
        <is>
          <t>SOLLEFTEÅ</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6282-2024</t>
        </is>
      </c>
      <c r="B2557" s="1" t="n">
        <v>45337</v>
      </c>
      <c r="C2557" s="1" t="n">
        <v>45583</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6352-2024</t>
        </is>
      </c>
      <c r="B2558" s="1" t="n">
        <v>45338</v>
      </c>
      <c r="C2558" s="1" t="n">
        <v>45583</v>
      </c>
      <c r="D2558" t="inlineStr">
        <is>
          <t>VÄSTERNORRLANDS LÄN</t>
        </is>
      </c>
      <c r="E2558" t="inlineStr">
        <is>
          <t>SOLLEFTEÅ</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6480-2024</t>
        </is>
      </c>
      <c r="B2559" s="1" t="n">
        <v>45338</v>
      </c>
      <c r="C2559" s="1" t="n">
        <v>45583</v>
      </c>
      <c r="D2559" t="inlineStr">
        <is>
          <t>VÄSTERNORRLANDS LÄN</t>
        </is>
      </c>
      <c r="E2559" t="inlineStr">
        <is>
          <t>SOLLEFTEÅ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6633-2024</t>
        </is>
      </c>
      <c r="B2560" s="1" t="n">
        <v>45341</v>
      </c>
      <c r="C2560" s="1" t="n">
        <v>45583</v>
      </c>
      <c r="D2560" t="inlineStr">
        <is>
          <t>VÄSTERNORRLANDS LÄN</t>
        </is>
      </c>
      <c r="E2560" t="inlineStr">
        <is>
          <t>SOLLEFTEÅ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6692-2024</t>
        </is>
      </c>
      <c r="B2561" s="1" t="n">
        <v>45341</v>
      </c>
      <c r="C2561" s="1" t="n">
        <v>45583</v>
      </c>
      <c r="D2561" t="inlineStr">
        <is>
          <t>VÄSTERNORRLANDS LÄN</t>
        </is>
      </c>
      <c r="E2561" t="inlineStr">
        <is>
          <t>SOLLEFTEÅ</t>
        </is>
      </c>
      <c r="F2561" t="inlineStr">
        <is>
          <t>SCA</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6700-2024</t>
        </is>
      </c>
      <c r="B2562" s="1" t="n">
        <v>45341</v>
      </c>
      <c r="C2562" s="1" t="n">
        <v>45583</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6799-2024</t>
        </is>
      </c>
      <c r="B2563" s="1" t="n">
        <v>45342</v>
      </c>
      <c r="C2563" s="1" t="n">
        <v>45583</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6857-2024</t>
        </is>
      </c>
      <c r="B2564" s="1" t="n">
        <v>45342</v>
      </c>
      <c r="C2564" s="1" t="n">
        <v>45583</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6816-2024</t>
        </is>
      </c>
      <c r="B2565" s="1" t="n">
        <v>45342</v>
      </c>
      <c r="C2565" s="1" t="n">
        <v>45583</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6891-2024</t>
        </is>
      </c>
      <c r="B2566" s="1" t="n">
        <v>45342</v>
      </c>
      <c r="C2566" s="1" t="n">
        <v>45583</v>
      </c>
      <c r="D2566" t="inlineStr">
        <is>
          <t>VÄSTERNORRLANDS LÄN</t>
        </is>
      </c>
      <c r="E2566" t="inlineStr">
        <is>
          <t>SOLLEFTEÅ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6909-2024</t>
        </is>
      </c>
      <c r="B2567" s="1" t="n">
        <v>45342</v>
      </c>
      <c r="C2567" s="1" t="n">
        <v>45583</v>
      </c>
      <c r="D2567" t="inlineStr">
        <is>
          <t>VÄSTERNORRLANDS LÄN</t>
        </is>
      </c>
      <c r="E2567" t="inlineStr">
        <is>
          <t>SOLLEFTEÅ</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6932-2024</t>
        </is>
      </c>
      <c r="B2568" s="1" t="n">
        <v>45343</v>
      </c>
      <c r="C2568" s="1" t="n">
        <v>45583</v>
      </c>
      <c r="D2568" t="inlineStr">
        <is>
          <t>VÄSTERNORRLANDS LÄN</t>
        </is>
      </c>
      <c r="E2568" t="inlineStr">
        <is>
          <t>SOLLEFTEÅ</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6934-2024</t>
        </is>
      </c>
      <c r="B2569" s="1" t="n">
        <v>45343</v>
      </c>
      <c r="C2569" s="1" t="n">
        <v>45583</v>
      </c>
      <c r="D2569" t="inlineStr">
        <is>
          <t>VÄSTERNORRLANDS LÄN</t>
        </is>
      </c>
      <c r="E2569" t="inlineStr">
        <is>
          <t>SOLLEFTEÅ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7001-2024</t>
        </is>
      </c>
      <c r="B2570" s="1" t="n">
        <v>45343</v>
      </c>
      <c r="C2570" s="1" t="n">
        <v>45583</v>
      </c>
      <c r="D2570" t="inlineStr">
        <is>
          <t>VÄSTERNORRLANDS LÄN</t>
        </is>
      </c>
      <c r="E2570" t="inlineStr">
        <is>
          <t>SOLLEFTEÅ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7107-2024</t>
        </is>
      </c>
      <c r="B2571" s="1" t="n">
        <v>45343</v>
      </c>
      <c r="C2571" s="1" t="n">
        <v>45583</v>
      </c>
      <c r="D2571" t="inlineStr">
        <is>
          <t>VÄSTERNORRLANDS LÄN</t>
        </is>
      </c>
      <c r="E2571" t="inlineStr">
        <is>
          <t>SOLLEFTEÅ</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7113-2024</t>
        </is>
      </c>
      <c r="B2572" s="1" t="n">
        <v>45343</v>
      </c>
      <c r="C2572" s="1" t="n">
        <v>45583</v>
      </c>
      <c r="D2572" t="inlineStr">
        <is>
          <t>VÄSTERNORRLANDS LÄN</t>
        </is>
      </c>
      <c r="E2572" t="inlineStr">
        <is>
          <t>SOLLEFTEÅ</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7106-2024</t>
        </is>
      </c>
      <c r="B2573" s="1" t="n">
        <v>45343</v>
      </c>
      <c r="C2573" s="1" t="n">
        <v>45583</v>
      </c>
      <c r="D2573" t="inlineStr">
        <is>
          <t>VÄSTERNORRLANDS LÄN</t>
        </is>
      </c>
      <c r="E2573" t="inlineStr">
        <is>
          <t>SOLLEFTEÅ</t>
        </is>
      </c>
      <c r="G2573" t="n">
        <v>16.6</v>
      </c>
      <c r="H2573" t="n">
        <v>0</v>
      </c>
      <c r="I2573" t="n">
        <v>0</v>
      </c>
      <c r="J2573" t="n">
        <v>0</v>
      </c>
      <c r="K2573" t="n">
        <v>0</v>
      </c>
      <c r="L2573" t="n">
        <v>0</v>
      </c>
      <c r="M2573" t="n">
        <v>0</v>
      </c>
      <c r="N2573" t="n">
        <v>0</v>
      </c>
      <c r="O2573" t="n">
        <v>0</v>
      </c>
      <c r="P2573" t="n">
        <v>0</v>
      </c>
      <c r="Q2573" t="n">
        <v>0</v>
      </c>
      <c r="R2573" s="2" t="inlineStr"/>
    </row>
    <row r="2574" ht="15" customHeight="1">
      <c r="A2574" t="inlineStr">
        <is>
          <t>A 7257-2024</t>
        </is>
      </c>
      <c r="B2574" s="1" t="n">
        <v>45344</v>
      </c>
      <c r="C2574" s="1" t="n">
        <v>45583</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7261-2024</t>
        </is>
      </c>
      <c r="B2575" s="1" t="n">
        <v>45344</v>
      </c>
      <c r="C2575" s="1" t="n">
        <v>45583</v>
      </c>
      <c r="D2575" t="inlineStr">
        <is>
          <t>VÄSTERNORRLANDS LÄN</t>
        </is>
      </c>
      <c r="E2575" t="inlineStr">
        <is>
          <t>SOLLEFTEÅ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7295-2024</t>
        </is>
      </c>
      <c r="B2576" s="1" t="n">
        <v>45344</v>
      </c>
      <c r="C2576" s="1" t="n">
        <v>45583</v>
      </c>
      <c r="D2576" t="inlineStr">
        <is>
          <t>VÄSTERNORRLANDS LÄN</t>
        </is>
      </c>
      <c r="E2576" t="inlineStr">
        <is>
          <t>SOLLEFTEÅ</t>
        </is>
      </c>
      <c r="F2576" t="inlineStr">
        <is>
          <t>SCA</t>
        </is>
      </c>
      <c r="G2576" t="n">
        <v>16.7</v>
      </c>
      <c r="H2576" t="n">
        <v>0</v>
      </c>
      <c r="I2576" t="n">
        <v>0</v>
      </c>
      <c r="J2576" t="n">
        <v>0</v>
      </c>
      <c r="K2576" t="n">
        <v>0</v>
      </c>
      <c r="L2576" t="n">
        <v>0</v>
      </c>
      <c r="M2576" t="n">
        <v>0</v>
      </c>
      <c r="N2576" t="n">
        <v>0</v>
      </c>
      <c r="O2576" t="n">
        <v>0</v>
      </c>
      <c r="P2576" t="n">
        <v>0</v>
      </c>
      <c r="Q2576" t="n">
        <v>0</v>
      </c>
      <c r="R2576" s="2" t="inlineStr"/>
    </row>
    <row r="2577" ht="15" customHeight="1">
      <c r="A2577" t="inlineStr">
        <is>
          <t>A 7234-2024</t>
        </is>
      </c>
      <c r="B2577" s="1" t="n">
        <v>45344</v>
      </c>
      <c r="C2577" s="1" t="n">
        <v>45583</v>
      </c>
      <c r="D2577" t="inlineStr">
        <is>
          <t>VÄSTERNORRLANDS LÄN</t>
        </is>
      </c>
      <c r="E2577" t="inlineStr">
        <is>
          <t>SOLLEFTEÅ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7258-2024</t>
        </is>
      </c>
      <c r="B2578" s="1" t="n">
        <v>45344</v>
      </c>
      <c r="C2578" s="1" t="n">
        <v>45583</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7294-2024</t>
        </is>
      </c>
      <c r="B2579" s="1" t="n">
        <v>45344</v>
      </c>
      <c r="C2579" s="1" t="n">
        <v>45583</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7463-2024</t>
        </is>
      </c>
      <c r="B2580" s="1" t="n">
        <v>45345</v>
      </c>
      <c r="C2580" s="1" t="n">
        <v>45583</v>
      </c>
      <c r="D2580" t="inlineStr">
        <is>
          <t>VÄSTERNORRLANDS LÄN</t>
        </is>
      </c>
      <c r="E2580" t="inlineStr">
        <is>
          <t>SOLLEFTEÅ</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7467-2024</t>
        </is>
      </c>
      <c r="B2581" s="1" t="n">
        <v>45345</v>
      </c>
      <c r="C2581" s="1" t="n">
        <v>45583</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7464-2024</t>
        </is>
      </c>
      <c r="B2582" s="1" t="n">
        <v>45345</v>
      </c>
      <c r="C2582" s="1" t="n">
        <v>45583</v>
      </c>
      <c r="D2582" t="inlineStr">
        <is>
          <t>VÄSTERNORRLANDS LÄN</t>
        </is>
      </c>
      <c r="E2582" t="inlineStr">
        <is>
          <t>SOLLEFTEÅ</t>
        </is>
      </c>
      <c r="F2582" t="inlineStr">
        <is>
          <t>SCA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7475-2024</t>
        </is>
      </c>
      <c r="B2583" s="1" t="n">
        <v>45345</v>
      </c>
      <c r="C2583" s="1" t="n">
        <v>45583</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7462-2024</t>
        </is>
      </c>
      <c r="B2584" s="1" t="n">
        <v>45345</v>
      </c>
      <c r="C2584" s="1" t="n">
        <v>45583</v>
      </c>
      <c r="D2584" t="inlineStr">
        <is>
          <t>VÄSTERNORRLANDS LÄN</t>
        </is>
      </c>
      <c r="E2584" t="inlineStr">
        <is>
          <t>SOLLEFTEÅ</t>
        </is>
      </c>
      <c r="F2584" t="inlineStr">
        <is>
          <t>SCA</t>
        </is>
      </c>
      <c r="G2584" t="n">
        <v>42.1</v>
      </c>
      <c r="H2584" t="n">
        <v>0</v>
      </c>
      <c r="I2584" t="n">
        <v>0</v>
      </c>
      <c r="J2584" t="n">
        <v>0</v>
      </c>
      <c r="K2584" t="n">
        <v>0</v>
      </c>
      <c r="L2584" t="n">
        <v>0</v>
      </c>
      <c r="M2584" t="n">
        <v>0</v>
      </c>
      <c r="N2584" t="n">
        <v>0</v>
      </c>
      <c r="O2584" t="n">
        <v>0</v>
      </c>
      <c r="P2584" t="n">
        <v>0</v>
      </c>
      <c r="Q2584" t="n">
        <v>0</v>
      </c>
      <c r="R2584" s="2" t="inlineStr"/>
    </row>
    <row r="2585" ht="15" customHeight="1">
      <c r="A2585" t="inlineStr">
        <is>
          <t>A 7585-2024</t>
        </is>
      </c>
      <c r="B2585" s="1" t="n">
        <v>45348</v>
      </c>
      <c r="C2585" s="1" t="n">
        <v>45583</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7704-2024</t>
        </is>
      </c>
      <c r="B2586" s="1" t="n">
        <v>45349</v>
      </c>
      <c r="C2586" s="1" t="n">
        <v>45583</v>
      </c>
      <c r="D2586" t="inlineStr">
        <is>
          <t>VÄSTERNORRLANDS LÄN</t>
        </is>
      </c>
      <c r="E2586" t="inlineStr">
        <is>
          <t>SOLLEFTEÅ</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7809-2024</t>
        </is>
      </c>
      <c r="B2587" s="1" t="n">
        <v>45349</v>
      </c>
      <c r="C2587" s="1" t="n">
        <v>45583</v>
      </c>
      <c r="D2587" t="inlineStr">
        <is>
          <t>VÄSTERNORRLANDS LÄN</t>
        </is>
      </c>
      <c r="E2587" t="inlineStr">
        <is>
          <t>SOLLEFTEÅ</t>
        </is>
      </c>
      <c r="G2587" t="n">
        <v>23.2</v>
      </c>
      <c r="H2587" t="n">
        <v>0</v>
      </c>
      <c r="I2587" t="n">
        <v>0</v>
      </c>
      <c r="J2587" t="n">
        <v>0</v>
      </c>
      <c r="K2587" t="n">
        <v>0</v>
      </c>
      <c r="L2587" t="n">
        <v>0</v>
      </c>
      <c r="M2587" t="n">
        <v>0</v>
      </c>
      <c r="N2587" t="n">
        <v>0</v>
      </c>
      <c r="O2587" t="n">
        <v>0</v>
      </c>
      <c r="P2587" t="n">
        <v>0</v>
      </c>
      <c r="Q2587" t="n">
        <v>0</v>
      </c>
      <c r="R2587" s="2" t="inlineStr"/>
    </row>
    <row r="2588" ht="15" customHeight="1">
      <c r="A2588" t="inlineStr">
        <is>
          <t>A 7825-2024</t>
        </is>
      </c>
      <c r="B2588" s="1" t="n">
        <v>45349</v>
      </c>
      <c r="C2588" s="1" t="n">
        <v>45583</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7810-2024</t>
        </is>
      </c>
      <c r="B2589" s="1" t="n">
        <v>45349</v>
      </c>
      <c r="C2589" s="1" t="n">
        <v>45583</v>
      </c>
      <c r="D2589" t="inlineStr">
        <is>
          <t>VÄSTERNORRLANDS LÄN</t>
        </is>
      </c>
      <c r="E2589" t="inlineStr">
        <is>
          <t>SOLLEFTEÅ</t>
        </is>
      </c>
      <c r="F2589" t="inlineStr">
        <is>
          <t>Övriga Aktiebolag</t>
        </is>
      </c>
      <c r="G2589" t="n">
        <v>23.6</v>
      </c>
      <c r="H2589" t="n">
        <v>0</v>
      </c>
      <c r="I2589" t="n">
        <v>0</v>
      </c>
      <c r="J2589" t="n">
        <v>0</v>
      </c>
      <c r="K2589" t="n">
        <v>0</v>
      </c>
      <c r="L2589" t="n">
        <v>0</v>
      </c>
      <c r="M2589" t="n">
        <v>0</v>
      </c>
      <c r="N2589" t="n">
        <v>0</v>
      </c>
      <c r="O2589" t="n">
        <v>0</v>
      </c>
      <c r="P2589" t="n">
        <v>0</v>
      </c>
      <c r="Q2589" t="n">
        <v>0</v>
      </c>
      <c r="R2589" s="2" t="inlineStr"/>
    </row>
    <row r="2590" ht="15" customHeight="1">
      <c r="A2590" t="inlineStr">
        <is>
          <t>A 7858-2024</t>
        </is>
      </c>
      <c r="B2590" s="1" t="n">
        <v>45350</v>
      </c>
      <c r="C2590" s="1" t="n">
        <v>45583</v>
      </c>
      <c r="D2590" t="inlineStr">
        <is>
          <t>VÄSTERNORRLANDS LÄN</t>
        </is>
      </c>
      <c r="E2590" t="inlineStr">
        <is>
          <t>SOLLEFTEÅ</t>
        </is>
      </c>
      <c r="F2590" t="inlineStr">
        <is>
          <t>SCA</t>
        </is>
      </c>
      <c r="G2590" t="n">
        <v>38.8</v>
      </c>
      <c r="H2590" t="n">
        <v>0</v>
      </c>
      <c r="I2590" t="n">
        <v>0</v>
      </c>
      <c r="J2590" t="n">
        <v>0</v>
      </c>
      <c r="K2590" t="n">
        <v>0</v>
      </c>
      <c r="L2590" t="n">
        <v>0</v>
      </c>
      <c r="M2590" t="n">
        <v>0</v>
      </c>
      <c r="N2590" t="n">
        <v>0</v>
      </c>
      <c r="O2590" t="n">
        <v>0</v>
      </c>
      <c r="P2590" t="n">
        <v>0</v>
      </c>
      <c r="Q2590" t="n">
        <v>0</v>
      </c>
      <c r="R2590" s="2" t="inlineStr"/>
    </row>
    <row r="2591" ht="15" customHeight="1">
      <c r="A2591" t="inlineStr">
        <is>
          <t>A 8033-2024</t>
        </is>
      </c>
      <c r="B2591" s="1" t="n">
        <v>45350</v>
      </c>
      <c r="C2591" s="1" t="n">
        <v>45583</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8038-2024</t>
        </is>
      </c>
      <c r="B2592" s="1" t="n">
        <v>45350</v>
      </c>
      <c r="C2592" s="1" t="n">
        <v>45583</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8039-2024</t>
        </is>
      </c>
      <c r="B2593" s="1" t="n">
        <v>45350</v>
      </c>
      <c r="C2593" s="1" t="n">
        <v>45583</v>
      </c>
      <c r="D2593" t="inlineStr">
        <is>
          <t>VÄSTERNORRLANDS LÄN</t>
        </is>
      </c>
      <c r="E2593" t="inlineStr">
        <is>
          <t>SOLLEFTEÅ</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8236-2024</t>
        </is>
      </c>
      <c r="B2594" s="1" t="n">
        <v>45352</v>
      </c>
      <c r="C2594" s="1" t="n">
        <v>45583</v>
      </c>
      <c r="D2594" t="inlineStr">
        <is>
          <t>VÄSTERNORRLANDS LÄN</t>
        </is>
      </c>
      <c r="E2594" t="inlineStr">
        <is>
          <t>SOLLEFTEÅ</t>
        </is>
      </c>
      <c r="F2594" t="inlineStr">
        <is>
          <t>SCA</t>
        </is>
      </c>
      <c r="G2594" t="n">
        <v>13.6</v>
      </c>
      <c r="H2594" t="n">
        <v>0</v>
      </c>
      <c r="I2594" t="n">
        <v>0</v>
      </c>
      <c r="J2594" t="n">
        <v>0</v>
      </c>
      <c r="K2594" t="n">
        <v>0</v>
      </c>
      <c r="L2594" t="n">
        <v>0</v>
      </c>
      <c r="M2594" t="n">
        <v>0</v>
      </c>
      <c r="N2594" t="n">
        <v>0</v>
      </c>
      <c r="O2594" t="n">
        <v>0</v>
      </c>
      <c r="P2594" t="n">
        <v>0</v>
      </c>
      <c r="Q2594" t="n">
        <v>0</v>
      </c>
      <c r="R2594" s="2" t="inlineStr"/>
    </row>
    <row r="2595" ht="15" customHeight="1">
      <c r="A2595" t="inlineStr">
        <is>
          <t>A 8244-2024</t>
        </is>
      </c>
      <c r="B2595" s="1" t="n">
        <v>45351</v>
      </c>
      <c r="C2595" s="1" t="n">
        <v>45583</v>
      </c>
      <c r="D2595" t="inlineStr">
        <is>
          <t>VÄSTERNORRLANDS LÄN</t>
        </is>
      </c>
      <c r="E2595" t="inlineStr">
        <is>
          <t>SOLLEFTEÅ</t>
        </is>
      </c>
      <c r="F2595" t="inlineStr">
        <is>
          <t>SCA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8234-2024</t>
        </is>
      </c>
      <c r="B2596" s="1" t="n">
        <v>45352</v>
      </c>
      <c r="C2596" s="1" t="n">
        <v>45583</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8235-2024</t>
        </is>
      </c>
      <c r="B2597" s="1" t="n">
        <v>45352</v>
      </c>
      <c r="C2597" s="1" t="n">
        <v>45583</v>
      </c>
      <c r="D2597" t="inlineStr">
        <is>
          <t>VÄSTERNORRLANDS LÄN</t>
        </is>
      </c>
      <c r="E2597" t="inlineStr">
        <is>
          <t>SOLLEFTEÅ</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8414-2024</t>
        </is>
      </c>
      <c r="B2598" s="1" t="n">
        <v>45352</v>
      </c>
      <c r="C2598" s="1" t="n">
        <v>45583</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8608-2024</t>
        </is>
      </c>
      <c r="B2599" s="1" t="n">
        <v>45355</v>
      </c>
      <c r="C2599" s="1" t="n">
        <v>45583</v>
      </c>
      <c r="D2599" t="inlineStr">
        <is>
          <t>VÄSTERNORRLANDS LÄN</t>
        </is>
      </c>
      <c r="E2599" t="inlineStr">
        <is>
          <t>SOLLEFTEÅ</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8918-2024</t>
        </is>
      </c>
      <c r="B2600" s="1" t="n">
        <v>45355</v>
      </c>
      <c r="C2600" s="1" t="n">
        <v>45583</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8653-2024</t>
        </is>
      </c>
      <c r="B2601" s="1" t="n">
        <v>45356</v>
      </c>
      <c r="C2601" s="1" t="n">
        <v>45583</v>
      </c>
      <c r="D2601" t="inlineStr">
        <is>
          <t>VÄSTERNORRLANDS LÄN</t>
        </is>
      </c>
      <c r="E2601" t="inlineStr">
        <is>
          <t>SOLLEFTEÅ</t>
        </is>
      </c>
      <c r="F2601" t="inlineStr">
        <is>
          <t>SCA</t>
        </is>
      </c>
      <c r="G2601" t="n">
        <v>67.8</v>
      </c>
      <c r="H2601" t="n">
        <v>0</v>
      </c>
      <c r="I2601" t="n">
        <v>0</v>
      </c>
      <c r="J2601" t="n">
        <v>0</v>
      </c>
      <c r="K2601" t="n">
        <v>0</v>
      </c>
      <c r="L2601" t="n">
        <v>0</v>
      </c>
      <c r="M2601" t="n">
        <v>0</v>
      </c>
      <c r="N2601" t="n">
        <v>0</v>
      </c>
      <c r="O2601" t="n">
        <v>0</v>
      </c>
      <c r="P2601" t="n">
        <v>0</v>
      </c>
      <c r="Q2601" t="n">
        <v>0</v>
      </c>
      <c r="R2601" s="2" t="inlineStr"/>
    </row>
    <row r="2602" ht="15" customHeight="1">
      <c r="A2602" t="inlineStr">
        <is>
          <t>A 8636-2024</t>
        </is>
      </c>
      <c r="B2602" s="1" t="n">
        <v>45356</v>
      </c>
      <c r="C2602" s="1" t="n">
        <v>45583</v>
      </c>
      <c r="D2602" t="inlineStr">
        <is>
          <t>VÄSTERNORRLANDS LÄN</t>
        </is>
      </c>
      <c r="E2602" t="inlineStr">
        <is>
          <t>SOLLEFTEÅ</t>
        </is>
      </c>
      <c r="F2602" t="inlineStr">
        <is>
          <t>SCA</t>
        </is>
      </c>
      <c r="G2602" t="n">
        <v>31.3</v>
      </c>
      <c r="H2602" t="n">
        <v>0</v>
      </c>
      <c r="I2602" t="n">
        <v>0</v>
      </c>
      <c r="J2602" t="n">
        <v>0</v>
      </c>
      <c r="K2602" t="n">
        <v>0</v>
      </c>
      <c r="L2602" t="n">
        <v>0</v>
      </c>
      <c r="M2602" t="n">
        <v>0</v>
      </c>
      <c r="N2602" t="n">
        <v>0</v>
      </c>
      <c r="O2602" t="n">
        <v>0</v>
      </c>
      <c r="P2602" t="n">
        <v>0</v>
      </c>
      <c r="Q2602" t="n">
        <v>0</v>
      </c>
      <c r="R2602" s="2" t="inlineStr"/>
    </row>
    <row r="2603" ht="15" customHeight="1">
      <c r="A2603" t="inlineStr">
        <is>
          <t>A 8729-2024</t>
        </is>
      </c>
      <c r="B2603" s="1" t="n">
        <v>45356</v>
      </c>
      <c r="C2603" s="1" t="n">
        <v>45583</v>
      </c>
      <c r="D2603" t="inlineStr">
        <is>
          <t>VÄSTERNORRLANDS LÄN</t>
        </is>
      </c>
      <c r="E2603" t="inlineStr">
        <is>
          <t>SOLLEFTEÅ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8652-2024</t>
        </is>
      </c>
      <c r="B2604" s="1" t="n">
        <v>45356</v>
      </c>
      <c r="C2604" s="1" t="n">
        <v>45583</v>
      </c>
      <c r="D2604" t="inlineStr">
        <is>
          <t>VÄSTERNORRLANDS LÄN</t>
        </is>
      </c>
      <c r="E2604" t="inlineStr">
        <is>
          <t>SOLLEFTEÅ</t>
        </is>
      </c>
      <c r="F2604" t="inlineStr">
        <is>
          <t>SCA</t>
        </is>
      </c>
      <c r="G2604" t="n">
        <v>38.6</v>
      </c>
      <c r="H2604" t="n">
        <v>0</v>
      </c>
      <c r="I2604" t="n">
        <v>0</v>
      </c>
      <c r="J2604" t="n">
        <v>0</v>
      </c>
      <c r="K2604" t="n">
        <v>0</v>
      </c>
      <c r="L2604" t="n">
        <v>0</v>
      </c>
      <c r="M2604" t="n">
        <v>0</v>
      </c>
      <c r="N2604" t="n">
        <v>0</v>
      </c>
      <c r="O2604" t="n">
        <v>0</v>
      </c>
      <c r="P2604" t="n">
        <v>0</v>
      </c>
      <c r="Q2604" t="n">
        <v>0</v>
      </c>
      <c r="R2604" s="2" t="inlineStr"/>
    </row>
    <row r="2605" ht="15" customHeight="1">
      <c r="A2605" t="inlineStr">
        <is>
          <t>A 8656-2024</t>
        </is>
      </c>
      <c r="B2605" s="1" t="n">
        <v>45356</v>
      </c>
      <c r="C2605" s="1" t="n">
        <v>45583</v>
      </c>
      <c r="D2605" t="inlineStr">
        <is>
          <t>VÄSTERNORRLANDS LÄN</t>
        </is>
      </c>
      <c r="E2605" t="inlineStr">
        <is>
          <t>SOLLEFTEÅ</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8885-2024</t>
        </is>
      </c>
      <c r="B2606" s="1" t="n">
        <v>45357</v>
      </c>
      <c r="C2606" s="1" t="n">
        <v>45583</v>
      </c>
      <c r="D2606" t="inlineStr">
        <is>
          <t>VÄSTERNORRLANDS LÄN</t>
        </is>
      </c>
      <c r="E2606" t="inlineStr">
        <is>
          <t>SOLLEFTEÅ</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9145-2024</t>
        </is>
      </c>
      <c r="B2607" s="1" t="n">
        <v>45357</v>
      </c>
      <c r="C2607" s="1" t="n">
        <v>45583</v>
      </c>
      <c r="D2607" t="inlineStr">
        <is>
          <t>VÄSTERNORRLANDS LÄN</t>
        </is>
      </c>
      <c r="E2607" t="inlineStr">
        <is>
          <t>SOLLEFTEÅ</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9120-2024</t>
        </is>
      </c>
      <c r="B2608" s="1" t="n">
        <v>45358</v>
      </c>
      <c r="C2608" s="1" t="n">
        <v>45583</v>
      </c>
      <c r="D2608" t="inlineStr">
        <is>
          <t>VÄSTERNORRLANDS LÄN</t>
        </is>
      </c>
      <c r="E2608" t="inlineStr">
        <is>
          <t>SOLLEFTEÅ</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9121-2024</t>
        </is>
      </c>
      <c r="B2609" s="1" t="n">
        <v>45358</v>
      </c>
      <c r="C2609" s="1" t="n">
        <v>45583</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9122-2024</t>
        </is>
      </c>
      <c r="B2610" s="1" t="n">
        <v>45358</v>
      </c>
      <c r="C2610" s="1" t="n">
        <v>45583</v>
      </c>
      <c r="D2610" t="inlineStr">
        <is>
          <t>VÄSTERNORRLANDS LÄN</t>
        </is>
      </c>
      <c r="E2610" t="inlineStr">
        <is>
          <t>SOLLEFTEÅ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9306-2024</t>
        </is>
      </c>
      <c r="B2611" s="1" t="n">
        <v>45358</v>
      </c>
      <c r="C2611" s="1" t="n">
        <v>45583</v>
      </c>
      <c r="D2611" t="inlineStr">
        <is>
          <t>VÄSTERNORRLANDS LÄN</t>
        </is>
      </c>
      <c r="E2611" t="inlineStr">
        <is>
          <t>SOLLEFTEÅ</t>
        </is>
      </c>
      <c r="G2611" t="n">
        <v>19.6</v>
      </c>
      <c r="H2611" t="n">
        <v>0</v>
      </c>
      <c r="I2611" t="n">
        <v>0</v>
      </c>
      <c r="J2611" t="n">
        <v>0</v>
      </c>
      <c r="K2611" t="n">
        <v>0</v>
      </c>
      <c r="L2611" t="n">
        <v>0</v>
      </c>
      <c r="M2611" t="n">
        <v>0</v>
      </c>
      <c r="N2611" t="n">
        <v>0</v>
      </c>
      <c r="O2611" t="n">
        <v>0</v>
      </c>
      <c r="P2611" t="n">
        <v>0</v>
      </c>
      <c r="Q2611" t="n">
        <v>0</v>
      </c>
      <c r="R2611" s="2" t="inlineStr"/>
    </row>
    <row r="2612" ht="15" customHeight="1">
      <c r="A2612" t="inlineStr">
        <is>
          <t>A 9342-2024</t>
        </is>
      </c>
      <c r="B2612" s="1" t="n">
        <v>45359</v>
      </c>
      <c r="C2612" s="1" t="n">
        <v>45583</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9346-2024</t>
        </is>
      </c>
      <c r="B2613" s="1" t="n">
        <v>45359</v>
      </c>
      <c r="C2613" s="1" t="n">
        <v>45583</v>
      </c>
      <c r="D2613" t="inlineStr">
        <is>
          <t>VÄSTERNORRLANDS LÄN</t>
        </is>
      </c>
      <c r="E2613" t="inlineStr">
        <is>
          <t>SOLLEFTEÅ</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9304-2024</t>
        </is>
      </c>
      <c r="B2614" s="1" t="n">
        <v>45358</v>
      </c>
      <c r="C2614" s="1" t="n">
        <v>45583</v>
      </c>
      <c r="D2614" t="inlineStr">
        <is>
          <t>VÄSTERNORRLANDS LÄN</t>
        </is>
      </c>
      <c r="E2614" t="inlineStr">
        <is>
          <t>SOLLEFTEÅ</t>
        </is>
      </c>
      <c r="G2614" t="n">
        <v>30.7</v>
      </c>
      <c r="H2614" t="n">
        <v>0</v>
      </c>
      <c r="I2614" t="n">
        <v>0</v>
      </c>
      <c r="J2614" t="n">
        <v>0</v>
      </c>
      <c r="K2614" t="n">
        <v>0</v>
      </c>
      <c r="L2614" t="n">
        <v>0</v>
      </c>
      <c r="M2614" t="n">
        <v>0</v>
      </c>
      <c r="N2614" t="n">
        <v>0</v>
      </c>
      <c r="O2614" t="n">
        <v>0</v>
      </c>
      <c r="P2614" t="n">
        <v>0</v>
      </c>
      <c r="Q2614" t="n">
        <v>0</v>
      </c>
      <c r="R2614" s="2" t="inlineStr"/>
    </row>
    <row r="2615" ht="15" customHeight="1">
      <c r="A2615" t="inlineStr">
        <is>
          <t>A 9328-2024</t>
        </is>
      </c>
      <c r="B2615" s="1" t="n">
        <v>45359</v>
      </c>
      <c r="C2615" s="1" t="n">
        <v>45583</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9309-2024</t>
        </is>
      </c>
      <c r="B2616" s="1" t="n">
        <v>45358</v>
      </c>
      <c r="C2616" s="1" t="n">
        <v>45583</v>
      </c>
      <c r="D2616" t="inlineStr">
        <is>
          <t>VÄSTERNORRLANDS LÄN</t>
        </is>
      </c>
      <c r="E2616" t="inlineStr">
        <is>
          <t>SOLLEFTEÅ</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9339-2024</t>
        </is>
      </c>
      <c r="B2617" s="1" t="n">
        <v>45358</v>
      </c>
      <c r="C2617" s="1" t="n">
        <v>45583</v>
      </c>
      <c r="D2617" t="inlineStr">
        <is>
          <t>VÄSTERNORRLANDS LÄN</t>
        </is>
      </c>
      <c r="E2617" t="inlineStr">
        <is>
          <t>SOLLEFTEÅ</t>
        </is>
      </c>
      <c r="F2617" t="inlineStr">
        <is>
          <t>SCA</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9341-2024</t>
        </is>
      </c>
      <c r="B2618" s="1" t="n">
        <v>45358</v>
      </c>
      <c r="C2618" s="1" t="n">
        <v>45583</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9340-2024</t>
        </is>
      </c>
      <c r="B2619" s="1" t="n">
        <v>45359</v>
      </c>
      <c r="C2619" s="1" t="n">
        <v>45583</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9555-2024</t>
        </is>
      </c>
      <c r="B2620" s="1" t="n">
        <v>45360</v>
      </c>
      <c r="C2620" s="1" t="n">
        <v>45583</v>
      </c>
      <c r="D2620" t="inlineStr">
        <is>
          <t>VÄSTERNORRLANDS LÄN</t>
        </is>
      </c>
      <c r="E2620" t="inlineStr">
        <is>
          <t>SOLLEFTEÅ</t>
        </is>
      </c>
      <c r="F2620" t="inlineStr">
        <is>
          <t>SCA</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9557-2024</t>
        </is>
      </c>
      <c r="B2621" s="1" t="n">
        <v>45360</v>
      </c>
      <c r="C2621" s="1" t="n">
        <v>45583</v>
      </c>
      <c r="D2621" t="inlineStr">
        <is>
          <t>VÄSTERNORRLANDS LÄN</t>
        </is>
      </c>
      <c r="E2621" t="inlineStr">
        <is>
          <t>SOLLEFTEÅ</t>
        </is>
      </c>
      <c r="F2621" t="inlineStr">
        <is>
          <t>SCA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9558-2024</t>
        </is>
      </c>
      <c r="B2622" s="1" t="n">
        <v>45360</v>
      </c>
      <c r="C2622" s="1" t="n">
        <v>45583</v>
      </c>
      <c r="D2622" t="inlineStr">
        <is>
          <t>VÄSTERNORRLANDS LÄN</t>
        </is>
      </c>
      <c r="E2622" t="inlineStr">
        <is>
          <t>SOLLEFTEÅ</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9689-2024</t>
        </is>
      </c>
      <c r="B2623" s="1" t="n">
        <v>45362</v>
      </c>
      <c r="C2623" s="1" t="n">
        <v>45583</v>
      </c>
      <c r="D2623" t="inlineStr">
        <is>
          <t>VÄSTERNORRLANDS LÄN</t>
        </is>
      </c>
      <c r="E2623" t="inlineStr">
        <is>
          <t>SOLLEFTEÅ</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9820-2024</t>
        </is>
      </c>
      <c r="B2624" s="1" t="n">
        <v>45363</v>
      </c>
      <c r="C2624" s="1" t="n">
        <v>45583</v>
      </c>
      <c r="D2624" t="inlineStr">
        <is>
          <t>VÄSTERNORRLANDS LÄN</t>
        </is>
      </c>
      <c r="E2624" t="inlineStr">
        <is>
          <t>SOLLEFTEÅ</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9828-2024</t>
        </is>
      </c>
      <c r="B2625" s="1" t="n">
        <v>45363</v>
      </c>
      <c r="C2625" s="1" t="n">
        <v>45583</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9822-2024</t>
        </is>
      </c>
      <c r="B2626" s="1" t="n">
        <v>45363</v>
      </c>
      <c r="C2626" s="1" t="n">
        <v>45583</v>
      </c>
      <c r="D2626" t="inlineStr">
        <is>
          <t>VÄSTERNORRLANDS LÄN</t>
        </is>
      </c>
      <c r="E2626" t="inlineStr">
        <is>
          <t>SOLLEFTEÅ</t>
        </is>
      </c>
      <c r="F2626" t="inlineStr">
        <is>
          <t>SCA</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9831-2024</t>
        </is>
      </c>
      <c r="B2627" s="1" t="n">
        <v>45363</v>
      </c>
      <c r="C2627" s="1" t="n">
        <v>45583</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10038-2024</t>
        </is>
      </c>
      <c r="B2628" s="1" t="n">
        <v>45364</v>
      </c>
      <c r="C2628" s="1" t="n">
        <v>45583</v>
      </c>
      <c r="D2628" t="inlineStr">
        <is>
          <t>VÄSTERNORRLANDS LÄN</t>
        </is>
      </c>
      <c r="E2628" t="inlineStr">
        <is>
          <t>SOLLEFTEÅ</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10415-2024</t>
        </is>
      </c>
      <c r="B2629" s="1" t="n">
        <v>45365</v>
      </c>
      <c r="C2629" s="1" t="n">
        <v>45583</v>
      </c>
      <c r="D2629" t="inlineStr">
        <is>
          <t>VÄSTERNORRLANDS LÄN</t>
        </is>
      </c>
      <c r="E2629" t="inlineStr">
        <is>
          <t>SOLLEFTEÅ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10526-2024</t>
        </is>
      </c>
      <c r="B2630" s="1" t="n">
        <v>45366</v>
      </c>
      <c r="C2630" s="1" t="n">
        <v>45583</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10532-2024</t>
        </is>
      </c>
      <c r="B2631" s="1" t="n">
        <v>45366</v>
      </c>
      <c r="C2631" s="1" t="n">
        <v>45583</v>
      </c>
      <c r="D2631" t="inlineStr">
        <is>
          <t>VÄSTERNORRLANDS LÄN</t>
        </is>
      </c>
      <c r="E2631" t="inlineStr">
        <is>
          <t>SOLLEFTEÅ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10539-2024</t>
        </is>
      </c>
      <c r="B2632" s="1" t="n">
        <v>45366</v>
      </c>
      <c r="C2632" s="1" t="n">
        <v>45583</v>
      </c>
      <c r="D2632" t="inlineStr">
        <is>
          <t>VÄSTERNORRLANDS LÄN</t>
        </is>
      </c>
      <c r="E2632" t="inlineStr">
        <is>
          <t>SOLLEFTEÅ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10537-2024</t>
        </is>
      </c>
      <c r="B2633" s="1" t="n">
        <v>45366</v>
      </c>
      <c r="C2633" s="1" t="n">
        <v>45583</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10569-2024</t>
        </is>
      </c>
      <c r="B2634" s="1" t="n">
        <v>45366</v>
      </c>
      <c r="C2634" s="1" t="n">
        <v>45583</v>
      </c>
      <c r="D2634" t="inlineStr">
        <is>
          <t>VÄSTERNORRLANDS LÄN</t>
        </is>
      </c>
      <c r="E2634" t="inlineStr">
        <is>
          <t>SOLLEFTEÅ</t>
        </is>
      </c>
      <c r="F2634" t="inlineStr">
        <is>
          <t>Holmen skog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10618-2024</t>
        </is>
      </c>
      <c r="B2635" s="1" t="n">
        <v>45367</v>
      </c>
      <c r="C2635" s="1" t="n">
        <v>45583</v>
      </c>
      <c r="D2635" t="inlineStr">
        <is>
          <t>VÄSTERNORRLANDS LÄN</t>
        </is>
      </c>
      <c r="E2635" t="inlineStr">
        <is>
          <t>SOLLEFTEÅ</t>
        </is>
      </c>
      <c r="F2635" t="inlineStr">
        <is>
          <t>SCA</t>
        </is>
      </c>
      <c r="G2635" t="n">
        <v>21.1</v>
      </c>
      <c r="H2635" t="n">
        <v>0</v>
      </c>
      <c r="I2635" t="n">
        <v>0</v>
      </c>
      <c r="J2635" t="n">
        <v>0</v>
      </c>
      <c r="K2635" t="n">
        <v>0</v>
      </c>
      <c r="L2635" t="n">
        <v>0</v>
      </c>
      <c r="M2635" t="n">
        <v>0</v>
      </c>
      <c r="N2635" t="n">
        <v>0</v>
      </c>
      <c r="O2635" t="n">
        <v>0</v>
      </c>
      <c r="P2635" t="n">
        <v>0</v>
      </c>
      <c r="Q2635" t="n">
        <v>0</v>
      </c>
      <c r="R2635" s="2" t="inlineStr"/>
    </row>
    <row r="2636" ht="15" customHeight="1">
      <c r="A2636" t="inlineStr">
        <is>
          <t>A 10687-2024</t>
        </is>
      </c>
      <c r="B2636" s="1" t="n">
        <v>45369</v>
      </c>
      <c r="C2636" s="1" t="n">
        <v>45583</v>
      </c>
      <c r="D2636" t="inlineStr">
        <is>
          <t>VÄSTERNORRLANDS LÄN</t>
        </is>
      </c>
      <c r="E2636" t="inlineStr">
        <is>
          <t>SOLLEFTEÅ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10870-2024</t>
        </is>
      </c>
      <c r="B2637" s="1" t="n">
        <v>45370</v>
      </c>
      <c r="C2637" s="1" t="n">
        <v>45583</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10853-2024</t>
        </is>
      </c>
      <c r="B2638" s="1" t="n">
        <v>45370</v>
      </c>
      <c r="C2638" s="1" t="n">
        <v>45583</v>
      </c>
      <c r="D2638" t="inlineStr">
        <is>
          <t>VÄSTERNORRLANDS LÄN</t>
        </is>
      </c>
      <c r="E2638" t="inlineStr">
        <is>
          <t>SOLLEFTEÅ</t>
        </is>
      </c>
      <c r="F2638" t="inlineStr">
        <is>
          <t>SCA</t>
        </is>
      </c>
      <c r="G2638" t="n">
        <v>37.7</v>
      </c>
      <c r="H2638" t="n">
        <v>0</v>
      </c>
      <c r="I2638" t="n">
        <v>0</v>
      </c>
      <c r="J2638" t="n">
        <v>0</v>
      </c>
      <c r="K2638" t="n">
        <v>0</v>
      </c>
      <c r="L2638" t="n">
        <v>0</v>
      </c>
      <c r="M2638" t="n">
        <v>0</v>
      </c>
      <c r="N2638" t="n">
        <v>0</v>
      </c>
      <c r="O2638" t="n">
        <v>0</v>
      </c>
      <c r="P2638" t="n">
        <v>0</v>
      </c>
      <c r="Q2638" t="n">
        <v>0</v>
      </c>
      <c r="R2638" s="2" t="inlineStr"/>
    </row>
    <row r="2639" ht="15" customHeight="1">
      <c r="A2639" t="inlineStr">
        <is>
          <t>A 10869-2024</t>
        </is>
      </c>
      <c r="B2639" s="1" t="n">
        <v>45370</v>
      </c>
      <c r="C2639" s="1" t="n">
        <v>45583</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11009-2024</t>
        </is>
      </c>
      <c r="B2640" s="1" t="n">
        <v>45370</v>
      </c>
      <c r="C2640" s="1" t="n">
        <v>45583</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11090-2024</t>
        </is>
      </c>
      <c r="B2641" s="1" t="n">
        <v>45370</v>
      </c>
      <c r="C2641" s="1" t="n">
        <v>45583</v>
      </c>
      <c r="D2641" t="inlineStr">
        <is>
          <t>VÄSTERNORRLANDS LÄN</t>
        </is>
      </c>
      <c r="E2641" t="inlineStr">
        <is>
          <t>SOLLEFTEÅ</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11083-2024</t>
        </is>
      </c>
      <c r="B2642" s="1" t="n">
        <v>45370</v>
      </c>
      <c r="C2642" s="1" t="n">
        <v>45583</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11087-2024</t>
        </is>
      </c>
      <c r="B2643" s="1" t="n">
        <v>45370</v>
      </c>
      <c r="C2643" s="1" t="n">
        <v>45583</v>
      </c>
      <c r="D2643" t="inlineStr">
        <is>
          <t>VÄSTERNORRLANDS LÄN</t>
        </is>
      </c>
      <c r="E2643" t="inlineStr">
        <is>
          <t>SOLLEFTEÅ</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11043-2024</t>
        </is>
      </c>
      <c r="B2644" s="1" t="n">
        <v>45370</v>
      </c>
      <c r="C2644" s="1" t="n">
        <v>45583</v>
      </c>
      <c r="D2644" t="inlineStr">
        <is>
          <t>VÄSTERNORRLANDS LÄN</t>
        </is>
      </c>
      <c r="E2644" t="inlineStr">
        <is>
          <t>SOLLEFTEÅ</t>
        </is>
      </c>
      <c r="G2644" t="n">
        <v>36.5</v>
      </c>
      <c r="H2644" t="n">
        <v>0</v>
      </c>
      <c r="I2644" t="n">
        <v>0</v>
      </c>
      <c r="J2644" t="n">
        <v>0</v>
      </c>
      <c r="K2644" t="n">
        <v>0</v>
      </c>
      <c r="L2644" t="n">
        <v>0</v>
      </c>
      <c r="M2644" t="n">
        <v>0</v>
      </c>
      <c r="N2644" t="n">
        <v>0</v>
      </c>
      <c r="O2644" t="n">
        <v>0</v>
      </c>
      <c r="P2644" t="n">
        <v>0</v>
      </c>
      <c r="Q2644" t="n">
        <v>0</v>
      </c>
      <c r="R2644" s="2" t="inlineStr"/>
    </row>
    <row r="2645" ht="15" customHeight="1">
      <c r="A2645" t="inlineStr">
        <is>
          <t>A 11089-2024</t>
        </is>
      </c>
      <c r="B2645" s="1" t="n">
        <v>45370</v>
      </c>
      <c r="C2645" s="1" t="n">
        <v>45583</v>
      </c>
      <c r="D2645" t="inlineStr">
        <is>
          <t>VÄSTERNORRLANDS LÄN</t>
        </is>
      </c>
      <c r="E2645" t="inlineStr">
        <is>
          <t>SOLLEFTEÅ</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11334-2024</t>
        </is>
      </c>
      <c r="B2646" s="1" t="n">
        <v>45372</v>
      </c>
      <c r="C2646" s="1" t="n">
        <v>45583</v>
      </c>
      <c r="D2646" t="inlineStr">
        <is>
          <t>VÄSTERNORRLANDS LÄN</t>
        </is>
      </c>
      <c r="E2646" t="inlineStr">
        <is>
          <t>SOLLEFTEÅ</t>
        </is>
      </c>
      <c r="F2646" t="inlineStr">
        <is>
          <t>SCA</t>
        </is>
      </c>
      <c r="G2646" t="n">
        <v>11.7</v>
      </c>
      <c r="H2646" t="n">
        <v>0</v>
      </c>
      <c r="I2646" t="n">
        <v>0</v>
      </c>
      <c r="J2646" t="n">
        <v>0</v>
      </c>
      <c r="K2646" t="n">
        <v>0</v>
      </c>
      <c r="L2646" t="n">
        <v>0</v>
      </c>
      <c r="M2646" t="n">
        <v>0</v>
      </c>
      <c r="N2646" t="n">
        <v>0</v>
      </c>
      <c r="O2646" t="n">
        <v>0</v>
      </c>
      <c r="P2646" t="n">
        <v>0</v>
      </c>
      <c r="Q2646" t="n">
        <v>0</v>
      </c>
      <c r="R2646" s="2" t="inlineStr"/>
    </row>
    <row r="2647" ht="15" customHeight="1">
      <c r="A2647" t="inlineStr">
        <is>
          <t>A 11332-2024</t>
        </is>
      </c>
      <c r="B2647" s="1" t="n">
        <v>45372</v>
      </c>
      <c r="C2647" s="1" t="n">
        <v>45583</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11333-2024</t>
        </is>
      </c>
      <c r="B2648" s="1" t="n">
        <v>45372</v>
      </c>
      <c r="C2648" s="1" t="n">
        <v>45583</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11394-2024</t>
        </is>
      </c>
      <c r="B2649" s="1" t="n">
        <v>45372</v>
      </c>
      <c r="C2649" s="1" t="n">
        <v>45583</v>
      </c>
      <c r="D2649" t="inlineStr">
        <is>
          <t>VÄSTERNORRLANDS LÄN</t>
        </is>
      </c>
      <c r="E2649" t="inlineStr">
        <is>
          <t>SOLLEFTEÅ</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11539-2024</t>
        </is>
      </c>
      <c r="B2650" s="1" t="n">
        <v>45372</v>
      </c>
      <c r="C2650" s="1" t="n">
        <v>45583</v>
      </c>
      <c r="D2650" t="inlineStr">
        <is>
          <t>VÄSTERNORRLANDS LÄN</t>
        </is>
      </c>
      <c r="E2650" t="inlineStr">
        <is>
          <t>SOLLEFTEÅ</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11542-2024</t>
        </is>
      </c>
      <c r="B2651" s="1" t="n">
        <v>45372</v>
      </c>
      <c r="C2651" s="1" t="n">
        <v>45583</v>
      </c>
      <c r="D2651" t="inlineStr">
        <is>
          <t>VÄSTERNORRLANDS LÄN</t>
        </is>
      </c>
      <c r="E2651" t="inlineStr">
        <is>
          <t>SOLLEFTEÅ</t>
        </is>
      </c>
      <c r="F2651" t="inlineStr">
        <is>
          <t>SCA</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11767-2024</t>
        </is>
      </c>
      <c r="B2652" s="1" t="n">
        <v>45373</v>
      </c>
      <c r="C2652" s="1" t="n">
        <v>45583</v>
      </c>
      <c r="D2652" t="inlineStr">
        <is>
          <t>VÄSTERNORRLANDS LÄN</t>
        </is>
      </c>
      <c r="E2652" t="inlineStr">
        <is>
          <t>SOLLEFTEÅ</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11749-2024</t>
        </is>
      </c>
      <c r="B2653" s="1" t="n">
        <v>45373</v>
      </c>
      <c r="C2653" s="1" t="n">
        <v>45583</v>
      </c>
      <c r="D2653" t="inlineStr">
        <is>
          <t>VÄSTERNORRLANDS LÄN</t>
        </is>
      </c>
      <c r="E2653" t="inlineStr">
        <is>
          <t>SOLLEFTEÅ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11976-2024</t>
        </is>
      </c>
      <c r="B2654" s="1" t="n">
        <v>45376</v>
      </c>
      <c r="C2654" s="1" t="n">
        <v>45583</v>
      </c>
      <c r="D2654" t="inlineStr">
        <is>
          <t>VÄSTERNORRLANDS LÄN</t>
        </is>
      </c>
      <c r="E2654" t="inlineStr">
        <is>
          <t>SOLLEFTEÅ</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11988-2024</t>
        </is>
      </c>
      <c r="B2655" s="1" t="n">
        <v>45376</v>
      </c>
      <c r="C2655" s="1" t="n">
        <v>45583</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12184-2024</t>
        </is>
      </c>
      <c r="B2656" s="1" t="n">
        <v>45377</v>
      </c>
      <c r="C2656" s="1" t="n">
        <v>45583</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12186-2024</t>
        </is>
      </c>
      <c r="B2657" s="1" t="n">
        <v>45377</v>
      </c>
      <c r="C2657" s="1" t="n">
        <v>45583</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12187-2024</t>
        </is>
      </c>
      <c r="B2658" s="1" t="n">
        <v>45377</v>
      </c>
      <c r="C2658" s="1" t="n">
        <v>45583</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12354-2024</t>
        </is>
      </c>
      <c r="B2659" s="1" t="n">
        <v>45378</v>
      </c>
      <c r="C2659" s="1" t="n">
        <v>45583</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12368-2024</t>
        </is>
      </c>
      <c r="B2660" s="1" t="n">
        <v>45378</v>
      </c>
      <c r="C2660" s="1" t="n">
        <v>45583</v>
      </c>
      <c r="D2660" t="inlineStr">
        <is>
          <t>VÄSTERNORRLANDS LÄN</t>
        </is>
      </c>
      <c r="E2660" t="inlineStr">
        <is>
          <t>SOLLEFTEÅ</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12351-2024</t>
        </is>
      </c>
      <c r="B2661" s="1" t="n">
        <v>45378</v>
      </c>
      <c r="C2661" s="1" t="n">
        <v>45583</v>
      </c>
      <c r="D2661" t="inlineStr">
        <is>
          <t>VÄSTERNORRLANDS LÄN</t>
        </is>
      </c>
      <c r="E2661" t="inlineStr">
        <is>
          <t>SOLLEFTEÅ</t>
        </is>
      </c>
      <c r="G2661" t="n">
        <v>23.9</v>
      </c>
      <c r="H2661" t="n">
        <v>0</v>
      </c>
      <c r="I2661" t="n">
        <v>0</v>
      </c>
      <c r="J2661" t="n">
        <v>0</v>
      </c>
      <c r="K2661" t="n">
        <v>0</v>
      </c>
      <c r="L2661" t="n">
        <v>0</v>
      </c>
      <c r="M2661" t="n">
        <v>0</v>
      </c>
      <c r="N2661" t="n">
        <v>0</v>
      </c>
      <c r="O2661" t="n">
        <v>0</v>
      </c>
      <c r="P2661" t="n">
        <v>0</v>
      </c>
      <c r="Q2661" t="n">
        <v>0</v>
      </c>
      <c r="R2661" s="2" t="inlineStr"/>
    </row>
    <row r="2662" ht="15" customHeight="1">
      <c r="A2662" t="inlineStr">
        <is>
          <t>A 12355-2024</t>
        </is>
      </c>
      <c r="B2662" s="1" t="n">
        <v>45378</v>
      </c>
      <c r="C2662" s="1" t="n">
        <v>45583</v>
      </c>
      <c r="D2662" t="inlineStr">
        <is>
          <t>VÄSTERNORRLANDS LÄN</t>
        </is>
      </c>
      <c r="E2662" t="inlineStr">
        <is>
          <t>SOLLEFTEÅ</t>
        </is>
      </c>
      <c r="F2662" t="inlineStr">
        <is>
          <t>SCA</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12363-2024</t>
        </is>
      </c>
      <c r="B2663" s="1" t="n">
        <v>45378</v>
      </c>
      <c r="C2663" s="1" t="n">
        <v>45583</v>
      </c>
      <c r="D2663" t="inlineStr">
        <is>
          <t>VÄSTERNORRLANDS LÄN</t>
        </is>
      </c>
      <c r="E2663" t="inlineStr">
        <is>
          <t>SOLLEFTEÅ</t>
        </is>
      </c>
      <c r="F2663" t="inlineStr">
        <is>
          <t>SCA</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12590-2024</t>
        </is>
      </c>
      <c r="B2664" s="1" t="n">
        <v>45379</v>
      </c>
      <c r="C2664" s="1" t="n">
        <v>45583</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12582-2024</t>
        </is>
      </c>
      <c r="B2665" s="1" t="n">
        <v>45379</v>
      </c>
      <c r="C2665" s="1" t="n">
        <v>45583</v>
      </c>
      <c r="D2665" t="inlineStr">
        <is>
          <t>VÄSTERNORRLANDS LÄN</t>
        </is>
      </c>
      <c r="E2665" t="inlineStr">
        <is>
          <t>SOLLEFTEÅ</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12865-2024</t>
        </is>
      </c>
      <c r="B2666" s="1" t="n">
        <v>45384</v>
      </c>
      <c r="C2666" s="1" t="n">
        <v>45583</v>
      </c>
      <c r="D2666" t="inlineStr">
        <is>
          <t>VÄSTERNORRLANDS LÄN</t>
        </is>
      </c>
      <c r="E2666" t="inlineStr">
        <is>
          <t>SOLLEFTEÅ</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13138-2024</t>
        </is>
      </c>
      <c r="B2667" s="1" t="n">
        <v>45386</v>
      </c>
      <c r="C2667" s="1" t="n">
        <v>45583</v>
      </c>
      <c r="D2667" t="inlineStr">
        <is>
          <t>VÄSTERNORRLANDS LÄN</t>
        </is>
      </c>
      <c r="E2667" t="inlineStr">
        <is>
          <t>SOLLEFTEÅ</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13154-2024</t>
        </is>
      </c>
      <c r="B2668" s="1" t="n">
        <v>45386</v>
      </c>
      <c r="C2668" s="1" t="n">
        <v>45583</v>
      </c>
      <c r="D2668" t="inlineStr">
        <is>
          <t>VÄSTERNORRLANDS LÄN</t>
        </is>
      </c>
      <c r="E2668" t="inlineStr">
        <is>
          <t>SOLLEFTEÅ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13546-2024</t>
        </is>
      </c>
      <c r="B2669" s="1" t="n">
        <v>45388</v>
      </c>
      <c r="C2669" s="1" t="n">
        <v>45583</v>
      </c>
      <c r="D2669" t="inlineStr">
        <is>
          <t>VÄSTERNORRLANDS LÄN</t>
        </is>
      </c>
      <c r="E2669" t="inlineStr">
        <is>
          <t>SOLLEFTEÅ</t>
        </is>
      </c>
      <c r="F2669" t="inlineStr">
        <is>
          <t>SCA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13539-2024</t>
        </is>
      </c>
      <c r="B2670" s="1" t="n">
        <v>45388</v>
      </c>
      <c r="C2670" s="1" t="n">
        <v>45583</v>
      </c>
      <c r="D2670" t="inlineStr">
        <is>
          <t>VÄSTERNORRLANDS LÄN</t>
        </is>
      </c>
      <c r="E2670" t="inlineStr">
        <is>
          <t>SOLLEFTEÅ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13942-2024</t>
        </is>
      </c>
      <c r="B2671" s="1" t="n">
        <v>45392</v>
      </c>
      <c r="C2671" s="1" t="n">
        <v>45583</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14109-2024</t>
        </is>
      </c>
      <c r="B2672" s="1" t="n">
        <v>45392</v>
      </c>
      <c r="C2672" s="1" t="n">
        <v>45583</v>
      </c>
      <c r="D2672" t="inlineStr">
        <is>
          <t>VÄSTERNORRLANDS LÄN</t>
        </is>
      </c>
      <c r="E2672" t="inlineStr">
        <is>
          <t>SOLLEFTEÅ</t>
        </is>
      </c>
      <c r="F2672" t="inlineStr">
        <is>
          <t>Övriga Aktiebolag</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14110-2024</t>
        </is>
      </c>
      <c r="B2673" s="1" t="n">
        <v>45392</v>
      </c>
      <c r="C2673" s="1" t="n">
        <v>45583</v>
      </c>
      <c r="D2673" t="inlineStr">
        <is>
          <t>VÄSTERNORRLANDS LÄN</t>
        </is>
      </c>
      <c r="E2673" t="inlineStr">
        <is>
          <t>SOLLEFTEÅ</t>
        </is>
      </c>
      <c r="F2673" t="inlineStr">
        <is>
          <t>Övriga Aktiebolag</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14087-2024</t>
        </is>
      </c>
      <c r="B2674" s="1" t="n">
        <v>45392</v>
      </c>
      <c r="C2674" s="1" t="n">
        <v>45583</v>
      </c>
      <c r="D2674" t="inlineStr">
        <is>
          <t>VÄSTERNORRLANDS LÄN</t>
        </is>
      </c>
      <c r="E2674" t="inlineStr">
        <is>
          <t>SOLLEFTEÅ</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14165-2024</t>
        </is>
      </c>
      <c r="B2675" s="1" t="n">
        <v>45393</v>
      </c>
      <c r="C2675" s="1" t="n">
        <v>45583</v>
      </c>
      <c r="D2675" t="inlineStr">
        <is>
          <t>VÄSTERNORRLANDS LÄN</t>
        </is>
      </c>
      <c r="E2675" t="inlineStr">
        <is>
          <t>SOLLEFTEÅ</t>
        </is>
      </c>
      <c r="F2675" t="inlineStr">
        <is>
          <t>SCA</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14169-2024</t>
        </is>
      </c>
      <c r="B2676" s="1" t="n">
        <v>45393</v>
      </c>
      <c r="C2676" s="1" t="n">
        <v>45583</v>
      </c>
      <c r="D2676" t="inlineStr">
        <is>
          <t>VÄSTERNORRLANDS LÄN</t>
        </is>
      </c>
      <c r="E2676" t="inlineStr">
        <is>
          <t>SOLLEFTEÅ</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14344-2024</t>
        </is>
      </c>
      <c r="B2677" s="1" t="n">
        <v>45393</v>
      </c>
      <c r="C2677" s="1" t="n">
        <v>45583</v>
      </c>
      <c r="D2677" t="inlineStr">
        <is>
          <t>VÄSTERNORRLANDS LÄN</t>
        </is>
      </c>
      <c r="E2677" t="inlineStr">
        <is>
          <t>SOLLEFTEÅ</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14365-2024</t>
        </is>
      </c>
      <c r="B2678" s="1" t="n">
        <v>45394</v>
      </c>
      <c r="C2678" s="1" t="n">
        <v>45583</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14554-2024</t>
        </is>
      </c>
      <c r="B2679" s="1" t="n">
        <v>45394</v>
      </c>
      <c r="C2679" s="1" t="n">
        <v>45583</v>
      </c>
      <c r="D2679" t="inlineStr">
        <is>
          <t>VÄSTERNORRLANDS LÄN</t>
        </is>
      </c>
      <c r="E2679" t="inlineStr">
        <is>
          <t>SOLLEFTEÅ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14581-2024</t>
        </is>
      </c>
      <c r="B2680" s="1" t="n">
        <v>45395</v>
      </c>
      <c r="C2680" s="1" t="n">
        <v>45583</v>
      </c>
      <c r="D2680" t="inlineStr">
        <is>
          <t>VÄSTERNORRLANDS LÄN</t>
        </is>
      </c>
      <c r="E2680" t="inlineStr">
        <is>
          <t>SOLLEFTEÅ</t>
        </is>
      </c>
      <c r="F2680" t="inlineStr">
        <is>
          <t>SCA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14571-2024</t>
        </is>
      </c>
      <c r="B2681" s="1" t="n">
        <v>45394</v>
      </c>
      <c r="C2681" s="1" t="n">
        <v>45583</v>
      </c>
      <c r="D2681" t="inlineStr">
        <is>
          <t>VÄSTERNORRLANDS LÄN</t>
        </is>
      </c>
      <c r="E2681" t="inlineStr">
        <is>
          <t>SOLLEFTEÅ</t>
        </is>
      </c>
      <c r="F2681" t="inlineStr">
        <is>
          <t>SCA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14577-2024</t>
        </is>
      </c>
      <c r="B2682" s="1" t="n">
        <v>45395</v>
      </c>
      <c r="C2682" s="1" t="n">
        <v>45583</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14819-2024</t>
        </is>
      </c>
      <c r="B2683" s="1" t="n">
        <v>45397</v>
      </c>
      <c r="C2683" s="1" t="n">
        <v>45583</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14970-2024</t>
        </is>
      </c>
      <c r="B2684" s="1" t="n">
        <v>45398</v>
      </c>
      <c r="C2684" s="1" t="n">
        <v>45583</v>
      </c>
      <c r="D2684" t="inlineStr">
        <is>
          <t>VÄSTERNORRLANDS LÄN</t>
        </is>
      </c>
      <c r="E2684" t="inlineStr">
        <is>
          <t>SOLLEFTEÅ</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14982-2024</t>
        </is>
      </c>
      <c r="B2685" s="1" t="n">
        <v>45399</v>
      </c>
      <c r="C2685" s="1" t="n">
        <v>45583</v>
      </c>
      <c r="D2685" t="inlineStr">
        <is>
          <t>VÄSTERNORRLANDS LÄN</t>
        </is>
      </c>
      <c r="E2685" t="inlineStr">
        <is>
          <t>SOLLEFTEÅ</t>
        </is>
      </c>
      <c r="F2685" t="inlineStr">
        <is>
          <t>SCA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14971-2024</t>
        </is>
      </c>
      <c r="B2686" s="1" t="n">
        <v>45399</v>
      </c>
      <c r="C2686" s="1" t="n">
        <v>45583</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14975-2024</t>
        </is>
      </c>
      <c r="B2687" s="1" t="n">
        <v>45399</v>
      </c>
      <c r="C2687" s="1" t="n">
        <v>45583</v>
      </c>
      <c r="D2687" t="inlineStr">
        <is>
          <t>VÄSTERNORRLANDS LÄN</t>
        </is>
      </c>
      <c r="E2687" t="inlineStr">
        <is>
          <t>SOLLEFTEÅ</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14983-2024</t>
        </is>
      </c>
      <c r="B2688" s="1" t="n">
        <v>45399</v>
      </c>
      <c r="C2688" s="1" t="n">
        <v>45583</v>
      </c>
      <c r="D2688" t="inlineStr">
        <is>
          <t>VÄSTERNORRLANDS LÄN</t>
        </is>
      </c>
      <c r="E2688" t="inlineStr">
        <is>
          <t>SOLLEFTEÅ</t>
        </is>
      </c>
      <c r="F2688" t="inlineStr">
        <is>
          <t>SCA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15154-2024</t>
        </is>
      </c>
      <c r="B2689" s="1" t="n">
        <v>45400</v>
      </c>
      <c r="C2689" s="1" t="n">
        <v>45583</v>
      </c>
      <c r="D2689" t="inlineStr">
        <is>
          <t>VÄSTERNORRLANDS LÄN</t>
        </is>
      </c>
      <c r="E2689" t="inlineStr">
        <is>
          <t>SOLLEFTEÅ</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15147-2024</t>
        </is>
      </c>
      <c r="B2690" s="1" t="n">
        <v>45400</v>
      </c>
      <c r="C2690" s="1" t="n">
        <v>45583</v>
      </c>
      <c r="D2690" t="inlineStr">
        <is>
          <t>VÄSTERNORRLANDS LÄN</t>
        </is>
      </c>
      <c r="E2690" t="inlineStr">
        <is>
          <t>SOLLEFTEÅ</t>
        </is>
      </c>
      <c r="F2690" t="inlineStr">
        <is>
          <t>SCA</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15380-2024</t>
        </is>
      </c>
      <c r="B2691" s="1" t="n">
        <v>45401</v>
      </c>
      <c r="C2691" s="1" t="n">
        <v>45583</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15377-2024</t>
        </is>
      </c>
      <c r="B2692" s="1" t="n">
        <v>45400</v>
      </c>
      <c r="C2692" s="1" t="n">
        <v>45583</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15616-2024</t>
        </is>
      </c>
      <c r="B2693" s="1" t="n">
        <v>45402</v>
      </c>
      <c r="C2693" s="1" t="n">
        <v>45583</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15614-2024</t>
        </is>
      </c>
      <c r="B2694" s="1" t="n">
        <v>45402</v>
      </c>
      <c r="C2694" s="1" t="n">
        <v>45583</v>
      </c>
      <c r="D2694" t="inlineStr">
        <is>
          <t>VÄSTERNORRLANDS LÄN</t>
        </is>
      </c>
      <c r="E2694" t="inlineStr">
        <is>
          <t>SOLLEFTEÅ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15613-2024</t>
        </is>
      </c>
      <c r="B2695" s="1" t="n">
        <v>45402</v>
      </c>
      <c r="C2695" s="1" t="n">
        <v>45583</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15859-2024</t>
        </is>
      </c>
      <c r="B2696" s="1" t="n">
        <v>45405</v>
      </c>
      <c r="C2696" s="1" t="n">
        <v>45583</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15863-2024</t>
        </is>
      </c>
      <c r="B2697" s="1" t="n">
        <v>45405</v>
      </c>
      <c r="C2697" s="1" t="n">
        <v>45583</v>
      </c>
      <c r="D2697" t="inlineStr">
        <is>
          <t>VÄSTERNORRLANDS LÄN</t>
        </is>
      </c>
      <c r="E2697" t="inlineStr">
        <is>
          <t>SOLLEFTEÅ</t>
        </is>
      </c>
      <c r="F2697" t="inlineStr">
        <is>
          <t>SCA</t>
        </is>
      </c>
      <c r="G2697" t="n">
        <v>32.2</v>
      </c>
      <c r="H2697" t="n">
        <v>0</v>
      </c>
      <c r="I2697" t="n">
        <v>0</v>
      </c>
      <c r="J2697" t="n">
        <v>0</v>
      </c>
      <c r="K2697" t="n">
        <v>0</v>
      </c>
      <c r="L2697" t="n">
        <v>0</v>
      </c>
      <c r="M2697" t="n">
        <v>0</v>
      </c>
      <c r="N2697" t="n">
        <v>0</v>
      </c>
      <c r="O2697" t="n">
        <v>0</v>
      </c>
      <c r="P2697" t="n">
        <v>0</v>
      </c>
      <c r="Q2697" t="n">
        <v>0</v>
      </c>
      <c r="R2697" s="2" t="inlineStr"/>
    </row>
    <row r="2698" ht="15" customHeight="1">
      <c r="A2698" t="inlineStr">
        <is>
          <t>A 15872-2024</t>
        </is>
      </c>
      <c r="B2698" s="1" t="n">
        <v>45405</v>
      </c>
      <c r="C2698" s="1" t="n">
        <v>45583</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15875-2024</t>
        </is>
      </c>
      <c r="B2699" s="1" t="n">
        <v>45405</v>
      </c>
      <c r="C2699" s="1" t="n">
        <v>45583</v>
      </c>
      <c r="D2699" t="inlineStr">
        <is>
          <t>VÄSTERNORRLANDS LÄN</t>
        </is>
      </c>
      <c r="E2699" t="inlineStr">
        <is>
          <t>SOLLEFTEÅ</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15983-2024</t>
        </is>
      </c>
      <c r="B2700" s="1" t="n">
        <v>45405</v>
      </c>
      <c r="C2700" s="1" t="n">
        <v>45583</v>
      </c>
      <c r="D2700" t="inlineStr">
        <is>
          <t>VÄSTERNORRLANDS LÄN</t>
        </is>
      </c>
      <c r="E2700" t="inlineStr">
        <is>
          <t>SOLLEFTEÅ</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16052-2024</t>
        </is>
      </c>
      <c r="B2701" s="1" t="n">
        <v>45406</v>
      </c>
      <c r="C2701" s="1" t="n">
        <v>45583</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16051-2024</t>
        </is>
      </c>
      <c r="B2702" s="1" t="n">
        <v>45406</v>
      </c>
      <c r="C2702" s="1" t="n">
        <v>45583</v>
      </c>
      <c r="D2702" t="inlineStr">
        <is>
          <t>VÄSTERNORRLANDS LÄN</t>
        </is>
      </c>
      <c r="E2702" t="inlineStr">
        <is>
          <t>SOLLEFTEÅ</t>
        </is>
      </c>
      <c r="F2702" t="inlineStr">
        <is>
          <t>SCA</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16165-2024</t>
        </is>
      </c>
      <c r="B2703" s="1" t="n">
        <v>45406</v>
      </c>
      <c r="C2703" s="1" t="n">
        <v>45583</v>
      </c>
      <c r="D2703" t="inlineStr">
        <is>
          <t>VÄSTERNORRLANDS LÄN</t>
        </is>
      </c>
      <c r="E2703" t="inlineStr">
        <is>
          <t>SOLLEFTEÅ</t>
        </is>
      </c>
      <c r="G2703" t="n">
        <v>15.2</v>
      </c>
      <c r="H2703" t="n">
        <v>0</v>
      </c>
      <c r="I2703" t="n">
        <v>0</v>
      </c>
      <c r="J2703" t="n">
        <v>0</v>
      </c>
      <c r="K2703" t="n">
        <v>0</v>
      </c>
      <c r="L2703" t="n">
        <v>0</v>
      </c>
      <c r="M2703" t="n">
        <v>0</v>
      </c>
      <c r="N2703" t="n">
        <v>0</v>
      </c>
      <c r="O2703" t="n">
        <v>0</v>
      </c>
      <c r="P2703" t="n">
        <v>0</v>
      </c>
      <c r="Q2703" t="n">
        <v>0</v>
      </c>
      <c r="R2703" s="2" t="inlineStr"/>
    </row>
    <row r="2704" ht="15" customHeight="1">
      <c r="A2704" t="inlineStr">
        <is>
          <t>A 16061-2024</t>
        </is>
      </c>
      <c r="B2704" s="1" t="n">
        <v>45406</v>
      </c>
      <c r="C2704" s="1" t="n">
        <v>45583</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16086-2024</t>
        </is>
      </c>
      <c r="B2705" s="1" t="n">
        <v>45406</v>
      </c>
      <c r="C2705" s="1" t="n">
        <v>45583</v>
      </c>
      <c r="D2705" t="inlineStr">
        <is>
          <t>VÄSTERNORRLANDS LÄN</t>
        </is>
      </c>
      <c r="E2705" t="inlineStr">
        <is>
          <t>SOLLEFTEÅ</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16238-2024</t>
        </is>
      </c>
      <c r="B2706" s="1" t="n">
        <v>45407</v>
      </c>
      <c r="C2706" s="1" t="n">
        <v>45583</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16239-2024</t>
        </is>
      </c>
      <c r="B2707" s="1" t="n">
        <v>45407</v>
      </c>
      <c r="C2707" s="1" t="n">
        <v>45583</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16237-2024</t>
        </is>
      </c>
      <c r="B2708" s="1" t="n">
        <v>45407</v>
      </c>
      <c r="C2708" s="1" t="n">
        <v>45583</v>
      </c>
      <c r="D2708" t="inlineStr">
        <is>
          <t>VÄSTERNORRLANDS LÄN</t>
        </is>
      </c>
      <c r="E2708" t="inlineStr">
        <is>
          <t>SOLLEFTEÅ</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16241-2024</t>
        </is>
      </c>
      <c r="B2709" s="1" t="n">
        <v>45407</v>
      </c>
      <c r="C2709" s="1" t="n">
        <v>45583</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16253-2024</t>
        </is>
      </c>
      <c r="B2710" s="1" t="n">
        <v>45407</v>
      </c>
      <c r="C2710" s="1" t="n">
        <v>45583</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16468-2024</t>
        </is>
      </c>
      <c r="B2711" s="1" t="n">
        <v>45408</v>
      </c>
      <c r="C2711" s="1" t="n">
        <v>45583</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16463-2024</t>
        </is>
      </c>
      <c r="B2712" s="1" t="n">
        <v>45408</v>
      </c>
      <c r="C2712" s="1" t="n">
        <v>45583</v>
      </c>
      <c r="D2712" t="inlineStr">
        <is>
          <t>VÄSTERNORRLANDS LÄN</t>
        </is>
      </c>
      <c r="E2712" t="inlineStr">
        <is>
          <t>SOLLEFTEÅ</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16467-2024</t>
        </is>
      </c>
      <c r="B2713" s="1" t="n">
        <v>45408</v>
      </c>
      <c r="C2713" s="1" t="n">
        <v>45583</v>
      </c>
      <c r="D2713" t="inlineStr">
        <is>
          <t>VÄSTERNORRLANDS LÄN</t>
        </is>
      </c>
      <c r="E2713" t="inlineStr">
        <is>
          <t>SOLLEFTEÅ</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16470-2024</t>
        </is>
      </c>
      <c r="B2714" s="1" t="n">
        <v>45408</v>
      </c>
      <c r="C2714" s="1" t="n">
        <v>45583</v>
      </c>
      <c r="D2714" t="inlineStr">
        <is>
          <t>VÄSTERNORRLANDS LÄN</t>
        </is>
      </c>
      <c r="E2714" t="inlineStr">
        <is>
          <t>SOLLEFTEÅ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16691-2024</t>
        </is>
      </c>
      <c r="B2715" s="1" t="n">
        <v>45408</v>
      </c>
      <c r="C2715" s="1" t="n">
        <v>45583</v>
      </c>
      <c r="D2715" t="inlineStr">
        <is>
          <t>VÄSTERNORRLANDS LÄN</t>
        </is>
      </c>
      <c r="E2715" t="inlineStr">
        <is>
          <t>SOLLEFTEÅ</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16693-2024</t>
        </is>
      </c>
      <c r="B2716" s="1" t="n">
        <v>45408</v>
      </c>
      <c r="C2716" s="1" t="n">
        <v>45583</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16710-2024</t>
        </is>
      </c>
      <c r="B2717" s="1" t="n">
        <v>45409</v>
      </c>
      <c r="C2717" s="1" t="n">
        <v>45583</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16703-2024</t>
        </is>
      </c>
      <c r="B2718" s="1" t="n">
        <v>45409</v>
      </c>
      <c r="C2718" s="1" t="n">
        <v>45583</v>
      </c>
      <c r="D2718" t="inlineStr">
        <is>
          <t>VÄSTERNORRLANDS LÄN</t>
        </is>
      </c>
      <c r="E2718" t="inlineStr">
        <is>
          <t>SOLLEFTEÅ</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16701-2024</t>
        </is>
      </c>
      <c r="B2719" s="1" t="n">
        <v>45409</v>
      </c>
      <c r="C2719" s="1" t="n">
        <v>45583</v>
      </c>
      <c r="D2719" t="inlineStr">
        <is>
          <t>VÄSTERNORRLANDS LÄN</t>
        </is>
      </c>
      <c r="E2719" t="inlineStr">
        <is>
          <t>SOLLEFTEÅ</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16709-2024</t>
        </is>
      </c>
      <c r="B2720" s="1" t="n">
        <v>45409</v>
      </c>
      <c r="C2720" s="1" t="n">
        <v>45583</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16717-2024</t>
        </is>
      </c>
      <c r="B2721" s="1" t="n">
        <v>45409</v>
      </c>
      <c r="C2721" s="1" t="n">
        <v>45583</v>
      </c>
      <c r="D2721" t="inlineStr">
        <is>
          <t>VÄSTERNORRLANDS LÄN</t>
        </is>
      </c>
      <c r="E2721" t="inlineStr">
        <is>
          <t>SOLLEFTEÅ</t>
        </is>
      </c>
      <c r="F2721" t="inlineStr">
        <is>
          <t>SCA</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16726-2024</t>
        </is>
      </c>
      <c r="B2722" s="1" t="n">
        <v>45410</v>
      </c>
      <c r="C2722" s="1" t="n">
        <v>45583</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17172-2024</t>
        </is>
      </c>
      <c r="B2723" s="1" t="n">
        <v>45413</v>
      </c>
      <c r="C2723" s="1" t="n">
        <v>45583</v>
      </c>
      <c r="D2723" t="inlineStr">
        <is>
          <t>VÄSTERNORRLANDS LÄN</t>
        </is>
      </c>
      <c r="E2723" t="inlineStr">
        <is>
          <t>SOLLEFTEÅ</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17120-2024</t>
        </is>
      </c>
      <c r="B2724" s="1" t="n">
        <v>45412</v>
      </c>
      <c r="C2724" s="1" t="n">
        <v>45583</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17173-2024</t>
        </is>
      </c>
      <c r="B2725" s="1" t="n">
        <v>45413</v>
      </c>
      <c r="C2725" s="1" t="n">
        <v>45583</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17111-2024</t>
        </is>
      </c>
      <c r="B2726" s="1" t="n">
        <v>45412</v>
      </c>
      <c r="C2726" s="1" t="n">
        <v>45583</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17170-2024</t>
        </is>
      </c>
      <c r="B2727" s="1" t="n">
        <v>45413</v>
      </c>
      <c r="C2727" s="1" t="n">
        <v>45583</v>
      </c>
      <c r="D2727" t="inlineStr">
        <is>
          <t>VÄSTERNORRLANDS LÄN</t>
        </is>
      </c>
      <c r="E2727" t="inlineStr">
        <is>
          <t>SOLLEFTEÅ</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17209-2024</t>
        </is>
      </c>
      <c r="B2728" s="1" t="n">
        <v>45414</v>
      </c>
      <c r="C2728" s="1" t="n">
        <v>45583</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17263-2024</t>
        </is>
      </c>
      <c r="B2729" s="1" t="n">
        <v>45414</v>
      </c>
      <c r="C2729" s="1" t="n">
        <v>45583</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17585-2024</t>
        </is>
      </c>
      <c r="B2730" s="1" t="n">
        <v>45416</v>
      </c>
      <c r="C2730" s="1" t="n">
        <v>45583</v>
      </c>
      <c r="D2730" t="inlineStr">
        <is>
          <t>VÄSTERNORRLANDS LÄN</t>
        </is>
      </c>
      <c r="E2730" t="inlineStr">
        <is>
          <t>SOLLEFTEÅ</t>
        </is>
      </c>
      <c r="G2730" t="n">
        <v>18.8</v>
      </c>
      <c r="H2730" t="n">
        <v>0</v>
      </c>
      <c r="I2730" t="n">
        <v>0</v>
      </c>
      <c r="J2730" t="n">
        <v>0</v>
      </c>
      <c r="K2730" t="n">
        <v>0</v>
      </c>
      <c r="L2730" t="n">
        <v>0</v>
      </c>
      <c r="M2730" t="n">
        <v>0</v>
      </c>
      <c r="N2730" t="n">
        <v>0</v>
      </c>
      <c r="O2730" t="n">
        <v>0</v>
      </c>
      <c r="P2730" t="n">
        <v>0</v>
      </c>
      <c r="Q2730" t="n">
        <v>0</v>
      </c>
      <c r="R2730" s="2" t="inlineStr"/>
    </row>
    <row r="2731" ht="15" customHeight="1">
      <c r="A2731" t="inlineStr">
        <is>
          <t>A 17512-2024</t>
        </is>
      </c>
      <c r="B2731" s="1" t="n">
        <v>45415</v>
      </c>
      <c r="C2731" s="1" t="n">
        <v>45583</v>
      </c>
      <c r="D2731" t="inlineStr">
        <is>
          <t>VÄSTERNORRLANDS LÄN</t>
        </is>
      </c>
      <c r="E2731" t="inlineStr">
        <is>
          <t>SOLLEFTEÅ</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17822-2024</t>
        </is>
      </c>
      <c r="B2732" s="1" t="n">
        <v>45419</v>
      </c>
      <c r="C2732" s="1" t="n">
        <v>45583</v>
      </c>
      <c r="D2732" t="inlineStr">
        <is>
          <t>VÄSTERNORRLANDS LÄN</t>
        </is>
      </c>
      <c r="E2732" t="inlineStr">
        <is>
          <t>SOLLEFTEÅ</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17826-2024</t>
        </is>
      </c>
      <c r="B2733" s="1" t="n">
        <v>45419</v>
      </c>
      <c r="C2733" s="1" t="n">
        <v>45583</v>
      </c>
      <c r="D2733" t="inlineStr">
        <is>
          <t>VÄSTERNORRLANDS LÄN</t>
        </is>
      </c>
      <c r="E2733" t="inlineStr">
        <is>
          <t>SOLLEFTEÅ</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18003-2024</t>
        </is>
      </c>
      <c r="B2734" s="1" t="n">
        <v>45420</v>
      </c>
      <c r="C2734" s="1" t="n">
        <v>45583</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18226-2024</t>
        </is>
      </c>
      <c r="B2735" s="1" t="n">
        <v>45420</v>
      </c>
      <c r="C2735" s="1" t="n">
        <v>45583</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18220-2024</t>
        </is>
      </c>
      <c r="B2736" s="1" t="n">
        <v>45420</v>
      </c>
      <c r="C2736" s="1" t="n">
        <v>45583</v>
      </c>
      <c r="D2736" t="inlineStr">
        <is>
          <t>VÄSTERNORRLANDS LÄN</t>
        </is>
      </c>
      <c r="E2736" t="inlineStr">
        <is>
          <t>SOLLEFTEÅ</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18224-2024</t>
        </is>
      </c>
      <c r="B2737" s="1" t="n">
        <v>45421</v>
      </c>
      <c r="C2737" s="1" t="n">
        <v>45583</v>
      </c>
      <c r="D2737" t="inlineStr">
        <is>
          <t>VÄSTERNORRLANDS LÄN</t>
        </is>
      </c>
      <c r="E2737" t="inlineStr">
        <is>
          <t>SOLLEFTEÅ</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18362-2024</t>
        </is>
      </c>
      <c r="B2738" s="1" t="n">
        <v>45422</v>
      </c>
      <c r="C2738" s="1" t="n">
        <v>45583</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18366-2024</t>
        </is>
      </c>
      <c r="B2739" s="1" t="n">
        <v>45422</v>
      </c>
      <c r="C2739" s="1" t="n">
        <v>45583</v>
      </c>
      <c r="D2739" t="inlineStr">
        <is>
          <t>VÄSTERNORRLANDS LÄN</t>
        </is>
      </c>
      <c r="E2739" t="inlineStr">
        <is>
          <t>SOLLEFTEÅ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18363-2024</t>
        </is>
      </c>
      <c r="B2740" s="1" t="n">
        <v>45422</v>
      </c>
      <c r="C2740" s="1" t="n">
        <v>45583</v>
      </c>
      <c r="D2740" t="inlineStr">
        <is>
          <t>VÄSTERNORRLANDS LÄN</t>
        </is>
      </c>
      <c r="E2740" t="inlineStr">
        <is>
          <t>SOLLEFTEÅ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18299-2024</t>
        </is>
      </c>
      <c r="B2741" s="1" t="n">
        <v>45422</v>
      </c>
      <c r="C2741" s="1" t="n">
        <v>45583</v>
      </c>
      <c r="D2741" t="inlineStr">
        <is>
          <t>VÄSTERNORRLANDS LÄN</t>
        </is>
      </c>
      <c r="E2741" t="inlineStr">
        <is>
          <t>SOLLEFTEÅ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18365-2024</t>
        </is>
      </c>
      <c r="B2742" s="1" t="n">
        <v>45422</v>
      </c>
      <c r="C2742" s="1" t="n">
        <v>45583</v>
      </c>
      <c r="D2742" t="inlineStr">
        <is>
          <t>VÄSTERNORRLANDS LÄN</t>
        </is>
      </c>
      <c r="E2742" t="inlineStr">
        <is>
          <t>SOLLEFTEÅ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18364-2024</t>
        </is>
      </c>
      <c r="B2743" s="1" t="n">
        <v>45422</v>
      </c>
      <c r="C2743" s="1" t="n">
        <v>45583</v>
      </c>
      <c r="D2743" t="inlineStr">
        <is>
          <t>VÄSTERNORRLANDS LÄN</t>
        </is>
      </c>
      <c r="E2743" t="inlineStr">
        <is>
          <t>SOLLEFTEÅ</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18623-2024</t>
        </is>
      </c>
      <c r="B2744" s="1" t="n">
        <v>45426</v>
      </c>
      <c r="C2744" s="1" t="n">
        <v>45583</v>
      </c>
      <c r="D2744" t="inlineStr">
        <is>
          <t>VÄSTERNORRLANDS LÄN</t>
        </is>
      </c>
      <c r="E2744" t="inlineStr">
        <is>
          <t>SOLLEFTEÅ</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18436-2024</t>
        </is>
      </c>
      <c r="B2745" s="1" t="n">
        <v>45425</v>
      </c>
      <c r="C2745" s="1" t="n">
        <v>45583</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18587-2024</t>
        </is>
      </c>
      <c r="B2746" s="1" t="n">
        <v>45425</v>
      </c>
      <c r="C2746" s="1" t="n">
        <v>45583</v>
      </c>
      <c r="D2746" t="inlineStr">
        <is>
          <t>VÄSTERNORRLANDS LÄN</t>
        </is>
      </c>
      <c r="E2746" t="inlineStr">
        <is>
          <t>SOLLEFTEÅ</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18620-2024</t>
        </is>
      </c>
      <c r="B2747" s="1" t="n">
        <v>45425</v>
      </c>
      <c r="C2747" s="1" t="n">
        <v>45583</v>
      </c>
      <c r="D2747" t="inlineStr">
        <is>
          <t>VÄSTERNORRLANDS LÄN</t>
        </is>
      </c>
      <c r="E2747" t="inlineStr">
        <is>
          <t>SOLLEFTEÅ</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18648-2024</t>
        </is>
      </c>
      <c r="B2748" s="1" t="n">
        <v>45426</v>
      </c>
      <c r="C2748" s="1" t="n">
        <v>45583</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18621-2024</t>
        </is>
      </c>
      <c r="B2749" s="1" t="n">
        <v>45425</v>
      </c>
      <c r="C2749" s="1" t="n">
        <v>45583</v>
      </c>
      <c r="D2749" t="inlineStr">
        <is>
          <t>VÄSTERNORRLANDS LÄN</t>
        </is>
      </c>
      <c r="E2749" t="inlineStr">
        <is>
          <t>SOLLEFTEÅ</t>
        </is>
      </c>
      <c r="F2749" t="inlineStr">
        <is>
          <t>SCA</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18649-2024</t>
        </is>
      </c>
      <c r="B2750" s="1" t="n">
        <v>45426</v>
      </c>
      <c r="C2750" s="1" t="n">
        <v>45583</v>
      </c>
      <c r="D2750" t="inlineStr">
        <is>
          <t>VÄSTERNORRLANDS LÄN</t>
        </is>
      </c>
      <c r="E2750" t="inlineStr">
        <is>
          <t>SOLLEFTEÅ</t>
        </is>
      </c>
      <c r="F2750" t="inlineStr">
        <is>
          <t>SCA</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18622-2024</t>
        </is>
      </c>
      <c r="B2751" s="1" t="n">
        <v>45426</v>
      </c>
      <c r="C2751" s="1" t="n">
        <v>45583</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18672-2024</t>
        </is>
      </c>
      <c r="B2752" s="1" t="n">
        <v>45425</v>
      </c>
      <c r="C2752" s="1" t="n">
        <v>45583</v>
      </c>
      <c r="D2752" t="inlineStr">
        <is>
          <t>VÄSTERNORRLANDS LÄN</t>
        </is>
      </c>
      <c r="E2752" t="inlineStr">
        <is>
          <t>SOLLEFTEÅ</t>
        </is>
      </c>
      <c r="G2752" t="n">
        <v>22.8</v>
      </c>
      <c r="H2752" t="n">
        <v>0</v>
      </c>
      <c r="I2752" t="n">
        <v>0</v>
      </c>
      <c r="J2752" t="n">
        <v>0</v>
      </c>
      <c r="K2752" t="n">
        <v>0</v>
      </c>
      <c r="L2752" t="n">
        <v>0</v>
      </c>
      <c r="M2752" t="n">
        <v>0</v>
      </c>
      <c r="N2752" t="n">
        <v>0</v>
      </c>
      <c r="O2752" t="n">
        <v>0</v>
      </c>
      <c r="P2752" t="n">
        <v>0</v>
      </c>
      <c r="Q2752" t="n">
        <v>0</v>
      </c>
      <c r="R2752" s="2" t="inlineStr"/>
    </row>
    <row r="2753" ht="15" customHeight="1">
      <c r="A2753" t="inlineStr">
        <is>
          <t>A 19067-2024</t>
        </is>
      </c>
      <c r="B2753" s="1" t="n">
        <v>45427</v>
      </c>
      <c r="C2753" s="1" t="n">
        <v>45583</v>
      </c>
      <c r="D2753" t="inlineStr">
        <is>
          <t>VÄSTERNORRLANDS LÄN</t>
        </is>
      </c>
      <c r="E2753" t="inlineStr">
        <is>
          <t>SOLLEFTEÅ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19064-2024</t>
        </is>
      </c>
      <c r="B2754" s="1" t="n">
        <v>45427</v>
      </c>
      <c r="C2754" s="1" t="n">
        <v>45583</v>
      </c>
      <c r="D2754" t="inlineStr">
        <is>
          <t>VÄSTERNORRLANDS LÄN</t>
        </is>
      </c>
      <c r="E2754" t="inlineStr">
        <is>
          <t>SOLLEFTEÅ</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19065-2024</t>
        </is>
      </c>
      <c r="B2755" s="1" t="n">
        <v>45427</v>
      </c>
      <c r="C2755" s="1" t="n">
        <v>45583</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19082-2024</t>
        </is>
      </c>
      <c r="B2756" s="1" t="n">
        <v>45428</v>
      </c>
      <c r="C2756" s="1" t="n">
        <v>45583</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19207-2024</t>
        </is>
      </c>
      <c r="B2757" s="1" t="n">
        <v>45428</v>
      </c>
      <c r="C2757" s="1" t="n">
        <v>45583</v>
      </c>
      <c r="D2757" t="inlineStr">
        <is>
          <t>VÄSTERNORRLANDS LÄN</t>
        </is>
      </c>
      <c r="E2757" t="inlineStr">
        <is>
          <t>SOLLEFTEÅ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19347-2024</t>
        </is>
      </c>
      <c r="B2758" s="1" t="n">
        <v>45429</v>
      </c>
      <c r="C2758" s="1" t="n">
        <v>45583</v>
      </c>
      <c r="D2758" t="inlineStr">
        <is>
          <t>VÄSTERNORRLANDS LÄN</t>
        </is>
      </c>
      <c r="E2758" t="inlineStr">
        <is>
          <t>SOLLEFTEÅ</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19326-2024</t>
        </is>
      </c>
      <c r="B2759" s="1" t="n">
        <v>45428</v>
      </c>
      <c r="C2759" s="1" t="n">
        <v>45583</v>
      </c>
      <c r="D2759" t="inlineStr">
        <is>
          <t>VÄSTERNORRLANDS LÄN</t>
        </is>
      </c>
      <c r="E2759" t="inlineStr">
        <is>
          <t>SOLLEFTEÅ</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19429-2024</t>
        </is>
      </c>
      <c r="B2760" s="1" t="n">
        <v>45429</v>
      </c>
      <c r="C2760" s="1" t="n">
        <v>45583</v>
      </c>
      <c r="D2760" t="inlineStr">
        <is>
          <t>VÄSTERNORRLANDS LÄN</t>
        </is>
      </c>
      <c r="E2760" t="inlineStr">
        <is>
          <t>SOLLEFTEÅ</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19577-2024</t>
        </is>
      </c>
      <c r="B2761" s="1" t="n">
        <v>45429</v>
      </c>
      <c r="C2761" s="1" t="n">
        <v>45583</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19556-2024</t>
        </is>
      </c>
      <c r="B2762" s="1" t="n">
        <v>45429</v>
      </c>
      <c r="C2762" s="1" t="n">
        <v>45583</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19580-2024</t>
        </is>
      </c>
      <c r="B2763" s="1" t="n">
        <v>45429</v>
      </c>
      <c r="C2763" s="1" t="n">
        <v>45583</v>
      </c>
      <c r="D2763" t="inlineStr">
        <is>
          <t>VÄSTERNORRLANDS LÄN</t>
        </is>
      </c>
      <c r="E2763" t="inlineStr">
        <is>
          <t>SOLLEFTEÅ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19571-2024</t>
        </is>
      </c>
      <c r="B2764" s="1" t="n">
        <v>45429</v>
      </c>
      <c r="C2764" s="1" t="n">
        <v>45583</v>
      </c>
      <c r="D2764" t="inlineStr">
        <is>
          <t>VÄSTERNORRLANDS LÄN</t>
        </is>
      </c>
      <c r="E2764" t="inlineStr">
        <is>
          <t>SOLLEFTEÅ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19602-2024</t>
        </is>
      </c>
      <c r="B2765" s="1" t="n">
        <v>45431</v>
      </c>
      <c r="C2765" s="1" t="n">
        <v>45583</v>
      </c>
      <c r="D2765" t="inlineStr">
        <is>
          <t>VÄSTERNORRLANDS LÄN</t>
        </is>
      </c>
      <c r="E2765" t="inlineStr">
        <is>
          <t>SOLLEFTEÅ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19994-2024</t>
        </is>
      </c>
      <c r="B2766" s="1" t="n">
        <v>45434</v>
      </c>
      <c r="C2766" s="1" t="n">
        <v>45583</v>
      </c>
      <c r="D2766" t="inlineStr">
        <is>
          <t>VÄSTERNORRLANDS LÄN</t>
        </is>
      </c>
      <c r="E2766" t="inlineStr">
        <is>
          <t>SOLLEFTEÅ</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20002-2024</t>
        </is>
      </c>
      <c r="B2767" s="1" t="n">
        <v>45433</v>
      </c>
      <c r="C2767" s="1" t="n">
        <v>45583</v>
      </c>
      <c r="D2767" t="inlineStr">
        <is>
          <t>VÄSTERNORRLANDS LÄN</t>
        </is>
      </c>
      <c r="E2767" t="inlineStr">
        <is>
          <t>SOLLEFTEÅ</t>
        </is>
      </c>
      <c r="F2767" t="inlineStr">
        <is>
          <t>SCA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20022-2024</t>
        </is>
      </c>
      <c r="B2768" s="1" t="n">
        <v>45434</v>
      </c>
      <c r="C2768" s="1" t="n">
        <v>45583</v>
      </c>
      <c r="D2768" t="inlineStr">
        <is>
          <t>VÄSTERNORRLANDS LÄN</t>
        </is>
      </c>
      <c r="E2768" t="inlineStr">
        <is>
          <t>SOLLEFTEÅ</t>
        </is>
      </c>
      <c r="F2768" t="inlineStr">
        <is>
          <t>Holmen skog AB</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20025-2024</t>
        </is>
      </c>
      <c r="B2769" s="1" t="n">
        <v>45434</v>
      </c>
      <c r="C2769" s="1" t="n">
        <v>45583</v>
      </c>
      <c r="D2769" t="inlineStr">
        <is>
          <t>VÄSTERNORRLANDS LÄN</t>
        </is>
      </c>
      <c r="E2769" t="inlineStr">
        <is>
          <t>SOLLEFTEÅ</t>
        </is>
      </c>
      <c r="F2769" t="inlineStr">
        <is>
          <t>Holmen skog AB</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20066-2024</t>
        </is>
      </c>
      <c r="B2770" s="1" t="n">
        <v>45434</v>
      </c>
      <c r="C2770" s="1" t="n">
        <v>45583</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20223-2024</t>
        </is>
      </c>
      <c r="B2771" s="1" t="n">
        <v>45434</v>
      </c>
      <c r="C2771" s="1" t="n">
        <v>45583</v>
      </c>
      <c r="D2771" t="inlineStr">
        <is>
          <t>VÄSTERNORRLANDS LÄN</t>
        </is>
      </c>
      <c r="E2771" t="inlineStr">
        <is>
          <t>SOLLEFTEÅ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20281-2024</t>
        </is>
      </c>
      <c r="B2772" s="1" t="n">
        <v>45435</v>
      </c>
      <c r="C2772" s="1" t="n">
        <v>45583</v>
      </c>
      <c r="D2772" t="inlineStr">
        <is>
          <t>VÄSTERNORRLANDS LÄN</t>
        </is>
      </c>
      <c r="E2772" t="inlineStr">
        <is>
          <t>SOLLEFTEÅ</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20280-2024</t>
        </is>
      </c>
      <c r="B2773" s="1" t="n">
        <v>45435</v>
      </c>
      <c r="C2773" s="1" t="n">
        <v>45583</v>
      </c>
      <c r="D2773" t="inlineStr">
        <is>
          <t>VÄSTERNORRLANDS LÄN</t>
        </is>
      </c>
      <c r="E2773" t="inlineStr">
        <is>
          <t>SOLLEFTEÅ</t>
        </is>
      </c>
      <c r="F2773" t="inlineStr">
        <is>
          <t>SCA</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20506-2024</t>
        </is>
      </c>
      <c r="B2774" s="1" t="n">
        <v>45436</v>
      </c>
      <c r="C2774" s="1" t="n">
        <v>45583</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20354-2024</t>
        </is>
      </c>
      <c r="B2775" s="1" t="n">
        <v>45435</v>
      </c>
      <c r="C2775" s="1" t="n">
        <v>45583</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20516-2024</t>
        </is>
      </c>
      <c r="B2776" s="1" t="n">
        <v>45435</v>
      </c>
      <c r="C2776" s="1" t="n">
        <v>45583</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20507-2024</t>
        </is>
      </c>
      <c r="B2777" s="1" t="n">
        <v>45435</v>
      </c>
      <c r="C2777" s="1" t="n">
        <v>45583</v>
      </c>
      <c r="D2777" t="inlineStr">
        <is>
          <t>VÄSTERNORRLANDS LÄN</t>
        </is>
      </c>
      <c r="E2777" t="inlineStr">
        <is>
          <t>SOLLEFTEÅ</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20515-2024</t>
        </is>
      </c>
      <c r="B2778" s="1" t="n">
        <v>45435</v>
      </c>
      <c r="C2778" s="1" t="n">
        <v>45583</v>
      </c>
      <c r="D2778" t="inlineStr">
        <is>
          <t>VÄSTERNORRLANDS LÄN</t>
        </is>
      </c>
      <c r="E2778" t="inlineStr">
        <is>
          <t>SOLLEFTEÅ</t>
        </is>
      </c>
      <c r="F2778" t="inlineStr">
        <is>
          <t>SCA</t>
        </is>
      </c>
      <c r="G2778" t="n">
        <v>18.8</v>
      </c>
      <c r="H2778" t="n">
        <v>0</v>
      </c>
      <c r="I2778" t="n">
        <v>0</v>
      </c>
      <c r="J2778" t="n">
        <v>0</v>
      </c>
      <c r="K2778" t="n">
        <v>0</v>
      </c>
      <c r="L2778" t="n">
        <v>0</v>
      </c>
      <c r="M2778" t="n">
        <v>0</v>
      </c>
      <c r="N2778" t="n">
        <v>0</v>
      </c>
      <c r="O2778" t="n">
        <v>0</v>
      </c>
      <c r="P2778" t="n">
        <v>0</v>
      </c>
      <c r="Q2778" t="n">
        <v>0</v>
      </c>
      <c r="R2778" s="2" t="inlineStr"/>
    </row>
    <row r="2779" ht="15" customHeight="1">
      <c r="A2779" t="inlineStr">
        <is>
          <t>A 20520-2024</t>
        </is>
      </c>
      <c r="B2779" s="1" t="n">
        <v>45435</v>
      </c>
      <c r="C2779" s="1" t="n">
        <v>45583</v>
      </c>
      <c r="D2779" t="inlineStr">
        <is>
          <t>VÄSTERNORRLANDS LÄN</t>
        </is>
      </c>
      <c r="E2779" t="inlineStr">
        <is>
          <t>SOLLEFTEÅ</t>
        </is>
      </c>
      <c r="F2779" t="inlineStr">
        <is>
          <t>SCA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20604-2024</t>
        </is>
      </c>
      <c r="B2780" s="1" t="n">
        <v>45436</v>
      </c>
      <c r="C2780" s="1" t="n">
        <v>45583</v>
      </c>
      <c r="D2780" t="inlineStr">
        <is>
          <t>VÄSTERNORRLANDS LÄN</t>
        </is>
      </c>
      <c r="E2780" t="inlineStr">
        <is>
          <t>SOLLEFTEÅ</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20764-2024</t>
        </is>
      </c>
      <c r="B2781" s="1" t="n">
        <v>45436</v>
      </c>
      <c r="C2781" s="1" t="n">
        <v>45583</v>
      </c>
      <c r="D2781" t="inlineStr">
        <is>
          <t>VÄSTERNORRLANDS LÄN</t>
        </is>
      </c>
      <c r="E2781" t="inlineStr">
        <is>
          <t>SOLLEFTEÅ</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20799-2024</t>
        </is>
      </c>
      <c r="B2782" s="1" t="n">
        <v>45438</v>
      </c>
      <c r="C2782" s="1" t="n">
        <v>45583</v>
      </c>
      <c r="D2782" t="inlineStr">
        <is>
          <t>VÄSTERNORRLANDS LÄN</t>
        </is>
      </c>
      <c r="E2782" t="inlineStr">
        <is>
          <t>SOLLEFTEÅ</t>
        </is>
      </c>
      <c r="F2782" t="inlineStr">
        <is>
          <t>SCA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21031-2024</t>
        </is>
      </c>
      <c r="B2783" s="1" t="n">
        <v>45439</v>
      </c>
      <c r="C2783" s="1" t="n">
        <v>45583</v>
      </c>
      <c r="D2783" t="inlineStr">
        <is>
          <t>VÄSTERNORRLANDS LÄN</t>
        </is>
      </c>
      <c r="E2783" t="inlineStr">
        <is>
          <t>SOLLEFTEÅ</t>
        </is>
      </c>
      <c r="F2783" t="inlineStr">
        <is>
          <t>Holmen skog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21098-2024</t>
        </is>
      </c>
      <c r="B2784" s="1" t="n">
        <v>45440</v>
      </c>
      <c r="C2784" s="1" t="n">
        <v>45583</v>
      </c>
      <c r="D2784" t="inlineStr">
        <is>
          <t>VÄSTERNORRLANDS LÄN</t>
        </is>
      </c>
      <c r="E2784" t="inlineStr">
        <is>
          <t>SOLLEFTEÅ</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21106-2024</t>
        </is>
      </c>
      <c r="B2785" s="1" t="n">
        <v>45440</v>
      </c>
      <c r="C2785" s="1" t="n">
        <v>45583</v>
      </c>
      <c r="D2785" t="inlineStr">
        <is>
          <t>VÄSTERNORRLANDS LÄN</t>
        </is>
      </c>
      <c r="E2785" t="inlineStr">
        <is>
          <t>SOLLEFTEÅ</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21096-2024</t>
        </is>
      </c>
      <c r="B2786" s="1" t="n">
        <v>45440</v>
      </c>
      <c r="C2786" s="1" t="n">
        <v>45583</v>
      </c>
      <c r="D2786" t="inlineStr">
        <is>
          <t>VÄSTERNORRLANDS LÄN</t>
        </is>
      </c>
      <c r="E2786" t="inlineStr">
        <is>
          <t>SOLLEFTEÅ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21100-2024</t>
        </is>
      </c>
      <c r="B2787" s="1" t="n">
        <v>45440</v>
      </c>
      <c r="C2787" s="1" t="n">
        <v>45583</v>
      </c>
      <c r="D2787" t="inlineStr">
        <is>
          <t>VÄSTERNORRLANDS LÄN</t>
        </is>
      </c>
      <c r="E2787" t="inlineStr">
        <is>
          <t>SOLLEFTEÅ</t>
        </is>
      </c>
      <c r="F2787" t="inlineStr">
        <is>
          <t>SCA</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21092-2024</t>
        </is>
      </c>
      <c r="B2788" s="1" t="n">
        <v>45440</v>
      </c>
      <c r="C2788" s="1" t="n">
        <v>45583</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21099-2024</t>
        </is>
      </c>
      <c r="B2789" s="1" t="n">
        <v>45439</v>
      </c>
      <c r="C2789" s="1" t="n">
        <v>45583</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21095-2024</t>
        </is>
      </c>
      <c r="B2790" s="1" t="n">
        <v>45440</v>
      </c>
      <c r="C2790" s="1" t="n">
        <v>45583</v>
      </c>
      <c r="D2790" t="inlineStr">
        <is>
          <t>VÄSTERNORRLANDS LÄN</t>
        </is>
      </c>
      <c r="E2790" t="inlineStr">
        <is>
          <t>SOLLEFTEÅ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21087-2024</t>
        </is>
      </c>
      <c r="B2791" s="1" t="n">
        <v>45440</v>
      </c>
      <c r="C2791" s="1" t="n">
        <v>45583</v>
      </c>
      <c r="D2791" t="inlineStr">
        <is>
          <t>VÄSTERNORRLANDS LÄN</t>
        </is>
      </c>
      <c r="E2791" t="inlineStr">
        <is>
          <t>SOLLEFTEÅ</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21101-2024</t>
        </is>
      </c>
      <c r="B2792" s="1" t="n">
        <v>45439</v>
      </c>
      <c r="C2792" s="1" t="n">
        <v>45583</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21137-2024</t>
        </is>
      </c>
      <c r="B2793" s="1" t="n">
        <v>45440</v>
      </c>
      <c r="C2793" s="1" t="n">
        <v>45583</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21364-2024</t>
        </is>
      </c>
      <c r="B2794" s="1" t="n">
        <v>45441</v>
      </c>
      <c r="C2794" s="1" t="n">
        <v>45583</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21363-2024</t>
        </is>
      </c>
      <c r="B2795" s="1" t="n">
        <v>45441</v>
      </c>
      <c r="C2795" s="1" t="n">
        <v>45583</v>
      </c>
      <c r="D2795" t="inlineStr">
        <is>
          <t>VÄSTERNORRLANDS LÄN</t>
        </is>
      </c>
      <c r="E2795" t="inlineStr">
        <is>
          <t>SOLLEFTEÅ</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21384-2024</t>
        </is>
      </c>
      <c r="B2796" s="1" t="n">
        <v>45440</v>
      </c>
      <c r="C2796" s="1" t="n">
        <v>45583</v>
      </c>
      <c r="D2796" t="inlineStr">
        <is>
          <t>VÄSTERNORRLANDS LÄN</t>
        </is>
      </c>
      <c r="E2796" t="inlineStr">
        <is>
          <t>SOLLEFTEÅ</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21852-2024</t>
        </is>
      </c>
      <c r="B2797" s="1" t="n">
        <v>45443</v>
      </c>
      <c r="C2797" s="1" t="n">
        <v>45583</v>
      </c>
      <c r="D2797" t="inlineStr">
        <is>
          <t>VÄSTERNORRLANDS LÄN</t>
        </is>
      </c>
      <c r="E2797" t="inlineStr">
        <is>
          <t>SOLLEFTEÅ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22100-2024</t>
        </is>
      </c>
      <c r="B2798" s="1" t="n">
        <v>45444</v>
      </c>
      <c r="C2798" s="1" t="n">
        <v>45583</v>
      </c>
      <c r="D2798" t="inlineStr">
        <is>
          <t>VÄSTERNORRLANDS LÄN</t>
        </is>
      </c>
      <c r="E2798" t="inlineStr">
        <is>
          <t>SOLLEFTEÅ</t>
        </is>
      </c>
      <c r="F2798" t="inlineStr">
        <is>
          <t>SCA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22119-2024</t>
        </is>
      </c>
      <c r="B2799" s="1" t="n">
        <v>45443</v>
      </c>
      <c r="C2799" s="1" t="n">
        <v>45583</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22118-2024</t>
        </is>
      </c>
      <c r="B2800" s="1" t="n">
        <v>45443</v>
      </c>
      <c r="C2800" s="1" t="n">
        <v>45583</v>
      </c>
      <c r="D2800" t="inlineStr">
        <is>
          <t>VÄSTERNORRLANDS LÄN</t>
        </is>
      </c>
      <c r="E2800" t="inlineStr">
        <is>
          <t>SOLLEFTEÅ</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22471-2024</t>
        </is>
      </c>
      <c r="B2801" s="1" t="n">
        <v>45446</v>
      </c>
      <c r="C2801" s="1" t="n">
        <v>45583</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22475-2024</t>
        </is>
      </c>
      <c r="B2802" s="1" t="n">
        <v>45447</v>
      </c>
      <c r="C2802" s="1" t="n">
        <v>45583</v>
      </c>
      <c r="D2802" t="inlineStr">
        <is>
          <t>VÄSTERNORRLANDS LÄN</t>
        </is>
      </c>
      <c r="E2802" t="inlineStr">
        <is>
          <t>SOLLEFTEÅ</t>
        </is>
      </c>
      <c r="F2802" t="inlineStr">
        <is>
          <t>SCA</t>
        </is>
      </c>
      <c r="G2802" t="n">
        <v>18.5</v>
      </c>
      <c r="H2802" t="n">
        <v>0</v>
      </c>
      <c r="I2802" t="n">
        <v>0</v>
      </c>
      <c r="J2802" t="n">
        <v>0</v>
      </c>
      <c r="K2802" t="n">
        <v>0</v>
      </c>
      <c r="L2802" t="n">
        <v>0</v>
      </c>
      <c r="M2802" t="n">
        <v>0</v>
      </c>
      <c r="N2802" t="n">
        <v>0</v>
      </c>
      <c r="O2802" t="n">
        <v>0</v>
      </c>
      <c r="P2802" t="n">
        <v>0</v>
      </c>
      <c r="Q2802" t="n">
        <v>0</v>
      </c>
      <c r="R2802" s="2" t="inlineStr"/>
    </row>
    <row r="2803" ht="15" customHeight="1">
      <c r="A2803" t="inlineStr">
        <is>
          <t>A 22473-2024</t>
        </is>
      </c>
      <c r="B2803" s="1" t="n">
        <v>45446</v>
      </c>
      <c r="C2803" s="1" t="n">
        <v>45583</v>
      </c>
      <c r="D2803" t="inlineStr">
        <is>
          <t>VÄSTERNORRLANDS LÄN</t>
        </is>
      </c>
      <c r="E2803" t="inlineStr">
        <is>
          <t>SOLLEFTEÅ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22457-2024</t>
        </is>
      </c>
      <c r="B2804" s="1" t="n">
        <v>45446</v>
      </c>
      <c r="C2804" s="1" t="n">
        <v>45583</v>
      </c>
      <c r="D2804" t="inlineStr">
        <is>
          <t>VÄSTERNORRLANDS LÄN</t>
        </is>
      </c>
      <c r="E2804" t="inlineStr">
        <is>
          <t>SOLLEFTEÅ</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22208-2024</t>
        </is>
      </c>
      <c r="B2805" s="1" t="n">
        <v>45446</v>
      </c>
      <c r="C2805" s="1" t="n">
        <v>45583</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22456-2024</t>
        </is>
      </c>
      <c r="B2806" s="1" t="n">
        <v>45447</v>
      </c>
      <c r="C2806" s="1" t="n">
        <v>45583</v>
      </c>
      <c r="D2806" t="inlineStr">
        <is>
          <t>VÄSTERNORRLANDS LÄN</t>
        </is>
      </c>
      <c r="E2806" t="inlineStr">
        <is>
          <t>SOLLEFTEÅ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22468-2024</t>
        </is>
      </c>
      <c r="B2807" s="1" t="n">
        <v>45447</v>
      </c>
      <c r="C2807" s="1" t="n">
        <v>45583</v>
      </c>
      <c r="D2807" t="inlineStr">
        <is>
          <t>VÄSTERNORRLANDS LÄN</t>
        </is>
      </c>
      <c r="E2807" t="inlineStr">
        <is>
          <t>SOLLEFTEÅ</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22472-2024</t>
        </is>
      </c>
      <c r="B2808" s="1" t="n">
        <v>45447</v>
      </c>
      <c r="C2808" s="1" t="n">
        <v>45583</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22476-2024</t>
        </is>
      </c>
      <c r="B2809" s="1" t="n">
        <v>45446</v>
      </c>
      <c r="C2809" s="1" t="n">
        <v>45583</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22462-2024</t>
        </is>
      </c>
      <c r="B2810" s="1" t="n">
        <v>45446</v>
      </c>
      <c r="C2810" s="1" t="n">
        <v>45583</v>
      </c>
      <c r="D2810" t="inlineStr">
        <is>
          <t>VÄSTERNORRLANDS LÄN</t>
        </is>
      </c>
      <c r="E2810" t="inlineStr">
        <is>
          <t>SOLLEFTEÅ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22243-2024</t>
        </is>
      </c>
      <c r="B2811" s="1" t="n">
        <v>45446</v>
      </c>
      <c r="C2811" s="1" t="n">
        <v>45583</v>
      </c>
      <c r="D2811" t="inlineStr">
        <is>
          <t>VÄSTERNORRLANDS LÄN</t>
        </is>
      </c>
      <c r="E2811" t="inlineStr">
        <is>
          <t>SOLLEFTEÅ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22235-2024</t>
        </is>
      </c>
      <c r="B2812" s="1" t="n">
        <v>45446</v>
      </c>
      <c r="C2812" s="1" t="n">
        <v>45583</v>
      </c>
      <c r="D2812" t="inlineStr">
        <is>
          <t>VÄSTERNORRLANDS LÄN</t>
        </is>
      </c>
      <c r="E2812" t="inlineStr">
        <is>
          <t>SOLLEFTEÅ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22671-2024</t>
        </is>
      </c>
      <c r="B2813" s="1" t="n">
        <v>45448</v>
      </c>
      <c r="C2813" s="1" t="n">
        <v>45583</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22675-2024</t>
        </is>
      </c>
      <c r="B2814" s="1" t="n">
        <v>45448</v>
      </c>
      <c r="C2814" s="1" t="n">
        <v>45583</v>
      </c>
      <c r="D2814" t="inlineStr">
        <is>
          <t>VÄSTERNORRLANDS LÄN</t>
        </is>
      </c>
      <c r="E2814" t="inlineStr">
        <is>
          <t>SOLLEFTEÅ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22666-2024</t>
        </is>
      </c>
      <c r="B2815" s="1" t="n">
        <v>45447</v>
      </c>
      <c r="C2815" s="1" t="n">
        <v>45583</v>
      </c>
      <c r="D2815" t="inlineStr">
        <is>
          <t>VÄSTERNORRLANDS LÄN</t>
        </is>
      </c>
      <c r="E2815" t="inlineStr">
        <is>
          <t>SOLLEFTEÅ</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22661-2024</t>
        </is>
      </c>
      <c r="B2816" s="1" t="n">
        <v>45448</v>
      </c>
      <c r="C2816" s="1" t="n">
        <v>45583</v>
      </c>
      <c r="D2816" t="inlineStr">
        <is>
          <t>VÄSTERNORRLANDS LÄN</t>
        </is>
      </c>
      <c r="E2816" t="inlineStr">
        <is>
          <t>SOLLEFTEÅ</t>
        </is>
      </c>
      <c r="F2816" t="inlineStr">
        <is>
          <t>SCA</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22665-2024</t>
        </is>
      </c>
      <c r="B2817" s="1" t="n">
        <v>45448</v>
      </c>
      <c r="C2817" s="1" t="n">
        <v>45583</v>
      </c>
      <c r="D2817" t="inlineStr">
        <is>
          <t>VÄSTERNORRLANDS LÄN</t>
        </is>
      </c>
      <c r="E2817" t="inlineStr">
        <is>
          <t>SOLLEFTEÅ</t>
        </is>
      </c>
      <c r="F2817" t="inlineStr">
        <is>
          <t>SCA</t>
        </is>
      </c>
      <c r="G2817" t="n">
        <v>35.6</v>
      </c>
      <c r="H2817" t="n">
        <v>0</v>
      </c>
      <c r="I2817" t="n">
        <v>0</v>
      </c>
      <c r="J2817" t="n">
        <v>0</v>
      </c>
      <c r="K2817" t="n">
        <v>0</v>
      </c>
      <c r="L2817" t="n">
        <v>0</v>
      </c>
      <c r="M2817" t="n">
        <v>0</v>
      </c>
      <c r="N2817" t="n">
        <v>0</v>
      </c>
      <c r="O2817" t="n">
        <v>0</v>
      </c>
      <c r="P2817" t="n">
        <v>0</v>
      </c>
      <c r="Q2817" t="n">
        <v>0</v>
      </c>
      <c r="R2817" s="2" t="inlineStr"/>
    </row>
    <row r="2818" ht="15" customHeight="1">
      <c r="A2818" t="inlineStr">
        <is>
          <t>A 22664-2024</t>
        </is>
      </c>
      <c r="B2818" s="1" t="n">
        <v>45448</v>
      </c>
      <c r="C2818" s="1" t="n">
        <v>45583</v>
      </c>
      <c r="D2818" t="inlineStr">
        <is>
          <t>VÄSTERNORRLANDS LÄN</t>
        </is>
      </c>
      <c r="E2818" t="inlineStr">
        <is>
          <t>SOLLEFTEÅ</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45448</v>
      </c>
      <c r="C2819" s="1" t="n">
        <v>45583</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22673-2024</t>
        </is>
      </c>
      <c r="B2820" s="1" t="n">
        <v>45448</v>
      </c>
      <c r="C2820" s="1" t="n">
        <v>45583</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22682-2024</t>
        </is>
      </c>
      <c r="B2821" s="1" t="n">
        <v>45447</v>
      </c>
      <c r="C2821" s="1" t="n">
        <v>45583</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22672-2024</t>
        </is>
      </c>
      <c r="B2822" s="1" t="n">
        <v>45448</v>
      </c>
      <c r="C2822" s="1" t="n">
        <v>45583</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22690-2024</t>
        </is>
      </c>
      <c r="B2823" s="1" t="n">
        <v>45448</v>
      </c>
      <c r="C2823" s="1" t="n">
        <v>45583</v>
      </c>
      <c r="D2823" t="inlineStr">
        <is>
          <t>VÄSTERNORRLANDS LÄN</t>
        </is>
      </c>
      <c r="E2823" t="inlineStr">
        <is>
          <t>SOLLEFTEÅ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22938-2024</t>
        </is>
      </c>
      <c r="B2824" s="1" t="n">
        <v>45448</v>
      </c>
      <c r="C2824" s="1" t="n">
        <v>45583</v>
      </c>
      <c r="D2824" t="inlineStr">
        <is>
          <t>VÄSTERNORRLANDS LÄN</t>
        </is>
      </c>
      <c r="E2824" t="inlineStr">
        <is>
          <t>SOLLEFTEÅ</t>
        </is>
      </c>
      <c r="F2824" t="inlineStr">
        <is>
          <t>SCA</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22939-2024</t>
        </is>
      </c>
      <c r="B2825" s="1" t="n">
        <v>45449</v>
      </c>
      <c r="C2825" s="1" t="n">
        <v>45583</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23021-2024</t>
        </is>
      </c>
      <c r="B2826" s="1" t="n">
        <v>45450</v>
      </c>
      <c r="C2826" s="1" t="n">
        <v>45583</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23025-2024</t>
        </is>
      </c>
      <c r="B2827" s="1" t="n">
        <v>45450</v>
      </c>
      <c r="C2827" s="1" t="n">
        <v>45583</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23175-2024</t>
        </is>
      </c>
      <c r="B2828" s="1" t="n">
        <v>45451</v>
      </c>
      <c r="C2828" s="1" t="n">
        <v>45583</v>
      </c>
      <c r="D2828" t="inlineStr">
        <is>
          <t>VÄSTERNORRLANDS LÄN</t>
        </is>
      </c>
      <c r="E2828" t="inlineStr">
        <is>
          <t>SOLLEFTEÅ</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23542-2024</t>
        </is>
      </c>
      <c r="B2829" s="1" t="n">
        <v>45454</v>
      </c>
      <c r="C2829" s="1" t="n">
        <v>45583</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23530-2024</t>
        </is>
      </c>
      <c r="B2830" s="1" t="n">
        <v>45454</v>
      </c>
      <c r="C2830" s="1" t="n">
        <v>45583</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23540-2024</t>
        </is>
      </c>
      <c r="B2831" s="1" t="n">
        <v>45454</v>
      </c>
      <c r="C2831" s="1" t="n">
        <v>45583</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23532-2024</t>
        </is>
      </c>
      <c r="B2832" s="1" t="n">
        <v>45454</v>
      </c>
      <c r="C2832" s="1" t="n">
        <v>45583</v>
      </c>
      <c r="D2832" t="inlineStr">
        <is>
          <t>VÄSTERNORRLANDS LÄN</t>
        </is>
      </c>
      <c r="E2832" t="inlineStr">
        <is>
          <t>SOLLEFTEÅ</t>
        </is>
      </c>
      <c r="F2832" t="inlineStr">
        <is>
          <t>SCA</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23547-2024</t>
        </is>
      </c>
      <c r="B2833" s="1" t="n">
        <v>45454</v>
      </c>
      <c r="C2833" s="1" t="n">
        <v>45583</v>
      </c>
      <c r="D2833" t="inlineStr">
        <is>
          <t>VÄSTERNORRLANDS LÄN</t>
        </is>
      </c>
      <c r="E2833" t="inlineStr">
        <is>
          <t>SOLLEFTEÅ</t>
        </is>
      </c>
      <c r="F2833" t="inlineStr">
        <is>
          <t>SCA</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23529-2024</t>
        </is>
      </c>
      <c r="B2834" s="1" t="n">
        <v>45454</v>
      </c>
      <c r="C2834" s="1" t="n">
        <v>45583</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23541-2024</t>
        </is>
      </c>
      <c r="B2835" s="1" t="n">
        <v>45454</v>
      </c>
      <c r="C2835" s="1" t="n">
        <v>45583</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23731-2024</t>
        </is>
      </c>
      <c r="B2836" s="1" t="n">
        <v>45455</v>
      </c>
      <c r="C2836" s="1" t="n">
        <v>45583</v>
      </c>
      <c r="D2836" t="inlineStr">
        <is>
          <t>VÄSTERNORRLANDS LÄN</t>
        </is>
      </c>
      <c r="E2836" t="inlineStr">
        <is>
          <t>SOLLEFTEÅ</t>
        </is>
      </c>
      <c r="F2836" t="inlineStr">
        <is>
          <t>SCA</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23730-2024</t>
        </is>
      </c>
      <c r="B2837" s="1" t="n">
        <v>45455</v>
      </c>
      <c r="C2837" s="1" t="n">
        <v>45583</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23936-2024</t>
        </is>
      </c>
      <c r="B2838" s="1" t="n">
        <v>45456</v>
      </c>
      <c r="C2838" s="1" t="n">
        <v>45583</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23969-2024</t>
        </is>
      </c>
      <c r="B2839" s="1" t="n">
        <v>45456</v>
      </c>
      <c r="C2839" s="1" t="n">
        <v>45583</v>
      </c>
      <c r="D2839" t="inlineStr">
        <is>
          <t>VÄSTERNORRLANDS LÄN</t>
        </is>
      </c>
      <c r="E2839" t="inlineStr">
        <is>
          <t>SOLLEFTEÅ</t>
        </is>
      </c>
      <c r="F2839" t="inlineStr">
        <is>
          <t>SCA</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23935-2024</t>
        </is>
      </c>
      <c r="B2840" s="1" t="n">
        <v>45456</v>
      </c>
      <c r="C2840" s="1" t="n">
        <v>45583</v>
      </c>
      <c r="D2840" t="inlineStr">
        <is>
          <t>VÄSTERNORRLANDS LÄN</t>
        </is>
      </c>
      <c r="E2840" t="inlineStr">
        <is>
          <t>SOLLEFTEÅ</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23968-2024</t>
        </is>
      </c>
      <c r="B2841" s="1" t="n">
        <v>45456</v>
      </c>
      <c r="C2841" s="1" t="n">
        <v>45583</v>
      </c>
      <c r="D2841" t="inlineStr">
        <is>
          <t>VÄSTERNORRLANDS LÄN</t>
        </is>
      </c>
      <c r="E2841" t="inlineStr">
        <is>
          <t>SOLLEFTEÅ</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24199-2024</t>
        </is>
      </c>
      <c r="B2842" s="1" t="n">
        <v>45457</v>
      </c>
      <c r="C2842" s="1" t="n">
        <v>45583</v>
      </c>
      <c r="D2842" t="inlineStr">
        <is>
          <t>VÄSTERNORRLANDS LÄN</t>
        </is>
      </c>
      <c r="E2842" t="inlineStr">
        <is>
          <t>SOLLEFTEÅ</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24211-2024</t>
        </is>
      </c>
      <c r="B2843" s="1" t="n">
        <v>45457</v>
      </c>
      <c r="C2843" s="1" t="n">
        <v>45583</v>
      </c>
      <c r="D2843" t="inlineStr">
        <is>
          <t>VÄSTERNORRLANDS LÄN</t>
        </is>
      </c>
      <c r="E2843" t="inlineStr">
        <is>
          <t>SOLLEFTEÅ</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24209-2024</t>
        </is>
      </c>
      <c r="B2844" s="1" t="n">
        <v>45457</v>
      </c>
      <c r="C2844" s="1" t="n">
        <v>45583</v>
      </c>
      <c r="D2844" t="inlineStr">
        <is>
          <t>VÄSTERNORRLANDS LÄN</t>
        </is>
      </c>
      <c r="E2844" t="inlineStr">
        <is>
          <t>SOLLEFTEÅ</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24210-2024</t>
        </is>
      </c>
      <c r="B2845" s="1" t="n">
        <v>45457</v>
      </c>
      <c r="C2845" s="1" t="n">
        <v>45583</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24208-2024</t>
        </is>
      </c>
      <c r="B2846" s="1" t="n">
        <v>45457</v>
      </c>
      <c r="C2846" s="1" t="n">
        <v>45583</v>
      </c>
      <c r="D2846" t="inlineStr">
        <is>
          <t>VÄSTERNORRLANDS LÄN</t>
        </is>
      </c>
      <c r="E2846" t="inlineStr">
        <is>
          <t>SOLLEFTEÅ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24461-2024</t>
        </is>
      </c>
      <c r="B2847" s="1" t="n">
        <v>45458</v>
      </c>
      <c r="C2847" s="1" t="n">
        <v>45583</v>
      </c>
      <c r="D2847" t="inlineStr">
        <is>
          <t>VÄSTERNORRLANDS LÄN</t>
        </is>
      </c>
      <c r="E2847" t="inlineStr">
        <is>
          <t>SOLLEFTEÅ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24239-2024</t>
        </is>
      </c>
      <c r="B2848" s="1" t="n">
        <v>45457</v>
      </c>
      <c r="C2848" s="1" t="n">
        <v>45583</v>
      </c>
      <c r="D2848" t="inlineStr">
        <is>
          <t>VÄSTERNORRLANDS LÄN</t>
        </is>
      </c>
      <c r="E2848" t="inlineStr">
        <is>
          <t>SOLLEFTEÅ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24777-2024</t>
        </is>
      </c>
      <c r="B2849" s="1" t="n">
        <v>45460</v>
      </c>
      <c r="C2849" s="1" t="n">
        <v>45583</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25023-2024</t>
        </is>
      </c>
      <c r="B2850" s="1" t="n">
        <v>45462</v>
      </c>
      <c r="C2850" s="1" t="n">
        <v>45583</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25035-2024</t>
        </is>
      </c>
      <c r="B2851" s="1" t="n">
        <v>45462</v>
      </c>
      <c r="C2851" s="1" t="n">
        <v>45583</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25026-2024</t>
        </is>
      </c>
      <c r="B2852" s="1" t="n">
        <v>45462</v>
      </c>
      <c r="C2852" s="1" t="n">
        <v>45583</v>
      </c>
      <c r="D2852" t="inlineStr">
        <is>
          <t>VÄSTERNORRLANDS LÄN</t>
        </is>
      </c>
      <c r="E2852" t="inlineStr">
        <is>
          <t>SOLLEFTEÅ</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25356-2024</t>
        </is>
      </c>
      <c r="B2853" s="1" t="n">
        <v>45463</v>
      </c>
      <c r="C2853" s="1" t="n">
        <v>45583</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25364-2024</t>
        </is>
      </c>
      <c r="B2854" s="1" t="n">
        <v>45463</v>
      </c>
      <c r="C2854" s="1" t="n">
        <v>45583</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25363-2024</t>
        </is>
      </c>
      <c r="B2855" s="1" t="n">
        <v>45463</v>
      </c>
      <c r="C2855" s="1" t="n">
        <v>45583</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25384-2024</t>
        </is>
      </c>
      <c r="B2856" s="1" t="n">
        <v>45463</v>
      </c>
      <c r="C2856" s="1" t="n">
        <v>45583</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25334-2024</t>
        </is>
      </c>
      <c r="B2857" s="1" t="n">
        <v>45462</v>
      </c>
      <c r="C2857" s="1" t="n">
        <v>45583</v>
      </c>
      <c r="D2857" t="inlineStr">
        <is>
          <t>VÄSTERNORRLANDS LÄN</t>
        </is>
      </c>
      <c r="E2857" t="inlineStr">
        <is>
          <t>SOLLEFTEÅ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25357-2024</t>
        </is>
      </c>
      <c r="B2858" s="1" t="n">
        <v>45462</v>
      </c>
      <c r="C2858" s="1" t="n">
        <v>45583</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25139-2024</t>
        </is>
      </c>
      <c r="B2859" s="1" t="n">
        <v>45462</v>
      </c>
      <c r="C2859" s="1" t="n">
        <v>45583</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25131-2024</t>
        </is>
      </c>
      <c r="B2860" s="1" t="n">
        <v>45462</v>
      </c>
      <c r="C2860" s="1" t="n">
        <v>45583</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25703-2024</t>
        </is>
      </c>
      <c r="B2861" s="1" t="n">
        <v>45463</v>
      </c>
      <c r="C2861" s="1" t="n">
        <v>45583</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25711-2024</t>
        </is>
      </c>
      <c r="B2862" s="1" t="n">
        <v>45463</v>
      </c>
      <c r="C2862" s="1" t="n">
        <v>45583</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25704-2024</t>
        </is>
      </c>
      <c r="B2863" s="1" t="n">
        <v>45464</v>
      </c>
      <c r="C2863" s="1" t="n">
        <v>45583</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25702-2024</t>
        </is>
      </c>
      <c r="B2864" s="1" t="n">
        <v>45463</v>
      </c>
      <c r="C2864" s="1" t="n">
        <v>45583</v>
      </c>
      <c r="D2864" t="inlineStr">
        <is>
          <t>VÄSTERNORRLANDS LÄN</t>
        </is>
      </c>
      <c r="E2864" t="inlineStr">
        <is>
          <t>SOLLEFTEÅ</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25514-2024</t>
        </is>
      </c>
      <c r="B2865" s="1" t="n">
        <v>45463</v>
      </c>
      <c r="C2865" s="1" t="n">
        <v>45583</v>
      </c>
      <c r="D2865" t="inlineStr">
        <is>
          <t>VÄSTERNORRLANDS LÄN</t>
        </is>
      </c>
      <c r="E2865" t="inlineStr">
        <is>
          <t>SOLLEFTEÅ</t>
        </is>
      </c>
      <c r="F2865" t="inlineStr">
        <is>
          <t>Kyrkan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25799-2024</t>
        </is>
      </c>
      <c r="B2866" s="1" t="n">
        <v>45463</v>
      </c>
      <c r="C2866" s="1" t="n">
        <v>45583</v>
      </c>
      <c r="D2866" t="inlineStr">
        <is>
          <t>VÄSTERNORRLANDS LÄN</t>
        </is>
      </c>
      <c r="E2866" t="inlineStr">
        <is>
          <t>SOLLEFTEÅ</t>
        </is>
      </c>
      <c r="F2866" t="inlineStr">
        <is>
          <t>Kommuner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25847-2024</t>
        </is>
      </c>
      <c r="B2867" s="1" t="n">
        <v>45467</v>
      </c>
      <c r="C2867" s="1" t="n">
        <v>45583</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25851-2024</t>
        </is>
      </c>
      <c r="B2868" s="1" t="n">
        <v>45467</v>
      </c>
      <c r="C2868" s="1" t="n">
        <v>45583</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25907-2024</t>
        </is>
      </c>
      <c r="B2869" s="1" t="n">
        <v>45467</v>
      </c>
      <c r="C2869" s="1" t="n">
        <v>45583</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26005-2024</t>
        </is>
      </c>
      <c r="B2870" s="1" t="n">
        <v>45468</v>
      </c>
      <c r="C2870" s="1" t="n">
        <v>45583</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26022-2024</t>
        </is>
      </c>
      <c r="B2871" s="1" t="n">
        <v>45467</v>
      </c>
      <c r="C2871" s="1" t="n">
        <v>45583</v>
      </c>
      <c r="D2871" t="inlineStr">
        <is>
          <t>VÄSTERNORRLANDS LÄN</t>
        </is>
      </c>
      <c r="E2871" t="inlineStr">
        <is>
          <t>SOLLEFTEÅ</t>
        </is>
      </c>
      <c r="F2871" t="inlineStr">
        <is>
          <t>SCA</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26046-2024</t>
        </is>
      </c>
      <c r="B2872" s="1" t="n">
        <v>45467</v>
      </c>
      <c r="C2872" s="1" t="n">
        <v>45583</v>
      </c>
      <c r="D2872" t="inlineStr">
        <is>
          <t>VÄSTERNORRLANDS LÄN</t>
        </is>
      </c>
      <c r="E2872" t="inlineStr">
        <is>
          <t>SOLLEFTEÅ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26023-2024</t>
        </is>
      </c>
      <c r="B2873" s="1" t="n">
        <v>45468</v>
      </c>
      <c r="C2873" s="1" t="n">
        <v>45583</v>
      </c>
      <c r="D2873" t="inlineStr">
        <is>
          <t>VÄSTERNORRLANDS LÄN</t>
        </is>
      </c>
      <c r="E2873" t="inlineStr">
        <is>
          <t>SOLLEFTEÅ</t>
        </is>
      </c>
      <c r="F2873" t="inlineStr">
        <is>
          <t>SCA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26391-2024</t>
        </is>
      </c>
      <c r="B2874" s="1" t="n">
        <v>45468</v>
      </c>
      <c r="C2874" s="1" t="n">
        <v>45583</v>
      </c>
      <c r="D2874" t="inlineStr">
        <is>
          <t>VÄSTERNORRLANDS LÄN</t>
        </is>
      </c>
      <c r="E2874" t="inlineStr">
        <is>
          <t>SOLLEFTEÅ</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26325-2024</t>
        </is>
      </c>
      <c r="B2875" s="1" t="n">
        <v>45468</v>
      </c>
      <c r="C2875" s="1" t="n">
        <v>45583</v>
      </c>
      <c r="D2875" t="inlineStr">
        <is>
          <t>VÄSTERNORRLANDS LÄN</t>
        </is>
      </c>
      <c r="E2875" t="inlineStr">
        <is>
          <t>SOLLEFTEÅ</t>
        </is>
      </c>
      <c r="F2875" t="inlineStr">
        <is>
          <t>SCA</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26323-2024</t>
        </is>
      </c>
      <c r="B2876" s="1" t="n">
        <v>45469</v>
      </c>
      <c r="C2876" s="1" t="n">
        <v>45583</v>
      </c>
      <c r="D2876" t="inlineStr">
        <is>
          <t>VÄSTERNORRLANDS LÄN</t>
        </is>
      </c>
      <c r="E2876" t="inlineStr">
        <is>
          <t>SOLLEFTEÅ</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26319-2024</t>
        </is>
      </c>
      <c r="B2877" s="1" t="n">
        <v>45469</v>
      </c>
      <c r="C2877" s="1" t="n">
        <v>45583</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26172-2024</t>
        </is>
      </c>
      <c r="B2878" s="1" t="n">
        <v>45468</v>
      </c>
      <c r="C2878" s="1" t="n">
        <v>45583</v>
      </c>
      <c r="D2878" t="inlineStr">
        <is>
          <t>VÄSTERNORRLANDS LÄN</t>
        </is>
      </c>
      <c r="E2878" t="inlineStr">
        <is>
          <t>SOLLEFTEÅ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26163-2024</t>
        </is>
      </c>
      <c r="B2879" s="1" t="n">
        <v>45468</v>
      </c>
      <c r="C2879" s="1" t="n">
        <v>45583</v>
      </c>
      <c r="D2879" t="inlineStr">
        <is>
          <t>VÄSTERNORRLANDS LÄN</t>
        </is>
      </c>
      <c r="E2879" t="inlineStr">
        <is>
          <t>SOLLEFTEÅ</t>
        </is>
      </c>
      <c r="G2879" t="n">
        <v>16.9</v>
      </c>
      <c r="H2879" t="n">
        <v>0</v>
      </c>
      <c r="I2879" t="n">
        <v>0</v>
      </c>
      <c r="J2879" t="n">
        <v>0</v>
      </c>
      <c r="K2879" t="n">
        <v>0</v>
      </c>
      <c r="L2879" t="n">
        <v>0</v>
      </c>
      <c r="M2879" t="n">
        <v>0</v>
      </c>
      <c r="N2879" t="n">
        <v>0</v>
      </c>
      <c r="O2879" t="n">
        <v>0</v>
      </c>
      <c r="P2879" t="n">
        <v>0</v>
      </c>
      <c r="Q2879" t="n">
        <v>0</v>
      </c>
      <c r="R2879" s="2" t="inlineStr"/>
    </row>
    <row r="2880" ht="15" customHeight="1">
      <c r="A2880" t="inlineStr">
        <is>
          <t>A 26296-2024</t>
        </is>
      </c>
      <c r="B2880" s="1" t="n">
        <v>45468</v>
      </c>
      <c r="C2880" s="1" t="n">
        <v>45583</v>
      </c>
      <c r="D2880" t="inlineStr">
        <is>
          <t>VÄSTERNORRLANDS LÄN</t>
        </is>
      </c>
      <c r="E2880" t="inlineStr">
        <is>
          <t>SOLLEFTEÅ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26444-2024</t>
        </is>
      </c>
      <c r="B2881" s="1" t="n">
        <v>45469</v>
      </c>
      <c r="C2881" s="1" t="n">
        <v>45583</v>
      </c>
      <c r="D2881" t="inlineStr">
        <is>
          <t>VÄSTERNORRLANDS LÄN</t>
        </is>
      </c>
      <c r="E2881" t="inlineStr">
        <is>
          <t>SOLLEFTEÅ</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26500-2024</t>
        </is>
      </c>
      <c r="B2882" s="1" t="n">
        <v>45469</v>
      </c>
      <c r="C2882" s="1" t="n">
        <v>45583</v>
      </c>
      <c r="D2882" t="inlineStr">
        <is>
          <t>VÄSTERNORRLANDS LÄN</t>
        </is>
      </c>
      <c r="E2882" t="inlineStr">
        <is>
          <t>SOLLEFTEÅ</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26655-2024</t>
        </is>
      </c>
      <c r="B2883" s="1" t="n">
        <v>45469</v>
      </c>
      <c r="C2883" s="1" t="n">
        <v>45583</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26468-2024</t>
        </is>
      </c>
      <c r="B2884" s="1" t="n">
        <v>45469</v>
      </c>
      <c r="C2884" s="1" t="n">
        <v>45583</v>
      </c>
      <c r="D2884" t="inlineStr">
        <is>
          <t>VÄSTERNORRLANDS LÄN</t>
        </is>
      </c>
      <c r="E2884" t="inlineStr">
        <is>
          <t>SOLLEFTEÅ</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26962-2024</t>
        </is>
      </c>
      <c r="B2885" s="1" t="n">
        <v>45471</v>
      </c>
      <c r="C2885" s="1" t="n">
        <v>45583</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26955-2024</t>
        </is>
      </c>
      <c r="B2886" s="1" t="n">
        <v>45471</v>
      </c>
      <c r="C2886" s="1" t="n">
        <v>45583</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26963-2024</t>
        </is>
      </c>
      <c r="B2887" s="1" t="n">
        <v>45471</v>
      </c>
      <c r="C2887" s="1" t="n">
        <v>45583</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26890-2024</t>
        </is>
      </c>
      <c r="B2888" s="1" t="n">
        <v>45470</v>
      </c>
      <c r="C2888" s="1" t="n">
        <v>45583</v>
      </c>
      <c r="D2888" t="inlineStr">
        <is>
          <t>VÄSTERNORRLANDS LÄN</t>
        </is>
      </c>
      <c r="E2888" t="inlineStr">
        <is>
          <t>SOLLEFTEÅ</t>
        </is>
      </c>
      <c r="F2888" t="inlineStr">
        <is>
          <t>Holmen skog AB</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26936-2024</t>
        </is>
      </c>
      <c r="B2889" s="1" t="n">
        <v>45470</v>
      </c>
      <c r="C2889" s="1" t="n">
        <v>45583</v>
      </c>
      <c r="D2889" t="inlineStr">
        <is>
          <t>VÄSTERNORRLANDS LÄN</t>
        </is>
      </c>
      <c r="E2889" t="inlineStr">
        <is>
          <t>SOLLEFTEÅ</t>
        </is>
      </c>
      <c r="F2889" t="inlineStr">
        <is>
          <t>SCA</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26941-2024</t>
        </is>
      </c>
      <c r="B2890" s="1" t="n">
        <v>45470</v>
      </c>
      <c r="C2890" s="1" t="n">
        <v>45583</v>
      </c>
      <c r="D2890" t="inlineStr">
        <is>
          <t>VÄSTERNORRLANDS LÄN</t>
        </is>
      </c>
      <c r="E2890" t="inlineStr">
        <is>
          <t>SOLLEFTEÅ</t>
        </is>
      </c>
      <c r="F2890" t="inlineStr">
        <is>
          <t>SCA</t>
        </is>
      </c>
      <c r="G2890" t="n">
        <v>31.9</v>
      </c>
      <c r="H2890" t="n">
        <v>0</v>
      </c>
      <c r="I2890" t="n">
        <v>0</v>
      </c>
      <c r="J2890" t="n">
        <v>0</v>
      </c>
      <c r="K2890" t="n">
        <v>0</v>
      </c>
      <c r="L2890" t="n">
        <v>0</v>
      </c>
      <c r="M2890" t="n">
        <v>0</v>
      </c>
      <c r="N2890" t="n">
        <v>0</v>
      </c>
      <c r="O2890" t="n">
        <v>0</v>
      </c>
      <c r="P2890" t="n">
        <v>0</v>
      </c>
      <c r="Q2890" t="n">
        <v>0</v>
      </c>
      <c r="R2890" s="2" t="inlineStr"/>
    </row>
    <row r="2891" ht="15" customHeight="1">
      <c r="A2891" t="inlineStr">
        <is>
          <t>A 26937-2024</t>
        </is>
      </c>
      <c r="B2891" s="1" t="n">
        <v>45471</v>
      </c>
      <c r="C2891" s="1" t="n">
        <v>45583</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27025-2024</t>
        </is>
      </c>
      <c r="B2892" s="1" t="n">
        <v>45471</v>
      </c>
      <c r="C2892" s="1" t="n">
        <v>45583</v>
      </c>
      <c r="D2892" t="inlineStr">
        <is>
          <t>VÄSTERNORRLANDS LÄN</t>
        </is>
      </c>
      <c r="E2892" t="inlineStr">
        <is>
          <t>SOLLEFTEÅ</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27071-2024</t>
        </is>
      </c>
      <c r="B2893" s="1" t="n">
        <v>45471</v>
      </c>
      <c r="C2893" s="1" t="n">
        <v>45583</v>
      </c>
      <c r="D2893" t="inlineStr">
        <is>
          <t>VÄSTERNORRLANDS LÄN</t>
        </is>
      </c>
      <c r="E2893" t="inlineStr">
        <is>
          <t>SOLLEFTEÅ</t>
        </is>
      </c>
      <c r="F2893" t="inlineStr">
        <is>
          <t>Holmen skog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27293-2024</t>
        </is>
      </c>
      <c r="B2894" s="1" t="n">
        <v>45472</v>
      </c>
      <c r="C2894" s="1" t="n">
        <v>45583</v>
      </c>
      <c r="D2894" t="inlineStr">
        <is>
          <t>VÄSTERNORRLANDS LÄN</t>
        </is>
      </c>
      <c r="E2894" t="inlineStr">
        <is>
          <t>SOLLEFTEÅ</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27314-2024</t>
        </is>
      </c>
      <c r="B2895" s="1" t="n">
        <v>45472</v>
      </c>
      <c r="C2895" s="1" t="n">
        <v>45583</v>
      </c>
      <c r="D2895" t="inlineStr">
        <is>
          <t>VÄSTERNORRLANDS LÄN</t>
        </is>
      </c>
      <c r="E2895" t="inlineStr">
        <is>
          <t>SOLLEFTEÅ</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27377-2024</t>
        </is>
      </c>
      <c r="B2896" s="1" t="n">
        <v>45473</v>
      </c>
      <c r="C2896" s="1" t="n">
        <v>45583</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27639-2024</t>
        </is>
      </c>
      <c r="B2897" s="1" t="n">
        <v>45474</v>
      </c>
      <c r="C2897" s="1" t="n">
        <v>45583</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27634-2024</t>
        </is>
      </c>
      <c r="B2898" s="1" t="n">
        <v>45475</v>
      </c>
      <c r="C2898" s="1" t="n">
        <v>45583</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27633-2024</t>
        </is>
      </c>
      <c r="B2899" s="1" t="n">
        <v>45475</v>
      </c>
      <c r="C2899" s="1" t="n">
        <v>45583</v>
      </c>
      <c r="D2899" t="inlineStr">
        <is>
          <t>VÄSTERNORRLANDS LÄN</t>
        </is>
      </c>
      <c r="E2899" t="inlineStr">
        <is>
          <t>SOLLEFTEÅ</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27641-2024</t>
        </is>
      </c>
      <c r="B2900" s="1" t="n">
        <v>45475</v>
      </c>
      <c r="C2900" s="1" t="n">
        <v>45583</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27922-2024</t>
        </is>
      </c>
      <c r="B2901" s="1" t="n">
        <v>45476</v>
      </c>
      <c r="C2901" s="1" t="n">
        <v>45583</v>
      </c>
      <c r="D2901" t="inlineStr">
        <is>
          <t>VÄSTERNORRLANDS LÄN</t>
        </is>
      </c>
      <c r="E2901" t="inlineStr">
        <is>
          <t>SOLLEFTEÅ</t>
        </is>
      </c>
      <c r="F2901" t="inlineStr">
        <is>
          <t>SCA</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27927-2024</t>
        </is>
      </c>
      <c r="B2902" s="1" t="n">
        <v>45475</v>
      </c>
      <c r="C2902" s="1" t="n">
        <v>45583</v>
      </c>
      <c r="D2902" t="inlineStr">
        <is>
          <t>VÄSTERNORRLANDS LÄN</t>
        </is>
      </c>
      <c r="E2902" t="inlineStr">
        <is>
          <t>SOLLEFTEÅ</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27911-2024</t>
        </is>
      </c>
      <c r="B2903" s="1" t="n">
        <v>45475</v>
      </c>
      <c r="C2903" s="1" t="n">
        <v>45583</v>
      </c>
      <c r="D2903" t="inlineStr">
        <is>
          <t>VÄSTERNORRLANDS LÄN</t>
        </is>
      </c>
      <c r="E2903" t="inlineStr">
        <is>
          <t>SOLLEFTEÅ</t>
        </is>
      </c>
      <c r="F2903" t="inlineStr">
        <is>
          <t>SCA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27908-2024</t>
        </is>
      </c>
      <c r="B2904" s="1" t="n">
        <v>45476</v>
      </c>
      <c r="C2904" s="1" t="n">
        <v>45583</v>
      </c>
      <c r="D2904" t="inlineStr">
        <is>
          <t>VÄSTERNORRLANDS LÄN</t>
        </is>
      </c>
      <c r="E2904" t="inlineStr">
        <is>
          <t>SOLLEFTEÅ</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27916-2024</t>
        </is>
      </c>
      <c r="B2905" s="1" t="n">
        <v>45476</v>
      </c>
      <c r="C2905" s="1" t="n">
        <v>45583</v>
      </c>
      <c r="D2905" t="inlineStr">
        <is>
          <t>VÄSTERNORRLANDS LÄN</t>
        </is>
      </c>
      <c r="E2905" t="inlineStr">
        <is>
          <t>SOLLEFTEÅ</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27848-2024</t>
        </is>
      </c>
      <c r="B2906" s="1" t="n">
        <v>45475</v>
      </c>
      <c r="C2906" s="1" t="n">
        <v>45583</v>
      </c>
      <c r="D2906" t="inlineStr">
        <is>
          <t>VÄSTERNORRLANDS LÄN</t>
        </is>
      </c>
      <c r="E2906" t="inlineStr">
        <is>
          <t>SOLLEFTEÅ</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27901-2024</t>
        </is>
      </c>
      <c r="B2907" s="1" t="n">
        <v>45476</v>
      </c>
      <c r="C2907" s="1" t="n">
        <v>45583</v>
      </c>
      <c r="D2907" t="inlineStr">
        <is>
          <t>VÄSTERNORRLANDS LÄN</t>
        </is>
      </c>
      <c r="E2907" t="inlineStr">
        <is>
          <t>SOLLEFTEÅ</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27925-2024</t>
        </is>
      </c>
      <c r="B2908" s="1" t="n">
        <v>45475</v>
      </c>
      <c r="C2908" s="1" t="n">
        <v>45583</v>
      </c>
      <c r="D2908" t="inlineStr">
        <is>
          <t>VÄSTERNORRLANDS LÄN</t>
        </is>
      </c>
      <c r="E2908" t="inlineStr">
        <is>
          <t>SOLLEFTEÅ</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27789-2024</t>
        </is>
      </c>
      <c r="B2909" s="1" t="n">
        <v>45475</v>
      </c>
      <c r="C2909" s="1" t="n">
        <v>45583</v>
      </c>
      <c r="D2909" t="inlineStr">
        <is>
          <t>VÄSTERNORRLANDS LÄN</t>
        </is>
      </c>
      <c r="E2909" t="inlineStr">
        <is>
          <t>SOLLEFTEÅ</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27924-2024</t>
        </is>
      </c>
      <c r="B2910" s="1" t="n">
        <v>45475</v>
      </c>
      <c r="C2910" s="1" t="n">
        <v>45583</v>
      </c>
      <c r="D2910" t="inlineStr">
        <is>
          <t>VÄSTERNORRLANDS LÄN</t>
        </is>
      </c>
      <c r="E2910" t="inlineStr">
        <is>
          <t>SOLLEFTEÅ</t>
        </is>
      </c>
      <c r="F2910" t="inlineStr">
        <is>
          <t>SCA</t>
        </is>
      </c>
      <c r="G2910" t="n">
        <v>23.5</v>
      </c>
      <c r="H2910" t="n">
        <v>0</v>
      </c>
      <c r="I2910" t="n">
        <v>0</v>
      </c>
      <c r="J2910" t="n">
        <v>0</v>
      </c>
      <c r="K2910" t="n">
        <v>0</v>
      </c>
      <c r="L2910" t="n">
        <v>0</v>
      </c>
      <c r="M2910" t="n">
        <v>0</v>
      </c>
      <c r="N2910" t="n">
        <v>0</v>
      </c>
      <c r="O2910" t="n">
        <v>0</v>
      </c>
      <c r="P2910" t="n">
        <v>0</v>
      </c>
      <c r="Q2910" t="n">
        <v>0</v>
      </c>
      <c r="R2910" s="2" t="inlineStr"/>
    </row>
    <row r="2911" ht="15" customHeight="1">
      <c r="A2911" t="inlineStr">
        <is>
          <t>A 27936-2024</t>
        </is>
      </c>
      <c r="B2911" s="1" t="n">
        <v>45476</v>
      </c>
      <c r="C2911" s="1" t="n">
        <v>45583</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28159-2024</t>
        </is>
      </c>
      <c r="B2912" s="1" t="n">
        <v>45477</v>
      </c>
      <c r="C2912" s="1" t="n">
        <v>45583</v>
      </c>
      <c r="D2912" t="inlineStr">
        <is>
          <t>VÄSTERNORRLANDS LÄN</t>
        </is>
      </c>
      <c r="E2912" t="inlineStr">
        <is>
          <t>SOLLEFTEÅ</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28164-2024</t>
        </is>
      </c>
      <c r="B2913" s="1" t="n">
        <v>45476</v>
      </c>
      <c r="C2913" s="1" t="n">
        <v>45583</v>
      </c>
      <c r="D2913" t="inlineStr">
        <is>
          <t>VÄSTERNORRLANDS LÄN</t>
        </is>
      </c>
      <c r="E2913" t="inlineStr">
        <is>
          <t>SOLLEFTEÅ</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28170-2024</t>
        </is>
      </c>
      <c r="B2914" s="1" t="n">
        <v>45477</v>
      </c>
      <c r="C2914" s="1" t="n">
        <v>45583</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28162-2024</t>
        </is>
      </c>
      <c r="B2915" s="1" t="n">
        <v>45476</v>
      </c>
      <c r="C2915" s="1" t="n">
        <v>45583</v>
      </c>
      <c r="D2915" t="inlineStr">
        <is>
          <t>VÄSTERNORRLANDS LÄN</t>
        </is>
      </c>
      <c r="E2915" t="inlineStr">
        <is>
          <t>SOLLEFTEÅ</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28327-2024</t>
        </is>
      </c>
      <c r="B2916" s="1" t="n">
        <v>45477</v>
      </c>
      <c r="C2916" s="1" t="n">
        <v>45583</v>
      </c>
      <c r="D2916" t="inlineStr">
        <is>
          <t>VÄSTERNORRLANDS LÄN</t>
        </is>
      </c>
      <c r="E2916" t="inlineStr">
        <is>
          <t>SOLLEFTEÅ</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28269-2024</t>
        </is>
      </c>
      <c r="B2917" s="1" t="n">
        <v>45477</v>
      </c>
      <c r="C2917" s="1" t="n">
        <v>45583</v>
      </c>
      <c r="D2917" t="inlineStr">
        <is>
          <t>VÄSTERNORRLANDS LÄN</t>
        </is>
      </c>
      <c r="E2917" t="inlineStr">
        <is>
          <t>SOLLEFTEÅ</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28499-2024</t>
        </is>
      </c>
      <c r="B2918" s="1" t="n">
        <v>45478</v>
      </c>
      <c r="C2918" s="1" t="n">
        <v>45583</v>
      </c>
      <c r="D2918" t="inlineStr">
        <is>
          <t>VÄSTERNORRLANDS LÄN</t>
        </is>
      </c>
      <c r="E2918" t="inlineStr">
        <is>
          <t>SOLLEFTEÅ</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28354-2024</t>
        </is>
      </c>
      <c r="B2919" s="1" t="n">
        <v>45477</v>
      </c>
      <c r="C2919" s="1" t="n">
        <v>45583</v>
      </c>
      <c r="D2919" t="inlineStr">
        <is>
          <t>VÄSTERNORRLANDS LÄN</t>
        </is>
      </c>
      <c r="E2919" t="inlineStr">
        <is>
          <t>SOLLEFTEÅ</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28290-2024</t>
        </is>
      </c>
      <c r="B2920" s="1" t="n">
        <v>45477</v>
      </c>
      <c r="C2920" s="1" t="n">
        <v>45583</v>
      </c>
      <c r="D2920" t="inlineStr">
        <is>
          <t>VÄSTERNORRLANDS LÄN</t>
        </is>
      </c>
      <c r="E2920" t="inlineStr">
        <is>
          <t>SOLLEFTEÅ</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28579-2024</t>
        </is>
      </c>
      <c r="B2921" s="1" t="n">
        <v>45478</v>
      </c>
      <c r="C2921" s="1" t="n">
        <v>45583</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28576-2024</t>
        </is>
      </c>
      <c r="B2922" s="1" t="n">
        <v>45478</v>
      </c>
      <c r="C2922" s="1" t="n">
        <v>45583</v>
      </c>
      <c r="D2922" t="inlineStr">
        <is>
          <t>VÄSTERNORRLANDS LÄN</t>
        </is>
      </c>
      <c r="E2922" t="inlineStr">
        <is>
          <t>SOLLEFTEÅ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28580-2024</t>
        </is>
      </c>
      <c r="B2923" s="1" t="n">
        <v>45478</v>
      </c>
      <c r="C2923" s="1" t="n">
        <v>45583</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28866-2024</t>
        </is>
      </c>
      <c r="B2924" s="1" t="n">
        <v>45478</v>
      </c>
      <c r="C2924" s="1" t="n">
        <v>45583</v>
      </c>
      <c r="D2924" t="inlineStr">
        <is>
          <t>VÄSTERNORRLANDS LÄN</t>
        </is>
      </c>
      <c r="E2924" t="inlineStr">
        <is>
          <t>SOLLEFTEÅ</t>
        </is>
      </c>
      <c r="F2924" t="inlineStr">
        <is>
          <t>SCA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28790-2024</t>
        </is>
      </c>
      <c r="B2925" s="1" t="n">
        <v>45478</v>
      </c>
      <c r="C2925" s="1" t="n">
        <v>45583</v>
      </c>
      <c r="D2925" t="inlineStr">
        <is>
          <t>VÄSTERNORRLANDS LÄN</t>
        </is>
      </c>
      <c r="E2925" t="inlineStr">
        <is>
          <t>SOLLEFTEÅ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29059-2024</t>
        </is>
      </c>
      <c r="B2926" s="1" t="n">
        <v>45481</v>
      </c>
      <c r="C2926" s="1" t="n">
        <v>45583</v>
      </c>
      <c r="D2926" t="inlineStr">
        <is>
          <t>VÄSTERNORRLANDS LÄN</t>
        </is>
      </c>
      <c r="E2926" t="inlineStr">
        <is>
          <t>SOLLEFTEÅ</t>
        </is>
      </c>
      <c r="F2926" t="inlineStr">
        <is>
          <t>Kyrkan</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29055-2024</t>
        </is>
      </c>
      <c r="B2927" s="1" t="n">
        <v>45481</v>
      </c>
      <c r="C2927" s="1" t="n">
        <v>45583</v>
      </c>
      <c r="D2927" t="inlineStr">
        <is>
          <t>VÄSTERNORRLANDS LÄN</t>
        </is>
      </c>
      <c r="E2927" t="inlineStr">
        <is>
          <t>SOLLEFTEÅ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29054-2024</t>
        </is>
      </c>
      <c r="B2928" s="1" t="n">
        <v>45481</v>
      </c>
      <c r="C2928" s="1" t="n">
        <v>45583</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29211-2024</t>
        </is>
      </c>
      <c r="B2929" s="1" t="n">
        <v>45482</v>
      </c>
      <c r="C2929" s="1" t="n">
        <v>45583</v>
      </c>
      <c r="D2929" t="inlineStr">
        <is>
          <t>VÄSTERNORRLANDS LÄN</t>
        </is>
      </c>
      <c r="E2929" t="inlineStr">
        <is>
          <t>SOLLEFTEÅ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29258-2024</t>
        </is>
      </c>
      <c r="B2930" s="1" t="n">
        <v>45483</v>
      </c>
      <c r="C2930" s="1" t="n">
        <v>45583</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29248-2024</t>
        </is>
      </c>
      <c r="B2931" s="1" t="n">
        <v>45482</v>
      </c>
      <c r="C2931" s="1" t="n">
        <v>45583</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29457-2024</t>
        </is>
      </c>
      <c r="B2932" s="1" t="n">
        <v>45484</v>
      </c>
      <c r="C2932" s="1" t="n">
        <v>45583</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29459-2024</t>
        </is>
      </c>
      <c r="B2933" s="1" t="n">
        <v>45484</v>
      </c>
      <c r="C2933" s="1" t="n">
        <v>45583</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29693-2024</t>
        </is>
      </c>
      <c r="B2934" s="1" t="n">
        <v>45485</v>
      </c>
      <c r="C2934" s="1" t="n">
        <v>45583</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29575-2024</t>
        </is>
      </c>
      <c r="B2935" s="1" t="n">
        <v>45484</v>
      </c>
      <c r="C2935" s="1" t="n">
        <v>45583</v>
      </c>
      <c r="D2935" t="inlineStr">
        <is>
          <t>VÄSTERNORRLANDS LÄN</t>
        </is>
      </c>
      <c r="E2935" t="inlineStr">
        <is>
          <t>SOLLEFTEÅ</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29871-2024</t>
        </is>
      </c>
      <c r="B2936" s="1" t="n">
        <v>45486</v>
      </c>
      <c r="C2936" s="1" t="n">
        <v>45583</v>
      </c>
      <c r="D2936" t="inlineStr">
        <is>
          <t>VÄSTERNORRLANDS LÄN</t>
        </is>
      </c>
      <c r="E2936" t="inlineStr">
        <is>
          <t>SOLLEFTEÅ</t>
        </is>
      </c>
      <c r="F2936" t="inlineStr">
        <is>
          <t>SCA</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29839-2024</t>
        </is>
      </c>
      <c r="B2937" s="1" t="n">
        <v>45485</v>
      </c>
      <c r="C2937" s="1" t="n">
        <v>45583</v>
      </c>
      <c r="D2937" t="inlineStr">
        <is>
          <t>VÄSTERNORRLANDS LÄN</t>
        </is>
      </c>
      <c r="E2937" t="inlineStr">
        <is>
          <t>SOLLEFTEÅ</t>
        </is>
      </c>
      <c r="F2937" t="inlineStr">
        <is>
          <t>Holmen skog AB</t>
        </is>
      </c>
      <c r="G2937" t="n">
        <v>16.1</v>
      </c>
      <c r="H2937" t="n">
        <v>0</v>
      </c>
      <c r="I2937" t="n">
        <v>0</v>
      </c>
      <c r="J2937" t="n">
        <v>0</v>
      </c>
      <c r="K2937" t="n">
        <v>0</v>
      </c>
      <c r="L2937" t="n">
        <v>0</v>
      </c>
      <c r="M2937" t="n">
        <v>0</v>
      </c>
      <c r="N2937" t="n">
        <v>0</v>
      </c>
      <c r="O2937" t="n">
        <v>0</v>
      </c>
      <c r="P2937" t="n">
        <v>0</v>
      </c>
      <c r="Q2937" t="n">
        <v>0</v>
      </c>
      <c r="R2937" s="2" t="inlineStr"/>
    </row>
    <row r="2938" ht="15" customHeight="1">
      <c r="A2938" t="inlineStr">
        <is>
          <t>A 29755-2024</t>
        </is>
      </c>
      <c r="B2938" s="1" t="n">
        <v>45485</v>
      </c>
      <c r="C2938" s="1" t="n">
        <v>45583</v>
      </c>
      <c r="D2938" t="inlineStr">
        <is>
          <t>VÄSTERNORRLANDS LÄN</t>
        </is>
      </c>
      <c r="E2938" t="inlineStr">
        <is>
          <t>SOLLEFTEÅ</t>
        </is>
      </c>
      <c r="F2938" t="inlineStr">
        <is>
          <t>Holmen skog AB</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29870-2024</t>
        </is>
      </c>
      <c r="B2939" s="1" t="n">
        <v>45486</v>
      </c>
      <c r="C2939" s="1" t="n">
        <v>45583</v>
      </c>
      <c r="D2939" t="inlineStr">
        <is>
          <t>VÄSTERNORRLANDS LÄN</t>
        </is>
      </c>
      <c r="E2939" t="inlineStr">
        <is>
          <t>SOLLEFTEÅ</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29869-2024</t>
        </is>
      </c>
      <c r="B2940" s="1" t="n">
        <v>45486</v>
      </c>
      <c r="C2940" s="1" t="n">
        <v>45583</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29914-2024</t>
        </is>
      </c>
      <c r="B2941" s="1" t="n">
        <v>45488</v>
      </c>
      <c r="C2941" s="1" t="n">
        <v>45583</v>
      </c>
      <c r="D2941" t="inlineStr">
        <is>
          <t>VÄSTERNORRLANDS LÄN</t>
        </is>
      </c>
      <c r="E2941" t="inlineStr">
        <is>
          <t>SOLLEFTEÅ</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29915-2024</t>
        </is>
      </c>
      <c r="B2942" s="1" t="n">
        <v>45488</v>
      </c>
      <c r="C2942" s="1" t="n">
        <v>45583</v>
      </c>
      <c r="D2942" t="inlineStr">
        <is>
          <t>VÄSTERNORRLANDS LÄN</t>
        </is>
      </c>
      <c r="E2942" t="inlineStr">
        <is>
          <t>SOLLEFTEÅ</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29913-2024</t>
        </is>
      </c>
      <c r="B2943" s="1" t="n">
        <v>45488</v>
      </c>
      <c r="C2943" s="1" t="n">
        <v>45583</v>
      </c>
      <c r="D2943" t="inlineStr">
        <is>
          <t>VÄSTERNORRLANDS LÄN</t>
        </is>
      </c>
      <c r="E2943" t="inlineStr">
        <is>
          <t>SOLLEFTEÅ</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29916-2024</t>
        </is>
      </c>
      <c r="B2944" s="1" t="n">
        <v>45488</v>
      </c>
      <c r="C2944" s="1" t="n">
        <v>45583</v>
      </c>
      <c r="D2944" t="inlineStr">
        <is>
          <t>VÄSTERNORRLANDS LÄN</t>
        </is>
      </c>
      <c r="E2944" t="inlineStr">
        <is>
          <t>SOLLEFTEÅ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30063-2024</t>
        </is>
      </c>
      <c r="B2945" s="1" t="n">
        <v>45489</v>
      </c>
      <c r="C2945" s="1" t="n">
        <v>45583</v>
      </c>
      <c r="D2945" t="inlineStr">
        <is>
          <t>VÄSTERNORRLANDS LÄN</t>
        </is>
      </c>
      <c r="E2945" t="inlineStr">
        <is>
          <t>SOLLEFTEÅ</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30060-2024</t>
        </is>
      </c>
      <c r="B2946" s="1" t="n">
        <v>45489</v>
      </c>
      <c r="C2946" s="1" t="n">
        <v>45583</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30068-2024</t>
        </is>
      </c>
      <c r="B2947" s="1" t="n">
        <v>45489</v>
      </c>
      <c r="C2947" s="1" t="n">
        <v>45583</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30061-2024</t>
        </is>
      </c>
      <c r="B2948" s="1" t="n">
        <v>45489</v>
      </c>
      <c r="C2948" s="1" t="n">
        <v>45583</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30069-2024</t>
        </is>
      </c>
      <c r="B2949" s="1" t="n">
        <v>45489</v>
      </c>
      <c r="C2949" s="1" t="n">
        <v>45583</v>
      </c>
      <c r="D2949" t="inlineStr">
        <is>
          <t>VÄSTERNORRLANDS LÄN</t>
        </is>
      </c>
      <c r="E2949" t="inlineStr">
        <is>
          <t>SOLLEFTEÅ</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30214-2024</t>
        </is>
      </c>
      <c r="B2950" s="1" t="n">
        <v>45490</v>
      </c>
      <c r="C2950" s="1" t="n">
        <v>45583</v>
      </c>
      <c r="D2950" t="inlineStr">
        <is>
          <t>VÄSTERNORRLANDS LÄN</t>
        </is>
      </c>
      <c r="E2950" t="inlineStr">
        <is>
          <t>SOLLEFTEÅ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30327-2024</t>
        </is>
      </c>
      <c r="B2951" s="1" t="n">
        <v>45491</v>
      </c>
      <c r="C2951" s="1" t="n">
        <v>45583</v>
      </c>
      <c r="D2951" t="inlineStr">
        <is>
          <t>VÄSTERNORRLANDS LÄN</t>
        </is>
      </c>
      <c r="E2951" t="inlineStr">
        <is>
          <t>SOLLEFTEÅ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30328-2024</t>
        </is>
      </c>
      <c r="B2952" s="1" t="n">
        <v>45491</v>
      </c>
      <c r="C2952" s="1" t="n">
        <v>45583</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30329-2024</t>
        </is>
      </c>
      <c r="B2953" s="1" t="n">
        <v>45491</v>
      </c>
      <c r="C2953" s="1" t="n">
        <v>45583</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30325-2024</t>
        </is>
      </c>
      <c r="B2954" s="1" t="n">
        <v>45491</v>
      </c>
      <c r="C2954" s="1" t="n">
        <v>45583</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30466-2024</t>
        </is>
      </c>
      <c r="B2955" s="1" t="n">
        <v>45492</v>
      </c>
      <c r="C2955" s="1" t="n">
        <v>45583</v>
      </c>
      <c r="D2955" t="inlineStr">
        <is>
          <t>VÄSTERNORRLANDS LÄN</t>
        </is>
      </c>
      <c r="E2955" t="inlineStr">
        <is>
          <t>SOLLEFTEÅ</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30476-2024</t>
        </is>
      </c>
      <c r="B2956" s="1" t="n">
        <v>45492</v>
      </c>
      <c r="C2956" s="1" t="n">
        <v>45583</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30464-2024</t>
        </is>
      </c>
      <c r="B2957" s="1" t="n">
        <v>45492</v>
      </c>
      <c r="C2957" s="1" t="n">
        <v>45583</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30570-2024</t>
        </is>
      </c>
      <c r="B2958" s="1" t="n">
        <v>45493</v>
      </c>
      <c r="C2958" s="1" t="n">
        <v>45583</v>
      </c>
      <c r="D2958" t="inlineStr">
        <is>
          <t>VÄSTERNORRLANDS LÄN</t>
        </is>
      </c>
      <c r="E2958" t="inlineStr">
        <is>
          <t>SOLLEFTEÅ</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30812-2024</t>
        </is>
      </c>
      <c r="B2959" s="1" t="n">
        <v>45497</v>
      </c>
      <c r="C2959" s="1" t="n">
        <v>45583</v>
      </c>
      <c r="D2959" t="inlineStr">
        <is>
          <t>VÄSTERNORRLANDS LÄN</t>
        </is>
      </c>
      <c r="E2959" t="inlineStr">
        <is>
          <t>SOLLEFTEÅ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31521-2024</t>
        </is>
      </c>
      <c r="B2960" s="1" t="n">
        <v>45505</v>
      </c>
      <c r="C2960" s="1" t="n">
        <v>45583</v>
      </c>
      <c r="D2960" t="inlineStr">
        <is>
          <t>VÄSTERNORRLANDS LÄN</t>
        </is>
      </c>
      <c r="E2960" t="inlineStr">
        <is>
          <t>SOLLEFTEÅ</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31482-2024</t>
        </is>
      </c>
      <c r="B2961" s="1" t="n">
        <v>45505</v>
      </c>
      <c r="C2961" s="1" t="n">
        <v>45583</v>
      </c>
      <c r="D2961" t="inlineStr">
        <is>
          <t>VÄSTERNORRLANDS LÄN</t>
        </is>
      </c>
      <c r="E2961" t="inlineStr">
        <is>
          <t>SOLLEFTEÅ</t>
        </is>
      </c>
      <c r="F2961" t="inlineStr">
        <is>
          <t>SCA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31555-2024</t>
        </is>
      </c>
      <c r="B2962" s="1" t="n">
        <v>45506</v>
      </c>
      <c r="C2962" s="1" t="n">
        <v>45583</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31547-2024</t>
        </is>
      </c>
      <c r="B2963" s="1" t="n">
        <v>45506</v>
      </c>
      <c r="C2963" s="1" t="n">
        <v>45583</v>
      </c>
      <c r="D2963" t="inlineStr">
        <is>
          <t>VÄSTERNORRLANDS LÄN</t>
        </is>
      </c>
      <c r="E2963" t="inlineStr">
        <is>
          <t>SOLLEFTEÅ</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31556-2024</t>
        </is>
      </c>
      <c r="B2964" s="1" t="n">
        <v>45505</v>
      </c>
      <c r="C2964" s="1" t="n">
        <v>45583</v>
      </c>
      <c r="D2964" t="inlineStr">
        <is>
          <t>VÄSTERNORRLANDS LÄN</t>
        </is>
      </c>
      <c r="E2964" t="inlineStr">
        <is>
          <t>SOLLEFTEÅ</t>
        </is>
      </c>
      <c r="F2964" t="inlineStr">
        <is>
          <t>SCA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31480-2024</t>
        </is>
      </c>
      <c r="B2965" s="1" t="n">
        <v>45506</v>
      </c>
      <c r="C2965" s="1" t="n">
        <v>45583</v>
      </c>
      <c r="D2965" t="inlineStr">
        <is>
          <t>VÄSTERNORRLANDS LÄN</t>
        </is>
      </c>
      <c r="E2965" t="inlineStr">
        <is>
          <t>SOLLEFTEÅ</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31496-2024</t>
        </is>
      </c>
      <c r="B2966" s="1" t="n">
        <v>45506</v>
      </c>
      <c r="C2966" s="1" t="n">
        <v>45583</v>
      </c>
      <c r="D2966" t="inlineStr">
        <is>
          <t>VÄSTERNORRLANDS LÄN</t>
        </is>
      </c>
      <c r="E2966" t="inlineStr">
        <is>
          <t>SOLLEFTEÅ</t>
        </is>
      </c>
      <c r="F2966" t="inlineStr">
        <is>
          <t>SCA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31562-2024</t>
        </is>
      </c>
      <c r="B2967" s="1" t="n">
        <v>45505</v>
      </c>
      <c r="C2967" s="1" t="n">
        <v>45583</v>
      </c>
      <c r="D2967" t="inlineStr">
        <is>
          <t>VÄSTERNORRLANDS LÄN</t>
        </is>
      </c>
      <c r="E2967" t="inlineStr">
        <is>
          <t>SOLLEFTEÅ</t>
        </is>
      </c>
      <c r="F2967" t="inlineStr">
        <is>
          <t>SCA</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31549-2024</t>
        </is>
      </c>
      <c r="B2968" s="1" t="n">
        <v>45506</v>
      </c>
      <c r="C2968" s="1" t="n">
        <v>45583</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31537-2024</t>
        </is>
      </c>
      <c r="B2969" s="1" t="n">
        <v>45506</v>
      </c>
      <c r="C2969" s="1" t="n">
        <v>45583</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31511-2024</t>
        </is>
      </c>
      <c r="B2970" s="1" t="n">
        <v>45506</v>
      </c>
      <c r="C2970" s="1" t="n">
        <v>45583</v>
      </c>
      <c r="D2970" t="inlineStr">
        <is>
          <t>VÄSTERNORRLANDS LÄN</t>
        </is>
      </c>
      <c r="E2970" t="inlineStr">
        <is>
          <t>SOLLEFTEÅ</t>
        </is>
      </c>
      <c r="F2970" t="inlineStr">
        <is>
          <t>SCA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31481-2024</t>
        </is>
      </c>
      <c r="B2971" s="1" t="n">
        <v>45505</v>
      </c>
      <c r="C2971" s="1" t="n">
        <v>45583</v>
      </c>
      <c r="D2971" t="inlineStr">
        <is>
          <t>VÄSTERNORRLANDS LÄN</t>
        </is>
      </c>
      <c r="E2971" t="inlineStr">
        <is>
          <t>SOLLEFTEÅ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31559-2024</t>
        </is>
      </c>
      <c r="B2972" s="1" t="n">
        <v>45506</v>
      </c>
      <c r="C2972" s="1" t="n">
        <v>45583</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31554-2024</t>
        </is>
      </c>
      <c r="B2973" s="1" t="n">
        <v>45506</v>
      </c>
      <c r="C2973" s="1" t="n">
        <v>45583</v>
      </c>
      <c r="D2973" t="inlineStr">
        <is>
          <t>VÄSTERNORRLANDS LÄN</t>
        </is>
      </c>
      <c r="E2973" t="inlineStr">
        <is>
          <t>SOLLEFTEÅ</t>
        </is>
      </c>
      <c r="F2973" t="inlineStr">
        <is>
          <t>SCA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31550-2024</t>
        </is>
      </c>
      <c r="B2974" s="1" t="n">
        <v>45505</v>
      </c>
      <c r="C2974" s="1" t="n">
        <v>45583</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31477-2024</t>
        </is>
      </c>
      <c r="B2975" s="1" t="n">
        <v>45505</v>
      </c>
      <c r="C2975" s="1" t="n">
        <v>45583</v>
      </c>
      <c r="D2975" t="inlineStr">
        <is>
          <t>VÄSTERNORRLANDS LÄN</t>
        </is>
      </c>
      <c r="E2975" t="inlineStr">
        <is>
          <t>SOLLEFTEÅ</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31528-2024</t>
        </is>
      </c>
      <c r="B2976" s="1" t="n">
        <v>45505</v>
      </c>
      <c r="C2976" s="1" t="n">
        <v>45583</v>
      </c>
      <c r="D2976" t="inlineStr">
        <is>
          <t>VÄSTERNORRLANDS LÄN</t>
        </is>
      </c>
      <c r="E2976" t="inlineStr">
        <is>
          <t>SOLLEFTEÅ</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31520-2024</t>
        </is>
      </c>
      <c r="B2977" s="1" t="n">
        <v>45505</v>
      </c>
      <c r="C2977" s="1" t="n">
        <v>45583</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31516-2024</t>
        </is>
      </c>
      <c r="B2978" s="1" t="n">
        <v>45505</v>
      </c>
      <c r="C2978" s="1" t="n">
        <v>45583</v>
      </c>
      <c r="D2978" t="inlineStr">
        <is>
          <t>VÄSTERNORRLANDS LÄN</t>
        </is>
      </c>
      <c r="E2978" t="inlineStr">
        <is>
          <t>SOLLEFTEÅ</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31569-2024</t>
        </is>
      </c>
      <c r="B2979" s="1" t="n">
        <v>45505</v>
      </c>
      <c r="C2979" s="1" t="n">
        <v>45583</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31548-2024</t>
        </is>
      </c>
      <c r="B2980" s="1" t="n">
        <v>45506</v>
      </c>
      <c r="C2980" s="1" t="n">
        <v>45583</v>
      </c>
      <c r="D2980" t="inlineStr">
        <is>
          <t>VÄSTERNORRLANDS LÄN</t>
        </is>
      </c>
      <c r="E2980" t="inlineStr">
        <is>
          <t>SOLLEFTEÅ</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31680-2024</t>
        </is>
      </c>
      <c r="B2981" s="1" t="n">
        <v>45507</v>
      </c>
      <c r="C2981" s="1" t="n">
        <v>45583</v>
      </c>
      <c r="D2981" t="inlineStr">
        <is>
          <t>VÄSTERNORRLANDS LÄN</t>
        </is>
      </c>
      <c r="E2981" t="inlineStr">
        <is>
          <t>SOLLEFTEÅ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31669-2024</t>
        </is>
      </c>
      <c r="B2982" s="1" t="n">
        <v>45507</v>
      </c>
      <c r="C2982" s="1" t="n">
        <v>45583</v>
      </c>
      <c r="D2982" t="inlineStr">
        <is>
          <t>VÄSTERNORRLANDS LÄN</t>
        </is>
      </c>
      <c r="E2982" t="inlineStr">
        <is>
          <t>SOLLEFTEÅ</t>
        </is>
      </c>
      <c r="F2982" t="inlineStr">
        <is>
          <t>SCA</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31614-2024</t>
        </is>
      </c>
      <c r="B2983" s="1" t="n">
        <v>45506</v>
      </c>
      <c r="C2983" s="1" t="n">
        <v>45583</v>
      </c>
      <c r="D2983" t="inlineStr">
        <is>
          <t>VÄSTERNORRLANDS LÄN</t>
        </is>
      </c>
      <c r="E2983" t="inlineStr">
        <is>
          <t>SOLLEFTEÅ</t>
        </is>
      </c>
      <c r="F2983" t="inlineStr">
        <is>
          <t>Kommuner</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31681-2024</t>
        </is>
      </c>
      <c r="B2984" s="1" t="n">
        <v>45507</v>
      </c>
      <c r="C2984" s="1" t="n">
        <v>45583</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31658-2024</t>
        </is>
      </c>
      <c r="B2985" s="1" t="n">
        <v>45506</v>
      </c>
      <c r="C2985" s="1" t="n">
        <v>45583</v>
      </c>
      <c r="D2985" t="inlineStr">
        <is>
          <t>VÄSTERNORRLANDS LÄN</t>
        </is>
      </c>
      <c r="E2985" t="inlineStr">
        <is>
          <t>SOLLEFTEÅ</t>
        </is>
      </c>
      <c r="G2985" t="n">
        <v>15.5</v>
      </c>
      <c r="H2985" t="n">
        <v>0</v>
      </c>
      <c r="I2985" t="n">
        <v>0</v>
      </c>
      <c r="J2985" t="n">
        <v>0</v>
      </c>
      <c r="K2985" t="n">
        <v>0</v>
      </c>
      <c r="L2985" t="n">
        <v>0</v>
      </c>
      <c r="M2985" t="n">
        <v>0</v>
      </c>
      <c r="N2985" t="n">
        <v>0</v>
      </c>
      <c r="O2985" t="n">
        <v>0</v>
      </c>
      <c r="P2985" t="n">
        <v>0</v>
      </c>
      <c r="Q2985" t="n">
        <v>0</v>
      </c>
      <c r="R2985" s="2" t="inlineStr"/>
    </row>
    <row r="2986" ht="15" customHeight="1">
      <c r="A2986" t="inlineStr">
        <is>
          <t>A 31662-2024</t>
        </is>
      </c>
      <c r="B2986" s="1" t="n">
        <v>45507</v>
      </c>
      <c r="C2986" s="1" t="n">
        <v>45583</v>
      </c>
      <c r="D2986" t="inlineStr">
        <is>
          <t>VÄSTERNORRLANDS LÄN</t>
        </is>
      </c>
      <c r="E2986" t="inlineStr">
        <is>
          <t>SOLLEFTEÅ</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31670-2024</t>
        </is>
      </c>
      <c r="B2987" s="1" t="n">
        <v>45507</v>
      </c>
      <c r="C2987" s="1" t="n">
        <v>45583</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31686-2024</t>
        </is>
      </c>
      <c r="B2988" s="1" t="n">
        <v>45506</v>
      </c>
      <c r="C2988" s="1" t="n">
        <v>45583</v>
      </c>
      <c r="D2988" t="inlineStr">
        <is>
          <t>VÄSTERNORRLANDS LÄN</t>
        </is>
      </c>
      <c r="E2988" t="inlineStr">
        <is>
          <t>SOLLEFTEÅ</t>
        </is>
      </c>
      <c r="F2988" t="inlineStr">
        <is>
          <t>SCA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31708-2024</t>
        </is>
      </c>
      <c r="B2989" s="1" t="n">
        <v>45509</v>
      </c>
      <c r="C2989" s="1" t="n">
        <v>45583</v>
      </c>
      <c r="D2989" t="inlineStr">
        <is>
          <t>VÄSTERNORRLANDS LÄN</t>
        </is>
      </c>
      <c r="E2989" t="inlineStr">
        <is>
          <t>SOLLEFTEÅ</t>
        </is>
      </c>
      <c r="F2989" t="inlineStr">
        <is>
          <t>SCA</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31807-2024</t>
        </is>
      </c>
      <c r="B2990" s="1" t="n">
        <v>45509</v>
      </c>
      <c r="C2990" s="1" t="n">
        <v>45583</v>
      </c>
      <c r="D2990" t="inlineStr">
        <is>
          <t>VÄSTERNORRLANDS LÄN</t>
        </is>
      </c>
      <c r="E2990" t="inlineStr">
        <is>
          <t>SOLLEFTEÅ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31886-2024</t>
        </is>
      </c>
      <c r="B2991" s="1" t="n">
        <v>45510</v>
      </c>
      <c r="C2991" s="1" t="n">
        <v>45583</v>
      </c>
      <c r="D2991" t="inlineStr">
        <is>
          <t>VÄSTERNORRLANDS LÄN</t>
        </is>
      </c>
      <c r="E2991" t="inlineStr">
        <is>
          <t>SOLLEFTEÅ</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31881-2024</t>
        </is>
      </c>
      <c r="B2992" s="1" t="n">
        <v>45509</v>
      </c>
      <c r="C2992" s="1" t="n">
        <v>45583</v>
      </c>
      <c r="D2992" t="inlineStr">
        <is>
          <t>VÄSTERNORRLANDS LÄN</t>
        </is>
      </c>
      <c r="E2992" t="inlineStr">
        <is>
          <t>SOLLEFTEÅ</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31885-2024</t>
        </is>
      </c>
      <c r="B2993" s="1" t="n">
        <v>45510</v>
      </c>
      <c r="C2993" s="1" t="n">
        <v>45583</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31889-2024</t>
        </is>
      </c>
      <c r="B2994" s="1" t="n">
        <v>45510</v>
      </c>
      <c r="C2994" s="1" t="n">
        <v>45583</v>
      </c>
      <c r="D2994" t="inlineStr">
        <is>
          <t>VÄSTERNORRLANDS LÄN</t>
        </is>
      </c>
      <c r="E2994" t="inlineStr">
        <is>
          <t>SOLLEFTEÅ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31880-2024</t>
        </is>
      </c>
      <c r="B2995" s="1" t="n">
        <v>45509</v>
      </c>
      <c r="C2995" s="1" t="n">
        <v>45583</v>
      </c>
      <c r="D2995" t="inlineStr">
        <is>
          <t>VÄSTERNORRLANDS LÄN</t>
        </is>
      </c>
      <c r="E2995" t="inlineStr">
        <is>
          <t>SOLLEFTEÅ</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32062-2024</t>
        </is>
      </c>
      <c r="B2996" s="1" t="n">
        <v>45510</v>
      </c>
      <c r="C2996" s="1" t="n">
        <v>45583</v>
      </c>
      <c r="D2996" t="inlineStr">
        <is>
          <t>VÄSTERNORRLANDS LÄN</t>
        </is>
      </c>
      <c r="E2996" t="inlineStr">
        <is>
          <t>SOLLEFTEÅ</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32052-2024</t>
        </is>
      </c>
      <c r="B2997" s="1" t="n">
        <v>45511</v>
      </c>
      <c r="C2997" s="1" t="n">
        <v>45583</v>
      </c>
      <c r="D2997" t="inlineStr">
        <is>
          <t>VÄSTERNORRLANDS LÄN</t>
        </is>
      </c>
      <c r="E2997" t="inlineStr">
        <is>
          <t>SOLLEFTEÅ</t>
        </is>
      </c>
      <c r="F2997" t="inlineStr">
        <is>
          <t>SCA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32071-2024</t>
        </is>
      </c>
      <c r="B2998" s="1" t="n">
        <v>45511</v>
      </c>
      <c r="C2998" s="1" t="n">
        <v>45583</v>
      </c>
      <c r="D2998" t="inlineStr">
        <is>
          <t>VÄSTERNORRLANDS LÄN</t>
        </is>
      </c>
      <c r="E2998" t="inlineStr">
        <is>
          <t>SOLLEFTEÅ</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32242-2024</t>
        </is>
      </c>
      <c r="B2999" s="1" t="n">
        <v>45512</v>
      </c>
      <c r="C2999" s="1" t="n">
        <v>45583</v>
      </c>
      <c r="D2999" t="inlineStr">
        <is>
          <t>VÄSTERNORRLANDS LÄN</t>
        </is>
      </c>
      <c r="E2999" t="inlineStr">
        <is>
          <t>SOLLEFTEÅ</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32255-2024</t>
        </is>
      </c>
      <c r="B3000" s="1" t="n">
        <v>45512</v>
      </c>
      <c r="C3000" s="1" t="n">
        <v>45583</v>
      </c>
      <c r="D3000" t="inlineStr">
        <is>
          <t>VÄSTERNORRLANDS LÄN</t>
        </is>
      </c>
      <c r="E3000" t="inlineStr">
        <is>
          <t>SOLLEFTEÅ</t>
        </is>
      </c>
      <c r="F3000" t="inlineStr">
        <is>
          <t>SCA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32140-2024</t>
        </is>
      </c>
      <c r="B3001" s="1" t="n">
        <v>45511</v>
      </c>
      <c r="C3001" s="1" t="n">
        <v>45583</v>
      </c>
      <c r="D3001" t="inlineStr">
        <is>
          <t>VÄSTERNORRLANDS LÄN</t>
        </is>
      </c>
      <c r="E3001" t="inlineStr">
        <is>
          <t>SOLLEFTEÅ</t>
        </is>
      </c>
      <c r="F3001" t="inlineStr">
        <is>
          <t>Holmen skog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32157-2024</t>
        </is>
      </c>
      <c r="B3002" s="1" t="n">
        <v>45511</v>
      </c>
      <c r="C3002" s="1" t="n">
        <v>45583</v>
      </c>
      <c r="D3002" t="inlineStr">
        <is>
          <t>VÄSTERNORRLANDS LÄN</t>
        </is>
      </c>
      <c r="E3002" t="inlineStr">
        <is>
          <t>SOLLEFTEÅ</t>
        </is>
      </c>
      <c r="F3002" t="inlineStr">
        <is>
          <t>Holmen skog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32459-2024</t>
        </is>
      </c>
      <c r="B3003" s="1" t="n">
        <v>45512</v>
      </c>
      <c r="C3003" s="1" t="n">
        <v>45583</v>
      </c>
      <c r="D3003" t="inlineStr">
        <is>
          <t>VÄSTERNORRLANDS LÄN</t>
        </is>
      </c>
      <c r="E3003" t="inlineStr">
        <is>
          <t>SOLLEFTEÅ</t>
        </is>
      </c>
      <c r="F3003" t="inlineStr">
        <is>
          <t>SCA</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32467-2024</t>
        </is>
      </c>
      <c r="B3004" s="1" t="n">
        <v>45512</v>
      </c>
      <c r="C3004" s="1" t="n">
        <v>45583</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32754-2024</t>
        </is>
      </c>
      <c r="B3005" s="1" t="n">
        <v>45516</v>
      </c>
      <c r="C3005" s="1" t="n">
        <v>45583</v>
      </c>
      <c r="D3005" t="inlineStr">
        <is>
          <t>VÄSTERNORRLANDS LÄN</t>
        </is>
      </c>
      <c r="E3005" t="inlineStr">
        <is>
          <t>SOLLEFTEÅ</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32924-2024</t>
        </is>
      </c>
      <c r="B3006" s="1" t="n">
        <v>45517</v>
      </c>
      <c r="C3006" s="1" t="n">
        <v>45583</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32812-2024</t>
        </is>
      </c>
      <c r="B3007" s="1" t="n">
        <v>45516</v>
      </c>
      <c r="C3007" s="1" t="n">
        <v>45583</v>
      </c>
      <c r="D3007" t="inlineStr">
        <is>
          <t>VÄSTERNORRLANDS LÄN</t>
        </is>
      </c>
      <c r="E3007" t="inlineStr">
        <is>
          <t>SOLLEFTEÅ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32702-2024</t>
        </is>
      </c>
      <c r="B3008" s="1" t="n">
        <v>45516</v>
      </c>
      <c r="C3008" s="1" t="n">
        <v>45583</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33110-2024</t>
        </is>
      </c>
      <c r="B3009" s="1" t="n">
        <v>45517</v>
      </c>
      <c r="C3009" s="1" t="n">
        <v>45583</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33111-2024</t>
        </is>
      </c>
      <c r="B3010" s="1" t="n">
        <v>45517</v>
      </c>
      <c r="C3010" s="1" t="n">
        <v>45583</v>
      </c>
      <c r="D3010" t="inlineStr">
        <is>
          <t>VÄSTERNORRLANDS LÄN</t>
        </is>
      </c>
      <c r="E3010" t="inlineStr">
        <is>
          <t>SOLLEFTEÅ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33031-2024</t>
        </is>
      </c>
      <c r="B3011" s="1" t="n">
        <v>45517</v>
      </c>
      <c r="C3011" s="1" t="n">
        <v>45583</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33241-2024</t>
        </is>
      </c>
      <c r="B3012" s="1" t="n">
        <v>45518</v>
      </c>
      <c r="C3012" s="1" t="n">
        <v>45583</v>
      </c>
      <c r="D3012" t="inlineStr">
        <is>
          <t>VÄSTERNORRLANDS LÄN</t>
        </is>
      </c>
      <c r="E3012" t="inlineStr">
        <is>
          <t>SOLLEFTEÅ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33316-2024</t>
        </is>
      </c>
      <c r="B3013" s="1" t="n">
        <v>45519</v>
      </c>
      <c r="C3013" s="1" t="n">
        <v>45583</v>
      </c>
      <c r="D3013" t="inlineStr">
        <is>
          <t>VÄSTERNORRLANDS LÄN</t>
        </is>
      </c>
      <c r="E3013" t="inlineStr">
        <is>
          <t>SOLLEFTEÅ</t>
        </is>
      </c>
      <c r="F3013" t="inlineStr">
        <is>
          <t>SCA</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33312-2024</t>
        </is>
      </c>
      <c r="B3014" s="1" t="n">
        <v>45519</v>
      </c>
      <c r="C3014" s="1" t="n">
        <v>45583</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33141-2024</t>
        </is>
      </c>
      <c r="B3015" s="1" t="n">
        <v>45518</v>
      </c>
      <c r="C3015" s="1" t="n">
        <v>45583</v>
      </c>
      <c r="D3015" t="inlineStr">
        <is>
          <t>VÄSTERNORRLANDS LÄN</t>
        </is>
      </c>
      <c r="E3015" t="inlineStr">
        <is>
          <t>SOLLEFTEÅ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33134-2024</t>
        </is>
      </c>
      <c r="B3016" s="1" t="n">
        <v>45518</v>
      </c>
      <c r="C3016" s="1" t="n">
        <v>45583</v>
      </c>
      <c r="D3016" t="inlineStr">
        <is>
          <t>VÄSTERNORRLANDS LÄN</t>
        </is>
      </c>
      <c r="E3016" t="inlineStr">
        <is>
          <t>SOLLEFTEÅ</t>
        </is>
      </c>
      <c r="F3016" t="inlineStr">
        <is>
          <t>Holmen skog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33314-2024</t>
        </is>
      </c>
      <c r="B3017" s="1" t="n">
        <v>45519</v>
      </c>
      <c r="C3017" s="1" t="n">
        <v>45583</v>
      </c>
      <c r="D3017" t="inlineStr">
        <is>
          <t>VÄSTERNORRLANDS LÄN</t>
        </is>
      </c>
      <c r="E3017" t="inlineStr">
        <is>
          <t>SOLLEFTEÅ</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33332-2024</t>
        </is>
      </c>
      <c r="B3018" s="1" t="n">
        <v>45519</v>
      </c>
      <c r="C3018" s="1" t="n">
        <v>45583</v>
      </c>
      <c r="D3018" t="inlineStr">
        <is>
          <t>VÄSTERNORRLANDS LÄN</t>
        </is>
      </c>
      <c r="E3018" t="inlineStr">
        <is>
          <t>SOLLEFTEÅ</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33490-2024</t>
        </is>
      </c>
      <c r="B3019" s="1" t="n">
        <v>45519</v>
      </c>
      <c r="C3019" s="1" t="n">
        <v>45583</v>
      </c>
      <c r="D3019" t="inlineStr">
        <is>
          <t>VÄSTERNORRLANDS LÄN</t>
        </is>
      </c>
      <c r="E3019" t="inlineStr">
        <is>
          <t>SOLLEFTEÅ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33617-2024</t>
        </is>
      </c>
      <c r="B3020" s="1" t="n">
        <v>45520</v>
      </c>
      <c r="C3020" s="1" t="n">
        <v>45583</v>
      </c>
      <c r="D3020" t="inlineStr">
        <is>
          <t>VÄSTERNORRLANDS LÄN</t>
        </is>
      </c>
      <c r="E3020" t="inlineStr">
        <is>
          <t>SOLLEFTEÅ</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33628-2024</t>
        </is>
      </c>
      <c r="B3021" s="1" t="n">
        <v>45520</v>
      </c>
      <c r="C3021" s="1" t="n">
        <v>45583</v>
      </c>
      <c r="D3021" t="inlineStr">
        <is>
          <t>VÄSTERNORRLANDS LÄN</t>
        </is>
      </c>
      <c r="E3021" t="inlineStr">
        <is>
          <t>SOLLEFTEÅ</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33677-2024</t>
        </is>
      </c>
      <c r="B3022" s="1" t="n">
        <v>45520</v>
      </c>
      <c r="C3022" s="1" t="n">
        <v>45583</v>
      </c>
      <c r="D3022" t="inlineStr">
        <is>
          <t>VÄSTERNORRLANDS LÄN</t>
        </is>
      </c>
      <c r="E3022" t="inlineStr">
        <is>
          <t>SOLLEFTEÅ</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33739-2024</t>
        </is>
      </c>
      <c r="B3023" s="1" t="n">
        <v>45520</v>
      </c>
      <c r="C3023" s="1" t="n">
        <v>45583</v>
      </c>
      <c r="D3023" t="inlineStr">
        <is>
          <t>VÄSTERNORRLANDS LÄN</t>
        </is>
      </c>
      <c r="E3023" t="inlineStr">
        <is>
          <t>SOLLEFTEÅ</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33656-2024</t>
        </is>
      </c>
      <c r="B3024" s="1" t="n">
        <v>45520</v>
      </c>
      <c r="C3024" s="1" t="n">
        <v>45583</v>
      </c>
      <c r="D3024" t="inlineStr">
        <is>
          <t>VÄSTERNORRLANDS LÄN</t>
        </is>
      </c>
      <c r="E3024" t="inlineStr">
        <is>
          <t>SOLLEFTEÅ</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33799-2024</t>
        </is>
      </c>
      <c r="B3025" s="1" t="n">
        <v>45520</v>
      </c>
      <c r="C3025" s="1" t="n">
        <v>45583</v>
      </c>
      <c r="D3025" t="inlineStr">
        <is>
          <t>VÄSTERNORRLANDS LÄN</t>
        </is>
      </c>
      <c r="E3025" t="inlineStr">
        <is>
          <t>SOLLEFTEÅ</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33815-2024</t>
        </is>
      </c>
      <c r="B3026" s="1" t="n">
        <v>45520</v>
      </c>
      <c r="C3026" s="1" t="n">
        <v>45583</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34318-2024</t>
        </is>
      </c>
      <c r="B3027" s="1" t="n">
        <v>45524</v>
      </c>
      <c r="C3027" s="1" t="n">
        <v>45583</v>
      </c>
      <c r="D3027" t="inlineStr">
        <is>
          <t>VÄSTERNORRLANDS LÄN</t>
        </is>
      </c>
      <c r="E3027" t="inlineStr">
        <is>
          <t>SOLLEFTEÅ</t>
        </is>
      </c>
      <c r="F3027" t="inlineStr">
        <is>
          <t>Övriga statliga verk och myndigheter</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34216-2024</t>
        </is>
      </c>
      <c r="B3028" s="1" t="n">
        <v>45524</v>
      </c>
      <c r="C3028" s="1" t="n">
        <v>45583</v>
      </c>
      <c r="D3028" t="inlineStr">
        <is>
          <t>VÄSTERNORRLANDS LÄN</t>
        </is>
      </c>
      <c r="E3028" t="inlineStr">
        <is>
          <t>SOLLEFTEÅ</t>
        </is>
      </c>
      <c r="F3028" t="inlineStr">
        <is>
          <t>Kommuner</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34313-2024</t>
        </is>
      </c>
      <c r="B3029" s="1" t="n">
        <v>45524</v>
      </c>
      <c r="C3029" s="1" t="n">
        <v>45583</v>
      </c>
      <c r="D3029" t="inlineStr">
        <is>
          <t>VÄSTERNORRLANDS LÄN</t>
        </is>
      </c>
      <c r="E3029" t="inlineStr">
        <is>
          <t>SOLLEFTEÅ</t>
        </is>
      </c>
      <c r="F3029" t="inlineStr">
        <is>
          <t>Övriga statliga verk och myndigheter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34316-2024</t>
        </is>
      </c>
      <c r="B3030" s="1" t="n">
        <v>45524</v>
      </c>
      <c r="C3030" s="1" t="n">
        <v>45583</v>
      </c>
      <c r="D3030" t="inlineStr">
        <is>
          <t>VÄSTERNORRLANDS LÄN</t>
        </is>
      </c>
      <c r="E3030" t="inlineStr">
        <is>
          <t>SOLLEFTEÅ</t>
        </is>
      </c>
      <c r="F3030" t="inlineStr">
        <is>
          <t>Övriga statliga verk och myndigheter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34398-2024</t>
        </is>
      </c>
      <c r="B3031" s="1" t="n">
        <v>45525</v>
      </c>
      <c r="C3031" s="1" t="n">
        <v>45583</v>
      </c>
      <c r="D3031" t="inlineStr">
        <is>
          <t>VÄSTERNORRLANDS LÄN</t>
        </is>
      </c>
      <c r="E3031" t="inlineStr">
        <is>
          <t>SOLLEFTEÅ</t>
        </is>
      </c>
      <c r="F3031" t="inlineStr">
        <is>
          <t>Holmen skog AB</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34458-2024</t>
        </is>
      </c>
      <c r="B3032" s="1" t="n">
        <v>45525</v>
      </c>
      <c r="C3032" s="1" t="n">
        <v>45583</v>
      </c>
      <c r="D3032" t="inlineStr">
        <is>
          <t>VÄSTERNORRLANDS LÄN</t>
        </is>
      </c>
      <c r="E3032" t="inlineStr">
        <is>
          <t>SOLLEFTEÅ</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34388-2024</t>
        </is>
      </c>
      <c r="B3033" s="1" t="n">
        <v>45525</v>
      </c>
      <c r="C3033" s="1" t="n">
        <v>45583</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34376-2024</t>
        </is>
      </c>
      <c r="B3034" s="1" t="n">
        <v>45525</v>
      </c>
      <c r="C3034" s="1" t="n">
        <v>45583</v>
      </c>
      <c r="D3034" t="inlineStr">
        <is>
          <t>VÄSTERNORRLANDS LÄN</t>
        </is>
      </c>
      <c r="E3034" t="inlineStr">
        <is>
          <t>SOLLEFTEÅ</t>
        </is>
      </c>
      <c r="F3034" t="inlineStr">
        <is>
          <t>Övriga statliga verk och myndigheter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34460-2024</t>
        </is>
      </c>
      <c r="B3035" s="1" t="n">
        <v>45525</v>
      </c>
      <c r="C3035" s="1" t="n">
        <v>45583</v>
      </c>
      <c r="D3035" t="inlineStr">
        <is>
          <t>VÄSTERNORRLANDS LÄN</t>
        </is>
      </c>
      <c r="E3035" t="inlineStr">
        <is>
          <t>SOLLEFTEÅ</t>
        </is>
      </c>
      <c r="F3035" t="inlineStr">
        <is>
          <t>Kommuner</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34640-2024</t>
        </is>
      </c>
      <c r="B3036" s="1" t="n">
        <v>45526</v>
      </c>
      <c r="C3036" s="1" t="n">
        <v>45583</v>
      </c>
      <c r="D3036" t="inlineStr">
        <is>
          <t>VÄSTERNORRLANDS LÄN</t>
        </is>
      </c>
      <c r="E3036" t="inlineStr">
        <is>
          <t>SOLLEFTEÅ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34700-2024</t>
        </is>
      </c>
      <c r="B3037" s="1" t="n">
        <v>45526</v>
      </c>
      <c r="C3037" s="1" t="n">
        <v>45583</v>
      </c>
      <c r="D3037" t="inlineStr">
        <is>
          <t>VÄSTERNORRLANDS LÄN</t>
        </is>
      </c>
      <c r="E3037" t="inlineStr">
        <is>
          <t>SOLLEFTEÅ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34560-2024</t>
        </is>
      </c>
      <c r="B3038" s="1" t="n">
        <v>45526</v>
      </c>
      <c r="C3038" s="1" t="n">
        <v>45583</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34765-2024</t>
        </is>
      </c>
      <c r="B3039" s="1" t="n">
        <v>45526</v>
      </c>
      <c r="C3039" s="1" t="n">
        <v>45583</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34638-2024</t>
        </is>
      </c>
      <c r="B3040" s="1" t="n">
        <v>45526</v>
      </c>
      <c r="C3040" s="1" t="n">
        <v>45583</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34878-2024</t>
        </is>
      </c>
      <c r="B3041" s="1" t="n">
        <v>45527</v>
      </c>
      <c r="C3041" s="1" t="n">
        <v>45583</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35217-2024</t>
        </is>
      </c>
      <c r="B3042" s="1" t="n">
        <v>45530</v>
      </c>
      <c r="C3042" s="1" t="n">
        <v>45583</v>
      </c>
      <c r="D3042" t="inlineStr">
        <is>
          <t>VÄSTERNORRLANDS LÄN</t>
        </is>
      </c>
      <c r="E3042" t="inlineStr">
        <is>
          <t>SOLLEFTEÅ</t>
        </is>
      </c>
      <c r="F3042" t="inlineStr">
        <is>
          <t>Kommuner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35391-2024</t>
        </is>
      </c>
      <c r="B3043" s="1" t="n">
        <v>45531</v>
      </c>
      <c r="C3043" s="1" t="n">
        <v>45583</v>
      </c>
      <c r="D3043" t="inlineStr">
        <is>
          <t>VÄSTERNORRLANDS LÄN</t>
        </is>
      </c>
      <c r="E3043" t="inlineStr">
        <is>
          <t>SOLLEFTEÅ</t>
        </is>
      </c>
      <c r="F3043" t="inlineStr">
        <is>
          <t>SCA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35417-2024</t>
        </is>
      </c>
      <c r="B3044" s="1" t="n">
        <v>45531</v>
      </c>
      <c r="C3044" s="1" t="n">
        <v>45583</v>
      </c>
      <c r="D3044" t="inlineStr">
        <is>
          <t>VÄSTERNORRLANDS LÄN</t>
        </is>
      </c>
      <c r="E3044" t="inlineStr">
        <is>
          <t>SOLLEFTEÅ</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35469-2024</t>
        </is>
      </c>
      <c r="B3045" s="1" t="n">
        <v>45531</v>
      </c>
      <c r="C3045" s="1" t="n">
        <v>45583</v>
      </c>
      <c r="D3045" t="inlineStr">
        <is>
          <t>VÄSTERNORRLANDS LÄN</t>
        </is>
      </c>
      <c r="E3045" t="inlineStr">
        <is>
          <t>SOLLEFTEÅ</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35502-2024</t>
        </is>
      </c>
      <c r="B3046" s="1" t="n">
        <v>45531</v>
      </c>
      <c r="C3046" s="1" t="n">
        <v>45583</v>
      </c>
      <c r="D3046" t="inlineStr">
        <is>
          <t>VÄSTERNORRLANDS LÄN</t>
        </is>
      </c>
      <c r="E3046" t="inlineStr">
        <is>
          <t>SOLLEFTEÅ</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35420-2024</t>
        </is>
      </c>
      <c r="B3047" s="1" t="n">
        <v>45531</v>
      </c>
      <c r="C3047" s="1" t="n">
        <v>45583</v>
      </c>
      <c r="D3047" t="inlineStr">
        <is>
          <t>VÄSTERNORRLANDS LÄN</t>
        </is>
      </c>
      <c r="E3047" t="inlineStr">
        <is>
          <t>SOLLEFTEÅ</t>
        </is>
      </c>
      <c r="F3047" t="inlineStr">
        <is>
          <t>SCA</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35509-2024</t>
        </is>
      </c>
      <c r="B3048" s="1" t="n">
        <v>45531</v>
      </c>
      <c r="C3048" s="1" t="n">
        <v>45583</v>
      </c>
      <c r="D3048" t="inlineStr">
        <is>
          <t>VÄSTERNORRLANDS LÄN</t>
        </is>
      </c>
      <c r="E3048" t="inlineStr">
        <is>
          <t>SOLLEFTEÅ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35513-2024</t>
        </is>
      </c>
      <c r="B3049" s="1" t="n">
        <v>45531</v>
      </c>
      <c r="C3049" s="1" t="n">
        <v>45583</v>
      </c>
      <c r="D3049" t="inlineStr">
        <is>
          <t>VÄSTERNORRLANDS LÄN</t>
        </is>
      </c>
      <c r="E3049" t="inlineStr">
        <is>
          <t>SOLLEFTEÅ</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35463-2024</t>
        </is>
      </c>
      <c r="B3050" s="1" t="n">
        <v>45531</v>
      </c>
      <c r="C3050" s="1" t="n">
        <v>45583</v>
      </c>
      <c r="D3050" t="inlineStr">
        <is>
          <t>VÄSTERNORRLANDS LÄN</t>
        </is>
      </c>
      <c r="E3050" t="inlineStr">
        <is>
          <t>SOLLEFTEÅ</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35508-2024</t>
        </is>
      </c>
      <c r="B3051" s="1" t="n">
        <v>45531</v>
      </c>
      <c r="C3051" s="1" t="n">
        <v>45583</v>
      </c>
      <c r="D3051" t="inlineStr">
        <is>
          <t>VÄSTERNORRLANDS LÄN</t>
        </is>
      </c>
      <c r="E3051" t="inlineStr">
        <is>
          <t>SOLLEFTEÅ</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35673-2024</t>
        </is>
      </c>
      <c r="B3052" s="1" t="n">
        <v>45532</v>
      </c>
      <c r="C3052" s="1" t="n">
        <v>45583</v>
      </c>
      <c r="D3052" t="inlineStr">
        <is>
          <t>VÄSTERNORRLANDS LÄN</t>
        </is>
      </c>
      <c r="E3052" t="inlineStr">
        <is>
          <t>SOLLEFTEÅ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35794-2024</t>
        </is>
      </c>
      <c r="B3053" s="1" t="n">
        <v>45532</v>
      </c>
      <c r="C3053" s="1" t="n">
        <v>45583</v>
      </c>
      <c r="D3053" t="inlineStr">
        <is>
          <t>VÄSTERNORRLANDS LÄN</t>
        </is>
      </c>
      <c r="E3053" t="inlineStr">
        <is>
          <t>SOLLEFTEÅ</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35795-2024</t>
        </is>
      </c>
      <c r="B3054" s="1" t="n">
        <v>45532</v>
      </c>
      <c r="C3054" s="1" t="n">
        <v>45583</v>
      </c>
      <c r="D3054" t="inlineStr">
        <is>
          <t>VÄSTERNORRLANDS LÄN</t>
        </is>
      </c>
      <c r="E3054" t="inlineStr">
        <is>
          <t>SOLLEFTEÅ</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35803-2024</t>
        </is>
      </c>
      <c r="B3055" s="1" t="n">
        <v>45532</v>
      </c>
      <c r="C3055" s="1" t="n">
        <v>45583</v>
      </c>
      <c r="D3055" t="inlineStr">
        <is>
          <t>VÄSTERNORRLANDS LÄN</t>
        </is>
      </c>
      <c r="E3055" t="inlineStr">
        <is>
          <t>SOLLEFTEÅ</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35827-2024</t>
        </is>
      </c>
      <c r="B3056" s="1" t="n">
        <v>45532</v>
      </c>
      <c r="C3056" s="1" t="n">
        <v>45583</v>
      </c>
      <c r="D3056" t="inlineStr">
        <is>
          <t>VÄSTERNORRLANDS LÄN</t>
        </is>
      </c>
      <c r="E3056" t="inlineStr">
        <is>
          <t>SOLLEFTEÅ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35793-2024</t>
        </is>
      </c>
      <c r="B3057" s="1" t="n">
        <v>45532</v>
      </c>
      <c r="C3057" s="1" t="n">
        <v>45583</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35873-2024</t>
        </is>
      </c>
      <c r="B3058" s="1" t="n">
        <v>45533</v>
      </c>
      <c r="C3058" s="1" t="n">
        <v>45583</v>
      </c>
      <c r="D3058" t="inlineStr">
        <is>
          <t>VÄSTERNORRLANDS LÄN</t>
        </is>
      </c>
      <c r="E3058" t="inlineStr">
        <is>
          <t>SOLLEFTEÅ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35905-2024</t>
        </is>
      </c>
      <c r="B3059" s="1" t="n">
        <v>45533</v>
      </c>
      <c r="C3059" s="1" t="n">
        <v>45583</v>
      </c>
      <c r="D3059" t="inlineStr">
        <is>
          <t>VÄSTERNORRLANDS LÄN</t>
        </is>
      </c>
      <c r="E3059" t="inlineStr">
        <is>
          <t>SOLLEFTEÅ</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35872-2024</t>
        </is>
      </c>
      <c r="B3060" s="1" t="n">
        <v>45533</v>
      </c>
      <c r="C3060" s="1" t="n">
        <v>45583</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35875-2024</t>
        </is>
      </c>
      <c r="B3061" s="1" t="n">
        <v>45533</v>
      </c>
      <c r="C3061" s="1" t="n">
        <v>45583</v>
      </c>
      <c r="D3061" t="inlineStr">
        <is>
          <t>VÄSTERNORRLANDS LÄN</t>
        </is>
      </c>
      <c r="E3061" t="inlineStr">
        <is>
          <t>SOLLEFTEÅ</t>
        </is>
      </c>
      <c r="F3061" t="inlineStr">
        <is>
          <t>SCA</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36039-2024</t>
        </is>
      </c>
      <c r="B3062" s="1" t="n">
        <v>45533</v>
      </c>
      <c r="C3062" s="1" t="n">
        <v>45583</v>
      </c>
      <c r="D3062" t="inlineStr">
        <is>
          <t>VÄSTERNORRLANDS LÄN</t>
        </is>
      </c>
      <c r="E3062" t="inlineStr">
        <is>
          <t>SOLLEFTEÅ</t>
        </is>
      </c>
      <c r="F3062" t="inlineStr">
        <is>
          <t>Holmen skog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36009-2024</t>
        </is>
      </c>
      <c r="B3063" s="1" t="n">
        <v>45533</v>
      </c>
      <c r="C3063" s="1" t="n">
        <v>45583</v>
      </c>
      <c r="D3063" t="inlineStr">
        <is>
          <t>VÄSTERNORRLANDS LÄN</t>
        </is>
      </c>
      <c r="E3063" t="inlineStr">
        <is>
          <t>SOLLEFTEÅ</t>
        </is>
      </c>
      <c r="F3063" t="inlineStr">
        <is>
          <t>Holmen skog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36004-2024</t>
        </is>
      </c>
      <c r="B3064" s="1" t="n">
        <v>45533</v>
      </c>
      <c r="C3064" s="1" t="n">
        <v>45583</v>
      </c>
      <c r="D3064" t="inlineStr">
        <is>
          <t>VÄSTERNORRLANDS LÄN</t>
        </is>
      </c>
      <c r="E3064" t="inlineStr">
        <is>
          <t>SOLLEFTEÅ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36137-2024</t>
        </is>
      </c>
      <c r="B3065" s="1" t="n">
        <v>45534</v>
      </c>
      <c r="C3065" s="1" t="n">
        <v>45583</v>
      </c>
      <c r="D3065" t="inlineStr">
        <is>
          <t>VÄSTERNORRLANDS LÄN</t>
        </is>
      </c>
      <c r="E3065" t="inlineStr">
        <is>
          <t>SOLLEFTEÅ</t>
        </is>
      </c>
      <c r="G3065" t="n">
        <v>17.9</v>
      </c>
      <c r="H3065" t="n">
        <v>0</v>
      </c>
      <c r="I3065" t="n">
        <v>0</v>
      </c>
      <c r="J3065" t="n">
        <v>0</v>
      </c>
      <c r="K3065" t="n">
        <v>0</v>
      </c>
      <c r="L3065" t="n">
        <v>0</v>
      </c>
      <c r="M3065" t="n">
        <v>0</v>
      </c>
      <c r="N3065" t="n">
        <v>0</v>
      </c>
      <c r="O3065" t="n">
        <v>0</v>
      </c>
      <c r="P3065" t="n">
        <v>0</v>
      </c>
      <c r="Q3065" t="n">
        <v>0</v>
      </c>
      <c r="R3065" s="2" t="inlineStr"/>
    </row>
    <row r="3066" ht="15" customHeight="1">
      <c r="A3066" t="inlineStr">
        <is>
          <t>A 36141-2024</t>
        </is>
      </c>
      <c r="B3066" s="1" t="n">
        <v>45534</v>
      </c>
      <c r="C3066" s="1" t="n">
        <v>45583</v>
      </c>
      <c r="D3066" t="inlineStr">
        <is>
          <t>VÄSTERNORRLANDS LÄN</t>
        </is>
      </c>
      <c r="E3066" t="inlineStr">
        <is>
          <t>SOLLEFTEÅ</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36139-2024</t>
        </is>
      </c>
      <c r="B3067" s="1" t="n">
        <v>45534</v>
      </c>
      <c r="C3067" s="1" t="n">
        <v>45583</v>
      </c>
      <c r="D3067" t="inlineStr">
        <is>
          <t>VÄSTERNORRLANDS LÄN</t>
        </is>
      </c>
      <c r="E3067" t="inlineStr">
        <is>
          <t>SOLLEFTEÅ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36142-2024</t>
        </is>
      </c>
      <c r="B3068" s="1" t="n">
        <v>45534</v>
      </c>
      <c r="C3068" s="1" t="n">
        <v>45583</v>
      </c>
      <c r="D3068" t="inlineStr">
        <is>
          <t>VÄSTERNORRLANDS LÄN</t>
        </is>
      </c>
      <c r="E3068" t="inlineStr">
        <is>
          <t>SOLLEFTEÅ</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36322-2024</t>
        </is>
      </c>
      <c r="B3069" s="1" t="n">
        <v>45534</v>
      </c>
      <c r="C3069" s="1" t="n">
        <v>45583</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36144-2024</t>
        </is>
      </c>
      <c r="B3070" s="1" t="n">
        <v>45534</v>
      </c>
      <c r="C3070" s="1" t="n">
        <v>45583</v>
      </c>
      <c r="D3070" t="inlineStr">
        <is>
          <t>VÄSTERNORRLANDS LÄN</t>
        </is>
      </c>
      <c r="E3070" t="inlineStr">
        <is>
          <t>SOLLEFTEÅ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36337-2024</t>
        </is>
      </c>
      <c r="B3071" s="1" t="n">
        <v>45534</v>
      </c>
      <c r="C3071" s="1" t="n">
        <v>45583</v>
      </c>
      <c r="D3071" t="inlineStr">
        <is>
          <t>VÄSTERNORRLANDS LÄN</t>
        </is>
      </c>
      <c r="E3071" t="inlineStr">
        <is>
          <t>SOLLEFTEÅ</t>
        </is>
      </c>
      <c r="F3071" t="inlineStr">
        <is>
          <t>SCA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36341-2024</t>
        </is>
      </c>
      <c r="B3072" s="1" t="n">
        <v>45534</v>
      </c>
      <c r="C3072" s="1" t="n">
        <v>45583</v>
      </c>
      <c r="D3072" t="inlineStr">
        <is>
          <t>VÄSTERNORRLANDS LÄN</t>
        </is>
      </c>
      <c r="E3072" t="inlineStr">
        <is>
          <t>SOLLEFTEÅ</t>
        </is>
      </c>
      <c r="F3072" t="inlineStr">
        <is>
          <t>SCA</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36319-2024</t>
        </is>
      </c>
      <c r="B3073" s="1" t="n">
        <v>45534</v>
      </c>
      <c r="C3073" s="1" t="n">
        <v>45583</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36352-2024</t>
        </is>
      </c>
      <c r="B3074" s="1" t="n">
        <v>45534</v>
      </c>
      <c r="C3074" s="1" t="n">
        <v>45583</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36463-2024</t>
        </is>
      </c>
      <c r="B3075" s="1" t="n">
        <v>45537</v>
      </c>
      <c r="C3075" s="1" t="n">
        <v>45583</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36471-2024</t>
        </is>
      </c>
      <c r="B3076" s="1" t="n">
        <v>45537</v>
      </c>
      <c r="C3076" s="1" t="n">
        <v>45583</v>
      </c>
      <c r="D3076" t="inlineStr">
        <is>
          <t>VÄSTERNORRLANDS LÄN</t>
        </is>
      </c>
      <c r="E3076" t="inlineStr">
        <is>
          <t>SOLLEFTEÅ</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36685-2024</t>
        </is>
      </c>
      <c r="B3077" s="1" t="n">
        <v>45537</v>
      </c>
      <c r="C3077" s="1" t="n">
        <v>45583</v>
      </c>
      <c r="D3077" t="inlineStr">
        <is>
          <t>VÄSTERNORRLANDS LÄN</t>
        </is>
      </c>
      <c r="E3077" t="inlineStr">
        <is>
          <t>SOLLEFTEÅ</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37197-2024</t>
        </is>
      </c>
      <c r="B3078" s="1" t="n">
        <v>45539</v>
      </c>
      <c r="C3078" s="1" t="n">
        <v>45583</v>
      </c>
      <c r="D3078" t="inlineStr">
        <is>
          <t>VÄSTERNORRLANDS LÄN</t>
        </is>
      </c>
      <c r="E3078" t="inlineStr">
        <is>
          <t>SOLLEFTEÅ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37201-2024</t>
        </is>
      </c>
      <c r="B3079" s="1" t="n">
        <v>45539</v>
      </c>
      <c r="C3079" s="1" t="n">
        <v>45583</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37046-2024</t>
        </is>
      </c>
      <c r="B3080" s="1" t="n">
        <v>45539</v>
      </c>
      <c r="C3080" s="1" t="n">
        <v>45583</v>
      </c>
      <c r="D3080" t="inlineStr">
        <is>
          <t>VÄSTERNORRLANDS LÄN</t>
        </is>
      </c>
      <c r="E3080" t="inlineStr">
        <is>
          <t>SOLLEFTEÅ</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37269-2024</t>
        </is>
      </c>
      <c r="B3081" s="1" t="n">
        <v>45540</v>
      </c>
      <c r="C3081" s="1" t="n">
        <v>45583</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37354-2024</t>
        </is>
      </c>
      <c r="B3082" s="1" t="n">
        <v>45540</v>
      </c>
      <c r="C3082" s="1" t="n">
        <v>45583</v>
      </c>
      <c r="D3082" t="inlineStr">
        <is>
          <t>VÄSTERNORRLANDS LÄN</t>
        </is>
      </c>
      <c r="E3082" t="inlineStr">
        <is>
          <t>SOLLEFTEÅ</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38054-2024</t>
        </is>
      </c>
      <c r="B3083" s="1" t="n">
        <v>45544</v>
      </c>
      <c r="C3083" s="1" t="n">
        <v>45583</v>
      </c>
      <c r="D3083" t="inlineStr">
        <is>
          <t>VÄSTERNORRLANDS LÄN</t>
        </is>
      </c>
      <c r="E3083" t="inlineStr">
        <is>
          <t>SOLLEFTEÅ</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38053-2024</t>
        </is>
      </c>
      <c r="B3084" s="1" t="n">
        <v>45544</v>
      </c>
      <c r="C3084" s="1" t="n">
        <v>45583</v>
      </c>
      <c r="D3084" t="inlineStr">
        <is>
          <t>VÄSTERNORRLANDS LÄN</t>
        </is>
      </c>
      <c r="E3084" t="inlineStr">
        <is>
          <t>SOLLEFTEÅ</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38095-2024</t>
        </is>
      </c>
      <c r="B3085" s="1" t="n">
        <v>45545</v>
      </c>
      <c r="C3085" s="1" t="n">
        <v>45583</v>
      </c>
      <c r="D3085" t="inlineStr">
        <is>
          <t>VÄSTERNORRLANDS LÄN</t>
        </is>
      </c>
      <c r="E3085" t="inlineStr">
        <is>
          <t>SOLLEFTEÅ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38231-2024</t>
        </is>
      </c>
      <c r="B3086" s="1" t="n">
        <v>45545</v>
      </c>
      <c r="C3086" s="1" t="n">
        <v>45583</v>
      </c>
      <c r="D3086" t="inlineStr">
        <is>
          <t>VÄSTERNORRLANDS LÄN</t>
        </is>
      </c>
      <c r="E3086" t="inlineStr">
        <is>
          <t>SOLLEFTEÅ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38245-2024</t>
        </is>
      </c>
      <c r="B3087" s="1" t="n">
        <v>45545</v>
      </c>
      <c r="C3087" s="1" t="n">
        <v>45583</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38273-2024</t>
        </is>
      </c>
      <c r="B3088" s="1" t="n">
        <v>45545</v>
      </c>
      <c r="C3088" s="1" t="n">
        <v>45583</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38234-2024</t>
        </is>
      </c>
      <c r="B3089" s="1" t="n">
        <v>45545</v>
      </c>
      <c r="C3089" s="1" t="n">
        <v>45583</v>
      </c>
      <c r="D3089" t="inlineStr">
        <is>
          <t>VÄSTERNORRLANDS LÄN</t>
        </is>
      </c>
      <c r="E3089" t="inlineStr">
        <is>
          <t>SOLLEFTEÅ</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38250-2024</t>
        </is>
      </c>
      <c r="B3090" s="1" t="n">
        <v>45545</v>
      </c>
      <c r="C3090" s="1" t="n">
        <v>45583</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38294-2024</t>
        </is>
      </c>
      <c r="B3091" s="1" t="n">
        <v>45545</v>
      </c>
      <c r="C3091" s="1" t="n">
        <v>45583</v>
      </c>
      <c r="D3091" t="inlineStr">
        <is>
          <t>VÄSTERNORRLANDS LÄN</t>
        </is>
      </c>
      <c r="E3091" t="inlineStr">
        <is>
          <t>SOLLEFTEÅ</t>
        </is>
      </c>
      <c r="F3091" t="inlineStr">
        <is>
          <t>Kommuner</t>
        </is>
      </c>
      <c r="G3091" t="n">
        <v>18.8</v>
      </c>
      <c r="H3091" t="n">
        <v>0</v>
      </c>
      <c r="I3091" t="n">
        <v>0</v>
      </c>
      <c r="J3091" t="n">
        <v>0</v>
      </c>
      <c r="K3091" t="n">
        <v>0</v>
      </c>
      <c r="L3091" t="n">
        <v>0</v>
      </c>
      <c r="M3091" t="n">
        <v>0</v>
      </c>
      <c r="N3091" t="n">
        <v>0</v>
      </c>
      <c r="O3091" t="n">
        <v>0</v>
      </c>
      <c r="P3091" t="n">
        <v>0</v>
      </c>
      <c r="Q3091" t="n">
        <v>0</v>
      </c>
      <c r="R3091" s="2" t="inlineStr"/>
    </row>
    <row r="3092" ht="15" customHeight="1">
      <c r="A3092" t="inlineStr">
        <is>
          <t>A 38275-2024</t>
        </is>
      </c>
      <c r="B3092" s="1" t="n">
        <v>45545</v>
      </c>
      <c r="C3092" s="1" t="n">
        <v>45583</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38592-2024</t>
        </is>
      </c>
      <c r="B3093" s="1" t="n">
        <v>45546</v>
      </c>
      <c r="C3093" s="1" t="n">
        <v>45583</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41170-2024</t>
        </is>
      </c>
      <c r="B3094" s="1" t="n">
        <v>45546</v>
      </c>
      <c r="C3094" s="1" t="n">
        <v>45583</v>
      </c>
      <c r="D3094" t="inlineStr">
        <is>
          <t>VÄSTERNORRLANDS LÄN</t>
        </is>
      </c>
      <c r="E3094" t="inlineStr">
        <is>
          <t>SOLLEFTEÅ</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38749-2024</t>
        </is>
      </c>
      <c r="B3095" s="1" t="n">
        <v>45547</v>
      </c>
      <c r="C3095" s="1" t="n">
        <v>45583</v>
      </c>
      <c r="D3095" t="inlineStr">
        <is>
          <t>VÄSTERNORRLANDS LÄN</t>
        </is>
      </c>
      <c r="E3095" t="inlineStr">
        <is>
          <t>SOLLEFTEÅ</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38768-2024</t>
        </is>
      </c>
      <c r="B3096" s="1" t="n">
        <v>45547</v>
      </c>
      <c r="C3096" s="1" t="n">
        <v>45583</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38769-2024</t>
        </is>
      </c>
      <c r="B3097" s="1" t="n">
        <v>45547</v>
      </c>
      <c r="C3097" s="1" t="n">
        <v>45583</v>
      </c>
      <c r="D3097" t="inlineStr">
        <is>
          <t>VÄSTERNORRLANDS LÄN</t>
        </is>
      </c>
      <c r="E3097" t="inlineStr">
        <is>
          <t>SOLLEFTEÅ</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38766-2024</t>
        </is>
      </c>
      <c r="B3098" s="1" t="n">
        <v>45547</v>
      </c>
      <c r="C3098" s="1" t="n">
        <v>45583</v>
      </c>
      <c r="D3098" t="inlineStr">
        <is>
          <t>VÄSTERNORRLANDS LÄN</t>
        </is>
      </c>
      <c r="E3098" t="inlineStr">
        <is>
          <t>SOLLEFTEÅ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38767-2024</t>
        </is>
      </c>
      <c r="B3099" s="1" t="n">
        <v>45547</v>
      </c>
      <c r="C3099" s="1" t="n">
        <v>45583</v>
      </c>
      <c r="D3099" t="inlineStr">
        <is>
          <t>VÄSTERNORRLANDS LÄN</t>
        </is>
      </c>
      <c r="E3099" t="inlineStr">
        <is>
          <t>SOLLEFTEÅ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39142-2024</t>
        </is>
      </c>
      <c r="B3100" s="1" t="n">
        <v>45548</v>
      </c>
      <c r="C3100" s="1" t="n">
        <v>45583</v>
      </c>
      <c r="D3100" t="inlineStr">
        <is>
          <t>VÄSTERNORRLANDS LÄN</t>
        </is>
      </c>
      <c r="E3100" t="inlineStr">
        <is>
          <t>SOLLEFTEÅ</t>
        </is>
      </c>
      <c r="F3100" t="inlineStr">
        <is>
          <t>SCA</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39177-2024</t>
        </is>
      </c>
      <c r="B3101" s="1" t="n">
        <v>45548</v>
      </c>
      <c r="C3101" s="1" t="n">
        <v>45583</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39271-2024</t>
        </is>
      </c>
      <c r="B3102" s="1" t="n">
        <v>45551</v>
      </c>
      <c r="C3102" s="1" t="n">
        <v>45583</v>
      </c>
      <c r="D3102" t="inlineStr">
        <is>
          <t>VÄSTERNORRLANDS LÄN</t>
        </is>
      </c>
      <c r="E3102" t="inlineStr">
        <is>
          <t>SOLLEFTEÅ</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39429-2024</t>
        </is>
      </c>
      <c r="B3103" s="1" t="n">
        <v>45551</v>
      </c>
      <c r="C3103" s="1" t="n">
        <v>45583</v>
      </c>
      <c r="D3103" t="inlineStr">
        <is>
          <t>VÄSTERNORRLANDS LÄN</t>
        </is>
      </c>
      <c r="E3103" t="inlineStr">
        <is>
          <t>SOLLEFTEÅ</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39449-2024</t>
        </is>
      </c>
      <c r="B3104" s="1" t="n">
        <v>45551</v>
      </c>
      <c r="C3104" s="1" t="n">
        <v>45583</v>
      </c>
      <c r="D3104" t="inlineStr">
        <is>
          <t>VÄSTERNORRLANDS LÄN</t>
        </is>
      </c>
      <c r="E3104" t="inlineStr">
        <is>
          <t>SOLLEFTEÅ</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39469-2024</t>
        </is>
      </c>
      <c r="B3105" s="1" t="n">
        <v>45551</v>
      </c>
      <c r="C3105" s="1" t="n">
        <v>45583</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39446-2024</t>
        </is>
      </c>
      <c r="B3106" s="1" t="n">
        <v>45551</v>
      </c>
      <c r="C3106" s="1" t="n">
        <v>45583</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39500-2024</t>
        </is>
      </c>
      <c r="B3107" s="1" t="n">
        <v>45551</v>
      </c>
      <c r="C3107" s="1" t="n">
        <v>45583</v>
      </c>
      <c r="D3107" t="inlineStr">
        <is>
          <t>VÄSTERNORRLANDS LÄN</t>
        </is>
      </c>
      <c r="E3107" t="inlineStr">
        <is>
          <t>SOLLEFTEÅ</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39755-2024</t>
        </is>
      </c>
      <c r="B3108" s="1" t="n">
        <v>45552</v>
      </c>
      <c r="C3108" s="1" t="n">
        <v>45583</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39744-2024</t>
        </is>
      </c>
      <c r="B3109" s="1" t="n">
        <v>45552</v>
      </c>
      <c r="C3109" s="1" t="n">
        <v>45583</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39801-2024</t>
        </is>
      </c>
      <c r="B3110" s="1" t="n">
        <v>45553</v>
      </c>
      <c r="C3110" s="1" t="n">
        <v>45583</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45583</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39802-2024</t>
        </is>
      </c>
      <c r="B3112" s="1" t="n">
        <v>45553</v>
      </c>
      <c r="C3112" s="1" t="n">
        <v>45583</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39995-2024</t>
        </is>
      </c>
      <c r="B3113" s="1" t="n">
        <v>45553</v>
      </c>
      <c r="C3113" s="1" t="n">
        <v>45583</v>
      </c>
      <c r="D3113" t="inlineStr">
        <is>
          <t>VÄSTERNORRLANDS LÄN</t>
        </is>
      </c>
      <c r="E3113" t="inlineStr">
        <is>
          <t>SOLLEFTEÅ</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40028-2024</t>
        </is>
      </c>
      <c r="B3114" s="1" t="n">
        <v>45553</v>
      </c>
      <c r="C3114" s="1" t="n">
        <v>45583</v>
      </c>
      <c r="D3114" t="inlineStr">
        <is>
          <t>VÄSTERNORRLANDS LÄN</t>
        </is>
      </c>
      <c r="E3114" t="inlineStr">
        <is>
          <t>SOLLEFTEÅ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40086-2024</t>
        </is>
      </c>
      <c r="B3115" s="1" t="n">
        <v>45554</v>
      </c>
      <c r="C3115" s="1" t="n">
        <v>45583</v>
      </c>
      <c r="D3115" t="inlineStr">
        <is>
          <t>VÄSTERNORRLANDS LÄN</t>
        </is>
      </c>
      <c r="E3115" t="inlineStr">
        <is>
          <t>SOLLEFTEÅ</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40211-2024</t>
        </is>
      </c>
      <c r="B3116" s="1" t="n">
        <v>45554</v>
      </c>
      <c r="C3116" s="1" t="n">
        <v>45583</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40241-2024</t>
        </is>
      </c>
      <c r="B3117" s="1" t="n">
        <v>45554</v>
      </c>
      <c r="C3117" s="1" t="n">
        <v>45583</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40258-2024</t>
        </is>
      </c>
      <c r="B3118" s="1" t="n">
        <v>45554</v>
      </c>
      <c r="C3118" s="1" t="n">
        <v>45583</v>
      </c>
      <c r="D3118" t="inlineStr">
        <is>
          <t>VÄSTERNORRLANDS LÄN</t>
        </is>
      </c>
      <c r="E3118" t="inlineStr">
        <is>
          <t>SOLLEFTEÅ</t>
        </is>
      </c>
      <c r="F3118" t="inlineStr">
        <is>
          <t>SCA</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40354-2024</t>
        </is>
      </c>
      <c r="B3119" s="1" t="n">
        <v>45555</v>
      </c>
      <c r="C3119" s="1" t="n">
        <v>45583</v>
      </c>
      <c r="D3119" t="inlineStr">
        <is>
          <t>VÄSTERNORRLANDS LÄN</t>
        </is>
      </c>
      <c r="E3119" t="inlineStr">
        <is>
          <t>SOLLEFTEÅ</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40383-2024</t>
        </is>
      </c>
      <c r="B3120" s="1" t="n">
        <v>45555</v>
      </c>
      <c r="C3120" s="1" t="n">
        <v>45583</v>
      </c>
      <c r="D3120" t="inlineStr">
        <is>
          <t>VÄSTERNORRLANDS LÄN</t>
        </is>
      </c>
      <c r="E3120" t="inlineStr">
        <is>
          <t>SOLLEFTEÅ</t>
        </is>
      </c>
      <c r="F3120" t="inlineStr">
        <is>
          <t>SCA</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40355-2024</t>
        </is>
      </c>
      <c r="B3121" s="1" t="n">
        <v>45555</v>
      </c>
      <c r="C3121" s="1" t="n">
        <v>45583</v>
      </c>
      <c r="D3121" t="inlineStr">
        <is>
          <t>VÄSTERNORRLANDS LÄN</t>
        </is>
      </c>
      <c r="E3121" t="inlineStr">
        <is>
          <t>SOLLEFTEÅ</t>
        </is>
      </c>
      <c r="F3121" t="inlineStr">
        <is>
          <t>SCA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40413-2024</t>
        </is>
      </c>
      <c r="B3122" s="1" t="n">
        <v>45555</v>
      </c>
      <c r="C3122" s="1" t="n">
        <v>45583</v>
      </c>
      <c r="D3122" t="inlineStr">
        <is>
          <t>VÄSTERNORRLANDS LÄN</t>
        </is>
      </c>
      <c r="E3122" t="inlineStr">
        <is>
          <t>SOLLEFTEÅ</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40403-2024</t>
        </is>
      </c>
      <c r="B3123" s="1" t="n">
        <v>45555</v>
      </c>
      <c r="C3123" s="1" t="n">
        <v>45583</v>
      </c>
      <c r="D3123" t="inlineStr">
        <is>
          <t>VÄSTERNORRLANDS LÄN</t>
        </is>
      </c>
      <c r="E3123" t="inlineStr">
        <is>
          <t>SOLLEFTEÅ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40353-2024</t>
        </is>
      </c>
      <c r="B3124" s="1" t="n">
        <v>45555</v>
      </c>
      <c r="C3124" s="1" t="n">
        <v>45583</v>
      </c>
      <c r="D3124" t="inlineStr">
        <is>
          <t>VÄSTERNORRLANDS LÄN</t>
        </is>
      </c>
      <c r="E3124" t="inlineStr">
        <is>
          <t>SOLLEFTEÅ</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40356-2024</t>
        </is>
      </c>
      <c r="B3125" s="1" t="n">
        <v>45555</v>
      </c>
      <c r="C3125" s="1" t="n">
        <v>45583</v>
      </c>
      <c r="D3125" t="inlineStr">
        <is>
          <t>VÄSTERNORRLANDS LÄN</t>
        </is>
      </c>
      <c r="E3125" t="inlineStr">
        <is>
          <t>SOLLEFTEÅ</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40429-2024</t>
        </is>
      </c>
      <c r="B3126" s="1" t="n">
        <v>45555</v>
      </c>
      <c r="C3126" s="1" t="n">
        <v>45583</v>
      </c>
      <c r="D3126" t="inlineStr">
        <is>
          <t>VÄSTERNORRLANDS LÄN</t>
        </is>
      </c>
      <c r="E3126" t="inlineStr">
        <is>
          <t>SOLLEFTEÅ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40571-2024</t>
        </is>
      </c>
      <c r="B3127" s="1" t="n">
        <v>45555</v>
      </c>
      <c r="C3127" s="1" t="n">
        <v>45583</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40575-2024</t>
        </is>
      </c>
      <c r="B3128" s="1" t="n">
        <v>45555</v>
      </c>
      <c r="C3128" s="1" t="n">
        <v>45583</v>
      </c>
      <c r="D3128" t="inlineStr">
        <is>
          <t>VÄSTERNORRLANDS LÄN</t>
        </is>
      </c>
      <c r="E3128" t="inlineStr">
        <is>
          <t>SOLLEFTEÅ</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40570-2024</t>
        </is>
      </c>
      <c r="B3129" s="1" t="n">
        <v>45555</v>
      </c>
      <c r="C3129" s="1" t="n">
        <v>45583</v>
      </c>
      <c r="D3129" t="inlineStr">
        <is>
          <t>VÄSTERNORRLANDS LÄN</t>
        </is>
      </c>
      <c r="E3129" t="inlineStr">
        <is>
          <t>SOLLEFTEÅ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40569-2024</t>
        </is>
      </c>
      <c r="B3130" s="1" t="n">
        <v>45555</v>
      </c>
      <c r="C3130" s="1" t="n">
        <v>45583</v>
      </c>
      <c r="D3130" t="inlineStr">
        <is>
          <t>VÄSTERNORRLANDS LÄN</t>
        </is>
      </c>
      <c r="E3130" t="inlineStr">
        <is>
          <t>SOLLEFTEÅ</t>
        </is>
      </c>
      <c r="F3130" t="inlineStr">
        <is>
          <t>SCA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40655-2024</t>
        </is>
      </c>
      <c r="B3131" s="1" t="n">
        <v>45558</v>
      </c>
      <c r="C3131" s="1" t="n">
        <v>45583</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40679-2024</t>
        </is>
      </c>
      <c r="B3132" s="1" t="n">
        <v>45558</v>
      </c>
      <c r="C3132" s="1" t="n">
        <v>45583</v>
      </c>
      <c r="D3132" t="inlineStr">
        <is>
          <t>VÄSTERNORRLANDS LÄN</t>
        </is>
      </c>
      <c r="E3132" t="inlineStr">
        <is>
          <t>SOLLEFTEÅ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40817-2024</t>
        </is>
      </c>
      <c r="B3133" s="1" t="n">
        <v>45558</v>
      </c>
      <c r="C3133" s="1" t="n">
        <v>45583</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40859-2024</t>
        </is>
      </c>
      <c r="B3134" s="1" t="n">
        <v>45558</v>
      </c>
      <c r="C3134" s="1" t="n">
        <v>45583</v>
      </c>
      <c r="D3134" t="inlineStr">
        <is>
          <t>VÄSTERNORRLANDS LÄN</t>
        </is>
      </c>
      <c r="E3134" t="inlineStr">
        <is>
          <t>SOLLEFTEÅ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40954-2024</t>
        </is>
      </c>
      <c r="B3135" s="1" t="n">
        <v>45558</v>
      </c>
      <c r="C3135" s="1" t="n">
        <v>45583</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41041-2024</t>
        </is>
      </c>
      <c r="B3136" s="1" t="n">
        <v>45558</v>
      </c>
      <c r="C3136" s="1" t="n">
        <v>45583</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40819-2024</t>
        </is>
      </c>
      <c r="B3137" s="1" t="n">
        <v>45558</v>
      </c>
      <c r="C3137" s="1" t="n">
        <v>45583</v>
      </c>
      <c r="D3137" t="inlineStr">
        <is>
          <t>VÄSTERNORRLANDS LÄN</t>
        </is>
      </c>
      <c r="E3137" t="inlineStr">
        <is>
          <t>SOLLEFTEÅ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40921-2024</t>
        </is>
      </c>
      <c r="B3138" s="1" t="n">
        <v>45558</v>
      </c>
      <c r="C3138" s="1" t="n">
        <v>45583</v>
      </c>
      <c r="D3138" t="inlineStr">
        <is>
          <t>VÄSTERNORRLANDS LÄN</t>
        </is>
      </c>
      <c r="E3138" t="inlineStr">
        <is>
          <t>SOLLEFTEÅ</t>
        </is>
      </c>
      <c r="F3138" t="inlineStr">
        <is>
          <t>SCA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45583</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45583</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41042-2024</t>
        </is>
      </c>
      <c r="B3141" s="1" t="n">
        <v>45559</v>
      </c>
      <c r="C3141" s="1" t="n">
        <v>45583</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41262-2024</t>
        </is>
      </c>
      <c r="B3142" s="1" t="n">
        <v>45559</v>
      </c>
      <c r="C3142" s="1" t="n">
        <v>45583</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41420-2024</t>
        </is>
      </c>
      <c r="B3143" s="1" t="n">
        <v>45560</v>
      </c>
      <c r="C3143" s="1" t="n">
        <v>45583</v>
      </c>
      <c r="D3143" t="inlineStr">
        <is>
          <t>VÄSTERNORRLANDS LÄN</t>
        </is>
      </c>
      <c r="E3143" t="inlineStr">
        <is>
          <t>SOLLEFTEÅ</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41532-2024</t>
        </is>
      </c>
      <c r="B3144" s="1" t="n">
        <v>45560</v>
      </c>
      <c r="C3144" s="1" t="n">
        <v>45583</v>
      </c>
      <c r="D3144" t="inlineStr">
        <is>
          <t>VÄSTERNORRLANDS LÄN</t>
        </is>
      </c>
      <c r="E3144" t="inlineStr">
        <is>
          <t>SOLLEFTEÅ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41666-2024</t>
        </is>
      </c>
      <c r="B3145" s="1" t="n">
        <v>45560</v>
      </c>
      <c r="C3145" s="1" t="n">
        <v>45583</v>
      </c>
      <c r="D3145" t="inlineStr">
        <is>
          <t>VÄSTERNORRLANDS LÄN</t>
        </is>
      </c>
      <c r="E3145" t="inlineStr">
        <is>
          <t>SOLLEFTEÅ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41595-2024</t>
        </is>
      </c>
      <c r="B3146" s="1" t="n">
        <v>45560</v>
      </c>
      <c r="C3146" s="1" t="n">
        <v>45583</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41413-2024</t>
        </is>
      </c>
      <c r="B3147" s="1" t="n">
        <v>45560</v>
      </c>
      <c r="C3147" s="1" t="n">
        <v>45583</v>
      </c>
      <c r="D3147" t="inlineStr">
        <is>
          <t>VÄSTERNORRLANDS LÄN</t>
        </is>
      </c>
      <c r="E3147" t="inlineStr">
        <is>
          <t>SOLLEFTEÅ</t>
        </is>
      </c>
      <c r="F3147" t="inlineStr">
        <is>
          <t>SCA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41434-2024</t>
        </is>
      </c>
      <c r="B3148" s="1" t="n">
        <v>45560</v>
      </c>
      <c r="C3148" s="1" t="n">
        <v>45583</v>
      </c>
      <c r="D3148" t="inlineStr">
        <is>
          <t>VÄSTERNORRLANDS LÄN</t>
        </is>
      </c>
      <c r="E3148" t="inlineStr">
        <is>
          <t>SOLLEFTEÅ</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41787-2024</t>
        </is>
      </c>
      <c r="B3149" s="1" t="n">
        <v>45561</v>
      </c>
      <c r="C3149" s="1" t="n">
        <v>45583</v>
      </c>
      <c r="D3149" t="inlineStr">
        <is>
          <t>VÄSTERNORRLANDS LÄN</t>
        </is>
      </c>
      <c r="E3149" t="inlineStr">
        <is>
          <t>SOLLEFTEÅ</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41834-2024</t>
        </is>
      </c>
      <c r="B3150" s="1" t="n">
        <v>45561</v>
      </c>
      <c r="C3150" s="1" t="n">
        <v>45583</v>
      </c>
      <c r="D3150" t="inlineStr">
        <is>
          <t>VÄSTERNORRLANDS LÄN</t>
        </is>
      </c>
      <c r="E3150" t="inlineStr">
        <is>
          <t>SOLLEFTEÅ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41904-2024</t>
        </is>
      </c>
      <c r="B3151" s="1" t="n">
        <v>45561</v>
      </c>
      <c r="C3151" s="1" t="n">
        <v>45583</v>
      </c>
      <c r="D3151" t="inlineStr">
        <is>
          <t>VÄSTERNORRLANDS LÄN</t>
        </is>
      </c>
      <c r="E3151" t="inlineStr">
        <is>
          <t>SOLLEFTEÅ</t>
        </is>
      </c>
      <c r="F3151" t="inlineStr">
        <is>
          <t>SCA</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41925-2024</t>
        </is>
      </c>
      <c r="B3152" s="1" t="n">
        <v>45561</v>
      </c>
      <c r="C3152" s="1" t="n">
        <v>45583</v>
      </c>
      <c r="D3152" t="inlineStr">
        <is>
          <t>VÄSTERNORRLANDS LÄN</t>
        </is>
      </c>
      <c r="E3152" t="inlineStr">
        <is>
          <t>SOLLEFTEÅ</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41779-2024</t>
        </is>
      </c>
      <c r="B3153" s="1" t="n">
        <v>45561</v>
      </c>
      <c r="C3153" s="1" t="n">
        <v>45583</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41788-2024</t>
        </is>
      </c>
      <c r="B3154" s="1" t="n">
        <v>45561</v>
      </c>
      <c r="C3154" s="1" t="n">
        <v>45583</v>
      </c>
      <c r="D3154" t="inlineStr">
        <is>
          <t>VÄSTERNORRLANDS LÄN</t>
        </is>
      </c>
      <c r="E3154" t="inlineStr">
        <is>
          <t>SOLLEFTEÅ</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41975-2024</t>
        </is>
      </c>
      <c r="B3155" s="1" t="n">
        <v>45561</v>
      </c>
      <c r="C3155" s="1" t="n">
        <v>45583</v>
      </c>
      <c r="D3155" t="inlineStr">
        <is>
          <t>VÄSTERNORRLANDS LÄN</t>
        </is>
      </c>
      <c r="E3155" t="inlineStr">
        <is>
          <t>SOLLEFTEÅ</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42154-2024</t>
        </is>
      </c>
      <c r="B3156" s="1" t="n">
        <v>45562</v>
      </c>
      <c r="C3156" s="1" t="n">
        <v>45583</v>
      </c>
      <c r="D3156" t="inlineStr">
        <is>
          <t>VÄSTERNORRLANDS LÄN</t>
        </is>
      </c>
      <c r="E3156" t="inlineStr">
        <is>
          <t>SOLLEFTEÅ</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42115-2024</t>
        </is>
      </c>
      <c r="B3157" s="1" t="n">
        <v>45562</v>
      </c>
      <c r="C3157" s="1" t="n">
        <v>45583</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42093-2024</t>
        </is>
      </c>
      <c r="B3158" s="1" t="n">
        <v>45562</v>
      </c>
      <c r="C3158" s="1" t="n">
        <v>45583</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45583</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45583</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45583</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45583</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45583</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42964-2024</t>
        </is>
      </c>
      <c r="B3164" s="1" t="n">
        <v>45567</v>
      </c>
      <c r="C3164" s="1" t="n">
        <v>45583</v>
      </c>
      <c r="D3164" t="inlineStr">
        <is>
          <t>VÄSTERNORRLANDS LÄN</t>
        </is>
      </c>
      <c r="E3164" t="inlineStr">
        <is>
          <t>SOLLEFTEÅ</t>
        </is>
      </c>
      <c r="F3164" t="inlineStr">
        <is>
          <t>SCA</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42965-2024</t>
        </is>
      </c>
      <c r="B3165" s="1" t="n">
        <v>45567</v>
      </c>
      <c r="C3165" s="1" t="n">
        <v>45583</v>
      </c>
      <c r="D3165" t="inlineStr">
        <is>
          <t>VÄSTERNORRLANDS LÄN</t>
        </is>
      </c>
      <c r="E3165" t="inlineStr">
        <is>
          <t>SOLLEFTEÅ</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42973-2024</t>
        </is>
      </c>
      <c r="B3166" s="1" t="n">
        <v>45567</v>
      </c>
      <c r="C3166" s="1" t="n">
        <v>45583</v>
      </c>
      <c r="D3166" t="inlineStr">
        <is>
          <t>VÄSTERNORRLANDS LÄN</t>
        </is>
      </c>
      <c r="E3166" t="inlineStr">
        <is>
          <t>SOLLEFTEÅ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42984-2024</t>
        </is>
      </c>
      <c r="B3167" s="1" t="n">
        <v>45567</v>
      </c>
      <c r="C3167" s="1" t="n">
        <v>45583</v>
      </c>
      <c r="D3167" t="inlineStr">
        <is>
          <t>VÄSTERNORRLANDS LÄN</t>
        </is>
      </c>
      <c r="E3167" t="inlineStr">
        <is>
          <t>SOLLEFTEÅ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43008-2024</t>
        </is>
      </c>
      <c r="B3168" s="1" t="n">
        <v>45567</v>
      </c>
      <c r="C3168" s="1" t="n">
        <v>45583</v>
      </c>
      <c r="D3168" t="inlineStr">
        <is>
          <t>VÄSTERNORRLANDS LÄN</t>
        </is>
      </c>
      <c r="E3168" t="inlineStr">
        <is>
          <t>SOLLEFTEÅ</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43049-2024</t>
        </is>
      </c>
      <c r="B3169" s="1" t="n">
        <v>45567</v>
      </c>
      <c r="C3169" s="1" t="n">
        <v>45583</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42981-2024</t>
        </is>
      </c>
      <c r="B3170" s="1" t="n">
        <v>45567</v>
      </c>
      <c r="C3170" s="1" t="n">
        <v>45583</v>
      </c>
      <c r="D3170" t="inlineStr">
        <is>
          <t>VÄSTERNORRLANDS LÄN</t>
        </is>
      </c>
      <c r="E3170" t="inlineStr">
        <is>
          <t>SOLLEFTEÅ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42985-2024</t>
        </is>
      </c>
      <c r="B3171" s="1" t="n">
        <v>45567</v>
      </c>
      <c r="C3171" s="1" t="n">
        <v>45583</v>
      </c>
      <c r="D3171" t="inlineStr">
        <is>
          <t>VÄSTERNORRLANDS LÄN</t>
        </is>
      </c>
      <c r="E3171" t="inlineStr">
        <is>
          <t>SOLLEFTEÅ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42950-2024</t>
        </is>
      </c>
      <c r="B3172" s="1" t="n">
        <v>45567</v>
      </c>
      <c r="C3172" s="1" t="n">
        <v>45583</v>
      </c>
      <c r="D3172" t="inlineStr">
        <is>
          <t>VÄSTERNORRLANDS LÄN</t>
        </is>
      </c>
      <c r="E3172" t="inlineStr">
        <is>
          <t>SOLLEFTEÅ</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42970-2024</t>
        </is>
      </c>
      <c r="B3173" s="1" t="n">
        <v>45567</v>
      </c>
      <c r="C3173" s="1" t="n">
        <v>45583</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42978-2024</t>
        </is>
      </c>
      <c r="B3174" s="1" t="n">
        <v>45567</v>
      </c>
      <c r="C3174" s="1" t="n">
        <v>45583</v>
      </c>
      <c r="D3174" t="inlineStr">
        <is>
          <t>VÄSTERNORRLANDS LÄN</t>
        </is>
      </c>
      <c r="E3174" t="inlineStr">
        <is>
          <t>SOLLEFTEÅ</t>
        </is>
      </c>
      <c r="F3174" t="inlineStr">
        <is>
          <t>SCA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42963-2024</t>
        </is>
      </c>
      <c r="B3175" s="1" t="n">
        <v>45567</v>
      </c>
      <c r="C3175" s="1" t="n">
        <v>45583</v>
      </c>
      <c r="D3175" t="inlineStr">
        <is>
          <t>VÄSTERNORRLANDS LÄN</t>
        </is>
      </c>
      <c r="E3175" t="inlineStr">
        <is>
          <t>SOLLEFTEÅ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42971-2024</t>
        </is>
      </c>
      <c r="B3176" s="1" t="n">
        <v>45567</v>
      </c>
      <c r="C3176" s="1" t="n">
        <v>45583</v>
      </c>
      <c r="D3176" t="inlineStr">
        <is>
          <t>VÄSTERNORRLANDS LÄN</t>
        </is>
      </c>
      <c r="E3176" t="inlineStr">
        <is>
          <t>SOLLEFTEÅ</t>
        </is>
      </c>
      <c r="F3176" t="inlineStr">
        <is>
          <t>SCA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42975-2024</t>
        </is>
      </c>
      <c r="B3177" s="1" t="n">
        <v>45567</v>
      </c>
      <c r="C3177" s="1" t="n">
        <v>45583</v>
      </c>
      <c r="D3177" t="inlineStr">
        <is>
          <t>VÄSTERNORRLANDS LÄN</t>
        </is>
      </c>
      <c r="E3177" t="inlineStr">
        <is>
          <t>SOLLEFTEÅ</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42979-2024</t>
        </is>
      </c>
      <c r="B3178" s="1" t="n">
        <v>45567</v>
      </c>
      <c r="C3178" s="1" t="n">
        <v>45583</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42983-2024</t>
        </is>
      </c>
      <c r="B3179" s="1" t="n">
        <v>45567</v>
      </c>
      <c r="C3179" s="1" t="n">
        <v>45583</v>
      </c>
      <c r="D3179" t="inlineStr">
        <is>
          <t>VÄSTERNORRLANDS LÄN</t>
        </is>
      </c>
      <c r="E3179" t="inlineStr">
        <is>
          <t>SOLLEFTEÅ</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42987-2024</t>
        </is>
      </c>
      <c r="B3180" s="1" t="n">
        <v>45567</v>
      </c>
      <c r="C3180" s="1" t="n">
        <v>45583</v>
      </c>
      <c r="D3180" t="inlineStr">
        <is>
          <t>VÄSTERNORRLANDS LÄN</t>
        </is>
      </c>
      <c r="E3180" t="inlineStr">
        <is>
          <t>SOLLEFTEÅ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45583</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45583</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45583</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45583</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43843-2024</t>
        </is>
      </c>
      <c r="B3185" s="1" t="n">
        <v>45572</v>
      </c>
      <c r="C3185" s="1" t="n">
        <v>45583</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43845-2024</t>
        </is>
      </c>
      <c r="B3186" s="1" t="n">
        <v>45572</v>
      </c>
      <c r="C3186" s="1" t="n">
        <v>45583</v>
      </c>
      <c r="D3186" t="inlineStr">
        <is>
          <t>VÄSTERNORRLANDS LÄN</t>
        </is>
      </c>
      <c r="E3186" t="inlineStr">
        <is>
          <t>SOLLEFTEÅ</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45583</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44200-2024</t>
        </is>
      </c>
      <c r="B3188" s="1" t="n">
        <v>45573</v>
      </c>
      <c r="C3188" s="1" t="n">
        <v>45583</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44202-2024</t>
        </is>
      </c>
      <c r="B3189" s="1" t="n">
        <v>45573</v>
      </c>
      <c r="C3189" s="1" t="n">
        <v>45583</v>
      </c>
      <c r="D3189" t="inlineStr">
        <is>
          <t>VÄSTERNORRLANDS LÄN</t>
        </is>
      </c>
      <c r="E3189" t="inlineStr">
        <is>
          <t>SOLLEFTEÅ</t>
        </is>
      </c>
      <c r="F3189" t="inlineStr">
        <is>
          <t>SCA</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44299-2024</t>
        </is>
      </c>
      <c r="B3190" s="1" t="n">
        <v>45573</v>
      </c>
      <c r="C3190" s="1" t="n">
        <v>45583</v>
      </c>
      <c r="D3190" t="inlineStr">
        <is>
          <t>VÄSTERNORRLANDS LÄN</t>
        </is>
      </c>
      <c r="E3190" t="inlineStr">
        <is>
          <t>SOLLEFTEÅ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44320-2024</t>
        </is>
      </c>
      <c r="B3191" s="1" t="n">
        <v>45573</v>
      </c>
      <c r="C3191" s="1" t="n">
        <v>45583</v>
      </c>
      <c r="D3191" t="inlineStr">
        <is>
          <t>VÄSTERNORRLANDS LÄN</t>
        </is>
      </c>
      <c r="E3191" t="inlineStr">
        <is>
          <t>SOLLEFTEÅ</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44323-2024</t>
        </is>
      </c>
      <c r="B3192" s="1" t="n">
        <v>45573</v>
      </c>
      <c r="C3192" s="1" t="n">
        <v>45583</v>
      </c>
      <c r="D3192" t="inlineStr">
        <is>
          <t>VÄSTERNORRLANDS LÄN</t>
        </is>
      </c>
      <c r="E3192" t="inlineStr">
        <is>
          <t>SOLLEFTEÅ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44201-2024</t>
        </is>
      </c>
      <c r="B3193" s="1" t="n">
        <v>45573</v>
      </c>
      <c r="C3193" s="1" t="n">
        <v>45583</v>
      </c>
      <c r="D3193" t="inlineStr">
        <is>
          <t>VÄSTERNORRLANDS LÄN</t>
        </is>
      </c>
      <c r="E3193" t="inlineStr">
        <is>
          <t>SOLLEFTEÅ</t>
        </is>
      </c>
      <c r="F3193" t="inlineStr">
        <is>
          <t>SCA</t>
        </is>
      </c>
      <c r="G3193" t="n">
        <v>3.6</v>
      </c>
      <c r="H3193" t="n">
        <v>0</v>
      </c>
      <c r="I3193" t="n">
        <v>0</v>
      </c>
      <c r="J3193" t="n">
        <v>0</v>
      </c>
      <c r="K3193" t="n">
        <v>0</v>
      </c>
      <c r="L3193" t="n">
        <v>0</v>
      </c>
      <c r="M3193" t="n">
        <v>0</v>
      </c>
      <c r="N3193" t="n">
        <v>0</v>
      </c>
      <c r="O3193" t="n">
        <v>0</v>
      </c>
      <c r="P3193" t="n">
        <v>0</v>
      </c>
      <c r="Q3193" t="n">
        <v>0</v>
      </c>
      <c r="R3193" s="2" t="inlineStr"/>
      <c r="U3193">
        <f>HYPERLINK("https://klasma.github.io/Logging_2283/knärot/A 44201-2024 karta knärot.png", "A 44201-2024")</f>
        <v/>
      </c>
      <c r="V3193">
        <f>HYPERLINK("https://klasma.github.io/Logging_2283/klagomål/A 44201-2024 FSC-klagomål.docx", "A 44201-2024")</f>
        <v/>
      </c>
      <c r="W3193">
        <f>HYPERLINK("https://klasma.github.io/Logging_2283/klagomålsmail/A 44201-2024 FSC-klagomål mail.docx", "A 44201-2024")</f>
        <v/>
      </c>
      <c r="X3193">
        <f>HYPERLINK("https://klasma.github.io/Logging_2283/tillsyn/A 44201-2024 tillsynsbegäran.docx", "A 44201-2024")</f>
        <v/>
      </c>
      <c r="Y3193">
        <f>HYPERLINK("https://klasma.github.io/Logging_2283/tillsynsmail/A 44201-2024 tillsynsbegäran mail.docx", "A 44201-2024")</f>
        <v/>
      </c>
    </row>
    <row r="3194" ht="15" customHeight="1">
      <c r="A3194" t="inlineStr">
        <is>
          <t>A 44294-2024</t>
        </is>
      </c>
      <c r="B3194" s="1" t="n">
        <v>45573</v>
      </c>
      <c r="C3194" s="1" t="n">
        <v>45583</v>
      </c>
      <c r="D3194" t="inlineStr">
        <is>
          <t>VÄSTERNORRLANDS LÄN</t>
        </is>
      </c>
      <c r="E3194" t="inlineStr">
        <is>
          <t>SOLLEFTEÅ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44298-2024</t>
        </is>
      </c>
      <c r="B3195" s="1" t="n">
        <v>45573</v>
      </c>
      <c r="C3195" s="1" t="n">
        <v>45583</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44302-2024</t>
        </is>
      </c>
      <c r="B3196" s="1" t="n">
        <v>45573</v>
      </c>
      <c r="C3196" s="1" t="n">
        <v>45583</v>
      </c>
      <c r="D3196" t="inlineStr">
        <is>
          <t>VÄSTERNORRLANDS LÄN</t>
        </is>
      </c>
      <c r="E3196" t="inlineStr">
        <is>
          <t>SOLLEFTEÅ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44640-2024</t>
        </is>
      </c>
      <c r="B3197" s="1" t="n">
        <v>45574</v>
      </c>
      <c r="C3197" s="1" t="n">
        <v>45583</v>
      </c>
      <c r="D3197" t="inlineStr">
        <is>
          <t>VÄSTERNORRLANDS LÄN</t>
        </is>
      </c>
      <c r="E3197" t="inlineStr">
        <is>
          <t>SOLLEFTEÅ</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44554-2024</t>
        </is>
      </c>
      <c r="B3198" s="1" t="n">
        <v>45574</v>
      </c>
      <c r="C3198" s="1" t="n">
        <v>45583</v>
      </c>
      <c r="D3198" t="inlineStr">
        <is>
          <t>VÄSTERNORRLANDS LÄN</t>
        </is>
      </c>
      <c r="E3198" t="inlineStr">
        <is>
          <t>SOLLEFTEÅ</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44614-2024</t>
        </is>
      </c>
      <c r="B3199" s="1" t="n">
        <v>45574</v>
      </c>
      <c r="C3199" s="1" t="n">
        <v>45583</v>
      </c>
      <c r="D3199" t="inlineStr">
        <is>
          <t>VÄSTERNORRLANDS LÄN</t>
        </is>
      </c>
      <c r="E3199" t="inlineStr">
        <is>
          <t>SOLLEFTEÅ</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44662-2024</t>
        </is>
      </c>
      <c r="B3200" s="1" t="n">
        <v>45574</v>
      </c>
      <c r="C3200" s="1" t="n">
        <v>45583</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44591-2024</t>
        </is>
      </c>
      <c r="B3201" s="1" t="n">
        <v>45574</v>
      </c>
      <c r="C3201" s="1" t="n">
        <v>45583</v>
      </c>
      <c r="D3201" t="inlineStr">
        <is>
          <t>VÄSTERNORRLANDS LÄN</t>
        </is>
      </c>
      <c r="E3201" t="inlineStr">
        <is>
          <t>SOLLEFTEÅ</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44627-2024</t>
        </is>
      </c>
      <c r="B3202" s="1" t="n">
        <v>45574</v>
      </c>
      <c r="C3202" s="1" t="n">
        <v>45583</v>
      </c>
      <c r="D3202" t="inlineStr">
        <is>
          <t>VÄSTERNORRLANDS LÄN</t>
        </is>
      </c>
      <c r="E3202" t="inlineStr">
        <is>
          <t>SOLLEFTEÅ</t>
        </is>
      </c>
      <c r="F3202" t="inlineStr">
        <is>
          <t>SCA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44639-2024</t>
        </is>
      </c>
      <c r="B3203" s="1" t="n">
        <v>45574</v>
      </c>
      <c r="C3203" s="1" t="n">
        <v>45583</v>
      </c>
      <c r="D3203" t="inlineStr">
        <is>
          <t>VÄSTERNORRLANDS LÄN</t>
        </is>
      </c>
      <c r="E3203" t="inlineStr">
        <is>
          <t>SOLLEFTEÅ</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44621-2024</t>
        </is>
      </c>
      <c r="B3204" s="1" t="n">
        <v>45574</v>
      </c>
      <c r="C3204" s="1" t="n">
        <v>45583</v>
      </c>
      <c r="D3204" t="inlineStr">
        <is>
          <t>VÄSTERNORRLANDS LÄN</t>
        </is>
      </c>
      <c r="E3204" t="inlineStr">
        <is>
          <t>SOLLEFTEÅ</t>
        </is>
      </c>
      <c r="F3204" t="inlineStr">
        <is>
          <t>SCA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44661-2024</t>
        </is>
      </c>
      <c r="B3205" s="1" t="n">
        <v>45574</v>
      </c>
      <c r="C3205" s="1" t="n">
        <v>45583</v>
      </c>
      <c r="D3205" t="inlineStr">
        <is>
          <t>VÄSTERNORRLANDS LÄN</t>
        </is>
      </c>
      <c r="E3205" t="inlineStr">
        <is>
          <t>SOLLEFTEÅ</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45142-2024</t>
        </is>
      </c>
      <c r="B3206" s="1" t="n">
        <v>45575</v>
      </c>
      <c r="C3206" s="1" t="n">
        <v>45583</v>
      </c>
      <c r="D3206" t="inlineStr">
        <is>
          <t>VÄSTERNORRLANDS LÄN</t>
        </is>
      </c>
      <c r="E3206" t="inlineStr">
        <is>
          <t>SOLLEFTEÅ</t>
        </is>
      </c>
      <c r="F3206" t="inlineStr">
        <is>
          <t>SCA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45171-2024</t>
        </is>
      </c>
      <c r="B3207" s="1" t="n">
        <v>45575</v>
      </c>
      <c r="C3207" s="1" t="n">
        <v>45583</v>
      </c>
      <c r="D3207" t="inlineStr">
        <is>
          <t>VÄSTERNORRLANDS LÄN</t>
        </is>
      </c>
      <c r="E3207" t="inlineStr">
        <is>
          <t>SOLLEFTEÅ</t>
        </is>
      </c>
      <c r="F3207" t="inlineStr">
        <is>
          <t>SCA</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45583</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45334-2024</t>
        </is>
      </c>
      <c r="B3209" s="1" t="n">
        <v>45576</v>
      </c>
      <c r="C3209" s="1" t="n">
        <v>45583</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45435-2024</t>
        </is>
      </c>
      <c r="B3210" s="1" t="n">
        <v>45576</v>
      </c>
      <c r="C3210" s="1" t="n">
        <v>45583</v>
      </c>
      <c r="D3210" t="inlineStr">
        <is>
          <t>VÄSTERNORRLANDS LÄN</t>
        </is>
      </c>
      <c r="E3210" t="inlineStr">
        <is>
          <t>SOLLEFTEÅ</t>
        </is>
      </c>
      <c r="F3210" t="inlineStr">
        <is>
          <t>SCA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45583</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45778-2024</t>
        </is>
      </c>
      <c r="B3212" s="1" t="n">
        <v>45579</v>
      </c>
      <c r="C3212" s="1" t="n">
        <v>45583</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45748-2024</t>
        </is>
      </c>
      <c r="B3213" s="1" t="n">
        <v>45579</v>
      </c>
      <c r="C3213" s="1" t="n">
        <v>45583</v>
      </c>
      <c r="D3213" t="inlineStr">
        <is>
          <t>VÄSTERNORRLANDS LÄN</t>
        </is>
      </c>
      <c r="E3213" t="inlineStr">
        <is>
          <t>SOLLEFTEÅ</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45802-2024</t>
        </is>
      </c>
      <c r="B3214" s="1" t="n">
        <v>45579</v>
      </c>
      <c r="C3214" s="1" t="n">
        <v>45583</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45795-2024</t>
        </is>
      </c>
      <c r="B3215" s="1" t="n">
        <v>45579</v>
      </c>
      <c r="C3215" s="1" t="n">
        <v>45583</v>
      </c>
      <c r="D3215" t="inlineStr">
        <is>
          <t>VÄSTERNORRLANDS LÄN</t>
        </is>
      </c>
      <c r="E3215" t="inlineStr">
        <is>
          <t>SOLLEFTEÅ</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45590-2024</t>
        </is>
      </c>
      <c r="B3216" s="1" t="n">
        <v>45579</v>
      </c>
      <c r="C3216" s="1" t="n">
        <v>45583</v>
      </c>
      <c r="D3216" t="inlineStr">
        <is>
          <t>VÄSTERNORRLANDS LÄN</t>
        </is>
      </c>
      <c r="E3216" t="inlineStr">
        <is>
          <t>SOLLEFTEÅ</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45801-2024</t>
        </is>
      </c>
      <c r="B3217" s="1" t="n">
        <v>45579</v>
      </c>
      <c r="C3217" s="1" t="n">
        <v>45583</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45975-2024</t>
        </is>
      </c>
      <c r="B3218" s="1" t="n">
        <v>45580</v>
      </c>
      <c r="C3218" s="1" t="n">
        <v>45583</v>
      </c>
      <c r="D3218" t="inlineStr">
        <is>
          <t>VÄSTERNORRLANDS LÄN</t>
        </is>
      </c>
      <c r="E3218" t="inlineStr">
        <is>
          <t>SOLLEFTEÅ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45940-2024</t>
        </is>
      </c>
      <c r="B3219" s="1" t="n">
        <v>45580</v>
      </c>
      <c r="C3219" s="1" t="n">
        <v>45583</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46167-2024</t>
        </is>
      </c>
      <c r="B3220" s="1" t="n">
        <v>45581</v>
      </c>
      <c r="C3220" s="1" t="n">
        <v>45583</v>
      </c>
      <c r="D3220" t="inlineStr">
        <is>
          <t>VÄSTERNORRLANDS LÄN</t>
        </is>
      </c>
      <c r="E3220" t="inlineStr">
        <is>
          <t>SOLLEFTEÅ</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46261-2024</t>
        </is>
      </c>
      <c r="B3221" s="1" t="n">
        <v>45581</v>
      </c>
      <c r="C3221" s="1" t="n">
        <v>45583</v>
      </c>
      <c r="D3221" t="inlineStr">
        <is>
          <t>VÄSTERNORRLANDS LÄN</t>
        </is>
      </c>
      <c r="E3221" t="inlineStr">
        <is>
          <t>SOLLEFTEÅ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46255-2024</t>
        </is>
      </c>
      <c r="B3222" s="1" t="n">
        <v>45581</v>
      </c>
      <c r="C3222" s="1" t="n">
        <v>45583</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46101-2024</t>
        </is>
      </c>
      <c r="B3223" s="1" t="n">
        <v>45581</v>
      </c>
      <c r="C3223" s="1" t="n">
        <v>45583</v>
      </c>
      <c r="D3223" t="inlineStr">
        <is>
          <t>VÄSTERNORRLANDS LÄN</t>
        </is>
      </c>
      <c r="E3223" t="inlineStr">
        <is>
          <t>SOLLEFTEÅ</t>
        </is>
      </c>
      <c r="G3223" t="n">
        <v>1.7</v>
      </c>
      <c r="H3223" t="n">
        <v>0</v>
      </c>
      <c r="I3223" t="n">
        <v>0</v>
      </c>
      <c r="J3223" t="n">
        <v>0</v>
      </c>
      <c r="K3223" t="n">
        <v>0</v>
      </c>
      <c r="L3223" t="n">
        <v>0</v>
      </c>
      <c r="M3223" t="n">
        <v>0</v>
      </c>
      <c r="N3223" t="n">
        <v>0</v>
      </c>
      <c r="O3223" t="n">
        <v>0</v>
      </c>
      <c r="P3223" t="n">
        <v>0</v>
      </c>
      <c r="Q3223" t="n">
        <v>0</v>
      </c>
      <c r="R3223" s="2" t="inlineStr"/>
    </row>
    <row r="3224">
      <c r="A3224" t="inlineStr">
        <is>
          <t>A 46524-2024</t>
        </is>
      </c>
      <c r="B3224" s="1" t="n">
        <v>45582</v>
      </c>
      <c r="C3224" s="1" t="n">
        <v>45583</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2024-10-18T13:15:03Z</dcterms:created>
  <dcterms:modified xmlns:dcterms="http://purl.org/dc/terms/" xmlns:xsi="http://www.w3.org/2001/XMLSchema-instance" xsi:type="dcterms:W3CDTF">2024-10-18T13:15:06Z</dcterms:modified>
</cp:coreProperties>
</file>