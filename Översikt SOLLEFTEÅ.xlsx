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45282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45282</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45282</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45282</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45282</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45282</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45282</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45282</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45282</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45282</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45282</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45282</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45282</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45282</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45282</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45282</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45282</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45282</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45282</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45282</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45282</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45282</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45282</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45282</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45282</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45282</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45282</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45282</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45282</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45282</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45282</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45282</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45282</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45282</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45282</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45282</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45282</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45282</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45282</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45282</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45282</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45282</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45282</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45282</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45282</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45282</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45282</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45282</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45282</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45282</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45282</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45282</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45282</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45282</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45282</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45282</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45282</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45282</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45282</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45282</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45282</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45282</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16087-2022</t>
        </is>
      </c>
      <c r="B64" s="1" t="n">
        <v>44665</v>
      </c>
      <c r="C64" s="1" t="n">
        <v>45282</v>
      </c>
      <c r="D64" t="inlineStr">
        <is>
          <t>VÄSTERNORRLANDS LÄN</t>
        </is>
      </c>
      <c r="E64" t="inlineStr">
        <is>
          <t>SOLLEFTEÅ</t>
        </is>
      </c>
      <c r="F64" t="inlineStr">
        <is>
          <t>Holmen skog AB</t>
        </is>
      </c>
      <c r="G64" t="n">
        <v>7.5</v>
      </c>
      <c r="H64" t="n">
        <v>0</v>
      </c>
      <c r="I64" t="n">
        <v>1</v>
      </c>
      <c r="J64" t="n">
        <v>3</v>
      </c>
      <c r="K64" t="n">
        <v>2</v>
      </c>
      <c r="L64" t="n">
        <v>0</v>
      </c>
      <c r="M64" t="n">
        <v>0</v>
      </c>
      <c r="N64" t="n">
        <v>0</v>
      </c>
      <c r="O64" t="n">
        <v>5</v>
      </c>
      <c r="P64" t="n">
        <v>2</v>
      </c>
      <c r="Q64" t="n">
        <v>6</v>
      </c>
      <c r="R64" s="2" t="inlineStr">
        <is>
          <t>Bitter taggsvamp
Goliatmusseron
Blå taggsvamp
Orange taggsvamp
Skrovlig taggsvamp
Skarp dropptaggsvamp</t>
        </is>
      </c>
      <c r="S64">
        <f>HYPERLINK("https://klasma.github.io/Logging_2283/artfynd/A 16087-2022 artfynd.xlsx", "A 16087-2022")</f>
        <v/>
      </c>
      <c r="T64">
        <f>HYPERLINK("https://klasma.github.io/Logging_2283/kartor/A 16087-2022 karta.png", "A 16087-2022")</f>
        <v/>
      </c>
      <c r="V64">
        <f>HYPERLINK("https://klasma.github.io/Logging_2283/klagomål/A 16087-2022 FSC-klagomål.docx", "A 16087-2022")</f>
        <v/>
      </c>
      <c r="W64">
        <f>HYPERLINK("https://klasma.github.io/Logging_2283/klagomålsmail/A 16087-2022 FSC-klagomål mail.docx", "A 16087-2022")</f>
        <v/>
      </c>
      <c r="X64">
        <f>HYPERLINK("https://klasma.github.io/Logging_2283/tillsyn/A 16087-2022 tillsynsbegäran.docx", "A 16087-2022")</f>
        <v/>
      </c>
      <c r="Y64">
        <f>HYPERLINK("https://klasma.github.io/Logging_2283/tillsynsmail/A 16087-2022 tillsynsbegäran mail.docx", "A 16087-2022")</f>
        <v/>
      </c>
    </row>
    <row r="65" ht="15" customHeight="1">
      <c r="A65" t="inlineStr">
        <is>
          <t>A 18014-2022</t>
        </is>
      </c>
      <c r="B65" s="1" t="n">
        <v>44684</v>
      </c>
      <c r="C65" s="1" t="n">
        <v>45282</v>
      </c>
      <c r="D65" t="inlineStr">
        <is>
          <t>VÄSTERNORRLANDS LÄN</t>
        </is>
      </c>
      <c r="E65" t="inlineStr">
        <is>
          <t>SOLLEFTEÅ</t>
        </is>
      </c>
      <c r="F65" t="inlineStr">
        <is>
          <t>SCA</t>
        </is>
      </c>
      <c r="G65" t="n">
        <v>2.5</v>
      </c>
      <c r="H65" t="n">
        <v>1</v>
      </c>
      <c r="I65" t="n">
        <v>0</v>
      </c>
      <c r="J65" t="n">
        <v>4</v>
      </c>
      <c r="K65" t="n">
        <v>2</v>
      </c>
      <c r="L65" t="n">
        <v>0</v>
      </c>
      <c r="M65" t="n">
        <v>0</v>
      </c>
      <c r="N65" t="n">
        <v>0</v>
      </c>
      <c r="O65" t="n">
        <v>6</v>
      </c>
      <c r="P65" t="n">
        <v>2</v>
      </c>
      <c r="Q65" t="n">
        <v>6</v>
      </c>
      <c r="R65" s="2" t="inlineStr">
        <is>
          <t>Goliatmusseron
Läderdoftande fingersvamp
Granticka
Gultoppig fingersvamp
Svart taggsvamp
Tretåig hackspett</t>
        </is>
      </c>
      <c r="S65">
        <f>HYPERLINK("https://klasma.github.io/Logging_2283/artfynd/A 18014-2022 artfynd.xlsx", "A 18014-2022")</f>
        <v/>
      </c>
      <c r="T65">
        <f>HYPERLINK("https://klasma.github.io/Logging_2283/kartor/A 18014-2022 karta.png", "A 18014-2022")</f>
        <v/>
      </c>
      <c r="U65">
        <f>HYPERLINK("https://klasma.github.io/Logging_2283/knärot/A 18014-2022 karta knärot.png", "A 18014-2022")</f>
        <v/>
      </c>
      <c r="V65">
        <f>HYPERLINK("https://klasma.github.io/Logging_2283/klagomål/A 18014-2022 FSC-klagomål.docx", "A 18014-2022")</f>
        <v/>
      </c>
      <c r="W65">
        <f>HYPERLINK("https://klasma.github.io/Logging_2283/klagomålsmail/A 18014-2022 FSC-klagomål mail.docx", "A 18014-2022")</f>
        <v/>
      </c>
      <c r="X65">
        <f>HYPERLINK("https://klasma.github.io/Logging_2283/tillsyn/A 18014-2022 tillsynsbegäran.docx", "A 18014-2022")</f>
        <v/>
      </c>
      <c r="Y65">
        <f>HYPERLINK("https://klasma.github.io/Logging_2283/tillsynsmail/A 18014-2022 tillsynsbegäran mail.docx", "A 18014-2022")</f>
        <v/>
      </c>
    </row>
    <row r="66" ht="15" customHeight="1">
      <c r="A66" t="inlineStr">
        <is>
          <t>A 24887-2022</t>
        </is>
      </c>
      <c r="B66" s="1" t="n">
        <v>44728</v>
      </c>
      <c r="C66" s="1" t="n">
        <v>45282</v>
      </c>
      <c r="D66" t="inlineStr">
        <is>
          <t>VÄSTERNORRLANDS LÄN</t>
        </is>
      </c>
      <c r="E66" t="inlineStr">
        <is>
          <t>SOLLEFTEÅ</t>
        </is>
      </c>
      <c r="G66" t="n">
        <v>11.4</v>
      </c>
      <c r="H66" t="n">
        <v>2</v>
      </c>
      <c r="I66" t="n">
        <v>0</v>
      </c>
      <c r="J66" t="n">
        <v>5</v>
      </c>
      <c r="K66" t="n">
        <v>1</v>
      </c>
      <c r="L66" t="n">
        <v>0</v>
      </c>
      <c r="M66" t="n">
        <v>0</v>
      </c>
      <c r="N66" t="n">
        <v>0</v>
      </c>
      <c r="O66" t="n">
        <v>6</v>
      </c>
      <c r="P66" t="n">
        <v>1</v>
      </c>
      <c r="Q66" t="n">
        <v>6</v>
      </c>
      <c r="R66" s="2" t="inlineStr">
        <is>
          <t>Knärot
Garnlav
Gränsticka
Järpe
Rosenticka
Ullticka</t>
        </is>
      </c>
      <c r="S66">
        <f>HYPERLINK("https://klasma.github.io/Logging_2283/artfynd/A 24887-2022 artfynd.xlsx", "A 24887-2022")</f>
        <v/>
      </c>
      <c r="T66">
        <f>HYPERLINK("https://klasma.github.io/Logging_2283/kartor/A 24887-2022 karta.png", "A 24887-2022")</f>
        <v/>
      </c>
      <c r="U66">
        <f>HYPERLINK("https://klasma.github.io/Logging_2283/knärot/A 24887-2022 karta knärot.png", "A 24887-2022")</f>
        <v/>
      </c>
      <c r="V66">
        <f>HYPERLINK("https://klasma.github.io/Logging_2283/klagomål/A 24887-2022 FSC-klagomål.docx", "A 24887-2022")</f>
        <v/>
      </c>
      <c r="W66">
        <f>HYPERLINK("https://klasma.github.io/Logging_2283/klagomålsmail/A 24887-2022 FSC-klagomål mail.docx", "A 24887-2022")</f>
        <v/>
      </c>
      <c r="X66">
        <f>HYPERLINK("https://klasma.github.io/Logging_2283/tillsyn/A 24887-2022 tillsynsbegäran.docx", "A 24887-2022")</f>
        <v/>
      </c>
      <c r="Y66">
        <f>HYPERLINK("https://klasma.github.io/Logging_2283/tillsynsmail/A 24887-2022 tillsynsbegäran mail.docx", "A 24887-2022")</f>
        <v/>
      </c>
    </row>
    <row r="67" ht="15" customHeight="1">
      <c r="A67" t="inlineStr">
        <is>
          <t>A 26655-2022</t>
        </is>
      </c>
      <c r="B67" s="1" t="n">
        <v>44739</v>
      </c>
      <c r="C67" s="1" t="n">
        <v>45282</v>
      </c>
      <c r="D67" t="inlineStr">
        <is>
          <t>VÄSTERNORRLANDS LÄN</t>
        </is>
      </c>
      <c r="E67" t="inlineStr">
        <is>
          <t>SOLLEFTEÅ</t>
        </is>
      </c>
      <c r="F67" t="inlineStr">
        <is>
          <t>Holmen skog AB</t>
        </is>
      </c>
      <c r="G67" t="n">
        <v>5.8</v>
      </c>
      <c r="H67" t="n">
        <v>2</v>
      </c>
      <c r="I67" t="n">
        <v>0</v>
      </c>
      <c r="J67" t="n">
        <v>5</v>
      </c>
      <c r="K67" t="n">
        <v>1</v>
      </c>
      <c r="L67" t="n">
        <v>0</v>
      </c>
      <c r="M67" t="n">
        <v>0</v>
      </c>
      <c r="N67" t="n">
        <v>0</v>
      </c>
      <c r="O67" t="n">
        <v>6</v>
      </c>
      <c r="P67" t="n">
        <v>1</v>
      </c>
      <c r="Q67" t="n">
        <v>6</v>
      </c>
      <c r="R67" s="2" t="inlineStr">
        <is>
          <t>Knärot
Garnlav
Lunglav
Rosenticka
Talltita
Ullticka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row>
    <row r="68" ht="15" customHeight="1">
      <c r="A68" t="inlineStr">
        <is>
          <t>A 61377-2022</t>
        </is>
      </c>
      <c r="B68" s="1" t="n">
        <v>44915</v>
      </c>
      <c r="C68" s="1" t="n">
        <v>45282</v>
      </c>
      <c r="D68" t="inlineStr">
        <is>
          <t>VÄSTERNORRLANDS LÄN</t>
        </is>
      </c>
      <c r="E68" t="inlineStr">
        <is>
          <t>SOLLEFTEÅ</t>
        </is>
      </c>
      <c r="G68" t="n">
        <v>10.5</v>
      </c>
      <c r="H68" t="n">
        <v>0</v>
      </c>
      <c r="I68" t="n">
        <v>1</v>
      </c>
      <c r="J68" t="n">
        <v>5</v>
      </c>
      <c r="K68" t="n">
        <v>0</v>
      </c>
      <c r="L68" t="n">
        <v>0</v>
      </c>
      <c r="M68" t="n">
        <v>0</v>
      </c>
      <c r="N68" t="n">
        <v>0</v>
      </c>
      <c r="O68" t="n">
        <v>5</v>
      </c>
      <c r="P68" t="n">
        <v>0</v>
      </c>
      <c r="Q68" t="n">
        <v>6</v>
      </c>
      <c r="R68" s="2" t="inlineStr">
        <is>
          <t>Gammelgransskål
Garnlav
Granticka
Lunglav
Stjärntagging
Spädstarr</t>
        </is>
      </c>
      <c r="S68">
        <f>HYPERLINK("https://klasma.github.io/Logging_2283/artfynd/A 61377-2022 artfynd.xlsx", "A 61377-2022")</f>
        <v/>
      </c>
      <c r="T68">
        <f>HYPERLINK("https://klasma.github.io/Logging_2283/kartor/A 61377-2022 karta.png", "A 61377-2022")</f>
        <v/>
      </c>
      <c r="V68">
        <f>HYPERLINK("https://klasma.github.io/Logging_2283/klagomål/A 61377-2022 FSC-klagomål.docx", "A 61377-2022")</f>
        <v/>
      </c>
      <c r="W68">
        <f>HYPERLINK("https://klasma.github.io/Logging_2283/klagomålsmail/A 61377-2022 FSC-klagomål mail.docx", "A 61377-2022")</f>
        <v/>
      </c>
      <c r="X68">
        <f>HYPERLINK("https://klasma.github.io/Logging_2283/tillsyn/A 61377-2022 tillsynsbegäran.docx", "A 61377-2022")</f>
        <v/>
      </c>
      <c r="Y68">
        <f>HYPERLINK("https://klasma.github.io/Logging_2283/tillsynsmail/A 61377-2022 tillsynsbegäran mail.docx", "A 61377-2022")</f>
        <v/>
      </c>
    </row>
    <row r="69" ht="15" customHeight="1">
      <c r="A69" t="inlineStr">
        <is>
          <t>A 14860-2023</t>
        </is>
      </c>
      <c r="B69" s="1" t="n">
        <v>45015</v>
      </c>
      <c r="C69" s="1" t="n">
        <v>45282</v>
      </c>
      <c r="D69" t="inlineStr">
        <is>
          <t>VÄSTERNORRLANDS LÄN</t>
        </is>
      </c>
      <c r="E69" t="inlineStr">
        <is>
          <t>SOLLEFTEÅ</t>
        </is>
      </c>
      <c r="F69" t="inlineStr">
        <is>
          <t>SCA</t>
        </is>
      </c>
      <c r="G69" t="n">
        <v>5.8</v>
      </c>
      <c r="H69" t="n">
        <v>1</v>
      </c>
      <c r="I69" t="n">
        <v>2</v>
      </c>
      <c r="J69" t="n">
        <v>3</v>
      </c>
      <c r="K69" t="n">
        <v>1</v>
      </c>
      <c r="L69" t="n">
        <v>0</v>
      </c>
      <c r="M69" t="n">
        <v>0</v>
      </c>
      <c r="N69" t="n">
        <v>0</v>
      </c>
      <c r="O69" t="n">
        <v>4</v>
      </c>
      <c r="P69" t="n">
        <v>1</v>
      </c>
      <c r="Q69" t="n">
        <v>6</v>
      </c>
      <c r="R69" s="2" t="inlineStr">
        <is>
          <t>Knärot
Granticka
Lunglav
Ullticka
Skinnlav
Stuplav</t>
        </is>
      </c>
      <c r="S69">
        <f>HYPERLINK("https://klasma.github.io/Logging_2283/artfynd/A 14860-2023 artfynd.xlsx", "A 14860-2023")</f>
        <v/>
      </c>
      <c r="T69">
        <f>HYPERLINK("https://klasma.github.io/Logging_2283/kartor/A 14860-2023 karta.png", "A 14860-2023")</f>
        <v/>
      </c>
      <c r="U69">
        <f>HYPERLINK("https://klasma.github.io/Logging_2283/knärot/A 14860-2023 karta knärot.png", "A 14860-2023")</f>
        <v/>
      </c>
      <c r="V69">
        <f>HYPERLINK("https://klasma.github.io/Logging_2283/klagomål/A 14860-2023 FSC-klagomål.docx", "A 14860-2023")</f>
        <v/>
      </c>
      <c r="W69">
        <f>HYPERLINK("https://klasma.github.io/Logging_2283/klagomålsmail/A 14860-2023 FSC-klagomål mail.docx", "A 14860-2023")</f>
        <v/>
      </c>
      <c r="X69">
        <f>HYPERLINK("https://klasma.github.io/Logging_2283/tillsyn/A 14860-2023 tillsynsbegäran.docx", "A 14860-2023")</f>
        <v/>
      </c>
      <c r="Y69">
        <f>HYPERLINK("https://klasma.github.io/Logging_2283/tillsynsmail/A 14860-2023 tillsynsbegäran mail.docx", "A 14860-2023")</f>
        <v/>
      </c>
    </row>
    <row r="70" ht="15" customHeight="1">
      <c r="A70" t="inlineStr">
        <is>
          <t>A 39198-2023</t>
        </is>
      </c>
      <c r="B70" s="1" t="n">
        <v>45166</v>
      </c>
      <c r="C70" s="1" t="n">
        <v>45282</v>
      </c>
      <c r="D70" t="inlineStr">
        <is>
          <t>VÄSTERNORRLANDS LÄN</t>
        </is>
      </c>
      <c r="E70" t="inlineStr">
        <is>
          <t>SOLLEFTEÅ</t>
        </is>
      </c>
      <c r="G70" t="n">
        <v>11</v>
      </c>
      <c r="H70" t="n">
        <v>0</v>
      </c>
      <c r="I70" t="n">
        <v>2</v>
      </c>
      <c r="J70" t="n">
        <v>4</v>
      </c>
      <c r="K70" t="n">
        <v>0</v>
      </c>
      <c r="L70" t="n">
        <v>0</v>
      </c>
      <c r="M70" t="n">
        <v>0</v>
      </c>
      <c r="N70" t="n">
        <v>0</v>
      </c>
      <c r="O70" t="n">
        <v>4</v>
      </c>
      <c r="P70" t="n">
        <v>0</v>
      </c>
      <c r="Q70" t="n">
        <v>6</v>
      </c>
      <c r="R70" s="2" t="inlineStr">
        <is>
          <t>Garnlav
Lunglav
Rosenticka
Ullticka
Stor aspticka
Vedticka</t>
        </is>
      </c>
      <c r="S70">
        <f>HYPERLINK("https://klasma.github.io/Logging_2283/artfynd/A 39198-2023 artfynd.xlsx", "A 39198-2023")</f>
        <v/>
      </c>
      <c r="T70">
        <f>HYPERLINK("https://klasma.github.io/Logging_2283/kartor/A 39198-2023 karta.png", "A 39198-2023")</f>
        <v/>
      </c>
      <c r="U70">
        <f>HYPERLINK("https://klasma.github.io/Logging_2283/knärot/A 39198-2023 karta knärot.png", "A 39198-2023")</f>
        <v/>
      </c>
      <c r="V70">
        <f>HYPERLINK("https://klasma.github.io/Logging_2283/klagomål/A 39198-2023 FSC-klagomål.docx", "A 39198-2023")</f>
        <v/>
      </c>
      <c r="W70">
        <f>HYPERLINK("https://klasma.github.io/Logging_2283/klagomålsmail/A 39198-2023 FSC-klagomål mail.docx", "A 39198-2023")</f>
        <v/>
      </c>
      <c r="X70">
        <f>HYPERLINK("https://klasma.github.io/Logging_2283/tillsyn/A 39198-2023 tillsynsbegäran.docx", "A 39198-2023")</f>
        <v/>
      </c>
      <c r="Y70">
        <f>HYPERLINK("https://klasma.github.io/Logging_2283/tillsynsmail/A 39198-2023 tillsynsbegäran mail.docx", "A 39198-2023")</f>
        <v/>
      </c>
    </row>
    <row r="71" ht="15" customHeight="1">
      <c r="A71" t="inlineStr">
        <is>
          <t>A 40420-2023</t>
        </is>
      </c>
      <c r="B71" s="1" t="n">
        <v>45169</v>
      </c>
      <c r="C71" s="1" t="n">
        <v>45282</v>
      </c>
      <c r="D71" t="inlineStr">
        <is>
          <t>VÄSTERNORRLANDS LÄN</t>
        </is>
      </c>
      <c r="E71" t="inlineStr">
        <is>
          <t>SOLLEFTEÅ</t>
        </is>
      </c>
      <c r="F71" t="inlineStr">
        <is>
          <t>SCA</t>
        </is>
      </c>
      <c r="G71" t="n">
        <v>10</v>
      </c>
      <c r="H71" t="n">
        <v>2</v>
      </c>
      <c r="I71" t="n">
        <v>0</v>
      </c>
      <c r="J71" t="n">
        <v>3</v>
      </c>
      <c r="K71" t="n">
        <v>2</v>
      </c>
      <c r="L71" t="n">
        <v>0</v>
      </c>
      <c r="M71" t="n">
        <v>0</v>
      </c>
      <c r="N71" t="n">
        <v>0</v>
      </c>
      <c r="O71" t="n">
        <v>5</v>
      </c>
      <c r="P71" t="n">
        <v>2</v>
      </c>
      <c r="Q71" t="n">
        <v>6</v>
      </c>
      <c r="R71" s="2" t="inlineStr">
        <is>
          <t>Knärot
Rynkskinn
Lunglav
Rosenticka
Ullticka
Tjäder</t>
        </is>
      </c>
      <c r="S71">
        <f>HYPERLINK("https://klasma.github.io/Logging_2283/artfynd/A 40420-2023 artfynd.xlsx", "A 40420-2023")</f>
        <v/>
      </c>
      <c r="T71">
        <f>HYPERLINK("https://klasma.github.io/Logging_2283/kartor/A 40420-2023 karta.png", "A 40420-2023")</f>
        <v/>
      </c>
      <c r="U71">
        <f>HYPERLINK("https://klasma.github.io/Logging_2283/knärot/A 40420-2023 karta knärot.png", "A 40420-2023")</f>
        <v/>
      </c>
      <c r="V71">
        <f>HYPERLINK("https://klasma.github.io/Logging_2283/klagomål/A 40420-2023 FSC-klagomål.docx", "A 40420-2023")</f>
        <v/>
      </c>
      <c r="W71">
        <f>HYPERLINK("https://klasma.github.io/Logging_2283/klagomålsmail/A 40420-2023 FSC-klagomål mail.docx", "A 40420-2023")</f>
        <v/>
      </c>
      <c r="X71">
        <f>HYPERLINK("https://klasma.github.io/Logging_2283/tillsyn/A 40420-2023 tillsynsbegäran.docx", "A 40420-2023")</f>
        <v/>
      </c>
      <c r="Y71">
        <f>HYPERLINK("https://klasma.github.io/Logging_2283/tillsynsmail/A 40420-2023 tillsynsbegäran mail.docx", "A 40420-2023")</f>
        <v/>
      </c>
    </row>
    <row r="72" ht="15" customHeight="1">
      <c r="A72" t="inlineStr">
        <is>
          <t>A 40417-2023</t>
        </is>
      </c>
      <c r="B72" s="1" t="n">
        <v>45169</v>
      </c>
      <c r="C72" s="1" t="n">
        <v>45282</v>
      </c>
      <c r="D72" t="inlineStr">
        <is>
          <t>VÄSTERNORRLANDS LÄN</t>
        </is>
      </c>
      <c r="E72" t="inlineStr">
        <is>
          <t>SOLLEFTEÅ</t>
        </is>
      </c>
      <c r="F72" t="inlineStr">
        <is>
          <t>SCA</t>
        </is>
      </c>
      <c r="G72" t="n">
        <v>10.6</v>
      </c>
      <c r="H72" t="n">
        <v>2</v>
      </c>
      <c r="I72" t="n">
        <v>0</v>
      </c>
      <c r="J72" t="n">
        <v>4</v>
      </c>
      <c r="K72" t="n">
        <v>1</v>
      </c>
      <c r="L72" t="n">
        <v>0</v>
      </c>
      <c r="M72" t="n">
        <v>0</v>
      </c>
      <c r="N72" t="n">
        <v>0</v>
      </c>
      <c r="O72" t="n">
        <v>5</v>
      </c>
      <c r="P72" t="n">
        <v>1</v>
      </c>
      <c r="Q72" t="n">
        <v>6</v>
      </c>
      <c r="R72" s="2" t="inlineStr">
        <is>
          <t>Knärot
Kolflarnlav
Lunglav
Motaggsvamp
Mörk kolflarnlav
Tjäder</t>
        </is>
      </c>
      <c r="S72">
        <f>HYPERLINK("https://klasma.github.io/Logging_2283/artfynd/A 40417-2023 artfynd.xlsx", "A 40417-2023")</f>
        <v/>
      </c>
      <c r="T72">
        <f>HYPERLINK("https://klasma.github.io/Logging_2283/kartor/A 40417-2023 karta.png", "A 40417-2023")</f>
        <v/>
      </c>
      <c r="U72">
        <f>HYPERLINK("https://klasma.github.io/Logging_2283/knärot/A 40417-2023 karta knärot.png", "A 40417-2023")</f>
        <v/>
      </c>
      <c r="V72">
        <f>HYPERLINK("https://klasma.github.io/Logging_2283/klagomål/A 40417-2023 FSC-klagomål.docx", "A 40417-2023")</f>
        <v/>
      </c>
      <c r="W72">
        <f>HYPERLINK("https://klasma.github.io/Logging_2283/klagomålsmail/A 40417-2023 FSC-klagomål mail.docx", "A 40417-2023")</f>
        <v/>
      </c>
      <c r="X72">
        <f>HYPERLINK("https://klasma.github.io/Logging_2283/tillsyn/A 40417-2023 tillsynsbegäran.docx", "A 40417-2023")</f>
        <v/>
      </c>
      <c r="Y72">
        <f>HYPERLINK("https://klasma.github.io/Logging_2283/tillsynsmail/A 40417-2023 tillsynsbegäran mail.docx", "A 40417-2023")</f>
        <v/>
      </c>
    </row>
    <row r="73" ht="15" customHeight="1">
      <c r="A73" t="inlineStr">
        <is>
          <t>A 62051-2018</t>
        </is>
      </c>
      <c r="B73" s="1" t="n">
        <v>43416</v>
      </c>
      <c r="C73" s="1" t="n">
        <v>45282</v>
      </c>
      <c r="D73" t="inlineStr">
        <is>
          <t>VÄSTERNORRLANDS LÄN</t>
        </is>
      </c>
      <c r="E73" t="inlineStr">
        <is>
          <t>SOLLEFTEÅ</t>
        </is>
      </c>
      <c r="F73" t="inlineStr">
        <is>
          <t>Kyrkan</t>
        </is>
      </c>
      <c r="G73" t="n">
        <v>16.1</v>
      </c>
      <c r="H73" t="n">
        <v>1</v>
      </c>
      <c r="I73" t="n">
        <v>1</v>
      </c>
      <c r="J73" t="n">
        <v>4</v>
      </c>
      <c r="K73" t="n">
        <v>0</v>
      </c>
      <c r="L73" t="n">
        <v>0</v>
      </c>
      <c r="M73" t="n">
        <v>0</v>
      </c>
      <c r="N73" t="n">
        <v>0</v>
      </c>
      <c r="O73" t="n">
        <v>4</v>
      </c>
      <c r="P73" t="n">
        <v>0</v>
      </c>
      <c r="Q73" t="n">
        <v>5</v>
      </c>
      <c r="R73" s="2" t="inlineStr">
        <is>
          <t>Garnlav
Lunglav
Rosenticka
Tretåig hackspett
Vanlig flatbagge</t>
        </is>
      </c>
      <c r="S73">
        <f>HYPERLINK("https://klasma.github.io/Logging_2283/artfynd/A 62051-2018 artfynd.xlsx", "A 62051-2018")</f>
        <v/>
      </c>
      <c r="T73">
        <f>HYPERLINK("https://klasma.github.io/Logging_2283/kartor/A 62051-2018 karta.png", "A 62051-2018")</f>
        <v/>
      </c>
      <c r="V73">
        <f>HYPERLINK("https://klasma.github.io/Logging_2283/klagomål/A 62051-2018 FSC-klagomål.docx", "A 62051-2018")</f>
        <v/>
      </c>
      <c r="W73">
        <f>HYPERLINK("https://klasma.github.io/Logging_2283/klagomålsmail/A 62051-2018 FSC-klagomål mail.docx", "A 62051-2018")</f>
        <v/>
      </c>
      <c r="X73">
        <f>HYPERLINK("https://klasma.github.io/Logging_2283/tillsyn/A 62051-2018 tillsynsbegäran.docx", "A 62051-2018")</f>
        <v/>
      </c>
      <c r="Y73">
        <f>HYPERLINK("https://klasma.github.io/Logging_2283/tillsynsmail/A 62051-2018 tillsynsbegäran mail.docx", "A 62051-2018")</f>
        <v/>
      </c>
    </row>
    <row r="74" ht="15" customHeight="1">
      <c r="A74" t="inlineStr">
        <is>
          <t>A 68033-2018</t>
        </is>
      </c>
      <c r="B74" s="1" t="n">
        <v>43437</v>
      </c>
      <c r="C74" s="1" t="n">
        <v>45282</v>
      </c>
      <c r="D74" t="inlineStr">
        <is>
          <t>VÄSTERNORRLANDS LÄN</t>
        </is>
      </c>
      <c r="E74" t="inlineStr">
        <is>
          <t>SOLLEFTEÅ</t>
        </is>
      </c>
      <c r="F74" t="inlineStr">
        <is>
          <t>Holmen skog AB</t>
        </is>
      </c>
      <c r="G74" t="n">
        <v>7.5</v>
      </c>
      <c r="H74" t="n">
        <v>0</v>
      </c>
      <c r="I74" t="n">
        <v>1</v>
      </c>
      <c r="J74" t="n">
        <v>2</v>
      </c>
      <c r="K74" t="n">
        <v>1</v>
      </c>
      <c r="L74" t="n">
        <v>1</v>
      </c>
      <c r="M74" t="n">
        <v>0</v>
      </c>
      <c r="N74" t="n">
        <v>0</v>
      </c>
      <c r="O74" t="n">
        <v>4</v>
      </c>
      <c r="P74" t="n">
        <v>2</v>
      </c>
      <c r="Q74" t="n">
        <v>5</v>
      </c>
      <c r="R74" s="2" t="inlineStr">
        <is>
          <t>Isabellporing
Lappticka
Nordtagging
Tofsnålskinn
Vedticka</t>
        </is>
      </c>
      <c r="S74">
        <f>HYPERLINK("https://klasma.github.io/Logging_2283/artfynd/A 68033-2018 artfynd.xlsx", "A 68033-2018")</f>
        <v/>
      </c>
      <c r="T74">
        <f>HYPERLINK("https://klasma.github.io/Logging_2283/kartor/A 68033-2018 karta.png", "A 68033-2018")</f>
        <v/>
      </c>
      <c r="V74">
        <f>HYPERLINK("https://klasma.github.io/Logging_2283/klagomål/A 68033-2018 FSC-klagomål.docx", "A 68033-2018")</f>
        <v/>
      </c>
      <c r="W74">
        <f>HYPERLINK("https://klasma.github.io/Logging_2283/klagomålsmail/A 68033-2018 FSC-klagomål mail.docx", "A 68033-2018")</f>
        <v/>
      </c>
      <c r="X74">
        <f>HYPERLINK("https://klasma.github.io/Logging_2283/tillsyn/A 68033-2018 tillsynsbegäran.docx", "A 68033-2018")</f>
        <v/>
      </c>
      <c r="Y74">
        <f>HYPERLINK("https://klasma.github.io/Logging_2283/tillsynsmail/A 68033-2018 tillsynsbegäran mail.docx", "A 68033-2018")</f>
        <v/>
      </c>
    </row>
    <row r="75" ht="15" customHeight="1">
      <c r="A75" t="inlineStr">
        <is>
          <t>A 26633-2019</t>
        </is>
      </c>
      <c r="B75" s="1" t="n">
        <v>43612</v>
      </c>
      <c r="C75" s="1" t="n">
        <v>45282</v>
      </c>
      <c r="D75" t="inlineStr">
        <is>
          <t>VÄSTERNORRLANDS LÄN</t>
        </is>
      </c>
      <c r="E75" t="inlineStr">
        <is>
          <t>SOLLEFTEÅ</t>
        </is>
      </c>
      <c r="F75" t="inlineStr">
        <is>
          <t>SCA</t>
        </is>
      </c>
      <c r="G75" t="n">
        <v>20.5</v>
      </c>
      <c r="H75" t="n">
        <v>1</v>
      </c>
      <c r="I75" t="n">
        <v>1</v>
      </c>
      <c r="J75" t="n">
        <v>4</v>
      </c>
      <c r="K75" t="n">
        <v>0</v>
      </c>
      <c r="L75" t="n">
        <v>0</v>
      </c>
      <c r="M75" t="n">
        <v>0</v>
      </c>
      <c r="N75" t="n">
        <v>0</v>
      </c>
      <c r="O75" t="n">
        <v>4</v>
      </c>
      <c r="P75" t="n">
        <v>0</v>
      </c>
      <c r="Q75" t="n">
        <v>5</v>
      </c>
      <c r="R75" s="2" t="inlineStr">
        <is>
          <t>Grantaggsvamp
Knölgrynna
Tallriska
Tretåig hackspett
Dropptaggsvamp</t>
        </is>
      </c>
      <c r="S75">
        <f>HYPERLINK("https://klasma.github.io/Logging_2283/artfynd/A 26633-2019 artfynd.xlsx", "A 26633-2019")</f>
        <v/>
      </c>
      <c r="T75">
        <f>HYPERLINK("https://klasma.github.io/Logging_2283/kartor/A 26633-2019 karta.png", "A 26633-2019")</f>
        <v/>
      </c>
      <c r="V75">
        <f>HYPERLINK("https://klasma.github.io/Logging_2283/klagomål/A 26633-2019 FSC-klagomål.docx", "A 26633-2019")</f>
        <v/>
      </c>
      <c r="W75">
        <f>HYPERLINK("https://klasma.github.io/Logging_2283/klagomålsmail/A 26633-2019 FSC-klagomål mail.docx", "A 26633-2019")</f>
        <v/>
      </c>
      <c r="X75">
        <f>HYPERLINK("https://klasma.github.io/Logging_2283/tillsyn/A 26633-2019 tillsynsbegäran.docx", "A 26633-2019")</f>
        <v/>
      </c>
      <c r="Y75">
        <f>HYPERLINK("https://klasma.github.io/Logging_2283/tillsynsmail/A 26633-2019 tillsynsbegäran mail.docx", "A 26633-2019")</f>
        <v/>
      </c>
    </row>
    <row r="76" ht="15" customHeight="1">
      <c r="A76" t="inlineStr">
        <is>
          <t>A 41785-2019</t>
        </is>
      </c>
      <c r="B76" s="1" t="n">
        <v>43699</v>
      </c>
      <c r="C76" s="1" t="n">
        <v>45282</v>
      </c>
      <c r="D76" t="inlineStr">
        <is>
          <t>VÄSTERNORRLANDS LÄN</t>
        </is>
      </c>
      <c r="E76" t="inlineStr">
        <is>
          <t>SOLLEFTEÅ</t>
        </is>
      </c>
      <c r="F76" t="inlineStr">
        <is>
          <t>SCA</t>
        </is>
      </c>
      <c r="G76" t="n">
        <v>3.1</v>
      </c>
      <c r="H76" t="n">
        <v>0</v>
      </c>
      <c r="I76" t="n">
        <v>1</v>
      </c>
      <c r="J76" t="n">
        <v>3</v>
      </c>
      <c r="K76" t="n">
        <v>1</v>
      </c>
      <c r="L76" t="n">
        <v>0</v>
      </c>
      <c r="M76" t="n">
        <v>0</v>
      </c>
      <c r="N76" t="n">
        <v>0</v>
      </c>
      <c r="O76" t="n">
        <v>4</v>
      </c>
      <c r="P76" t="n">
        <v>1</v>
      </c>
      <c r="Q76" t="n">
        <v>5</v>
      </c>
      <c r="R76" s="2" t="inlineStr">
        <is>
          <t>Rynkskinn
Rosenticka
Ullticka
Violmussling
Stor aspticka</t>
        </is>
      </c>
      <c r="S76">
        <f>HYPERLINK("https://klasma.github.io/Logging_2283/artfynd/A 41785-2019 artfynd.xlsx", "A 41785-2019")</f>
        <v/>
      </c>
      <c r="T76">
        <f>HYPERLINK("https://klasma.github.io/Logging_2283/kartor/A 41785-2019 karta.png", "A 41785-2019")</f>
        <v/>
      </c>
      <c r="V76">
        <f>HYPERLINK("https://klasma.github.io/Logging_2283/klagomål/A 41785-2019 FSC-klagomål.docx", "A 41785-2019")</f>
        <v/>
      </c>
      <c r="W76">
        <f>HYPERLINK("https://klasma.github.io/Logging_2283/klagomålsmail/A 41785-2019 FSC-klagomål mail.docx", "A 41785-2019")</f>
        <v/>
      </c>
      <c r="X76">
        <f>HYPERLINK("https://klasma.github.io/Logging_2283/tillsyn/A 41785-2019 tillsynsbegäran.docx", "A 41785-2019")</f>
        <v/>
      </c>
      <c r="Y76">
        <f>HYPERLINK("https://klasma.github.io/Logging_2283/tillsynsmail/A 41785-2019 tillsynsbegäran mail.docx", "A 41785-2019")</f>
        <v/>
      </c>
    </row>
    <row r="77" ht="15" customHeight="1">
      <c r="A77" t="inlineStr">
        <is>
          <t>A 57076-2020</t>
        </is>
      </c>
      <c r="B77" s="1" t="n">
        <v>44138</v>
      </c>
      <c r="C77" s="1" t="n">
        <v>45282</v>
      </c>
      <c r="D77" t="inlineStr">
        <is>
          <t>VÄSTERNORRLANDS LÄN</t>
        </is>
      </c>
      <c r="E77" t="inlineStr">
        <is>
          <t>SOLLEFTEÅ</t>
        </is>
      </c>
      <c r="G77" t="n">
        <v>3.8</v>
      </c>
      <c r="H77" t="n">
        <v>3</v>
      </c>
      <c r="I77" t="n">
        <v>1</v>
      </c>
      <c r="J77" t="n">
        <v>3</v>
      </c>
      <c r="K77" t="n">
        <v>0</v>
      </c>
      <c r="L77" t="n">
        <v>0</v>
      </c>
      <c r="M77" t="n">
        <v>0</v>
      </c>
      <c r="N77" t="n">
        <v>0</v>
      </c>
      <c r="O77" t="n">
        <v>3</v>
      </c>
      <c r="P77" t="n">
        <v>0</v>
      </c>
      <c r="Q77" t="n">
        <v>5</v>
      </c>
      <c r="R77" s="2" t="inlineStr">
        <is>
          <t>Kråka
Nipsippa
Rosenticka
Strutbräken
Revlummer</t>
        </is>
      </c>
      <c r="S77">
        <f>HYPERLINK("https://klasma.github.io/Logging_2283/artfynd/A 57076-2020 artfynd.xlsx", "A 57076-2020")</f>
        <v/>
      </c>
      <c r="T77">
        <f>HYPERLINK("https://klasma.github.io/Logging_2283/kartor/A 57076-2020 karta.png", "A 57076-2020")</f>
        <v/>
      </c>
      <c r="V77">
        <f>HYPERLINK("https://klasma.github.io/Logging_2283/klagomål/A 57076-2020 FSC-klagomål.docx", "A 57076-2020")</f>
        <v/>
      </c>
      <c r="W77">
        <f>HYPERLINK("https://klasma.github.io/Logging_2283/klagomålsmail/A 57076-2020 FSC-klagomål mail.docx", "A 57076-2020")</f>
        <v/>
      </c>
      <c r="X77">
        <f>HYPERLINK("https://klasma.github.io/Logging_2283/tillsyn/A 57076-2020 tillsynsbegäran.docx", "A 57076-2020")</f>
        <v/>
      </c>
      <c r="Y77">
        <f>HYPERLINK("https://klasma.github.io/Logging_2283/tillsynsmail/A 57076-2020 tillsynsbegäran mail.docx", "A 57076-2020")</f>
        <v/>
      </c>
    </row>
    <row r="78" ht="15" customHeight="1">
      <c r="A78" t="inlineStr">
        <is>
          <t>A 59318-2021</t>
        </is>
      </c>
      <c r="B78" s="1" t="n">
        <v>44491</v>
      </c>
      <c r="C78" s="1" t="n">
        <v>45282</v>
      </c>
      <c r="D78" t="inlineStr">
        <is>
          <t>VÄSTERNORRLANDS LÄN</t>
        </is>
      </c>
      <c r="E78" t="inlineStr">
        <is>
          <t>SOLLEFTEÅ</t>
        </is>
      </c>
      <c r="G78" t="n">
        <v>1.2</v>
      </c>
      <c r="H78" t="n">
        <v>2</v>
      </c>
      <c r="I78" t="n">
        <v>1</v>
      </c>
      <c r="J78" t="n">
        <v>4</v>
      </c>
      <c r="K78" t="n">
        <v>0</v>
      </c>
      <c r="L78" t="n">
        <v>0</v>
      </c>
      <c r="M78" t="n">
        <v>0</v>
      </c>
      <c r="N78" t="n">
        <v>0</v>
      </c>
      <c r="O78" t="n">
        <v>4</v>
      </c>
      <c r="P78" t="n">
        <v>0</v>
      </c>
      <c r="Q78" t="n">
        <v>5</v>
      </c>
      <c r="R78" s="2" t="inlineStr">
        <is>
          <t>Gammelgransskål
Garnlav
Spillkråka
Talltita
Skinnlav</t>
        </is>
      </c>
      <c r="S78">
        <f>HYPERLINK("https://klasma.github.io/Logging_2283/artfynd/A 59318-2021 artfynd.xlsx", "A 59318-2021")</f>
        <v/>
      </c>
      <c r="T78">
        <f>HYPERLINK("https://klasma.github.io/Logging_2283/kartor/A 59318-2021 karta.png", "A 59318-2021")</f>
        <v/>
      </c>
      <c r="V78">
        <f>HYPERLINK("https://klasma.github.io/Logging_2283/klagomål/A 59318-2021 FSC-klagomål.docx", "A 59318-2021")</f>
        <v/>
      </c>
      <c r="W78">
        <f>HYPERLINK("https://klasma.github.io/Logging_2283/klagomålsmail/A 59318-2021 FSC-klagomål mail.docx", "A 59318-2021")</f>
        <v/>
      </c>
      <c r="X78">
        <f>HYPERLINK("https://klasma.github.io/Logging_2283/tillsyn/A 59318-2021 tillsynsbegäran.docx", "A 59318-2021")</f>
        <v/>
      </c>
      <c r="Y78">
        <f>HYPERLINK("https://klasma.github.io/Logging_2283/tillsynsmail/A 59318-2021 tillsynsbegäran mail.docx", "A 59318-2021")</f>
        <v/>
      </c>
    </row>
    <row r="79" ht="15" customHeight="1">
      <c r="A79" t="inlineStr">
        <is>
          <t>A 68354-2021</t>
        </is>
      </c>
      <c r="B79" s="1" t="n">
        <v>44528</v>
      </c>
      <c r="C79" s="1" t="n">
        <v>45282</v>
      </c>
      <c r="D79" t="inlineStr">
        <is>
          <t>VÄSTERNORRLANDS LÄN</t>
        </is>
      </c>
      <c r="E79" t="inlineStr">
        <is>
          <t>SOLLEFTEÅ</t>
        </is>
      </c>
      <c r="G79" t="n">
        <v>3.3</v>
      </c>
      <c r="H79" t="n">
        <v>2</v>
      </c>
      <c r="I79" t="n">
        <v>1</v>
      </c>
      <c r="J79" t="n">
        <v>4</v>
      </c>
      <c r="K79" t="n">
        <v>0</v>
      </c>
      <c r="L79" t="n">
        <v>0</v>
      </c>
      <c r="M79" t="n">
        <v>0</v>
      </c>
      <c r="N79" t="n">
        <v>0</v>
      </c>
      <c r="O79" t="n">
        <v>4</v>
      </c>
      <c r="P79" t="n">
        <v>0</v>
      </c>
      <c r="Q79" t="n">
        <v>5</v>
      </c>
      <c r="R79" s="2" t="inlineStr">
        <is>
          <t>Rosenticka
Spillkråka
Talltita
Ullticka
Vanlig flatbagge</t>
        </is>
      </c>
      <c r="S79">
        <f>HYPERLINK("https://klasma.github.io/Logging_2283/artfynd/A 68354-2021 artfynd.xlsx", "A 68354-2021")</f>
        <v/>
      </c>
      <c r="T79">
        <f>HYPERLINK("https://klasma.github.io/Logging_2283/kartor/A 68354-2021 karta.png", "A 68354-2021")</f>
        <v/>
      </c>
      <c r="V79">
        <f>HYPERLINK("https://klasma.github.io/Logging_2283/klagomål/A 68354-2021 FSC-klagomål.docx", "A 68354-2021")</f>
        <v/>
      </c>
      <c r="W79">
        <f>HYPERLINK("https://klasma.github.io/Logging_2283/klagomålsmail/A 68354-2021 FSC-klagomål mail.docx", "A 68354-2021")</f>
        <v/>
      </c>
      <c r="X79">
        <f>HYPERLINK("https://klasma.github.io/Logging_2283/tillsyn/A 68354-2021 tillsynsbegäran.docx", "A 68354-2021")</f>
        <v/>
      </c>
      <c r="Y79">
        <f>HYPERLINK("https://klasma.github.io/Logging_2283/tillsynsmail/A 68354-2021 tillsynsbegäran mail.docx", "A 68354-2021")</f>
        <v/>
      </c>
    </row>
    <row r="80" ht="15" customHeight="1">
      <c r="A80" t="inlineStr">
        <is>
          <t>A 10400-2022</t>
        </is>
      </c>
      <c r="B80" s="1" t="n">
        <v>44623</v>
      </c>
      <c r="C80" s="1" t="n">
        <v>45282</v>
      </c>
      <c r="D80" t="inlineStr">
        <is>
          <t>VÄSTERNORRLANDS LÄN</t>
        </is>
      </c>
      <c r="E80" t="inlineStr">
        <is>
          <t>SOLLEFTEÅ</t>
        </is>
      </c>
      <c r="G80" t="n">
        <v>25.8</v>
      </c>
      <c r="H80" t="n">
        <v>2</v>
      </c>
      <c r="I80" t="n">
        <v>1</v>
      </c>
      <c r="J80" t="n">
        <v>4</v>
      </c>
      <c r="K80" t="n">
        <v>0</v>
      </c>
      <c r="L80" t="n">
        <v>0</v>
      </c>
      <c r="M80" t="n">
        <v>0</v>
      </c>
      <c r="N80" t="n">
        <v>0</v>
      </c>
      <c r="O80" t="n">
        <v>4</v>
      </c>
      <c r="P80" t="n">
        <v>0</v>
      </c>
      <c r="Q80" t="n">
        <v>5</v>
      </c>
      <c r="R80" s="2" t="inlineStr">
        <is>
          <t>Lunglav
Spillkråka
Tretåig hackspett
Ullticka
Korallblylav</t>
        </is>
      </c>
      <c r="S80">
        <f>HYPERLINK("https://klasma.github.io/Logging_2283/artfynd/A 10400-2022 artfynd.xlsx", "A 10400-2022")</f>
        <v/>
      </c>
      <c r="T80">
        <f>HYPERLINK("https://klasma.github.io/Logging_2283/kartor/A 10400-2022 karta.png", "A 10400-2022")</f>
        <v/>
      </c>
      <c r="V80">
        <f>HYPERLINK("https://klasma.github.io/Logging_2283/klagomål/A 10400-2022 FSC-klagomål.docx", "A 10400-2022")</f>
        <v/>
      </c>
      <c r="W80">
        <f>HYPERLINK("https://klasma.github.io/Logging_2283/klagomålsmail/A 10400-2022 FSC-klagomål mail.docx", "A 10400-2022")</f>
        <v/>
      </c>
      <c r="X80">
        <f>HYPERLINK("https://klasma.github.io/Logging_2283/tillsyn/A 10400-2022 tillsynsbegäran.docx", "A 10400-2022")</f>
        <v/>
      </c>
      <c r="Y80">
        <f>HYPERLINK("https://klasma.github.io/Logging_2283/tillsynsmail/A 10400-2022 tillsynsbegäran mail.docx", "A 10400-2022")</f>
        <v/>
      </c>
    </row>
    <row r="81" ht="15" customHeight="1">
      <c r="A81" t="inlineStr">
        <is>
          <t>A 11490-2022</t>
        </is>
      </c>
      <c r="B81" s="1" t="n">
        <v>44630</v>
      </c>
      <c r="C81" s="1" t="n">
        <v>45282</v>
      </c>
      <c r="D81" t="inlineStr">
        <is>
          <t>VÄSTERNORRLANDS LÄN</t>
        </is>
      </c>
      <c r="E81" t="inlineStr">
        <is>
          <t>SOLLEFTEÅ</t>
        </is>
      </c>
      <c r="F81" t="inlineStr">
        <is>
          <t>SCA</t>
        </is>
      </c>
      <c r="G81" t="n">
        <v>2</v>
      </c>
      <c r="H81" t="n">
        <v>2</v>
      </c>
      <c r="I81" t="n">
        <v>0</v>
      </c>
      <c r="J81" t="n">
        <v>5</v>
      </c>
      <c r="K81" t="n">
        <v>0</v>
      </c>
      <c r="L81" t="n">
        <v>0</v>
      </c>
      <c r="M81" t="n">
        <v>0</v>
      </c>
      <c r="N81" t="n">
        <v>0</v>
      </c>
      <c r="O81" t="n">
        <v>5</v>
      </c>
      <c r="P81" t="n">
        <v>0</v>
      </c>
      <c r="Q81" t="n">
        <v>5</v>
      </c>
      <c r="R81" s="2" t="inlineStr">
        <is>
          <t>Garnlav
Lunglav
Spillkråka
Tretåig hackspett
Ullticka</t>
        </is>
      </c>
      <c r="S81">
        <f>HYPERLINK("https://klasma.github.io/Logging_2283/artfynd/A 11490-2022 artfynd.xlsx", "A 11490-2022")</f>
        <v/>
      </c>
      <c r="T81">
        <f>HYPERLINK("https://klasma.github.io/Logging_2283/kartor/A 11490-2022 karta.png", "A 11490-2022")</f>
        <v/>
      </c>
      <c r="V81">
        <f>HYPERLINK("https://klasma.github.io/Logging_2283/klagomål/A 11490-2022 FSC-klagomål.docx", "A 11490-2022")</f>
        <v/>
      </c>
      <c r="W81">
        <f>HYPERLINK("https://klasma.github.io/Logging_2283/klagomålsmail/A 11490-2022 FSC-klagomål mail.docx", "A 11490-2022")</f>
        <v/>
      </c>
      <c r="X81">
        <f>HYPERLINK("https://klasma.github.io/Logging_2283/tillsyn/A 11490-2022 tillsynsbegäran.docx", "A 11490-2022")</f>
        <v/>
      </c>
      <c r="Y81">
        <f>HYPERLINK("https://klasma.github.io/Logging_2283/tillsynsmail/A 11490-2022 tillsynsbegäran mail.docx", "A 11490-2022")</f>
        <v/>
      </c>
    </row>
    <row r="82" ht="15" customHeight="1">
      <c r="A82" t="inlineStr">
        <is>
          <t>A 20949-2022</t>
        </is>
      </c>
      <c r="B82" s="1" t="n">
        <v>44702</v>
      </c>
      <c r="C82" s="1" t="n">
        <v>45282</v>
      </c>
      <c r="D82" t="inlineStr">
        <is>
          <t>VÄSTERNORRLANDS LÄN</t>
        </is>
      </c>
      <c r="E82" t="inlineStr">
        <is>
          <t>SOLLEFTEÅ</t>
        </is>
      </c>
      <c r="F82" t="inlineStr">
        <is>
          <t>SCA</t>
        </is>
      </c>
      <c r="G82" t="n">
        <v>2.2</v>
      </c>
      <c r="H82" t="n">
        <v>1</v>
      </c>
      <c r="I82" t="n">
        <v>0</v>
      </c>
      <c r="J82" t="n">
        <v>5</v>
      </c>
      <c r="K82" t="n">
        <v>0</v>
      </c>
      <c r="L82" t="n">
        <v>0</v>
      </c>
      <c r="M82" t="n">
        <v>0</v>
      </c>
      <c r="N82" t="n">
        <v>0</v>
      </c>
      <c r="O82" t="n">
        <v>5</v>
      </c>
      <c r="P82" t="n">
        <v>0</v>
      </c>
      <c r="Q82" t="n">
        <v>5</v>
      </c>
      <c r="R82" s="2" t="inlineStr">
        <is>
          <t>Garnlav
Kolflarnlav
Lunglav
Tretåig hackspett
Vedskivlav</t>
        </is>
      </c>
      <c r="S82">
        <f>HYPERLINK("https://klasma.github.io/Logging_2283/artfynd/A 20949-2022 artfynd.xlsx", "A 20949-2022")</f>
        <v/>
      </c>
      <c r="T82">
        <f>HYPERLINK("https://klasma.github.io/Logging_2283/kartor/A 20949-2022 karta.png", "A 20949-2022")</f>
        <v/>
      </c>
      <c r="V82">
        <f>HYPERLINK("https://klasma.github.io/Logging_2283/klagomål/A 20949-2022 FSC-klagomål.docx", "A 20949-2022")</f>
        <v/>
      </c>
      <c r="W82">
        <f>HYPERLINK("https://klasma.github.io/Logging_2283/klagomålsmail/A 20949-2022 FSC-klagomål mail.docx", "A 20949-2022")</f>
        <v/>
      </c>
      <c r="X82">
        <f>HYPERLINK("https://klasma.github.io/Logging_2283/tillsyn/A 20949-2022 tillsynsbegäran.docx", "A 20949-2022")</f>
        <v/>
      </c>
      <c r="Y82">
        <f>HYPERLINK("https://klasma.github.io/Logging_2283/tillsynsmail/A 20949-2022 tillsynsbegäran mail.docx", "A 20949-2022")</f>
        <v/>
      </c>
    </row>
    <row r="83" ht="15" customHeight="1">
      <c r="A83" t="inlineStr">
        <is>
          <t>A 41169-2022</t>
        </is>
      </c>
      <c r="B83" s="1" t="n">
        <v>44825</v>
      </c>
      <c r="C83" s="1" t="n">
        <v>45282</v>
      </c>
      <c r="D83" t="inlineStr">
        <is>
          <t>VÄSTERNORRLANDS LÄN</t>
        </is>
      </c>
      <c r="E83" t="inlineStr">
        <is>
          <t>SOLLEFTEÅ</t>
        </is>
      </c>
      <c r="F83" t="inlineStr">
        <is>
          <t>SCA</t>
        </is>
      </c>
      <c r="G83" t="n">
        <v>1.8</v>
      </c>
      <c r="H83" t="n">
        <v>2</v>
      </c>
      <c r="I83" t="n">
        <v>1</v>
      </c>
      <c r="J83" t="n">
        <v>4</v>
      </c>
      <c r="K83" t="n">
        <v>0</v>
      </c>
      <c r="L83" t="n">
        <v>0</v>
      </c>
      <c r="M83" t="n">
        <v>0</v>
      </c>
      <c r="N83" t="n">
        <v>0</v>
      </c>
      <c r="O83" t="n">
        <v>4</v>
      </c>
      <c r="P83" t="n">
        <v>0</v>
      </c>
      <c r="Q83" t="n">
        <v>5</v>
      </c>
      <c r="R83" s="2" t="inlineStr">
        <is>
          <t>Spillkråka
Tretåig hackspett
Ullticka
Vedskivlav
Vedticka</t>
        </is>
      </c>
      <c r="S83">
        <f>HYPERLINK("https://klasma.github.io/Logging_2283/artfynd/A 41169-2022 artfynd.xlsx", "A 41169-2022")</f>
        <v/>
      </c>
      <c r="T83">
        <f>HYPERLINK("https://klasma.github.io/Logging_2283/kartor/A 41169-2022 karta.png", "A 41169-2022")</f>
        <v/>
      </c>
      <c r="V83">
        <f>HYPERLINK("https://klasma.github.io/Logging_2283/klagomål/A 41169-2022 FSC-klagomål.docx", "A 41169-2022")</f>
        <v/>
      </c>
      <c r="W83">
        <f>HYPERLINK("https://klasma.github.io/Logging_2283/klagomålsmail/A 41169-2022 FSC-klagomål mail.docx", "A 41169-2022")</f>
        <v/>
      </c>
      <c r="X83">
        <f>HYPERLINK("https://klasma.github.io/Logging_2283/tillsyn/A 41169-2022 tillsynsbegäran.docx", "A 41169-2022")</f>
        <v/>
      </c>
      <c r="Y83">
        <f>HYPERLINK("https://klasma.github.io/Logging_2283/tillsynsmail/A 41169-2022 tillsynsbegäran mail.docx", "A 41169-2022")</f>
        <v/>
      </c>
    </row>
    <row r="84" ht="15" customHeight="1">
      <c r="A84" t="inlineStr">
        <is>
          <t>A 81-2023</t>
        </is>
      </c>
      <c r="B84" s="1" t="n">
        <v>44920</v>
      </c>
      <c r="C84" s="1" t="n">
        <v>45282</v>
      </c>
      <c r="D84" t="inlineStr">
        <is>
          <t>VÄSTERNORRLANDS LÄN</t>
        </is>
      </c>
      <c r="E84" t="inlineStr">
        <is>
          <t>SOLLEFTEÅ</t>
        </is>
      </c>
      <c r="G84" t="n">
        <v>20</v>
      </c>
      <c r="H84" t="n">
        <v>2</v>
      </c>
      <c r="I84" t="n">
        <v>1</v>
      </c>
      <c r="J84" t="n">
        <v>3</v>
      </c>
      <c r="K84" t="n">
        <v>1</v>
      </c>
      <c r="L84" t="n">
        <v>0</v>
      </c>
      <c r="M84" t="n">
        <v>0</v>
      </c>
      <c r="N84" t="n">
        <v>0</v>
      </c>
      <c r="O84" t="n">
        <v>4</v>
      </c>
      <c r="P84" t="n">
        <v>1</v>
      </c>
      <c r="Q84" t="n">
        <v>5</v>
      </c>
      <c r="R84" s="2" t="inlineStr">
        <is>
          <t>Knärot
Garnlav
Lunglav
Talltita
Luddlav</t>
        </is>
      </c>
      <c r="S84">
        <f>HYPERLINK("https://klasma.github.io/Logging_2283/artfynd/A 81-2023 artfynd.xlsx", "A 81-2023")</f>
        <v/>
      </c>
      <c r="T84">
        <f>HYPERLINK("https://klasma.github.io/Logging_2283/kartor/A 81-2023 karta.png", "A 81-2023")</f>
        <v/>
      </c>
      <c r="U84">
        <f>HYPERLINK("https://klasma.github.io/Logging_2283/knärot/A 81-2023 karta knärot.png", "A 81-2023")</f>
        <v/>
      </c>
      <c r="V84">
        <f>HYPERLINK("https://klasma.github.io/Logging_2283/klagomål/A 81-2023 FSC-klagomål.docx", "A 81-2023")</f>
        <v/>
      </c>
      <c r="W84">
        <f>HYPERLINK("https://klasma.github.io/Logging_2283/klagomålsmail/A 81-2023 FSC-klagomål mail.docx", "A 81-2023")</f>
        <v/>
      </c>
      <c r="X84">
        <f>HYPERLINK("https://klasma.github.io/Logging_2283/tillsyn/A 81-2023 tillsynsbegäran.docx", "A 81-2023")</f>
        <v/>
      </c>
      <c r="Y84">
        <f>HYPERLINK("https://klasma.github.io/Logging_2283/tillsynsmail/A 81-2023 tillsynsbegäran mail.docx", "A 81-2023")</f>
        <v/>
      </c>
    </row>
    <row r="85" ht="15" customHeight="1">
      <c r="A85" t="inlineStr">
        <is>
          <t>A 14079-2023</t>
        </is>
      </c>
      <c r="B85" s="1" t="n">
        <v>45009</v>
      </c>
      <c r="C85" s="1" t="n">
        <v>45282</v>
      </c>
      <c r="D85" t="inlineStr">
        <is>
          <t>VÄSTERNORRLANDS LÄN</t>
        </is>
      </c>
      <c r="E85" t="inlineStr">
        <is>
          <t>SOLLEFTEÅ</t>
        </is>
      </c>
      <c r="F85" t="inlineStr">
        <is>
          <t>SCA</t>
        </is>
      </c>
      <c r="G85" t="n">
        <v>9</v>
      </c>
      <c r="H85" t="n">
        <v>0</v>
      </c>
      <c r="I85" t="n">
        <v>0</v>
      </c>
      <c r="J85" t="n">
        <v>5</v>
      </c>
      <c r="K85" t="n">
        <v>0</v>
      </c>
      <c r="L85" t="n">
        <v>0</v>
      </c>
      <c r="M85" t="n">
        <v>0</v>
      </c>
      <c r="N85" t="n">
        <v>0</v>
      </c>
      <c r="O85" t="n">
        <v>5</v>
      </c>
      <c r="P85" t="n">
        <v>0</v>
      </c>
      <c r="Q85" t="n">
        <v>5</v>
      </c>
      <c r="R85" s="2" t="inlineStr">
        <is>
          <t>Gammelgransskål
Garnlav
Ullticka
Vedskivlav
Vedtrappmossa</t>
        </is>
      </c>
      <c r="S85">
        <f>HYPERLINK("https://klasma.github.io/Logging_2283/artfynd/A 14079-2023 artfynd.xlsx", "A 14079-2023")</f>
        <v/>
      </c>
      <c r="T85">
        <f>HYPERLINK("https://klasma.github.io/Logging_2283/kartor/A 14079-2023 karta.png", "A 14079-2023")</f>
        <v/>
      </c>
      <c r="V85">
        <f>HYPERLINK("https://klasma.github.io/Logging_2283/klagomål/A 14079-2023 FSC-klagomål.docx", "A 14079-2023")</f>
        <v/>
      </c>
      <c r="W85">
        <f>HYPERLINK("https://klasma.github.io/Logging_2283/klagomålsmail/A 14079-2023 FSC-klagomål mail.docx", "A 14079-2023")</f>
        <v/>
      </c>
      <c r="X85">
        <f>HYPERLINK("https://klasma.github.io/Logging_2283/tillsyn/A 14079-2023 tillsynsbegäran.docx", "A 14079-2023")</f>
        <v/>
      </c>
      <c r="Y85">
        <f>HYPERLINK("https://klasma.github.io/Logging_2283/tillsynsmail/A 14079-2023 tillsynsbegäran mail.docx", "A 14079-2023")</f>
        <v/>
      </c>
    </row>
    <row r="86" ht="15" customHeight="1">
      <c r="A86" t="inlineStr">
        <is>
          <t>A 18163-2023</t>
        </is>
      </c>
      <c r="B86" s="1" t="n">
        <v>45040</v>
      </c>
      <c r="C86" s="1" t="n">
        <v>45282</v>
      </c>
      <c r="D86" t="inlineStr">
        <is>
          <t>VÄSTERNORRLANDS LÄN</t>
        </is>
      </c>
      <c r="E86" t="inlineStr">
        <is>
          <t>SOLLEFTEÅ</t>
        </is>
      </c>
      <c r="F86" t="inlineStr">
        <is>
          <t>SCA</t>
        </is>
      </c>
      <c r="G86" t="n">
        <v>5.2</v>
      </c>
      <c r="H86" t="n">
        <v>1</v>
      </c>
      <c r="I86" t="n">
        <v>0</v>
      </c>
      <c r="J86" t="n">
        <v>5</v>
      </c>
      <c r="K86" t="n">
        <v>0</v>
      </c>
      <c r="L86" t="n">
        <v>0</v>
      </c>
      <c r="M86" t="n">
        <v>0</v>
      </c>
      <c r="N86" t="n">
        <v>0</v>
      </c>
      <c r="O86" t="n">
        <v>5</v>
      </c>
      <c r="P86" t="n">
        <v>0</v>
      </c>
      <c r="Q86" t="n">
        <v>5</v>
      </c>
      <c r="R86" s="2" t="inlineStr">
        <is>
          <t>Garnlav
Granticka
Kolflarnlav
Spillkråka
Ullticka</t>
        </is>
      </c>
      <c r="S86">
        <f>HYPERLINK("https://klasma.github.io/Logging_2283/artfynd/A 18163-2023 artfynd.xlsx", "A 18163-2023")</f>
        <v/>
      </c>
      <c r="T86">
        <f>HYPERLINK("https://klasma.github.io/Logging_2283/kartor/A 18163-2023 karta.png", "A 18163-2023")</f>
        <v/>
      </c>
      <c r="V86">
        <f>HYPERLINK("https://klasma.github.io/Logging_2283/klagomål/A 18163-2023 FSC-klagomål.docx", "A 18163-2023")</f>
        <v/>
      </c>
      <c r="W86">
        <f>HYPERLINK("https://klasma.github.io/Logging_2283/klagomålsmail/A 18163-2023 FSC-klagomål mail.docx", "A 18163-2023")</f>
        <v/>
      </c>
      <c r="X86">
        <f>HYPERLINK("https://klasma.github.io/Logging_2283/tillsyn/A 18163-2023 tillsynsbegäran.docx", "A 18163-2023")</f>
        <v/>
      </c>
      <c r="Y86">
        <f>HYPERLINK("https://klasma.github.io/Logging_2283/tillsynsmail/A 18163-2023 tillsynsbegäran mail.docx", "A 18163-2023")</f>
        <v/>
      </c>
    </row>
    <row r="87" ht="15" customHeight="1">
      <c r="A87" t="inlineStr">
        <is>
          <t>A 27675-2023</t>
        </is>
      </c>
      <c r="B87" s="1" t="n">
        <v>45097</v>
      </c>
      <c r="C87" s="1" t="n">
        <v>45282</v>
      </c>
      <c r="D87" t="inlineStr">
        <is>
          <t>VÄSTERNORRLANDS LÄN</t>
        </is>
      </c>
      <c r="E87" t="inlineStr">
        <is>
          <t>SOLLEFTEÅ</t>
        </is>
      </c>
      <c r="G87" t="n">
        <v>4.7</v>
      </c>
      <c r="H87" t="n">
        <v>1</v>
      </c>
      <c r="I87" t="n">
        <v>1</v>
      </c>
      <c r="J87" t="n">
        <v>3</v>
      </c>
      <c r="K87" t="n">
        <v>1</v>
      </c>
      <c r="L87" t="n">
        <v>0</v>
      </c>
      <c r="M87" t="n">
        <v>0</v>
      </c>
      <c r="N87" t="n">
        <v>0</v>
      </c>
      <c r="O87" t="n">
        <v>4</v>
      </c>
      <c r="P87" t="n">
        <v>1</v>
      </c>
      <c r="Q87" t="n">
        <v>5</v>
      </c>
      <c r="R87" s="2" t="inlineStr">
        <is>
          <t>Knärot
Garnlav
Lunglav
Ullticka
Stuplav</t>
        </is>
      </c>
      <c r="S87">
        <f>HYPERLINK("https://klasma.github.io/Logging_2283/artfynd/A 27675-2023 artfynd.xlsx", "A 27675-2023")</f>
        <v/>
      </c>
      <c r="T87">
        <f>HYPERLINK("https://klasma.github.io/Logging_2283/kartor/A 27675-2023 karta.png", "A 27675-2023")</f>
        <v/>
      </c>
      <c r="U87">
        <f>HYPERLINK("https://klasma.github.io/Logging_2283/knärot/A 27675-2023 karta knärot.png", "A 27675-2023")</f>
        <v/>
      </c>
      <c r="V87">
        <f>HYPERLINK("https://klasma.github.io/Logging_2283/klagomål/A 27675-2023 FSC-klagomål.docx", "A 27675-2023")</f>
        <v/>
      </c>
      <c r="W87">
        <f>HYPERLINK("https://klasma.github.io/Logging_2283/klagomålsmail/A 27675-2023 FSC-klagomål mail.docx", "A 27675-2023")</f>
        <v/>
      </c>
      <c r="X87">
        <f>HYPERLINK("https://klasma.github.io/Logging_2283/tillsyn/A 27675-2023 tillsynsbegäran.docx", "A 27675-2023")</f>
        <v/>
      </c>
      <c r="Y87">
        <f>HYPERLINK("https://klasma.github.io/Logging_2283/tillsynsmail/A 27675-2023 tillsynsbegäran mail.docx", "A 27675-2023")</f>
        <v/>
      </c>
    </row>
    <row r="88" ht="15" customHeight="1">
      <c r="A88" t="inlineStr">
        <is>
          <t>A 8475-2019</t>
        </is>
      </c>
      <c r="B88" s="1" t="n">
        <v>43497</v>
      </c>
      <c r="C88" s="1" t="n">
        <v>45282</v>
      </c>
      <c r="D88" t="inlineStr">
        <is>
          <t>VÄSTERNORRLANDS LÄN</t>
        </is>
      </c>
      <c r="E88" t="inlineStr">
        <is>
          <t>SOLLEFTEÅ</t>
        </is>
      </c>
      <c r="G88" t="n">
        <v>2.6</v>
      </c>
      <c r="H88" t="n">
        <v>1</v>
      </c>
      <c r="I88" t="n">
        <v>0</v>
      </c>
      <c r="J88" t="n">
        <v>3</v>
      </c>
      <c r="K88" t="n">
        <v>0</v>
      </c>
      <c r="L88" t="n">
        <v>0</v>
      </c>
      <c r="M88" t="n">
        <v>0</v>
      </c>
      <c r="N88" t="n">
        <v>0</v>
      </c>
      <c r="O88" t="n">
        <v>3</v>
      </c>
      <c r="P88" t="n">
        <v>0</v>
      </c>
      <c r="Q88" t="n">
        <v>4</v>
      </c>
      <c r="R88" s="2" t="inlineStr">
        <is>
          <t>Garnlav
Ullticka
Vitgrynig nållav
Revlummer</t>
        </is>
      </c>
      <c r="S88">
        <f>HYPERLINK("https://klasma.github.io/Logging_2283/artfynd/A 8475-2019 artfynd.xlsx", "A 8475-2019")</f>
        <v/>
      </c>
      <c r="T88">
        <f>HYPERLINK("https://klasma.github.io/Logging_2283/kartor/A 8475-2019 karta.png", "A 8475-2019")</f>
        <v/>
      </c>
      <c r="V88">
        <f>HYPERLINK("https://klasma.github.io/Logging_2283/klagomål/A 8475-2019 FSC-klagomål.docx", "A 8475-2019")</f>
        <v/>
      </c>
      <c r="W88">
        <f>HYPERLINK("https://klasma.github.io/Logging_2283/klagomålsmail/A 8475-2019 FSC-klagomål mail.docx", "A 8475-2019")</f>
        <v/>
      </c>
      <c r="X88">
        <f>HYPERLINK("https://klasma.github.io/Logging_2283/tillsyn/A 8475-2019 tillsynsbegäran.docx", "A 8475-2019")</f>
        <v/>
      </c>
      <c r="Y88">
        <f>HYPERLINK("https://klasma.github.io/Logging_2283/tillsynsmail/A 8475-2019 tillsynsbegäran mail.docx", "A 8475-2019")</f>
        <v/>
      </c>
    </row>
    <row r="89" ht="15" customHeight="1">
      <c r="A89" t="inlineStr">
        <is>
          <t>A 23860-2020</t>
        </is>
      </c>
      <c r="B89" s="1" t="n">
        <v>43971</v>
      </c>
      <c r="C89" s="1" t="n">
        <v>45282</v>
      </c>
      <c r="D89" t="inlineStr">
        <is>
          <t>VÄSTERNORRLANDS LÄN</t>
        </is>
      </c>
      <c r="E89" t="inlineStr">
        <is>
          <t>SOLLEFTEÅ</t>
        </is>
      </c>
      <c r="G89" t="n">
        <v>22.3</v>
      </c>
      <c r="H89" t="n">
        <v>0</v>
      </c>
      <c r="I89" t="n">
        <v>1</v>
      </c>
      <c r="J89" t="n">
        <v>2</v>
      </c>
      <c r="K89" t="n">
        <v>1</v>
      </c>
      <c r="L89" t="n">
        <v>0</v>
      </c>
      <c r="M89" t="n">
        <v>0</v>
      </c>
      <c r="N89" t="n">
        <v>0</v>
      </c>
      <c r="O89" t="n">
        <v>3</v>
      </c>
      <c r="P89" t="n">
        <v>1</v>
      </c>
      <c r="Q89" t="n">
        <v>4</v>
      </c>
      <c r="R89" s="2" t="inlineStr">
        <is>
          <t>Aspgelélav
Lunglav
Vedskivlav
Dropptaggsvamp</t>
        </is>
      </c>
      <c r="S89">
        <f>HYPERLINK("https://klasma.github.io/Logging_2283/artfynd/A 23860-2020 artfynd.xlsx", "A 23860-2020")</f>
        <v/>
      </c>
      <c r="T89">
        <f>HYPERLINK("https://klasma.github.io/Logging_2283/kartor/A 23860-2020 karta.png", "A 23860-2020")</f>
        <v/>
      </c>
      <c r="U89">
        <f>HYPERLINK("https://klasma.github.io/Logging_2283/knärot/A 23860-2020 karta knärot.png", "A 23860-2020")</f>
        <v/>
      </c>
      <c r="V89">
        <f>HYPERLINK("https://klasma.github.io/Logging_2283/klagomål/A 23860-2020 FSC-klagomål.docx", "A 23860-2020")</f>
        <v/>
      </c>
      <c r="W89">
        <f>HYPERLINK("https://klasma.github.io/Logging_2283/klagomålsmail/A 23860-2020 FSC-klagomål mail.docx", "A 23860-2020")</f>
        <v/>
      </c>
      <c r="X89">
        <f>HYPERLINK("https://klasma.github.io/Logging_2283/tillsyn/A 23860-2020 tillsynsbegäran.docx", "A 23860-2020")</f>
        <v/>
      </c>
      <c r="Y89">
        <f>HYPERLINK("https://klasma.github.io/Logging_2283/tillsynsmail/A 23860-2020 tillsynsbegäran mail.docx", "A 23860-2020")</f>
        <v/>
      </c>
    </row>
    <row r="90" ht="15" customHeight="1">
      <c r="A90" t="inlineStr">
        <is>
          <t>A 44344-2021</t>
        </is>
      </c>
      <c r="B90" s="1" t="n">
        <v>44435</v>
      </c>
      <c r="C90" s="1" t="n">
        <v>45282</v>
      </c>
      <c r="D90" t="inlineStr">
        <is>
          <t>VÄSTERNORRLANDS LÄN</t>
        </is>
      </c>
      <c r="E90" t="inlineStr">
        <is>
          <t>SOLLEFTEÅ</t>
        </is>
      </c>
      <c r="F90" t="inlineStr">
        <is>
          <t>Kommuner</t>
        </is>
      </c>
      <c r="G90" t="n">
        <v>10.8</v>
      </c>
      <c r="H90" t="n">
        <v>0</v>
      </c>
      <c r="I90" t="n">
        <v>1</v>
      </c>
      <c r="J90" t="n">
        <v>2</v>
      </c>
      <c r="K90" t="n">
        <v>1</v>
      </c>
      <c r="L90" t="n">
        <v>0</v>
      </c>
      <c r="M90" t="n">
        <v>0</v>
      </c>
      <c r="N90" t="n">
        <v>0</v>
      </c>
      <c r="O90" t="n">
        <v>3</v>
      </c>
      <c r="P90" t="n">
        <v>1</v>
      </c>
      <c r="Q90" t="n">
        <v>4</v>
      </c>
      <c r="R90" s="2" t="inlineStr">
        <is>
          <t>Rynkskinn
Rosenticka
Ullticka
Skinnlav</t>
        </is>
      </c>
      <c r="S90">
        <f>HYPERLINK("https://klasma.github.io/Logging_2283/artfynd/A 44344-2021 artfynd.xlsx", "A 44344-2021")</f>
        <v/>
      </c>
      <c r="T90">
        <f>HYPERLINK("https://klasma.github.io/Logging_2283/kartor/A 44344-2021 karta.png", "A 44344-2021")</f>
        <v/>
      </c>
      <c r="V90">
        <f>HYPERLINK("https://klasma.github.io/Logging_2283/klagomål/A 44344-2021 FSC-klagomål.docx", "A 44344-2021")</f>
        <v/>
      </c>
      <c r="W90">
        <f>HYPERLINK("https://klasma.github.io/Logging_2283/klagomålsmail/A 44344-2021 FSC-klagomål mail.docx", "A 44344-2021")</f>
        <v/>
      </c>
      <c r="X90">
        <f>HYPERLINK("https://klasma.github.io/Logging_2283/tillsyn/A 44344-2021 tillsynsbegäran.docx", "A 44344-2021")</f>
        <v/>
      </c>
      <c r="Y90">
        <f>HYPERLINK("https://klasma.github.io/Logging_2283/tillsynsmail/A 44344-2021 tillsynsbegäran mail.docx", "A 44344-2021")</f>
        <v/>
      </c>
    </row>
    <row r="91" ht="15" customHeight="1">
      <c r="A91" t="inlineStr">
        <is>
          <t>A 64943-2021</t>
        </is>
      </c>
      <c r="B91" s="1" t="n">
        <v>44512</v>
      </c>
      <c r="C91" s="1" t="n">
        <v>45282</v>
      </c>
      <c r="D91" t="inlineStr">
        <is>
          <t>VÄSTERNORRLANDS LÄN</t>
        </is>
      </c>
      <c r="E91" t="inlineStr">
        <is>
          <t>SOLLEFTEÅ</t>
        </is>
      </c>
      <c r="F91" t="inlineStr">
        <is>
          <t>SCA</t>
        </is>
      </c>
      <c r="G91" t="n">
        <v>8.1</v>
      </c>
      <c r="H91" t="n">
        <v>0</v>
      </c>
      <c r="I91" t="n">
        <v>1</v>
      </c>
      <c r="J91" t="n">
        <v>3</v>
      </c>
      <c r="K91" t="n">
        <v>0</v>
      </c>
      <c r="L91" t="n">
        <v>0</v>
      </c>
      <c r="M91" t="n">
        <v>0</v>
      </c>
      <c r="N91" t="n">
        <v>0</v>
      </c>
      <c r="O91" t="n">
        <v>3</v>
      </c>
      <c r="P91" t="n">
        <v>0</v>
      </c>
      <c r="Q91" t="n">
        <v>4</v>
      </c>
      <c r="R91" s="2" t="inlineStr">
        <is>
          <t>Garnlav
Lunglav
Ullticka
Vedticka</t>
        </is>
      </c>
      <c r="S91">
        <f>HYPERLINK("https://klasma.github.io/Logging_2283/artfynd/A 64943-2021 artfynd.xlsx", "A 64943-2021")</f>
        <v/>
      </c>
      <c r="T91">
        <f>HYPERLINK("https://klasma.github.io/Logging_2283/kartor/A 64943-2021 karta.png", "A 64943-2021")</f>
        <v/>
      </c>
      <c r="V91">
        <f>HYPERLINK("https://klasma.github.io/Logging_2283/klagomål/A 64943-2021 FSC-klagomål.docx", "A 64943-2021")</f>
        <v/>
      </c>
      <c r="W91">
        <f>HYPERLINK("https://klasma.github.io/Logging_2283/klagomålsmail/A 64943-2021 FSC-klagomål mail.docx", "A 64943-2021")</f>
        <v/>
      </c>
      <c r="X91">
        <f>HYPERLINK("https://klasma.github.io/Logging_2283/tillsyn/A 64943-2021 tillsynsbegäran.docx", "A 64943-2021")</f>
        <v/>
      </c>
      <c r="Y91">
        <f>HYPERLINK("https://klasma.github.io/Logging_2283/tillsynsmail/A 64943-2021 tillsynsbegäran mail.docx", "A 64943-2021")</f>
        <v/>
      </c>
    </row>
    <row r="92" ht="15" customHeight="1">
      <c r="A92" t="inlineStr">
        <is>
          <t>A 18009-2022</t>
        </is>
      </c>
      <c r="B92" s="1" t="n">
        <v>44683</v>
      </c>
      <c r="C92" s="1" t="n">
        <v>45282</v>
      </c>
      <c r="D92" t="inlineStr">
        <is>
          <t>VÄSTERNORRLANDS LÄN</t>
        </is>
      </c>
      <c r="E92" t="inlineStr">
        <is>
          <t>SOLLEFTEÅ</t>
        </is>
      </c>
      <c r="F92" t="inlineStr">
        <is>
          <t>SCA</t>
        </is>
      </c>
      <c r="G92" t="n">
        <v>3.6</v>
      </c>
      <c r="H92" t="n">
        <v>3</v>
      </c>
      <c r="I92" t="n">
        <v>0</v>
      </c>
      <c r="J92" t="n">
        <v>3</v>
      </c>
      <c r="K92" t="n">
        <v>1</v>
      </c>
      <c r="L92" t="n">
        <v>0</v>
      </c>
      <c r="M92" t="n">
        <v>0</v>
      </c>
      <c r="N92" t="n">
        <v>0</v>
      </c>
      <c r="O92" t="n">
        <v>4</v>
      </c>
      <c r="P92" t="n">
        <v>1</v>
      </c>
      <c r="Q92" t="n">
        <v>4</v>
      </c>
      <c r="R92" s="2" t="inlineStr">
        <is>
          <t>Knärot
Garnlav
Järpe
Tretåig hackspett</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row>
    <row r="93" ht="15" customHeight="1">
      <c r="A93" t="inlineStr">
        <is>
          <t>A 18005-2022</t>
        </is>
      </c>
      <c r="B93" s="1" t="n">
        <v>44684</v>
      </c>
      <c r="C93" s="1" t="n">
        <v>45282</v>
      </c>
      <c r="D93" t="inlineStr">
        <is>
          <t>VÄSTERNORRLANDS LÄN</t>
        </is>
      </c>
      <c r="E93" t="inlineStr">
        <is>
          <t>SOLLEFTEÅ</t>
        </is>
      </c>
      <c r="F93" t="inlineStr">
        <is>
          <t>SCA</t>
        </is>
      </c>
      <c r="G93" t="n">
        <v>6.3</v>
      </c>
      <c r="H93" t="n">
        <v>0</v>
      </c>
      <c r="I93" t="n">
        <v>0</v>
      </c>
      <c r="J93" t="n">
        <v>4</v>
      </c>
      <c r="K93" t="n">
        <v>0</v>
      </c>
      <c r="L93" t="n">
        <v>0</v>
      </c>
      <c r="M93" t="n">
        <v>0</v>
      </c>
      <c r="N93" t="n">
        <v>0</v>
      </c>
      <c r="O93" t="n">
        <v>4</v>
      </c>
      <c r="P93" t="n">
        <v>0</v>
      </c>
      <c r="Q93" t="n">
        <v>4</v>
      </c>
      <c r="R93" s="2" t="inlineStr">
        <is>
          <t>Garnlav
Gränsticka
Lunglav
Ullticka</t>
        </is>
      </c>
      <c r="S93">
        <f>HYPERLINK("https://klasma.github.io/Logging_2283/artfynd/A 18005-2022 artfynd.xlsx", "A 18005-2022")</f>
        <v/>
      </c>
      <c r="T93">
        <f>HYPERLINK("https://klasma.github.io/Logging_2283/kartor/A 18005-2022 karta.png", "A 18005-2022")</f>
        <v/>
      </c>
      <c r="V93">
        <f>HYPERLINK("https://klasma.github.io/Logging_2283/klagomål/A 18005-2022 FSC-klagomål.docx", "A 18005-2022")</f>
        <v/>
      </c>
      <c r="W93">
        <f>HYPERLINK("https://klasma.github.io/Logging_2283/klagomålsmail/A 18005-2022 FSC-klagomål mail.docx", "A 18005-2022")</f>
        <v/>
      </c>
      <c r="X93">
        <f>HYPERLINK("https://klasma.github.io/Logging_2283/tillsyn/A 18005-2022 tillsynsbegäran.docx", "A 18005-2022")</f>
        <v/>
      </c>
      <c r="Y93">
        <f>HYPERLINK("https://klasma.github.io/Logging_2283/tillsynsmail/A 18005-2022 tillsynsbegäran mail.docx", "A 18005-2022")</f>
        <v/>
      </c>
    </row>
    <row r="94" ht="15" customHeight="1">
      <c r="A94" t="inlineStr">
        <is>
          <t>A 18025-2022</t>
        </is>
      </c>
      <c r="B94" s="1" t="n">
        <v>44683</v>
      </c>
      <c r="C94" s="1" t="n">
        <v>45282</v>
      </c>
      <c r="D94" t="inlineStr">
        <is>
          <t>VÄSTERNORRLANDS LÄN</t>
        </is>
      </c>
      <c r="E94" t="inlineStr">
        <is>
          <t>SOLLEFTEÅ</t>
        </is>
      </c>
      <c r="F94" t="inlineStr">
        <is>
          <t>SCA</t>
        </is>
      </c>
      <c r="G94" t="n">
        <v>5.2</v>
      </c>
      <c r="H94" t="n">
        <v>1</v>
      </c>
      <c r="I94" t="n">
        <v>1</v>
      </c>
      <c r="J94" t="n">
        <v>2</v>
      </c>
      <c r="K94" t="n">
        <v>0</v>
      </c>
      <c r="L94" t="n">
        <v>0</v>
      </c>
      <c r="M94" t="n">
        <v>0</v>
      </c>
      <c r="N94" t="n">
        <v>0</v>
      </c>
      <c r="O94" t="n">
        <v>2</v>
      </c>
      <c r="P94" t="n">
        <v>0</v>
      </c>
      <c r="Q94" t="n">
        <v>4</v>
      </c>
      <c r="R94" s="2" t="inlineStr">
        <is>
          <t>Garnlav
Lunglav
Bronshjon
Fläcknycklar</t>
        </is>
      </c>
      <c r="S94">
        <f>HYPERLINK("https://klasma.github.io/Logging_2283/artfynd/A 18025-2022 artfynd.xlsx", "A 18025-2022")</f>
        <v/>
      </c>
      <c r="T94">
        <f>HYPERLINK("https://klasma.github.io/Logging_2283/kartor/A 18025-2022 karta.png", "A 18025-2022")</f>
        <v/>
      </c>
      <c r="V94">
        <f>HYPERLINK("https://klasma.github.io/Logging_2283/klagomål/A 18025-2022 FSC-klagomål.docx", "A 18025-2022")</f>
        <v/>
      </c>
      <c r="W94">
        <f>HYPERLINK("https://klasma.github.io/Logging_2283/klagomålsmail/A 18025-2022 FSC-klagomål mail.docx", "A 18025-2022")</f>
        <v/>
      </c>
      <c r="X94">
        <f>HYPERLINK("https://klasma.github.io/Logging_2283/tillsyn/A 18025-2022 tillsynsbegäran.docx", "A 18025-2022")</f>
        <v/>
      </c>
      <c r="Y94">
        <f>HYPERLINK("https://klasma.github.io/Logging_2283/tillsynsmail/A 18025-2022 tillsynsbegäran mail.docx", "A 18025-2022")</f>
        <v/>
      </c>
    </row>
    <row r="95" ht="15" customHeight="1">
      <c r="A95" t="inlineStr">
        <is>
          <t>A 27071-2022</t>
        </is>
      </c>
      <c r="B95" s="1" t="n">
        <v>44741</v>
      </c>
      <c r="C95" s="1" t="n">
        <v>45282</v>
      </c>
      <c r="D95" t="inlineStr">
        <is>
          <t>VÄSTERNORRLANDS LÄN</t>
        </is>
      </c>
      <c r="E95" t="inlineStr">
        <is>
          <t>SOLLEFTEÅ</t>
        </is>
      </c>
      <c r="G95" t="n">
        <v>19</v>
      </c>
      <c r="H95" t="n">
        <v>1</v>
      </c>
      <c r="I95" t="n">
        <v>0</v>
      </c>
      <c r="J95" t="n">
        <v>4</v>
      </c>
      <c r="K95" t="n">
        <v>0</v>
      </c>
      <c r="L95" t="n">
        <v>0</v>
      </c>
      <c r="M95" t="n">
        <v>0</v>
      </c>
      <c r="N95" t="n">
        <v>0</v>
      </c>
      <c r="O95" t="n">
        <v>4</v>
      </c>
      <c r="P95" t="n">
        <v>0</v>
      </c>
      <c r="Q95" t="n">
        <v>4</v>
      </c>
      <c r="R95" s="2" t="inlineStr">
        <is>
          <t>Granticka
Rosenticka
Tretåig hackspett
Ullticka</t>
        </is>
      </c>
      <c r="S95">
        <f>HYPERLINK("https://klasma.github.io/Logging_2283/artfynd/A 27071-2022 artfynd.xlsx", "A 27071-2022")</f>
        <v/>
      </c>
      <c r="T95">
        <f>HYPERLINK("https://klasma.github.io/Logging_2283/kartor/A 27071-2022 karta.png", "A 27071-2022")</f>
        <v/>
      </c>
      <c r="V95">
        <f>HYPERLINK("https://klasma.github.io/Logging_2283/klagomål/A 27071-2022 FSC-klagomål.docx", "A 27071-2022")</f>
        <v/>
      </c>
      <c r="W95">
        <f>HYPERLINK("https://klasma.github.io/Logging_2283/klagomålsmail/A 27071-2022 FSC-klagomål mail.docx", "A 27071-2022")</f>
        <v/>
      </c>
      <c r="X95">
        <f>HYPERLINK("https://klasma.github.io/Logging_2283/tillsyn/A 27071-2022 tillsynsbegäran.docx", "A 27071-2022")</f>
        <v/>
      </c>
      <c r="Y95">
        <f>HYPERLINK("https://klasma.github.io/Logging_2283/tillsynsmail/A 27071-2022 tillsynsbegäran mail.docx", "A 27071-2022")</f>
        <v/>
      </c>
    </row>
    <row r="96" ht="15" customHeight="1">
      <c r="A96" t="inlineStr">
        <is>
          <t>A 57001-2022</t>
        </is>
      </c>
      <c r="B96" s="1" t="n">
        <v>44894</v>
      </c>
      <c r="C96" s="1" t="n">
        <v>45282</v>
      </c>
      <c r="D96" t="inlineStr">
        <is>
          <t>VÄSTERNORRLANDS LÄN</t>
        </is>
      </c>
      <c r="E96" t="inlineStr">
        <is>
          <t>SOLLEFTEÅ</t>
        </is>
      </c>
      <c r="F96" t="inlineStr">
        <is>
          <t>SCA</t>
        </is>
      </c>
      <c r="G96" t="n">
        <v>1.2</v>
      </c>
      <c r="H96" t="n">
        <v>2</v>
      </c>
      <c r="I96" t="n">
        <v>0</v>
      </c>
      <c r="J96" t="n">
        <v>3</v>
      </c>
      <c r="K96" t="n">
        <v>1</v>
      </c>
      <c r="L96" t="n">
        <v>0</v>
      </c>
      <c r="M96" t="n">
        <v>0</v>
      </c>
      <c r="N96" t="n">
        <v>0</v>
      </c>
      <c r="O96" t="n">
        <v>4</v>
      </c>
      <c r="P96" t="n">
        <v>1</v>
      </c>
      <c r="Q96" t="n">
        <v>4</v>
      </c>
      <c r="R96" s="2" t="inlineStr">
        <is>
          <t>Knärot
Garnlav
Järpe
Lunglav</t>
        </is>
      </c>
      <c r="S96">
        <f>HYPERLINK("https://klasma.github.io/Logging_2283/artfynd/A 57001-2022 artfynd.xlsx", "A 57001-2022")</f>
        <v/>
      </c>
      <c r="T96">
        <f>HYPERLINK("https://klasma.github.io/Logging_2283/kartor/A 57001-2022 karta.png", "A 57001-2022")</f>
        <v/>
      </c>
      <c r="U96">
        <f>HYPERLINK("https://klasma.github.io/Logging_2283/knärot/A 57001-2022 karta knärot.png", "A 57001-2022")</f>
        <v/>
      </c>
      <c r="V96">
        <f>HYPERLINK("https://klasma.github.io/Logging_2283/klagomål/A 57001-2022 FSC-klagomål.docx", "A 57001-2022")</f>
        <v/>
      </c>
      <c r="W96">
        <f>HYPERLINK("https://klasma.github.io/Logging_2283/klagomålsmail/A 57001-2022 FSC-klagomål mail.docx", "A 57001-2022")</f>
        <v/>
      </c>
      <c r="X96">
        <f>HYPERLINK("https://klasma.github.io/Logging_2283/tillsyn/A 57001-2022 tillsynsbegäran.docx", "A 57001-2022")</f>
        <v/>
      </c>
      <c r="Y96">
        <f>HYPERLINK("https://klasma.github.io/Logging_2283/tillsynsmail/A 57001-2022 tillsynsbegäran mail.docx", "A 57001-2022")</f>
        <v/>
      </c>
    </row>
    <row r="97" ht="15" customHeight="1">
      <c r="A97" t="inlineStr">
        <is>
          <t>A 62638-2022</t>
        </is>
      </c>
      <c r="B97" s="1" t="n">
        <v>44925</v>
      </c>
      <c r="C97" s="1" t="n">
        <v>45282</v>
      </c>
      <c r="D97" t="inlineStr">
        <is>
          <t>VÄSTERNORRLANDS LÄN</t>
        </is>
      </c>
      <c r="E97" t="inlineStr">
        <is>
          <t>SOLLEFTEÅ</t>
        </is>
      </c>
      <c r="F97" t="inlineStr">
        <is>
          <t>Holmen skog AB</t>
        </is>
      </c>
      <c r="G97" t="n">
        <v>4</v>
      </c>
      <c r="H97" t="n">
        <v>1</v>
      </c>
      <c r="I97" t="n">
        <v>1</v>
      </c>
      <c r="J97" t="n">
        <v>2</v>
      </c>
      <c r="K97" t="n">
        <v>1</v>
      </c>
      <c r="L97" t="n">
        <v>0</v>
      </c>
      <c r="M97" t="n">
        <v>0</v>
      </c>
      <c r="N97" t="n">
        <v>0</v>
      </c>
      <c r="O97" t="n">
        <v>3</v>
      </c>
      <c r="P97" t="n">
        <v>1</v>
      </c>
      <c r="Q97" t="n">
        <v>4</v>
      </c>
      <c r="R97" s="2" t="inlineStr">
        <is>
          <t>Knärot
Koralltaggsvamp
Lunglav
Skinnlav</t>
        </is>
      </c>
      <c r="S97">
        <f>HYPERLINK("https://klasma.github.io/Logging_2283/artfynd/A 62638-2022 artfynd.xlsx", "A 62638-2022")</f>
        <v/>
      </c>
      <c r="T97">
        <f>HYPERLINK("https://klasma.github.io/Logging_2283/kartor/A 62638-2022 karta.png", "A 62638-2022")</f>
        <v/>
      </c>
      <c r="U97">
        <f>HYPERLINK("https://klasma.github.io/Logging_2283/knärot/A 62638-2022 karta knärot.png", "A 62638-2022")</f>
        <v/>
      </c>
      <c r="V97">
        <f>HYPERLINK("https://klasma.github.io/Logging_2283/klagomål/A 62638-2022 FSC-klagomål.docx", "A 62638-2022")</f>
        <v/>
      </c>
      <c r="W97">
        <f>HYPERLINK("https://klasma.github.io/Logging_2283/klagomålsmail/A 62638-2022 FSC-klagomål mail.docx", "A 62638-2022")</f>
        <v/>
      </c>
      <c r="X97">
        <f>HYPERLINK("https://klasma.github.io/Logging_2283/tillsyn/A 62638-2022 tillsynsbegäran.docx", "A 62638-2022")</f>
        <v/>
      </c>
      <c r="Y97">
        <f>HYPERLINK("https://klasma.github.io/Logging_2283/tillsynsmail/A 62638-2022 tillsynsbegäran mail.docx", "A 62638-2022")</f>
        <v/>
      </c>
    </row>
    <row r="98" ht="15" customHeight="1">
      <c r="A98" t="inlineStr">
        <is>
          <t>A 62632-2022</t>
        </is>
      </c>
      <c r="B98" s="1" t="n">
        <v>44925</v>
      </c>
      <c r="C98" s="1" t="n">
        <v>45282</v>
      </c>
      <c r="D98" t="inlineStr">
        <is>
          <t>VÄSTERNORRLANDS LÄN</t>
        </is>
      </c>
      <c r="E98" t="inlineStr">
        <is>
          <t>SOLLEFTEÅ</t>
        </is>
      </c>
      <c r="F98" t="inlineStr">
        <is>
          <t>Holmen skog AB</t>
        </is>
      </c>
      <c r="G98" t="n">
        <v>4.4</v>
      </c>
      <c r="H98" t="n">
        <v>1</v>
      </c>
      <c r="I98" t="n">
        <v>1</v>
      </c>
      <c r="J98" t="n">
        <v>2</v>
      </c>
      <c r="K98" t="n">
        <v>1</v>
      </c>
      <c r="L98" t="n">
        <v>0</v>
      </c>
      <c r="M98" t="n">
        <v>0</v>
      </c>
      <c r="N98" t="n">
        <v>0</v>
      </c>
      <c r="O98" t="n">
        <v>3</v>
      </c>
      <c r="P98" t="n">
        <v>1</v>
      </c>
      <c r="Q98" t="n">
        <v>4</v>
      </c>
      <c r="R98" s="2" t="inlineStr">
        <is>
          <t>Bitter taggsvamp
Blå taggsvamp
Orange taggsvamp
Plattlummer</t>
        </is>
      </c>
      <c r="S98">
        <f>HYPERLINK("https://klasma.github.io/Logging_2283/artfynd/A 62632-2022 artfynd.xlsx", "A 62632-2022")</f>
        <v/>
      </c>
      <c r="T98">
        <f>HYPERLINK("https://klasma.github.io/Logging_2283/kartor/A 62632-2022 karta.png", "A 62632-2022")</f>
        <v/>
      </c>
      <c r="V98">
        <f>HYPERLINK("https://klasma.github.io/Logging_2283/klagomål/A 62632-2022 FSC-klagomål.docx", "A 62632-2022")</f>
        <v/>
      </c>
      <c r="W98">
        <f>HYPERLINK("https://klasma.github.io/Logging_2283/klagomålsmail/A 62632-2022 FSC-klagomål mail.docx", "A 62632-2022")</f>
        <v/>
      </c>
      <c r="X98">
        <f>HYPERLINK("https://klasma.github.io/Logging_2283/tillsyn/A 62632-2022 tillsynsbegäran.docx", "A 62632-2022")</f>
        <v/>
      </c>
      <c r="Y98">
        <f>HYPERLINK("https://klasma.github.io/Logging_2283/tillsynsmail/A 62632-2022 tillsynsbegäran mail.docx", "A 62632-2022")</f>
        <v/>
      </c>
    </row>
    <row r="99" ht="15" customHeight="1">
      <c r="A99" t="inlineStr">
        <is>
          <t>A 2409-2023</t>
        </is>
      </c>
      <c r="B99" s="1" t="n">
        <v>44942</v>
      </c>
      <c r="C99" s="1" t="n">
        <v>45282</v>
      </c>
      <c r="D99" t="inlineStr">
        <is>
          <t>VÄSTERNORRLANDS LÄN</t>
        </is>
      </c>
      <c r="E99" t="inlineStr">
        <is>
          <t>SOLLEFTEÅ</t>
        </is>
      </c>
      <c r="F99" t="inlineStr">
        <is>
          <t>SCA</t>
        </is>
      </c>
      <c r="G99" t="n">
        <v>2</v>
      </c>
      <c r="H99" t="n">
        <v>0</v>
      </c>
      <c r="I99" t="n">
        <v>1</v>
      </c>
      <c r="J99" t="n">
        <v>3</v>
      </c>
      <c r="K99" t="n">
        <v>0</v>
      </c>
      <c r="L99" t="n">
        <v>0</v>
      </c>
      <c r="M99" t="n">
        <v>0</v>
      </c>
      <c r="N99" t="n">
        <v>0</v>
      </c>
      <c r="O99" t="n">
        <v>3</v>
      </c>
      <c r="P99" t="n">
        <v>0</v>
      </c>
      <c r="Q99" t="n">
        <v>4</v>
      </c>
      <c r="R99" s="2" t="inlineStr">
        <is>
          <t>Rosenticka
Tallticka
Ullticka
Dropptaggsvamp</t>
        </is>
      </c>
      <c r="S99">
        <f>HYPERLINK("https://klasma.github.io/Logging_2283/artfynd/A 2409-2023 artfynd.xlsx", "A 2409-2023")</f>
        <v/>
      </c>
      <c r="T99">
        <f>HYPERLINK("https://klasma.github.io/Logging_2283/kartor/A 2409-2023 karta.png", "A 2409-2023")</f>
        <v/>
      </c>
      <c r="V99">
        <f>HYPERLINK("https://klasma.github.io/Logging_2283/klagomål/A 2409-2023 FSC-klagomål.docx", "A 2409-2023")</f>
        <v/>
      </c>
      <c r="W99">
        <f>HYPERLINK("https://klasma.github.io/Logging_2283/klagomålsmail/A 2409-2023 FSC-klagomål mail.docx", "A 2409-2023")</f>
        <v/>
      </c>
      <c r="X99">
        <f>HYPERLINK("https://klasma.github.io/Logging_2283/tillsyn/A 2409-2023 tillsynsbegäran.docx", "A 2409-2023")</f>
        <v/>
      </c>
      <c r="Y99">
        <f>HYPERLINK("https://klasma.github.io/Logging_2283/tillsynsmail/A 2409-2023 tillsynsbegäran mail.docx", "A 2409-2023")</f>
        <v/>
      </c>
    </row>
    <row r="100" ht="15" customHeight="1">
      <c r="A100" t="inlineStr">
        <is>
          <t>A 10776-2023</t>
        </is>
      </c>
      <c r="B100" s="1" t="n">
        <v>44988</v>
      </c>
      <c r="C100" s="1" t="n">
        <v>45282</v>
      </c>
      <c r="D100" t="inlineStr">
        <is>
          <t>VÄSTERNORRLANDS LÄN</t>
        </is>
      </c>
      <c r="E100" t="inlineStr">
        <is>
          <t>SOLLEFTEÅ</t>
        </is>
      </c>
      <c r="F100" t="inlineStr">
        <is>
          <t>SCA</t>
        </is>
      </c>
      <c r="G100" t="n">
        <v>6.2</v>
      </c>
      <c r="H100" t="n">
        <v>0</v>
      </c>
      <c r="I100" t="n">
        <v>0</v>
      </c>
      <c r="J100" t="n">
        <v>4</v>
      </c>
      <c r="K100" t="n">
        <v>0</v>
      </c>
      <c r="L100" t="n">
        <v>0</v>
      </c>
      <c r="M100" t="n">
        <v>0</v>
      </c>
      <c r="N100" t="n">
        <v>0</v>
      </c>
      <c r="O100" t="n">
        <v>4</v>
      </c>
      <c r="P100" t="n">
        <v>0</v>
      </c>
      <c r="Q100" t="n">
        <v>4</v>
      </c>
      <c r="R100" s="2" t="inlineStr">
        <is>
          <t>Granticka
Rosenticka
Ullticka
Vedskivlav</t>
        </is>
      </c>
      <c r="S100">
        <f>HYPERLINK("https://klasma.github.io/Logging_2283/artfynd/A 10776-2023 artfynd.xlsx", "A 10776-2023")</f>
        <v/>
      </c>
      <c r="T100">
        <f>HYPERLINK("https://klasma.github.io/Logging_2283/kartor/A 10776-2023 karta.png", "A 10776-2023")</f>
        <v/>
      </c>
      <c r="V100">
        <f>HYPERLINK("https://klasma.github.io/Logging_2283/klagomål/A 10776-2023 FSC-klagomål.docx", "A 10776-2023")</f>
        <v/>
      </c>
      <c r="W100">
        <f>HYPERLINK("https://klasma.github.io/Logging_2283/klagomålsmail/A 10776-2023 FSC-klagomål mail.docx", "A 10776-2023")</f>
        <v/>
      </c>
      <c r="X100">
        <f>HYPERLINK("https://klasma.github.io/Logging_2283/tillsyn/A 10776-2023 tillsynsbegäran.docx", "A 10776-2023")</f>
        <v/>
      </c>
      <c r="Y100">
        <f>HYPERLINK("https://klasma.github.io/Logging_2283/tillsynsmail/A 10776-2023 tillsynsbegäran mail.docx", "A 10776-2023")</f>
        <v/>
      </c>
    </row>
    <row r="101" ht="15" customHeight="1">
      <c r="A101" t="inlineStr">
        <is>
          <t>A 12365-2023</t>
        </is>
      </c>
      <c r="B101" s="1" t="n">
        <v>44999</v>
      </c>
      <c r="C101" s="1" t="n">
        <v>45282</v>
      </c>
      <c r="D101" t="inlineStr">
        <is>
          <t>VÄSTERNORRLANDS LÄN</t>
        </is>
      </c>
      <c r="E101" t="inlineStr">
        <is>
          <t>SOLLEFTEÅ</t>
        </is>
      </c>
      <c r="F101" t="inlineStr">
        <is>
          <t>Kommuner</t>
        </is>
      </c>
      <c r="G101" t="n">
        <v>2.2</v>
      </c>
      <c r="H101" t="n">
        <v>0</v>
      </c>
      <c r="I101" t="n">
        <v>2</v>
      </c>
      <c r="J101" t="n">
        <v>2</v>
      </c>
      <c r="K101" t="n">
        <v>0</v>
      </c>
      <c r="L101" t="n">
        <v>0</v>
      </c>
      <c r="M101" t="n">
        <v>0</v>
      </c>
      <c r="N101" t="n">
        <v>0</v>
      </c>
      <c r="O101" t="n">
        <v>2</v>
      </c>
      <c r="P101" t="n">
        <v>0</v>
      </c>
      <c r="Q101" t="n">
        <v>4</v>
      </c>
      <c r="R101" s="2" t="inlineStr">
        <is>
          <t>Rosenticka
Ullticka
Mörk husmossa
Skinnlav</t>
        </is>
      </c>
      <c r="S101">
        <f>HYPERLINK("https://klasma.github.io/Logging_2283/artfynd/A 12365-2023 artfynd.xlsx", "A 12365-2023")</f>
        <v/>
      </c>
      <c r="T101">
        <f>HYPERLINK("https://klasma.github.io/Logging_2283/kartor/A 12365-2023 karta.png", "A 12365-2023")</f>
        <v/>
      </c>
      <c r="U101">
        <f>HYPERLINK("https://klasma.github.io/Logging_2283/knärot/A 12365-2023 karta knärot.png", "A 12365-2023")</f>
        <v/>
      </c>
      <c r="V101">
        <f>HYPERLINK("https://klasma.github.io/Logging_2283/klagomål/A 12365-2023 FSC-klagomål.docx", "A 12365-2023")</f>
        <v/>
      </c>
      <c r="W101">
        <f>HYPERLINK("https://klasma.github.io/Logging_2283/klagomålsmail/A 12365-2023 FSC-klagomål mail.docx", "A 12365-2023")</f>
        <v/>
      </c>
      <c r="X101">
        <f>HYPERLINK("https://klasma.github.io/Logging_2283/tillsyn/A 12365-2023 tillsynsbegäran.docx", "A 12365-2023")</f>
        <v/>
      </c>
      <c r="Y101">
        <f>HYPERLINK("https://klasma.github.io/Logging_2283/tillsynsmail/A 12365-2023 tillsynsbegäran mail.docx", "A 12365-2023")</f>
        <v/>
      </c>
    </row>
    <row r="102" ht="15" customHeight="1">
      <c r="A102" t="inlineStr">
        <is>
          <t>A 18066-2023</t>
        </is>
      </c>
      <c r="B102" s="1" t="n">
        <v>45040</v>
      </c>
      <c r="C102" s="1" t="n">
        <v>45282</v>
      </c>
      <c r="D102" t="inlineStr">
        <is>
          <t>VÄSTERNORRLANDS LÄN</t>
        </is>
      </c>
      <c r="E102" t="inlineStr">
        <is>
          <t>SOLLEFTEÅ</t>
        </is>
      </c>
      <c r="G102" t="n">
        <v>0.8</v>
      </c>
      <c r="H102" t="n">
        <v>1</v>
      </c>
      <c r="I102" t="n">
        <v>0</v>
      </c>
      <c r="J102" t="n">
        <v>3</v>
      </c>
      <c r="K102" t="n">
        <v>1</v>
      </c>
      <c r="L102" t="n">
        <v>0</v>
      </c>
      <c r="M102" t="n">
        <v>0</v>
      </c>
      <c r="N102" t="n">
        <v>0</v>
      </c>
      <c r="O102" t="n">
        <v>4</v>
      </c>
      <c r="P102" t="n">
        <v>1</v>
      </c>
      <c r="Q102" t="n">
        <v>4</v>
      </c>
      <c r="R102" s="2" t="inlineStr">
        <is>
          <t>Knärot
Garnlav
Rosenticka
Ullticka</t>
        </is>
      </c>
      <c r="S102">
        <f>HYPERLINK("https://klasma.github.io/Logging_2283/artfynd/A 18066-2023 artfynd.xlsx", "A 18066-2023")</f>
        <v/>
      </c>
      <c r="T102">
        <f>HYPERLINK("https://klasma.github.io/Logging_2283/kartor/A 18066-2023 karta.png", "A 18066-2023")</f>
        <v/>
      </c>
      <c r="U102">
        <f>HYPERLINK("https://klasma.github.io/Logging_2283/knärot/A 18066-2023 karta knärot.png", "A 18066-2023")</f>
        <v/>
      </c>
      <c r="V102">
        <f>HYPERLINK("https://klasma.github.io/Logging_2283/klagomål/A 18066-2023 FSC-klagomål.docx", "A 18066-2023")</f>
        <v/>
      </c>
      <c r="W102">
        <f>HYPERLINK("https://klasma.github.io/Logging_2283/klagomålsmail/A 18066-2023 FSC-klagomål mail.docx", "A 18066-2023")</f>
        <v/>
      </c>
      <c r="X102">
        <f>HYPERLINK("https://klasma.github.io/Logging_2283/tillsyn/A 18066-2023 tillsynsbegäran.docx", "A 18066-2023")</f>
        <v/>
      </c>
      <c r="Y102">
        <f>HYPERLINK("https://klasma.github.io/Logging_2283/tillsynsmail/A 18066-2023 tillsynsbegäran mail.docx", "A 18066-2023")</f>
        <v/>
      </c>
    </row>
    <row r="103" ht="15" customHeight="1">
      <c r="A103" t="inlineStr">
        <is>
          <t>A 50839-2023</t>
        </is>
      </c>
      <c r="B103" s="1" t="n">
        <v>45217</v>
      </c>
      <c r="C103" s="1" t="n">
        <v>45282</v>
      </c>
      <c r="D103" t="inlineStr">
        <is>
          <t>VÄSTERNORRLANDS LÄN</t>
        </is>
      </c>
      <c r="E103" t="inlineStr">
        <is>
          <t>SOLLEFTEÅ</t>
        </is>
      </c>
      <c r="F103" t="inlineStr">
        <is>
          <t>SCA</t>
        </is>
      </c>
      <c r="G103" t="n">
        <v>2.8</v>
      </c>
      <c r="H103" t="n">
        <v>0</v>
      </c>
      <c r="I103" t="n">
        <v>1</v>
      </c>
      <c r="J103" t="n">
        <v>3</v>
      </c>
      <c r="K103" t="n">
        <v>0</v>
      </c>
      <c r="L103" t="n">
        <v>0</v>
      </c>
      <c r="M103" t="n">
        <v>0</v>
      </c>
      <c r="N103" t="n">
        <v>0</v>
      </c>
      <c r="O103" t="n">
        <v>3</v>
      </c>
      <c r="P103" t="n">
        <v>0</v>
      </c>
      <c r="Q103" t="n">
        <v>4</v>
      </c>
      <c r="R103" s="2" t="inlineStr">
        <is>
          <t>Garnlav
Granticka
Vitskaftad svartspik
Gulnål</t>
        </is>
      </c>
      <c r="S103">
        <f>HYPERLINK("https://klasma.github.io/Logging_2283/artfynd/A 50839-2023 artfynd.xlsx", "A 50839-2023")</f>
        <v/>
      </c>
      <c r="T103">
        <f>HYPERLINK("https://klasma.github.io/Logging_2283/kartor/A 50839-2023 karta.png", "A 50839-2023")</f>
        <v/>
      </c>
      <c r="V103">
        <f>HYPERLINK("https://klasma.github.io/Logging_2283/klagomål/A 50839-2023 FSC-klagomål.docx", "A 50839-2023")</f>
        <v/>
      </c>
      <c r="W103">
        <f>HYPERLINK("https://klasma.github.io/Logging_2283/klagomålsmail/A 50839-2023 FSC-klagomål mail.docx", "A 50839-2023")</f>
        <v/>
      </c>
      <c r="X103">
        <f>HYPERLINK("https://klasma.github.io/Logging_2283/tillsyn/A 50839-2023 tillsynsbegäran.docx", "A 50839-2023")</f>
        <v/>
      </c>
      <c r="Y103">
        <f>HYPERLINK("https://klasma.github.io/Logging_2283/tillsynsmail/A 50839-2023 tillsynsbegäran mail.docx", "A 50839-2023")</f>
        <v/>
      </c>
    </row>
    <row r="104" ht="15" customHeight="1">
      <c r="A104" t="inlineStr">
        <is>
          <t>A 52088-2023</t>
        </is>
      </c>
      <c r="B104" s="1" t="n">
        <v>45223</v>
      </c>
      <c r="C104" s="1" t="n">
        <v>45282</v>
      </c>
      <c r="D104" t="inlineStr">
        <is>
          <t>VÄSTERNORRLANDS LÄN</t>
        </is>
      </c>
      <c r="E104" t="inlineStr">
        <is>
          <t>SOLLEFTEÅ</t>
        </is>
      </c>
      <c r="G104" t="n">
        <v>6.4</v>
      </c>
      <c r="H104" t="n">
        <v>0</v>
      </c>
      <c r="I104" t="n">
        <v>1</v>
      </c>
      <c r="J104" t="n">
        <v>3</v>
      </c>
      <c r="K104" t="n">
        <v>0</v>
      </c>
      <c r="L104" t="n">
        <v>0</v>
      </c>
      <c r="M104" t="n">
        <v>0</v>
      </c>
      <c r="N104" t="n">
        <v>0</v>
      </c>
      <c r="O104" t="n">
        <v>3</v>
      </c>
      <c r="P104" t="n">
        <v>0</v>
      </c>
      <c r="Q104" t="n">
        <v>4</v>
      </c>
      <c r="R104" s="2" t="inlineStr">
        <is>
          <t>Granticka
Lunglav
Rosenticka
Vedticka</t>
        </is>
      </c>
      <c r="S104">
        <f>HYPERLINK("https://klasma.github.io/Logging_2283/artfynd/A 52088-2023 artfynd.xlsx", "A 52088-2023")</f>
        <v/>
      </c>
      <c r="T104">
        <f>HYPERLINK("https://klasma.github.io/Logging_2283/kartor/A 52088-2023 karta.png", "A 52088-2023")</f>
        <v/>
      </c>
      <c r="V104">
        <f>HYPERLINK("https://klasma.github.io/Logging_2283/klagomål/A 52088-2023 FSC-klagomål.docx", "A 52088-2023")</f>
        <v/>
      </c>
      <c r="W104">
        <f>HYPERLINK("https://klasma.github.io/Logging_2283/klagomålsmail/A 52088-2023 FSC-klagomål mail.docx", "A 52088-2023")</f>
        <v/>
      </c>
      <c r="X104">
        <f>HYPERLINK("https://klasma.github.io/Logging_2283/tillsyn/A 52088-2023 tillsynsbegäran.docx", "A 52088-2023")</f>
        <v/>
      </c>
      <c r="Y104">
        <f>HYPERLINK("https://klasma.github.io/Logging_2283/tillsynsmail/A 52088-2023 tillsynsbegäran mail.docx", "A 52088-2023")</f>
        <v/>
      </c>
    </row>
    <row r="105" ht="15" customHeight="1">
      <c r="A105" t="inlineStr">
        <is>
          <t>A 53566-2023</t>
        </is>
      </c>
      <c r="B105" s="1" t="n">
        <v>45223</v>
      </c>
      <c r="C105" s="1" t="n">
        <v>45282</v>
      </c>
      <c r="D105" t="inlineStr">
        <is>
          <t>VÄSTERNORRLANDS LÄN</t>
        </is>
      </c>
      <c r="E105" t="inlineStr">
        <is>
          <t>SOLLEFTEÅ</t>
        </is>
      </c>
      <c r="G105" t="n">
        <v>9</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HYPERLINK("https://klasma.github.io/Logging_2283/artfynd/A 53566-2023 artfynd.xlsx", "A 53566-2023")</f>
        <v/>
      </c>
      <c r="T105">
        <f>HYPERLINK("https://klasma.github.io/Logging_2283/kartor/A 53566-2023 karta.png", "A 53566-2023")</f>
        <v/>
      </c>
      <c r="V105">
        <f>HYPERLINK("https://klasma.github.io/Logging_2283/klagomål/A 53566-2023 FSC-klagomål.docx", "A 53566-2023")</f>
        <v/>
      </c>
      <c r="W105">
        <f>HYPERLINK("https://klasma.github.io/Logging_2283/klagomålsmail/A 53566-2023 FSC-klagomål mail.docx", "A 53566-2023")</f>
        <v/>
      </c>
      <c r="X105">
        <f>HYPERLINK("https://klasma.github.io/Logging_2283/tillsyn/A 53566-2023 tillsynsbegäran.docx", "A 53566-2023")</f>
        <v/>
      </c>
      <c r="Y105">
        <f>HYPERLINK("https://klasma.github.io/Logging_2283/tillsynsmail/A 53566-2023 tillsynsbegäran mail.docx", "A 53566-2023")</f>
        <v/>
      </c>
    </row>
    <row r="106" ht="15" customHeight="1">
      <c r="A106" t="inlineStr">
        <is>
          <t>A 56248-2023</t>
        </is>
      </c>
      <c r="B106" s="1" t="n">
        <v>45240</v>
      </c>
      <c r="C106" s="1" t="n">
        <v>45282</v>
      </c>
      <c r="D106" t="inlineStr">
        <is>
          <t>VÄSTERNORRLANDS LÄN</t>
        </is>
      </c>
      <c r="E106" t="inlineStr">
        <is>
          <t>SOLLEFTEÅ</t>
        </is>
      </c>
      <c r="F106" t="inlineStr">
        <is>
          <t>SCA</t>
        </is>
      </c>
      <c r="G106" t="n">
        <v>12.2</v>
      </c>
      <c r="H106" t="n">
        <v>3</v>
      </c>
      <c r="I106" t="n">
        <v>0</v>
      </c>
      <c r="J106" t="n">
        <v>3</v>
      </c>
      <c r="K106" t="n">
        <v>0</v>
      </c>
      <c r="L106" t="n">
        <v>0</v>
      </c>
      <c r="M106" t="n">
        <v>0</v>
      </c>
      <c r="N106" t="n">
        <v>0</v>
      </c>
      <c r="O106" t="n">
        <v>3</v>
      </c>
      <c r="P106" t="n">
        <v>0</v>
      </c>
      <c r="Q106" t="n">
        <v>4</v>
      </c>
      <c r="R106" s="2" t="inlineStr">
        <is>
          <t>Granticka
Mindre hackspett
Tretåig hackspett
Lavskrika</t>
        </is>
      </c>
      <c r="S106">
        <f>HYPERLINK("https://klasma.github.io/Logging_2283/artfynd/A 56248-2023 artfynd.xlsx", "A 56248-2023")</f>
        <v/>
      </c>
      <c r="T106">
        <f>HYPERLINK("https://klasma.github.io/Logging_2283/kartor/A 56248-2023 karta.png", "A 56248-2023")</f>
        <v/>
      </c>
      <c r="V106">
        <f>HYPERLINK("https://klasma.github.io/Logging_2283/klagomål/A 56248-2023 FSC-klagomål.docx", "A 56248-2023")</f>
        <v/>
      </c>
      <c r="W106">
        <f>HYPERLINK("https://klasma.github.io/Logging_2283/klagomålsmail/A 56248-2023 FSC-klagomål mail.docx", "A 56248-2023")</f>
        <v/>
      </c>
      <c r="X106">
        <f>HYPERLINK("https://klasma.github.io/Logging_2283/tillsyn/A 56248-2023 tillsynsbegäran.docx", "A 56248-2023")</f>
        <v/>
      </c>
      <c r="Y106">
        <f>HYPERLINK("https://klasma.github.io/Logging_2283/tillsynsmail/A 56248-2023 tillsynsbegäran mail.docx", "A 56248-2023")</f>
        <v/>
      </c>
    </row>
    <row r="107" ht="15" customHeight="1">
      <c r="A107" t="inlineStr">
        <is>
          <t>A 44334-2018</t>
        </is>
      </c>
      <c r="B107" s="1" t="n">
        <v>43360</v>
      </c>
      <c r="C107" s="1" t="n">
        <v>45282</v>
      </c>
      <c r="D107" t="inlineStr">
        <is>
          <t>VÄSTERNORRLANDS LÄN</t>
        </is>
      </c>
      <c r="E107" t="inlineStr">
        <is>
          <t>SOLLEFTEÅ</t>
        </is>
      </c>
      <c r="G107" t="n">
        <v>6.7</v>
      </c>
      <c r="H107" t="n">
        <v>0</v>
      </c>
      <c r="I107" t="n">
        <v>0</v>
      </c>
      <c r="J107" t="n">
        <v>2</v>
      </c>
      <c r="K107" t="n">
        <v>1</v>
      </c>
      <c r="L107" t="n">
        <v>0</v>
      </c>
      <c r="M107" t="n">
        <v>0</v>
      </c>
      <c r="N107" t="n">
        <v>0</v>
      </c>
      <c r="O107" t="n">
        <v>3</v>
      </c>
      <c r="P107" t="n">
        <v>1</v>
      </c>
      <c r="Q107" t="n">
        <v>3</v>
      </c>
      <c r="R107" s="2" t="inlineStr">
        <is>
          <t>Rynkskinn
Granticka
Ullticka</t>
        </is>
      </c>
      <c r="S107">
        <f>HYPERLINK("https://klasma.github.io/Logging_2283/artfynd/A 44334-2018 artfynd.xlsx", "A 44334-2018")</f>
        <v/>
      </c>
      <c r="T107">
        <f>HYPERLINK("https://klasma.github.io/Logging_2283/kartor/A 44334-2018 karta.png", "A 44334-2018")</f>
        <v/>
      </c>
      <c r="V107">
        <f>HYPERLINK("https://klasma.github.io/Logging_2283/klagomål/A 44334-2018 FSC-klagomål.docx", "A 44334-2018")</f>
        <v/>
      </c>
      <c r="W107">
        <f>HYPERLINK("https://klasma.github.io/Logging_2283/klagomålsmail/A 44334-2018 FSC-klagomål mail.docx", "A 44334-2018")</f>
        <v/>
      </c>
      <c r="X107">
        <f>HYPERLINK("https://klasma.github.io/Logging_2283/tillsyn/A 44334-2018 tillsynsbegäran.docx", "A 44334-2018")</f>
        <v/>
      </c>
      <c r="Y107">
        <f>HYPERLINK("https://klasma.github.io/Logging_2283/tillsynsmail/A 44334-2018 tillsynsbegäran mail.docx", "A 44334-2018")</f>
        <v/>
      </c>
    </row>
    <row r="108" ht="15" customHeight="1">
      <c r="A108" t="inlineStr">
        <is>
          <t>A 57649-2018</t>
        </is>
      </c>
      <c r="B108" s="1" t="n">
        <v>43404</v>
      </c>
      <c r="C108" s="1" t="n">
        <v>45282</v>
      </c>
      <c r="D108" t="inlineStr">
        <is>
          <t>VÄSTERNORRLANDS LÄN</t>
        </is>
      </c>
      <c r="E108" t="inlineStr">
        <is>
          <t>SOLLEFTEÅ</t>
        </is>
      </c>
      <c r="F108" t="inlineStr">
        <is>
          <t>SCA</t>
        </is>
      </c>
      <c r="G108" t="n">
        <v>4.2</v>
      </c>
      <c r="H108" t="n">
        <v>0</v>
      </c>
      <c r="I108" t="n">
        <v>0</v>
      </c>
      <c r="J108" t="n">
        <v>2</v>
      </c>
      <c r="K108" t="n">
        <v>1</v>
      </c>
      <c r="L108" t="n">
        <v>0</v>
      </c>
      <c r="M108" t="n">
        <v>0</v>
      </c>
      <c r="N108" t="n">
        <v>0</v>
      </c>
      <c r="O108" t="n">
        <v>3</v>
      </c>
      <c r="P108" t="n">
        <v>1</v>
      </c>
      <c r="Q108" t="n">
        <v>3</v>
      </c>
      <c r="R108" s="2" t="inlineStr">
        <is>
          <t>Läderlappslav
Stiftgelélav
Violettgrå tagellav</t>
        </is>
      </c>
      <c r="S108">
        <f>HYPERLINK("https://klasma.github.io/Logging_2283/artfynd/A 57649-2018 artfynd.xlsx", "A 57649-2018")</f>
        <v/>
      </c>
      <c r="T108">
        <f>HYPERLINK("https://klasma.github.io/Logging_2283/kartor/A 57649-2018 karta.png", "A 57649-2018")</f>
        <v/>
      </c>
      <c r="V108">
        <f>HYPERLINK("https://klasma.github.io/Logging_2283/klagomål/A 57649-2018 FSC-klagomål.docx", "A 57649-2018")</f>
        <v/>
      </c>
      <c r="W108">
        <f>HYPERLINK("https://klasma.github.io/Logging_2283/klagomålsmail/A 57649-2018 FSC-klagomål mail.docx", "A 57649-2018")</f>
        <v/>
      </c>
      <c r="X108">
        <f>HYPERLINK("https://klasma.github.io/Logging_2283/tillsyn/A 57649-2018 tillsynsbegäran.docx", "A 57649-2018")</f>
        <v/>
      </c>
      <c r="Y108">
        <f>HYPERLINK("https://klasma.github.io/Logging_2283/tillsynsmail/A 57649-2018 tillsynsbegäran mail.docx", "A 57649-2018")</f>
        <v/>
      </c>
    </row>
    <row r="109" ht="15" customHeight="1">
      <c r="A109" t="inlineStr">
        <is>
          <t>A 71518-2018</t>
        </is>
      </c>
      <c r="B109" s="1" t="n">
        <v>43454</v>
      </c>
      <c r="C109" s="1" t="n">
        <v>45282</v>
      </c>
      <c r="D109" t="inlineStr">
        <is>
          <t>VÄSTERNORRLANDS LÄN</t>
        </is>
      </c>
      <c r="E109" t="inlineStr">
        <is>
          <t>SOLLEFTEÅ</t>
        </is>
      </c>
      <c r="G109" t="n">
        <v>2</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HYPERLINK("https://klasma.github.io/Logging_2283/artfynd/A 71518-2018 artfynd.xlsx", "A 71518-2018")</f>
        <v/>
      </c>
      <c r="T109">
        <f>HYPERLINK("https://klasma.github.io/Logging_2283/kartor/A 71518-2018 karta.png", "A 71518-2018")</f>
        <v/>
      </c>
      <c r="V109">
        <f>HYPERLINK("https://klasma.github.io/Logging_2283/klagomål/A 71518-2018 FSC-klagomål.docx", "A 71518-2018")</f>
        <v/>
      </c>
      <c r="W109">
        <f>HYPERLINK("https://klasma.github.io/Logging_2283/klagomålsmail/A 71518-2018 FSC-klagomål mail.docx", "A 71518-2018")</f>
        <v/>
      </c>
      <c r="X109">
        <f>HYPERLINK("https://klasma.github.io/Logging_2283/tillsyn/A 71518-2018 tillsynsbegäran.docx", "A 71518-2018")</f>
        <v/>
      </c>
      <c r="Y109">
        <f>HYPERLINK("https://klasma.github.io/Logging_2283/tillsynsmail/A 71518-2018 tillsynsbegäran mail.docx", "A 71518-2018")</f>
        <v/>
      </c>
    </row>
    <row r="110" ht="15" customHeight="1">
      <c r="A110" t="inlineStr">
        <is>
          <t>A 55683-2019</t>
        </is>
      </c>
      <c r="B110" s="1" t="n">
        <v>43760</v>
      </c>
      <c r="C110" s="1" t="n">
        <v>45282</v>
      </c>
      <c r="D110" t="inlineStr">
        <is>
          <t>VÄSTERNORRLANDS LÄN</t>
        </is>
      </c>
      <c r="E110" t="inlineStr">
        <is>
          <t>SOLLEFTEÅ</t>
        </is>
      </c>
      <c r="F110" t="inlineStr">
        <is>
          <t>SCA</t>
        </is>
      </c>
      <c r="G110" t="n">
        <v>2.9</v>
      </c>
      <c r="H110" t="n">
        <v>0</v>
      </c>
      <c r="I110" t="n">
        <v>0</v>
      </c>
      <c r="J110" t="n">
        <v>2</v>
      </c>
      <c r="K110" t="n">
        <v>1</v>
      </c>
      <c r="L110" t="n">
        <v>0</v>
      </c>
      <c r="M110" t="n">
        <v>0</v>
      </c>
      <c r="N110" t="n">
        <v>0</v>
      </c>
      <c r="O110" t="n">
        <v>3</v>
      </c>
      <c r="P110" t="n">
        <v>1</v>
      </c>
      <c r="Q110" t="n">
        <v>3</v>
      </c>
      <c r="R110" s="2" t="inlineStr">
        <is>
          <t>Rynkskinn
Granticka
Rosenticka</t>
        </is>
      </c>
      <c r="S110">
        <f>HYPERLINK("https://klasma.github.io/Logging_2283/artfynd/A 55683-2019 artfynd.xlsx", "A 55683-2019")</f>
        <v/>
      </c>
      <c r="T110">
        <f>HYPERLINK("https://klasma.github.io/Logging_2283/kartor/A 55683-2019 karta.png", "A 55683-2019")</f>
        <v/>
      </c>
      <c r="V110">
        <f>HYPERLINK("https://klasma.github.io/Logging_2283/klagomål/A 55683-2019 FSC-klagomål.docx", "A 55683-2019")</f>
        <v/>
      </c>
      <c r="W110">
        <f>HYPERLINK("https://klasma.github.io/Logging_2283/klagomålsmail/A 55683-2019 FSC-klagomål mail.docx", "A 55683-2019")</f>
        <v/>
      </c>
      <c r="X110">
        <f>HYPERLINK("https://klasma.github.io/Logging_2283/tillsyn/A 55683-2019 tillsynsbegäran.docx", "A 55683-2019")</f>
        <v/>
      </c>
      <c r="Y110">
        <f>HYPERLINK("https://klasma.github.io/Logging_2283/tillsynsmail/A 55683-2019 tillsynsbegäran mail.docx", "A 55683-2019")</f>
        <v/>
      </c>
    </row>
    <row r="111" ht="15" customHeight="1">
      <c r="A111" t="inlineStr">
        <is>
          <t>A 24219-2020</t>
        </is>
      </c>
      <c r="B111" s="1" t="n">
        <v>43973</v>
      </c>
      <c r="C111" s="1" t="n">
        <v>45282</v>
      </c>
      <c r="D111" t="inlineStr">
        <is>
          <t>VÄSTERNORRLANDS LÄN</t>
        </is>
      </c>
      <c r="E111" t="inlineStr">
        <is>
          <t>SOLLEFTEÅ</t>
        </is>
      </c>
      <c r="G111" t="n">
        <v>11.9</v>
      </c>
      <c r="H111" t="n">
        <v>0</v>
      </c>
      <c r="I111" t="n">
        <v>0</v>
      </c>
      <c r="J111" t="n">
        <v>3</v>
      </c>
      <c r="K111" t="n">
        <v>0</v>
      </c>
      <c r="L111" t="n">
        <v>0</v>
      </c>
      <c r="M111" t="n">
        <v>0</v>
      </c>
      <c r="N111" t="n">
        <v>0</v>
      </c>
      <c r="O111" t="n">
        <v>3</v>
      </c>
      <c r="P111" t="n">
        <v>0</v>
      </c>
      <c r="Q111" t="n">
        <v>3</v>
      </c>
      <c r="R111" s="2" t="inlineStr">
        <is>
          <t>Garnlav
Lunglav
Rosenticka</t>
        </is>
      </c>
      <c r="S111">
        <f>HYPERLINK("https://klasma.github.io/Logging_2283/artfynd/A 24219-2020 artfynd.xlsx", "A 24219-2020")</f>
        <v/>
      </c>
      <c r="T111">
        <f>HYPERLINK("https://klasma.github.io/Logging_2283/kartor/A 24219-2020 karta.png", "A 24219-2020")</f>
        <v/>
      </c>
      <c r="V111">
        <f>HYPERLINK("https://klasma.github.io/Logging_2283/klagomål/A 24219-2020 FSC-klagomål.docx", "A 24219-2020")</f>
        <v/>
      </c>
      <c r="W111">
        <f>HYPERLINK("https://klasma.github.io/Logging_2283/klagomålsmail/A 24219-2020 FSC-klagomål mail.docx", "A 24219-2020")</f>
        <v/>
      </c>
      <c r="X111">
        <f>HYPERLINK("https://klasma.github.io/Logging_2283/tillsyn/A 24219-2020 tillsynsbegäran.docx", "A 24219-2020")</f>
        <v/>
      </c>
      <c r="Y111">
        <f>HYPERLINK("https://klasma.github.io/Logging_2283/tillsynsmail/A 24219-2020 tillsynsbegäran mail.docx", "A 24219-2020")</f>
        <v/>
      </c>
    </row>
    <row r="112" ht="15" customHeight="1">
      <c r="A112" t="inlineStr">
        <is>
          <t>A 31640-2020</t>
        </is>
      </c>
      <c r="B112" s="1" t="n">
        <v>44013</v>
      </c>
      <c r="C112" s="1" t="n">
        <v>45282</v>
      </c>
      <c r="D112" t="inlineStr">
        <is>
          <t>VÄSTERNORRLANDS LÄN</t>
        </is>
      </c>
      <c r="E112" t="inlineStr">
        <is>
          <t>SOLLEFTEÅ</t>
        </is>
      </c>
      <c r="F112" t="inlineStr">
        <is>
          <t>SCA</t>
        </is>
      </c>
      <c r="G112" t="n">
        <v>27.4</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HYPERLINK("https://klasma.github.io/Logging_2283/artfynd/A 31640-2020 artfynd.xlsx", "A 31640-2020")</f>
        <v/>
      </c>
      <c r="T112">
        <f>HYPERLINK("https://klasma.github.io/Logging_2283/kartor/A 31640-2020 karta.png", "A 31640-2020")</f>
        <v/>
      </c>
      <c r="V112">
        <f>HYPERLINK("https://klasma.github.io/Logging_2283/klagomål/A 31640-2020 FSC-klagomål.docx", "A 31640-2020")</f>
        <v/>
      </c>
      <c r="W112">
        <f>HYPERLINK("https://klasma.github.io/Logging_2283/klagomålsmail/A 31640-2020 FSC-klagomål mail.docx", "A 31640-2020")</f>
        <v/>
      </c>
      <c r="X112">
        <f>HYPERLINK("https://klasma.github.io/Logging_2283/tillsyn/A 31640-2020 tillsynsbegäran.docx", "A 31640-2020")</f>
        <v/>
      </c>
      <c r="Y112">
        <f>HYPERLINK("https://klasma.github.io/Logging_2283/tillsynsmail/A 31640-2020 tillsynsbegäran mail.docx", "A 31640-2020")</f>
        <v/>
      </c>
    </row>
    <row r="113" ht="15" customHeight="1">
      <c r="A113" t="inlineStr">
        <is>
          <t>A 44599-2021</t>
        </is>
      </c>
      <c r="B113" s="1" t="n">
        <v>44436</v>
      </c>
      <c r="C113" s="1" t="n">
        <v>45282</v>
      </c>
      <c r="D113" t="inlineStr">
        <is>
          <t>VÄSTERNORRLANDS LÄN</t>
        </is>
      </c>
      <c r="E113" t="inlineStr">
        <is>
          <t>SOLLEFTEÅ</t>
        </is>
      </c>
      <c r="F113" t="inlineStr">
        <is>
          <t>SCA</t>
        </is>
      </c>
      <c r="G113" t="n">
        <v>6.1</v>
      </c>
      <c r="H113" t="n">
        <v>0</v>
      </c>
      <c r="I113" t="n">
        <v>2</v>
      </c>
      <c r="J113" t="n">
        <v>1</v>
      </c>
      <c r="K113" t="n">
        <v>0</v>
      </c>
      <c r="L113" t="n">
        <v>0</v>
      </c>
      <c r="M113" t="n">
        <v>0</v>
      </c>
      <c r="N113" t="n">
        <v>0</v>
      </c>
      <c r="O113" t="n">
        <v>1</v>
      </c>
      <c r="P113" t="n">
        <v>0</v>
      </c>
      <c r="Q113" t="n">
        <v>3</v>
      </c>
      <c r="R113" s="2" t="inlineStr">
        <is>
          <t>Rosenticka
Strutbräken
Stuplav</t>
        </is>
      </c>
      <c r="S113">
        <f>HYPERLINK("https://klasma.github.io/Logging_2283/artfynd/A 44599-2021 artfynd.xlsx", "A 44599-2021")</f>
        <v/>
      </c>
      <c r="T113">
        <f>HYPERLINK("https://klasma.github.io/Logging_2283/kartor/A 44599-2021 karta.png", "A 44599-2021")</f>
        <v/>
      </c>
      <c r="V113">
        <f>HYPERLINK("https://klasma.github.io/Logging_2283/klagomål/A 44599-2021 FSC-klagomål.docx", "A 44599-2021")</f>
        <v/>
      </c>
      <c r="W113">
        <f>HYPERLINK("https://klasma.github.io/Logging_2283/klagomålsmail/A 44599-2021 FSC-klagomål mail.docx", "A 44599-2021")</f>
        <v/>
      </c>
      <c r="X113">
        <f>HYPERLINK("https://klasma.github.io/Logging_2283/tillsyn/A 44599-2021 tillsynsbegäran.docx", "A 44599-2021")</f>
        <v/>
      </c>
      <c r="Y113">
        <f>HYPERLINK("https://klasma.github.io/Logging_2283/tillsynsmail/A 44599-2021 tillsynsbegäran mail.docx", "A 44599-2021")</f>
        <v/>
      </c>
    </row>
    <row r="114" ht="15" customHeight="1">
      <c r="A114" t="inlineStr">
        <is>
          <t>A 61481-2021</t>
        </is>
      </c>
      <c r="B114" s="1" t="n">
        <v>44500</v>
      </c>
      <c r="C114" s="1" t="n">
        <v>45282</v>
      </c>
      <c r="D114" t="inlineStr">
        <is>
          <t>VÄSTERNORRLANDS LÄN</t>
        </is>
      </c>
      <c r="E114" t="inlineStr">
        <is>
          <t>SOLLEFTEÅ</t>
        </is>
      </c>
      <c r="F114" t="inlineStr">
        <is>
          <t>SCA</t>
        </is>
      </c>
      <c r="G114" t="n">
        <v>6.8</v>
      </c>
      <c r="H114" t="n">
        <v>0</v>
      </c>
      <c r="I114" t="n">
        <v>1</v>
      </c>
      <c r="J114" t="n">
        <v>2</v>
      </c>
      <c r="K114" t="n">
        <v>0</v>
      </c>
      <c r="L114" t="n">
        <v>0</v>
      </c>
      <c r="M114" t="n">
        <v>0</v>
      </c>
      <c r="N114" t="n">
        <v>0</v>
      </c>
      <c r="O114" t="n">
        <v>2</v>
      </c>
      <c r="P114" t="n">
        <v>0</v>
      </c>
      <c r="Q114" t="n">
        <v>3</v>
      </c>
      <c r="R114" s="2" t="inlineStr">
        <is>
          <t>Lunglav
Skrovellav
Kambräken</t>
        </is>
      </c>
      <c r="S114">
        <f>HYPERLINK("https://klasma.github.io/Logging_2283/artfynd/A 61481-2021 artfynd.xlsx", "A 61481-2021")</f>
        <v/>
      </c>
      <c r="T114">
        <f>HYPERLINK("https://klasma.github.io/Logging_2283/kartor/A 61481-2021 karta.png", "A 61481-2021")</f>
        <v/>
      </c>
      <c r="V114">
        <f>HYPERLINK("https://klasma.github.io/Logging_2283/klagomål/A 61481-2021 FSC-klagomål.docx", "A 61481-2021")</f>
        <v/>
      </c>
      <c r="W114">
        <f>HYPERLINK("https://klasma.github.io/Logging_2283/klagomålsmail/A 61481-2021 FSC-klagomål mail.docx", "A 61481-2021")</f>
        <v/>
      </c>
      <c r="X114">
        <f>HYPERLINK("https://klasma.github.io/Logging_2283/tillsyn/A 61481-2021 tillsynsbegäran.docx", "A 61481-2021")</f>
        <v/>
      </c>
      <c r="Y114">
        <f>HYPERLINK("https://klasma.github.io/Logging_2283/tillsynsmail/A 61481-2021 tillsynsbegäran mail.docx", "A 61481-2021")</f>
        <v/>
      </c>
    </row>
    <row r="115" ht="15" customHeight="1">
      <c r="A115" t="inlineStr">
        <is>
          <t>A 18012-2022</t>
        </is>
      </c>
      <c r="B115" s="1" t="n">
        <v>44683</v>
      </c>
      <c r="C115" s="1" t="n">
        <v>45282</v>
      </c>
      <c r="D115" t="inlineStr">
        <is>
          <t>VÄSTERNORRLANDS LÄN</t>
        </is>
      </c>
      <c r="E115" t="inlineStr">
        <is>
          <t>SOLLEFTEÅ</t>
        </is>
      </c>
      <c r="F115" t="inlineStr">
        <is>
          <t>SCA</t>
        </is>
      </c>
      <c r="G115" t="n">
        <v>1.7</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HYPERLINK("https://klasma.github.io/Logging_2283/artfynd/A 18012-2022 artfynd.xlsx", "A 18012-2022")</f>
        <v/>
      </c>
      <c r="T115">
        <f>HYPERLINK("https://klasma.github.io/Logging_2283/kartor/A 18012-2022 karta.png", "A 18012-2022")</f>
        <v/>
      </c>
      <c r="U115">
        <f>HYPERLINK("https://klasma.github.io/Logging_2283/knärot/A 18012-2022 karta knärot.png", "A 18012-2022")</f>
        <v/>
      </c>
      <c r="V115">
        <f>HYPERLINK("https://klasma.github.io/Logging_2283/klagomål/A 18012-2022 FSC-klagomål.docx", "A 18012-2022")</f>
        <v/>
      </c>
      <c r="W115">
        <f>HYPERLINK("https://klasma.github.io/Logging_2283/klagomålsmail/A 18012-2022 FSC-klagomål mail.docx", "A 18012-2022")</f>
        <v/>
      </c>
      <c r="X115">
        <f>HYPERLINK("https://klasma.github.io/Logging_2283/tillsyn/A 18012-2022 tillsynsbegäran.docx", "A 18012-2022")</f>
        <v/>
      </c>
      <c r="Y115">
        <f>HYPERLINK("https://klasma.github.io/Logging_2283/tillsynsmail/A 18012-2022 tillsynsbegäran mail.docx", "A 18012-2022")</f>
        <v/>
      </c>
    </row>
    <row r="116" ht="15" customHeight="1">
      <c r="A116" t="inlineStr">
        <is>
          <t>A 34528-2022</t>
        </is>
      </c>
      <c r="B116" s="1" t="n">
        <v>44792</v>
      </c>
      <c r="C116" s="1" t="n">
        <v>45282</v>
      </c>
      <c r="D116" t="inlineStr">
        <is>
          <t>VÄSTERNORRLANDS LÄN</t>
        </is>
      </c>
      <c r="E116" t="inlineStr">
        <is>
          <t>SOLLEFTEÅ</t>
        </is>
      </c>
      <c r="F116" t="inlineStr">
        <is>
          <t>SCA</t>
        </is>
      </c>
      <c r="G116" t="n">
        <v>1.8</v>
      </c>
      <c r="H116" t="n">
        <v>0</v>
      </c>
      <c r="I116" t="n">
        <v>0</v>
      </c>
      <c r="J116" t="n">
        <v>3</v>
      </c>
      <c r="K116" t="n">
        <v>0</v>
      </c>
      <c r="L116" t="n">
        <v>0</v>
      </c>
      <c r="M116" t="n">
        <v>0</v>
      </c>
      <c r="N116" t="n">
        <v>0</v>
      </c>
      <c r="O116" t="n">
        <v>3</v>
      </c>
      <c r="P116" t="n">
        <v>0</v>
      </c>
      <c r="Q116" t="n">
        <v>3</v>
      </c>
      <c r="R116" s="2" t="inlineStr">
        <is>
          <t>Garnlav
Mörk kolflarnlav
Rosenticka</t>
        </is>
      </c>
      <c r="S116">
        <f>HYPERLINK("https://klasma.github.io/Logging_2283/artfynd/A 34528-2022 artfynd.xlsx", "A 34528-2022")</f>
        <v/>
      </c>
      <c r="T116">
        <f>HYPERLINK("https://klasma.github.io/Logging_2283/kartor/A 34528-2022 karta.png", "A 34528-2022")</f>
        <v/>
      </c>
      <c r="V116">
        <f>HYPERLINK("https://klasma.github.io/Logging_2283/klagomål/A 34528-2022 FSC-klagomål.docx", "A 34528-2022")</f>
        <v/>
      </c>
      <c r="W116">
        <f>HYPERLINK("https://klasma.github.io/Logging_2283/klagomålsmail/A 34528-2022 FSC-klagomål mail.docx", "A 34528-2022")</f>
        <v/>
      </c>
      <c r="X116">
        <f>HYPERLINK("https://klasma.github.io/Logging_2283/tillsyn/A 34528-2022 tillsynsbegäran.docx", "A 34528-2022")</f>
        <v/>
      </c>
      <c r="Y116">
        <f>HYPERLINK("https://klasma.github.io/Logging_2283/tillsynsmail/A 34528-2022 tillsynsbegäran mail.docx", "A 34528-2022")</f>
        <v/>
      </c>
    </row>
    <row r="117" ht="15" customHeight="1">
      <c r="A117" t="inlineStr">
        <is>
          <t>A 20781-2023</t>
        </is>
      </c>
      <c r="B117" s="1" t="n">
        <v>45058</v>
      </c>
      <c r="C117" s="1" t="n">
        <v>45282</v>
      </c>
      <c r="D117" t="inlineStr">
        <is>
          <t>VÄSTERNORRLANDS LÄN</t>
        </is>
      </c>
      <c r="E117" t="inlineStr">
        <is>
          <t>SOLLEFTEÅ</t>
        </is>
      </c>
      <c r="F117" t="inlineStr">
        <is>
          <t>Kyrkan</t>
        </is>
      </c>
      <c r="G117" t="n">
        <v>11.1</v>
      </c>
      <c r="H117" t="n">
        <v>1</v>
      </c>
      <c r="I117" t="n">
        <v>0</v>
      </c>
      <c r="J117" t="n">
        <v>2</v>
      </c>
      <c r="K117" t="n">
        <v>1</v>
      </c>
      <c r="L117" t="n">
        <v>0</v>
      </c>
      <c r="M117" t="n">
        <v>0</v>
      </c>
      <c r="N117" t="n">
        <v>0</v>
      </c>
      <c r="O117" t="n">
        <v>3</v>
      </c>
      <c r="P117" t="n">
        <v>1</v>
      </c>
      <c r="Q117" t="n">
        <v>3</v>
      </c>
      <c r="R117" s="2" t="inlineStr">
        <is>
          <t>Knärot
Garnlav
Ullticka</t>
        </is>
      </c>
      <c r="S117">
        <f>HYPERLINK("https://klasma.github.io/Logging_2283/artfynd/A 20781-2023 artfynd.xlsx", "A 20781-2023")</f>
        <v/>
      </c>
      <c r="T117">
        <f>HYPERLINK("https://klasma.github.io/Logging_2283/kartor/A 20781-2023 karta.png", "A 20781-2023")</f>
        <v/>
      </c>
      <c r="U117">
        <f>HYPERLINK("https://klasma.github.io/Logging_2283/knärot/A 20781-2023 karta knärot.png", "A 20781-2023")</f>
        <v/>
      </c>
      <c r="V117">
        <f>HYPERLINK("https://klasma.github.io/Logging_2283/klagomål/A 20781-2023 FSC-klagomål.docx", "A 20781-2023")</f>
        <v/>
      </c>
      <c r="W117">
        <f>HYPERLINK("https://klasma.github.io/Logging_2283/klagomålsmail/A 20781-2023 FSC-klagomål mail.docx", "A 20781-2023")</f>
        <v/>
      </c>
      <c r="X117">
        <f>HYPERLINK("https://klasma.github.io/Logging_2283/tillsyn/A 20781-2023 tillsynsbegäran.docx", "A 20781-2023")</f>
        <v/>
      </c>
      <c r="Y117">
        <f>HYPERLINK("https://klasma.github.io/Logging_2283/tillsynsmail/A 20781-2023 tillsynsbegäran mail.docx", "A 20781-2023")</f>
        <v/>
      </c>
    </row>
    <row r="118" ht="15" customHeight="1">
      <c r="A118" t="inlineStr">
        <is>
          <t>A 21342-2023</t>
        </is>
      </c>
      <c r="B118" s="1" t="n">
        <v>45062</v>
      </c>
      <c r="C118" s="1" t="n">
        <v>45282</v>
      </c>
      <c r="D118" t="inlineStr">
        <is>
          <t>VÄSTERNORRLANDS LÄN</t>
        </is>
      </c>
      <c r="E118" t="inlineStr">
        <is>
          <t>SOLLEFTEÅ</t>
        </is>
      </c>
      <c r="F118" t="inlineStr">
        <is>
          <t>SCA</t>
        </is>
      </c>
      <c r="G118" t="n">
        <v>4.3</v>
      </c>
      <c r="H118" t="n">
        <v>1</v>
      </c>
      <c r="I118" t="n">
        <v>1</v>
      </c>
      <c r="J118" t="n">
        <v>2</v>
      </c>
      <c r="K118" t="n">
        <v>0</v>
      </c>
      <c r="L118" t="n">
        <v>0</v>
      </c>
      <c r="M118" t="n">
        <v>0</v>
      </c>
      <c r="N118" t="n">
        <v>0</v>
      </c>
      <c r="O118" t="n">
        <v>2</v>
      </c>
      <c r="P118" t="n">
        <v>0</v>
      </c>
      <c r="Q118" t="n">
        <v>3</v>
      </c>
      <c r="R118" s="2" t="inlineStr">
        <is>
          <t>Dvärgbägarlav
Kolflarnlav
Plattlummer</t>
        </is>
      </c>
      <c r="S118">
        <f>HYPERLINK("https://klasma.github.io/Logging_2283/artfynd/A 21342-2023 artfynd.xlsx", "A 21342-2023")</f>
        <v/>
      </c>
      <c r="T118">
        <f>HYPERLINK("https://klasma.github.io/Logging_2283/kartor/A 21342-2023 karta.png", "A 21342-2023")</f>
        <v/>
      </c>
      <c r="V118">
        <f>HYPERLINK("https://klasma.github.io/Logging_2283/klagomål/A 21342-2023 FSC-klagomål.docx", "A 21342-2023")</f>
        <v/>
      </c>
      <c r="W118">
        <f>HYPERLINK("https://klasma.github.io/Logging_2283/klagomålsmail/A 21342-2023 FSC-klagomål mail.docx", "A 21342-2023")</f>
        <v/>
      </c>
      <c r="X118">
        <f>HYPERLINK("https://klasma.github.io/Logging_2283/tillsyn/A 21342-2023 tillsynsbegäran.docx", "A 21342-2023")</f>
        <v/>
      </c>
      <c r="Y118">
        <f>HYPERLINK("https://klasma.github.io/Logging_2283/tillsynsmail/A 21342-2023 tillsynsbegäran mail.docx", "A 21342-2023")</f>
        <v/>
      </c>
    </row>
    <row r="119" ht="15" customHeight="1">
      <c r="A119" t="inlineStr">
        <is>
          <t>A 21343-2023</t>
        </is>
      </c>
      <c r="B119" s="1" t="n">
        <v>45062</v>
      </c>
      <c r="C119" s="1" t="n">
        <v>45282</v>
      </c>
      <c r="D119" t="inlineStr">
        <is>
          <t>VÄSTERNORRLANDS LÄN</t>
        </is>
      </c>
      <c r="E119" t="inlineStr">
        <is>
          <t>SOLLEFTEÅ</t>
        </is>
      </c>
      <c r="F119" t="inlineStr">
        <is>
          <t>SCA</t>
        </is>
      </c>
      <c r="G119" t="n">
        <v>4.8</v>
      </c>
      <c r="H119" t="n">
        <v>0</v>
      </c>
      <c r="I119" t="n">
        <v>0</v>
      </c>
      <c r="J119" t="n">
        <v>3</v>
      </c>
      <c r="K119" t="n">
        <v>0</v>
      </c>
      <c r="L119" t="n">
        <v>0</v>
      </c>
      <c r="M119" t="n">
        <v>0</v>
      </c>
      <c r="N119" t="n">
        <v>0</v>
      </c>
      <c r="O119" t="n">
        <v>3</v>
      </c>
      <c r="P119" t="n">
        <v>0</v>
      </c>
      <c r="Q119" t="n">
        <v>3</v>
      </c>
      <c r="R119" s="2" t="inlineStr">
        <is>
          <t>Garnlav
Kolflarnlav
Vedskivlav</t>
        </is>
      </c>
      <c r="S119">
        <f>HYPERLINK("https://klasma.github.io/Logging_2283/artfynd/A 21343-2023 artfynd.xlsx", "A 21343-2023")</f>
        <v/>
      </c>
      <c r="T119">
        <f>HYPERLINK("https://klasma.github.io/Logging_2283/kartor/A 21343-2023 karta.png", "A 21343-2023")</f>
        <v/>
      </c>
      <c r="V119">
        <f>HYPERLINK("https://klasma.github.io/Logging_2283/klagomål/A 21343-2023 FSC-klagomål.docx", "A 21343-2023")</f>
        <v/>
      </c>
      <c r="W119">
        <f>HYPERLINK("https://klasma.github.io/Logging_2283/klagomålsmail/A 21343-2023 FSC-klagomål mail.docx", "A 21343-2023")</f>
        <v/>
      </c>
      <c r="X119">
        <f>HYPERLINK("https://klasma.github.io/Logging_2283/tillsyn/A 21343-2023 tillsynsbegäran.docx", "A 21343-2023")</f>
        <v/>
      </c>
      <c r="Y119">
        <f>HYPERLINK("https://klasma.github.io/Logging_2283/tillsynsmail/A 21343-2023 tillsynsbegäran mail.docx", "A 21343-2023")</f>
        <v/>
      </c>
    </row>
    <row r="120" ht="15" customHeight="1">
      <c r="A120" t="inlineStr">
        <is>
          <t>A 23782-2023</t>
        </is>
      </c>
      <c r="B120" s="1" t="n">
        <v>45077</v>
      </c>
      <c r="C120" s="1" t="n">
        <v>45282</v>
      </c>
      <c r="D120" t="inlineStr">
        <is>
          <t>VÄSTERNORRLANDS LÄN</t>
        </is>
      </c>
      <c r="E120" t="inlineStr">
        <is>
          <t>SOLLEFTEÅ</t>
        </is>
      </c>
      <c r="F120" t="inlineStr">
        <is>
          <t>SCA</t>
        </is>
      </c>
      <c r="G120" t="n">
        <v>6.3</v>
      </c>
      <c r="H120" t="n">
        <v>0</v>
      </c>
      <c r="I120" t="n">
        <v>2</v>
      </c>
      <c r="J120" t="n">
        <v>1</v>
      </c>
      <c r="K120" t="n">
        <v>0</v>
      </c>
      <c r="L120" t="n">
        <v>0</v>
      </c>
      <c r="M120" t="n">
        <v>0</v>
      </c>
      <c r="N120" t="n">
        <v>0</v>
      </c>
      <c r="O120" t="n">
        <v>1</v>
      </c>
      <c r="P120" t="n">
        <v>0</v>
      </c>
      <c r="Q120" t="n">
        <v>3</v>
      </c>
      <c r="R120" s="2" t="inlineStr">
        <is>
          <t>Garnlav
Bollvitmossa
Norrlandslav</t>
        </is>
      </c>
      <c r="S120">
        <f>HYPERLINK("https://klasma.github.io/Logging_2283/artfynd/A 23782-2023 artfynd.xlsx", "A 23782-2023")</f>
        <v/>
      </c>
      <c r="T120">
        <f>HYPERLINK("https://klasma.github.io/Logging_2283/kartor/A 23782-2023 karta.png", "A 23782-2023")</f>
        <v/>
      </c>
      <c r="V120">
        <f>HYPERLINK("https://klasma.github.io/Logging_2283/klagomål/A 23782-2023 FSC-klagomål.docx", "A 23782-2023")</f>
        <v/>
      </c>
      <c r="W120">
        <f>HYPERLINK("https://klasma.github.io/Logging_2283/klagomålsmail/A 23782-2023 FSC-klagomål mail.docx", "A 23782-2023")</f>
        <v/>
      </c>
      <c r="X120">
        <f>HYPERLINK("https://klasma.github.io/Logging_2283/tillsyn/A 23782-2023 tillsynsbegäran.docx", "A 23782-2023")</f>
        <v/>
      </c>
      <c r="Y120">
        <f>HYPERLINK("https://klasma.github.io/Logging_2283/tillsynsmail/A 23782-2023 tillsynsbegäran mail.docx", "A 23782-2023")</f>
        <v/>
      </c>
    </row>
    <row r="121" ht="15" customHeight="1">
      <c r="A121" t="inlineStr">
        <is>
          <t>A 26374-2023</t>
        </is>
      </c>
      <c r="B121" s="1" t="n">
        <v>45092</v>
      </c>
      <c r="C121" s="1" t="n">
        <v>45282</v>
      </c>
      <c r="D121" t="inlineStr">
        <is>
          <t>VÄSTERNORRLANDS LÄN</t>
        </is>
      </c>
      <c r="E121" t="inlineStr">
        <is>
          <t>SOLLEFTEÅ</t>
        </is>
      </c>
      <c r="F121" t="inlineStr">
        <is>
          <t>SCA</t>
        </is>
      </c>
      <c r="G121" t="n">
        <v>0.9</v>
      </c>
      <c r="H121" t="n">
        <v>0</v>
      </c>
      <c r="I121" t="n">
        <v>0</v>
      </c>
      <c r="J121" t="n">
        <v>2</v>
      </c>
      <c r="K121" t="n">
        <v>1</v>
      </c>
      <c r="L121" t="n">
        <v>0</v>
      </c>
      <c r="M121" t="n">
        <v>0</v>
      </c>
      <c r="N121" t="n">
        <v>0</v>
      </c>
      <c r="O121" t="n">
        <v>3</v>
      </c>
      <c r="P121" t="n">
        <v>1</v>
      </c>
      <c r="Q121" t="n">
        <v>3</v>
      </c>
      <c r="R121" s="2" t="inlineStr">
        <is>
          <t>Blackticka
Granticka
Ullticka</t>
        </is>
      </c>
      <c r="S121">
        <f>HYPERLINK("https://klasma.github.io/Logging_2283/artfynd/A 26374-2023 artfynd.xlsx", "A 26374-2023")</f>
        <v/>
      </c>
      <c r="T121">
        <f>HYPERLINK("https://klasma.github.io/Logging_2283/kartor/A 26374-2023 karta.png", "A 26374-2023")</f>
        <v/>
      </c>
      <c r="V121">
        <f>HYPERLINK("https://klasma.github.io/Logging_2283/klagomål/A 26374-2023 FSC-klagomål.docx", "A 26374-2023")</f>
        <v/>
      </c>
      <c r="W121">
        <f>HYPERLINK("https://klasma.github.io/Logging_2283/klagomålsmail/A 26374-2023 FSC-klagomål mail.docx", "A 26374-2023")</f>
        <v/>
      </c>
      <c r="X121">
        <f>HYPERLINK("https://klasma.github.io/Logging_2283/tillsyn/A 26374-2023 tillsynsbegäran.docx", "A 26374-2023")</f>
        <v/>
      </c>
      <c r="Y121">
        <f>HYPERLINK("https://klasma.github.io/Logging_2283/tillsynsmail/A 26374-2023 tillsynsbegäran mail.docx", "A 26374-2023")</f>
        <v/>
      </c>
    </row>
    <row r="122" ht="15" customHeight="1">
      <c r="A122" t="inlineStr">
        <is>
          <t>A 45006-2023</t>
        </is>
      </c>
      <c r="B122" s="1" t="n">
        <v>45190</v>
      </c>
      <c r="C122" s="1" t="n">
        <v>45282</v>
      </c>
      <c r="D122" t="inlineStr">
        <is>
          <t>VÄSTERNORRLANDS LÄN</t>
        </is>
      </c>
      <c r="E122" t="inlineStr">
        <is>
          <t>SOLLEFTEÅ</t>
        </is>
      </c>
      <c r="F122" t="inlineStr">
        <is>
          <t>SCA</t>
        </is>
      </c>
      <c r="G122" t="n">
        <v>5.1</v>
      </c>
      <c r="H122" t="n">
        <v>0</v>
      </c>
      <c r="I122" t="n">
        <v>0</v>
      </c>
      <c r="J122" t="n">
        <v>2</v>
      </c>
      <c r="K122" t="n">
        <v>1</v>
      </c>
      <c r="L122" t="n">
        <v>0</v>
      </c>
      <c r="M122" t="n">
        <v>0</v>
      </c>
      <c r="N122" t="n">
        <v>0</v>
      </c>
      <c r="O122" t="n">
        <v>3</v>
      </c>
      <c r="P122" t="n">
        <v>1</v>
      </c>
      <c r="Q122" t="n">
        <v>3</v>
      </c>
      <c r="R122" s="2" t="inlineStr">
        <is>
          <t>Rynkskinn
Gammelgransskål
Rosenticka</t>
        </is>
      </c>
      <c r="S122">
        <f>HYPERLINK("https://klasma.github.io/Logging_2283/artfynd/A 45006-2023 artfynd.xlsx", "A 45006-2023")</f>
        <v/>
      </c>
      <c r="T122">
        <f>HYPERLINK("https://klasma.github.io/Logging_2283/kartor/A 45006-2023 karta.png", "A 45006-2023")</f>
        <v/>
      </c>
      <c r="V122">
        <f>HYPERLINK("https://klasma.github.io/Logging_2283/klagomål/A 45006-2023 FSC-klagomål.docx", "A 45006-2023")</f>
        <v/>
      </c>
      <c r="W122">
        <f>HYPERLINK("https://klasma.github.io/Logging_2283/klagomålsmail/A 45006-2023 FSC-klagomål mail.docx", "A 45006-2023")</f>
        <v/>
      </c>
      <c r="X122">
        <f>HYPERLINK("https://klasma.github.io/Logging_2283/tillsyn/A 45006-2023 tillsynsbegäran.docx", "A 45006-2023")</f>
        <v/>
      </c>
      <c r="Y122">
        <f>HYPERLINK("https://klasma.github.io/Logging_2283/tillsynsmail/A 45006-2023 tillsynsbegäran mail.docx", "A 45006-2023")</f>
        <v/>
      </c>
    </row>
    <row r="123" ht="15" customHeight="1">
      <c r="A123" t="inlineStr">
        <is>
          <t>A 50838-2023</t>
        </is>
      </c>
      <c r="B123" s="1" t="n">
        <v>45217</v>
      </c>
      <c r="C123" s="1" t="n">
        <v>45282</v>
      </c>
      <c r="D123" t="inlineStr">
        <is>
          <t>VÄSTERNORRLANDS LÄN</t>
        </is>
      </c>
      <c r="E123" t="inlineStr">
        <is>
          <t>SOLLEFTEÅ</t>
        </is>
      </c>
      <c r="F123" t="inlineStr">
        <is>
          <t>SCA</t>
        </is>
      </c>
      <c r="G123" t="n">
        <v>2.1</v>
      </c>
      <c r="H123" t="n">
        <v>2</v>
      </c>
      <c r="I123" t="n">
        <v>0</v>
      </c>
      <c r="J123" t="n">
        <v>1</v>
      </c>
      <c r="K123" t="n">
        <v>2</v>
      </c>
      <c r="L123" t="n">
        <v>0</v>
      </c>
      <c r="M123" t="n">
        <v>0</v>
      </c>
      <c r="N123" t="n">
        <v>0</v>
      </c>
      <c r="O123" t="n">
        <v>3</v>
      </c>
      <c r="P123" t="n">
        <v>2</v>
      </c>
      <c r="Q123" t="n">
        <v>3</v>
      </c>
      <c r="R123" s="2" t="inlineStr">
        <is>
          <t>Doftticka
Knärot
Lunglav</t>
        </is>
      </c>
      <c r="S123">
        <f>HYPERLINK("https://klasma.github.io/Logging_2283/artfynd/A 50838-2023 artfynd.xlsx", "A 50838-2023")</f>
        <v/>
      </c>
      <c r="T123">
        <f>HYPERLINK("https://klasma.github.io/Logging_2283/kartor/A 50838-2023 karta.png", "A 50838-2023")</f>
        <v/>
      </c>
      <c r="U123">
        <f>HYPERLINK("https://klasma.github.io/Logging_2283/knärot/A 50838-2023 karta knärot.png", "A 50838-2023")</f>
        <v/>
      </c>
      <c r="V123">
        <f>HYPERLINK("https://klasma.github.io/Logging_2283/klagomål/A 50838-2023 FSC-klagomål.docx", "A 50838-2023")</f>
        <v/>
      </c>
      <c r="W123">
        <f>HYPERLINK("https://klasma.github.io/Logging_2283/klagomålsmail/A 50838-2023 FSC-klagomål mail.docx", "A 50838-2023")</f>
        <v/>
      </c>
      <c r="X123">
        <f>HYPERLINK("https://klasma.github.io/Logging_2283/tillsyn/A 50838-2023 tillsynsbegäran.docx", "A 50838-2023")</f>
        <v/>
      </c>
      <c r="Y123">
        <f>HYPERLINK("https://klasma.github.io/Logging_2283/tillsynsmail/A 50838-2023 tillsynsbegäran mail.docx", "A 50838-2023")</f>
        <v/>
      </c>
    </row>
    <row r="124" ht="15" customHeight="1">
      <c r="A124" t="inlineStr">
        <is>
          <t>A 52762-2023</t>
        </is>
      </c>
      <c r="B124" s="1" t="n">
        <v>45225</v>
      </c>
      <c r="C124" s="1" t="n">
        <v>45282</v>
      </c>
      <c r="D124" t="inlineStr">
        <is>
          <t>VÄSTERNORRLANDS LÄN</t>
        </is>
      </c>
      <c r="E124" t="inlineStr">
        <is>
          <t>SOLLEFTEÅ</t>
        </is>
      </c>
      <c r="F124" t="inlineStr">
        <is>
          <t>SCA</t>
        </is>
      </c>
      <c r="G124" t="n">
        <v>6.3</v>
      </c>
      <c r="H124" t="n">
        <v>1</v>
      </c>
      <c r="I124" t="n">
        <v>0</v>
      </c>
      <c r="J124" t="n">
        <v>2</v>
      </c>
      <c r="K124" t="n">
        <v>0</v>
      </c>
      <c r="L124" t="n">
        <v>0</v>
      </c>
      <c r="M124" t="n">
        <v>0</v>
      </c>
      <c r="N124" t="n">
        <v>0</v>
      </c>
      <c r="O124" t="n">
        <v>2</v>
      </c>
      <c r="P124" t="n">
        <v>0</v>
      </c>
      <c r="Q124" t="n">
        <v>3</v>
      </c>
      <c r="R124" s="2" t="inlineStr">
        <is>
          <t>Rosenticka
Ullticka
Fläcknycklar</t>
        </is>
      </c>
      <c r="S124">
        <f>HYPERLINK("https://klasma.github.io/Logging_2283/artfynd/A 52762-2023 artfynd.xlsx", "A 52762-2023")</f>
        <v/>
      </c>
      <c r="T124">
        <f>HYPERLINK("https://klasma.github.io/Logging_2283/kartor/A 52762-2023 karta.png", "A 52762-2023")</f>
        <v/>
      </c>
      <c r="V124">
        <f>HYPERLINK("https://klasma.github.io/Logging_2283/klagomål/A 52762-2023 FSC-klagomål.docx", "A 52762-2023")</f>
        <v/>
      </c>
      <c r="W124">
        <f>HYPERLINK("https://klasma.github.io/Logging_2283/klagomålsmail/A 52762-2023 FSC-klagomål mail.docx", "A 52762-2023")</f>
        <v/>
      </c>
      <c r="X124">
        <f>HYPERLINK("https://klasma.github.io/Logging_2283/tillsyn/A 52762-2023 tillsynsbegäran.docx", "A 52762-2023")</f>
        <v/>
      </c>
      <c r="Y124">
        <f>HYPERLINK("https://klasma.github.io/Logging_2283/tillsynsmail/A 52762-2023 tillsynsbegäran mail.docx", "A 52762-2023")</f>
        <v/>
      </c>
    </row>
    <row r="125" ht="15" customHeight="1">
      <c r="A125" t="inlineStr">
        <is>
          <t>A 58579-2018</t>
        </is>
      </c>
      <c r="B125" s="1" t="n">
        <v>43409</v>
      </c>
      <c r="C125" s="1" t="n">
        <v>45282</v>
      </c>
      <c r="D125" t="inlineStr">
        <is>
          <t>VÄSTERNORRLANDS LÄN</t>
        </is>
      </c>
      <c r="E125" t="inlineStr">
        <is>
          <t>SOLLEFTEÅ</t>
        </is>
      </c>
      <c r="G125" t="n">
        <v>2.3</v>
      </c>
      <c r="H125" t="n">
        <v>0</v>
      </c>
      <c r="I125" t="n">
        <v>0</v>
      </c>
      <c r="J125" t="n">
        <v>2</v>
      </c>
      <c r="K125" t="n">
        <v>0</v>
      </c>
      <c r="L125" t="n">
        <v>0</v>
      </c>
      <c r="M125" t="n">
        <v>0</v>
      </c>
      <c r="N125" t="n">
        <v>0</v>
      </c>
      <c r="O125" t="n">
        <v>2</v>
      </c>
      <c r="P125" t="n">
        <v>0</v>
      </c>
      <c r="Q125" t="n">
        <v>2</v>
      </c>
      <c r="R125" s="2" t="inlineStr">
        <is>
          <t>Garnlav
Ullticka</t>
        </is>
      </c>
      <c r="S125">
        <f>HYPERLINK("https://klasma.github.io/Logging_2283/artfynd/A 58579-2018 artfynd.xlsx", "A 58579-2018")</f>
        <v/>
      </c>
      <c r="T125">
        <f>HYPERLINK("https://klasma.github.io/Logging_2283/kartor/A 58579-2018 karta.png", "A 58579-2018")</f>
        <v/>
      </c>
      <c r="V125">
        <f>HYPERLINK("https://klasma.github.io/Logging_2283/klagomål/A 58579-2018 FSC-klagomål.docx", "A 58579-2018")</f>
        <v/>
      </c>
      <c r="W125">
        <f>HYPERLINK("https://klasma.github.io/Logging_2283/klagomålsmail/A 58579-2018 FSC-klagomål mail.docx", "A 58579-2018")</f>
        <v/>
      </c>
      <c r="X125">
        <f>HYPERLINK("https://klasma.github.io/Logging_2283/tillsyn/A 58579-2018 tillsynsbegäran.docx", "A 58579-2018")</f>
        <v/>
      </c>
      <c r="Y125">
        <f>HYPERLINK("https://klasma.github.io/Logging_2283/tillsynsmail/A 58579-2018 tillsynsbegäran mail.docx", "A 58579-2018")</f>
        <v/>
      </c>
    </row>
    <row r="126" ht="15" customHeight="1">
      <c r="A126" t="inlineStr">
        <is>
          <t>A 3782-2019</t>
        </is>
      </c>
      <c r="B126" s="1" t="n">
        <v>43481</v>
      </c>
      <c r="C126" s="1" t="n">
        <v>45282</v>
      </c>
      <c r="D126" t="inlineStr">
        <is>
          <t>VÄSTERNORRLANDS LÄN</t>
        </is>
      </c>
      <c r="E126" t="inlineStr">
        <is>
          <t>SOLLEFTEÅ</t>
        </is>
      </c>
      <c r="F126" t="inlineStr">
        <is>
          <t>SCA</t>
        </is>
      </c>
      <c r="G126" t="n">
        <v>3.7</v>
      </c>
      <c r="H126" t="n">
        <v>2</v>
      </c>
      <c r="I126" t="n">
        <v>0</v>
      </c>
      <c r="J126" t="n">
        <v>2</v>
      </c>
      <c r="K126" t="n">
        <v>0</v>
      </c>
      <c r="L126" t="n">
        <v>0</v>
      </c>
      <c r="M126" t="n">
        <v>0</v>
      </c>
      <c r="N126" t="n">
        <v>0</v>
      </c>
      <c r="O126" t="n">
        <v>2</v>
      </c>
      <c r="P126" t="n">
        <v>0</v>
      </c>
      <c r="Q126" t="n">
        <v>2</v>
      </c>
      <c r="R126" s="2" t="inlineStr">
        <is>
          <t>Drillsnäppa
Rödvingetrast</t>
        </is>
      </c>
      <c r="S126">
        <f>HYPERLINK("https://klasma.github.io/Logging_2283/artfynd/A 3782-2019 artfynd.xlsx", "A 3782-2019")</f>
        <v/>
      </c>
      <c r="T126">
        <f>HYPERLINK("https://klasma.github.io/Logging_2283/kartor/A 3782-2019 karta.png", "A 3782-2019")</f>
        <v/>
      </c>
      <c r="V126">
        <f>HYPERLINK("https://klasma.github.io/Logging_2283/klagomål/A 3782-2019 FSC-klagomål.docx", "A 3782-2019")</f>
        <v/>
      </c>
      <c r="W126">
        <f>HYPERLINK("https://klasma.github.io/Logging_2283/klagomålsmail/A 3782-2019 FSC-klagomål mail.docx", "A 3782-2019")</f>
        <v/>
      </c>
      <c r="X126">
        <f>HYPERLINK("https://klasma.github.io/Logging_2283/tillsyn/A 3782-2019 tillsynsbegäran.docx", "A 3782-2019")</f>
        <v/>
      </c>
      <c r="Y126">
        <f>HYPERLINK("https://klasma.github.io/Logging_2283/tillsynsmail/A 3782-2019 tillsynsbegäran mail.docx", "A 3782-2019")</f>
        <v/>
      </c>
    </row>
    <row r="127" ht="15" customHeight="1">
      <c r="A127" t="inlineStr">
        <is>
          <t>A 34918-2019</t>
        </is>
      </c>
      <c r="B127" s="1" t="n">
        <v>43658</v>
      </c>
      <c r="C127" s="1" t="n">
        <v>45282</v>
      </c>
      <c r="D127" t="inlineStr">
        <is>
          <t>VÄSTERNORRLANDS LÄN</t>
        </is>
      </c>
      <c r="E127" t="inlineStr">
        <is>
          <t>SOLLEFTEÅ</t>
        </is>
      </c>
      <c r="G127" t="n">
        <v>2.7</v>
      </c>
      <c r="H127" t="n">
        <v>0</v>
      </c>
      <c r="I127" t="n">
        <v>0</v>
      </c>
      <c r="J127" t="n">
        <v>2</v>
      </c>
      <c r="K127" t="n">
        <v>0</v>
      </c>
      <c r="L127" t="n">
        <v>0</v>
      </c>
      <c r="M127" t="n">
        <v>0</v>
      </c>
      <c r="N127" t="n">
        <v>0</v>
      </c>
      <c r="O127" t="n">
        <v>2</v>
      </c>
      <c r="P127" t="n">
        <v>0</v>
      </c>
      <c r="Q127" t="n">
        <v>2</v>
      </c>
      <c r="R127" s="2" t="inlineStr">
        <is>
          <t>Granticka
Ullticka</t>
        </is>
      </c>
      <c r="S127">
        <f>HYPERLINK("https://klasma.github.io/Logging_2283/artfynd/A 34918-2019 artfynd.xlsx", "A 34918-2019")</f>
        <v/>
      </c>
      <c r="T127">
        <f>HYPERLINK("https://klasma.github.io/Logging_2283/kartor/A 34918-2019 karta.png", "A 34918-2019")</f>
        <v/>
      </c>
      <c r="V127">
        <f>HYPERLINK("https://klasma.github.io/Logging_2283/klagomål/A 34918-2019 FSC-klagomål.docx", "A 34918-2019")</f>
        <v/>
      </c>
      <c r="W127">
        <f>HYPERLINK("https://klasma.github.io/Logging_2283/klagomålsmail/A 34918-2019 FSC-klagomål mail.docx", "A 34918-2019")</f>
        <v/>
      </c>
      <c r="X127">
        <f>HYPERLINK("https://klasma.github.io/Logging_2283/tillsyn/A 34918-2019 tillsynsbegäran.docx", "A 34918-2019")</f>
        <v/>
      </c>
      <c r="Y127">
        <f>HYPERLINK("https://klasma.github.io/Logging_2283/tillsynsmail/A 34918-2019 tillsynsbegäran mail.docx", "A 34918-2019")</f>
        <v/>
      </c>
    </row>
    <row r="128" ht="15" customHeight="1">
      <c r="A128" t="inlineStr">
        <is>
          <t>A 66366-2019</t>
        </is>
      </c>
      <c r="B128" s="1" t="n">
        <v>43808</v>
      </c>
      <c r="C128" s="1" t="n">
        <v>45282</v>
      </c>
      <c r="D128" t="inlineStr">
        <is>
          <t>VÄSTERNORRLANDS LÄN</t>
        </is>
      </c>
      <c r="E128" t="inlineStr">
        <is>
          <t>SOLLEFTEÅ</t>
        </is>
      </c>
      <c r="G128" t="n">
        <v>2.9</v>
      </c>
      <c r="H128" t="n">
        <v>0</v>
      </c>
      <c r="I128" t="n">
        <v>1</v>
      </c>
      <c r="J128" t="n">
        <v>1</v>
      </c>
      <c r="K128" t="n">
        <v>0</v>
      </c>
      <c r="L128" t="n">
        <v>0</v>
      </c>
      <c r="M128" t="n">
        <v>0</v>
      </c>
      <c r="N128" t="n">
        <v>0</v>
      </c>
      <c r="O128" t="n">
        <v>1</v>
      </c>
      <c r="P128" t="n">
        <v>0</v>
      </c>
      <c r="Q128" t="n">
        <v>2</v>
      </c>
      <c r="R128" s="2" t="inlineStr">
        <is>
          <t>Lunglav
Stor aspticka</t>
        </is>
      </c>
      <c r="S128">
        <f>HYPERLINK("https://klasma.github.io/Logging_2283/artfynd/A 66366-2019 artfynd.xlsx", "A 66366-2019")</f>
        <v/>
      </c>
      <c r="T128">
        <f>HYPERLINK("https://klasma.github.io/Logging_2283/kartor/A 66366-2019 karta.png", "A 66366-2019")</f>
        <v/>
      </c>
      <c r="V128">
        <f>HYPERLINK("https://klasma.github.io/Logging_2283/klagomål/A 66366-2019 FSC-klagomål.docx", "A 66366-2019")</f>
        <v/>
      </c>
      <c r="W128">
        <f>HYPERLINK("https://klasma.github.io/Logging_2283/klagomålsmail/A 66366-2019 FSC-klagomål mail.docx", "A 66366-2019")</f>
        <v/>
      </c>
      <c r="X128">
        <f>HYPERLINK("https://klasma.github.io/Logging_2283/tillsyn/A 66366-2019 tillsynsbegäran.docx", "A 66366-2019")</f>
        <v/>
      </c>
      <c r="Y128">
        <f>HYPERLINK("https://klasma.github.io/Logging_2283/tillsynsmail/A 66366-2019 tillsynsbegäran mail.docx", "A 66366-2019")</f>
        <v/>
      </c>
    </row>
    <row r="129" ht="15" customHeight="1">
      <c r="A129" t="inlineStr">
        <is>
          <t>A 5314-2020</t>
        </is>
      </c>
      <c r="B129" s="1" t="n">
        <v>43857</v>
      </c>
      <c r="C129" s="1" t="n">
        <v>45282</v>
      </c>
      <c r="D129" t="inlineStr">
        <is>
          <t>VÄSTERNORRLANDS LÄN</t>
        </is>
      </c>
      <c r="E129" t="inlineStr">
        <is>
          <t>SOLLEFTEÅ</t>
        </is>
      </c>
      <c r="G129" t="n">
        <v>1.1</v>
      </c>
      <c r="H129" t="n">
        <v>0</v>
      </c>
      <c r="I129" t="n">
        <v>0</v>
      </c>
      <c r="J129" t="n">
        <v>2</v>
      </c>
      <c r="K129" t="n">
        <v>0</v>
      </c>
      <c r="L129" t="n">
        <v>0</v>
      </c>
      <c r="M129" t="n">
        <v>0</v>
      </c>
      <c r="N129" t="n">
        <v>0</v>
      </c>
      <c r="O129" t="n">
        <v>2</v>
      </c>
      <c r="P129" t="n">
        <v>0</v>
      </c>
      <c r="Q129" t="n">
        <v>2</v>
      </c>
      <c r="R129" s="2" t="inlineStr">
        <is>
          <t>Kolflarnlav
Vedskivlav</t>
        </is>
      </c>
      <c r="S129">
        <f>HYPERLINK("https://klasma.github.io/Logging_2283/artfynd/A 5314-2020 artfynd.xlsx", "A 5314-2020")</f>
        <v/>
      </c>
      <c r="T129">
        <f>HYPERLINK("https://klasma.github.io/Logging_2283/kartor/A 5314-2020 karta.png", "A 5314-2020")</f>
        <v/>
      </c>
      <c r="V129">
        <f>HYPERLINK("https://klasma.github.io/Logging_2283/klagomål/A 5314-2020 FSC-klagomål.docx", "A 5314-2020")</f>
        <v/>
      </c>
      <c r="W129">
        <f>HYPERLINK("https://klasma.github.io/Logging_2283/klagomålsmail/A 5314-2020 FSC-klagomål mail.docx", "A 5314-2020")</f>
        <v/>
      </c>
      <c r="X129">
        <f>HYPERLINK("https://klasma.github.io/Logging_2283/tillsyn/A 5314-2020 tillsynsbegäran.docx", "A 5314-2020")</f>
        <v/>
      </c>
      <c r="Y129">
        <f>HYPERLINK("https://klasma.github.io/Logging_2283/tillsynsmail/A 5314-2020 tillsynsbegäran mail.docx", "A 5314-2020")</f>
        <v/>
      </c>
    </row>
    <row r="130" ht="15" customHeight="1">
      <c r="A130" t="inlineStr">
        <is>
          <t>A 29505-2020</t>
        </is>
      </c>
      <c r="B130" s="1" t="n">
        <v>44004</v>
      </c>
      <c r="C130" s="1" t="n">
        <v>45282</v>
      </c>
      <c r="D130" t="inlineStr">
        <is>
          <t>VÄSTERNORRLANDS LÄN</t>
        </is>
      </c>
      <c r="E130" t="inlineStr">
        <is>
          <t>SOLLEFTEÅ</t>
        </is>
      </c>
      <c r="F130" t="inlineStr">
        <is>
          <t>SCA</t>
        </is>
      </c>
      <c r="G130" t="n">
        <v>1.9</v>
      </c>
      <c r="H130" t="n">
        <v>0</v>
      </c>
      <c r="I130" t="n">
        <v>1</v>
      </c>
      <c r="J130" t="n">
        <v>1</v>
      </c>
      <c r="K130" t="n">
        <v>0</v>
      </c>
      <c r="L130" t="n">
        <v>0</v>
      </c>
      <c r="M130" t="n">
        <v>0</v>
      </c>
      <c r="N130" t="n">
        <v>0</v>
      </c>
      <c r="O130" t="n">
        <v>1</v>
      </c>
      <c r="P130" t="n">
        <v>0</v>
      </c>
      <c r="Q130" t="n">
        <v>2</v>
      </c>
      <c r="R130" s="2" t="inlineStr">
        <is>
          <t>Lunglav
Bårdlav</t>
        </is>
      </c>
      <c r="S130">
        <f>HYPERLINK("https://klasma.github.io/Logging_2283/artfynd/A 29505-2020 artfynd.xlsx", "A 29505-2020")</f>
        <v/>
      </c>
      <c r="T130">
        <f>HYPERLINK("https://klasma.github.io/Logging_2283/kartor/A 29505-2020 karta.png", "A 29505-2020")</f>
        <v/>
      </c>
      <c r="V130">
        <f>HYPERLINK("https://klasma.github.io/Logging_2283/klagomål/A 29505-2020 FSC-klagomål.docx", "A 29505-2020")</f>
        <v/>
      </c>
      <c r="W130">
        <f>HYPERLINK("https://klasma.github.io/Logging_2283/klagomålsmail/A 29505-2020 FSC-klagomål mail.docx", "A 29505-2020")</f>
        <v/>
      </c>
      <c r="X130">
        <f>HYPERLINK("https://klasma.github.io/Logging_2283/tillsyn/A 29505-2020 tillsynsbegäran.docx", "A 29505-2020")</f>
        <v/>
      </c>
      <c r="Y130">
        <f>HYPERLINK("https://klasma.github.io/Logging_2283/tillsynsmail/A 29505-2020 tillsynsbegäran mail.docx", "A 29505-2020")</f>
        <v/>
      </c>
    </row>
    <row r="131" ht="15" customHeight="1">
      <c r="A131" t="inlineStr">
        <is>
          <t>A 34085-2020</t>
        </is>
      </c>
      <c r="B131" s="1" t="n">
        <v>44028</v>
      </c>
      <c r="C131" s="1" t="n">
        <v>45282</v>
      </c>
      <c r="D131" t="inlineStr">
        <is>
          <t>VÄSTERNORRLANDS LÄN</t>
        </is>
      </c>
      <c r="E131" t="inlineStr">
        <is>
          <t>SOLLEFTEÅ</t>
        </is>
      </c>
      <c r="F131" t="inlineStr">
        <is>
          <t>SCA</t>
        </is>
      </c>
      <c r="G131" t="n">
        <v>3.7</v>
      </c>
      <c r="H131" t="n">
        <v>1</v>
      </c>
      <c r="I131" t="n">
        <v>0</v>
      </c>
      <c r="J131" t="n">
        <v>1</v>
      </c>
      <c r="K131" t="n">
        <v>1</v>
      </c>
      <c r="L131" t="n">
        <v>0</v>
      </c>
      <c r="M131" t="n">
        <v>0</v>
      </c>
      <c r="N131" t="n">
        <v>0</v>
      </c>
      <c r="O131" t="n">
        <v>2</v>
      </c>
      <c r="P131" t="n">
        <v>1</v>
      </c>
      <c r="Q131" t="n">
        <v>2</v>
      </c>
      <c r="R131" s="2" t="inlineStr">
        <is>
          <t>Knärot
Lunglav</t>
        </is>
      </c>
      <c r="S131">
        <f>HYPERLINK("https://klasma.github.io/Logging_2283/artfynd/A 34085-2020 artfynd.xlsx", "A 34085-2020")</f>
        <v/>
      </c>
      <c r="T131">
        <f>HYPERLINK("https://klasma.github.io/Logging_2283/kartor/A 34085-2020 karta.png", "A 34085-2020")</f>
        <v/>
      </c>
      <c r="U131">
        <f>HYPERLINK("https://klasma.github.io/Logging_2283/knärot/A 34085-2020 karta knärot.png", "A 34085-2020")</f>
        <v/>
      </c>
      <c r="V131">
        <f>HYPERLINK("https://klasma.github.io/Logging_2283/klagomål/A 34085-2020 FSC-klagomål.docx", "A 34085-2020")</f>
        <v/>
      </c>
      <c r="W131">
        <f>HYPERLINK("https://klasma.github.io/Logging_2283/klagomålsmail/A 34085-2020 FSC-klagomål mail.docx", "A 34085-2020")</f>
        <v/>
      </c>
      <c r="X131">
        <f>HYPERLINK("https://klasma.github.io/Logging_2283/tillsyn/A 34085-2020 tillsynsbegäran.docx", "A 34085-2020")</f>
        <v/>
      </c>
      <c r="Y131">
        <f>HYPERLINK("https://klasma.github.io/Logging_2283/tillsynsmail/A 34085-2020 tillsynsbegäran mail.docx", "A 34085-2020")</f>
        <v/>
      </c>
    </row>
    <row r="132" ht="15" customHeight="1">
      <c r="A132" t="inlineStr">
        <is>
          <t>A 2309-2021</t>
        </is>
      </c>
      <c r="B132" s="1" t="n">
        <v>44213</v>
      </c>
      <c r="C132" s="1" t="n">
        <v>45282</v>
      </c>
      <c r="D132" t="inlineStr">
        <is>
          <t>VÄSTERNORRLANDS LÄN</t>
        </is>
      </c>
      <c r="E132" t="inlineStr">
        <is>
          <t>SOLLEFTEÅ</t>
        </is>
      </c>
      <c r="G132" t="n">
        <v>2.1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HYPERLINK("https://klasma.github.io/Logging_2283/artfynd/A 2309-2021 artfynd.xlsx", "A 2309-2021")</f>
        <v/>
      </c>
      <c r="T132">
        <f>HYPERLINK("https://klasma.github.io/Logging_2283/kartor/A 2309-2021 karta.png", "A 2309-2021")</f>
        <v/>
      </c>
      <c r="V132">
        <f>HYPERLINK("https://klasma.github.io/Logging_2283/klagomål/A 2309-2021 FSC-klagomål.docx", "A 2309-2021")</f>
        <v/>
      </c>
      <c r="W132">
        <f>HYPERLINK("https://klasma.github.io/Logging_2283/klagomålsmail/A 2309-2021 FSC-klagomål mail.docx", "A 2309-2021")</f>
        <v/>
      </c>
      <c r="X132">
        <f>HYPERLINK("https://klasma.github.io/Logging_2283/tillsyn/A 2309-2021 tillsynsbegäran.docx", "A 2309-2021")</f>
        <v/>
      </c>
      <c r="Y132">
        <f>HYPERLINK("https://klasma.github.io/Logging_2283/tillsynsmail/A 2309-2021 tillsynsbegäran mail.docx", "A 2309-2021")</f>
        <v/>
      </c>
    </row>
    <row r="133" ht="15" customHeight="1">
      <c r="A133" t="inlineStr">
        <is>
          <t>A 20836-2021</t>
        </is>
      </c>
      <c r="B133" s="1" t="n">
        <v>44318</v>
      </c>
      <c r="C133" s="1" t="n">
        <v>45282</v>
      </c>
      <c r="D133" t="inlineStr">
        <is>
          <t>VÄSTERNORRLANDS LÄN</t>
        </is>
      </c>
      <c r="E133" t="inlineStr">
        <is>
          <t>SOLLEFTEÅ</t>
        </is>
      </c>
      <c r="F133" t="inlineStr">
        <is>
          <t>SCA</t>
        </is>
      </c>
      <c r="G133" t="n">
        <v>4.8</v>
      </c>
      <c r="H133" t="n">
        <v>1</v>
      </c>
      <c r="I133" t="n">
        <v>0</v>
      </c>
      <c r="J133" t="n">
        <v>2</v>
      </c>
      <c r="K133" t="n">
        <v>0</v>
      </c>
      <c r="L133" t="n">
        <v>0</v>
      </c>
      <c r="M133" t="n">
        <v>0</v>
      </c>
      <c r="N133" t="n">
        <v>0</v>
      </c>
      <c r="O133" t="n">
        <v>2</v>
      </c>
      <c r="P133" t="n">
        <v>0</v>
      </c>
      <c r="Q133" t="n">
        <v>2</v>
      </c>
      <c r="R133" s="2" t="inlineStr">
        <is>
          <t>Garnlav
Talltita</t>
        </is>
      </c>
      <c r="S133">
        <f>HYPERLINK("https://klasma.github.io/Logging_2283/artfynd/A 20836-2021 artfynd.xlsx", "A 20836-2021")</f>
        <v/>
      </c>
      <c r="T133">
        <f>HYPERLINK("https://klasma.github.io/Logging_2283/kartor/A 20836-2021 karta.png", "A 20836-2021")</f>
        <v/>
      </c>
      <c r="V133">
        <f>HYPERLINK("https://klasma.github.io/Logging_2283/klagomål/A 20836-2021 FSC-klagomål.docx", "A 20836-2021")</f>
        <v/>
      </c>
      <c r="W133">
        <f>HYPERLINK("https://klasma.github.io/Logging_2283/klagomålsmail/A 20836-2021 FSC-klagomål mail.docx", "A 20836-2021")</f>
        <v/>
      </c>
      <c r="X133">
        <f>HYPERLINK("https://klasma.github.io/Logging_2283/tillsyn/A 20836-2021 tillsynsbegäran.docx", "A 20836-2021")</f>
        <v/>
      </c>
      <c r="Y133">
        <f>HYPERLINK("https://klasma.github.io/Logging_2283/tillsynsmail/A 20836-2021 tillsynsbegäran mail.docx", "A 20836-2021")</f>
        <v/>
      </c>
    </row>
    <row r="134" ht="15" customHeight="1">
      <c r="A134" t="inlineStr">
        <is>
          <t>A 27983-2021</t>
        </is>
      </c>
      <c r="B134" s="1" t="n">
        <v>44354</v>
      </c>
      <c r="C134" s="1" t="n">
        <v>45282</v>
      </c>
      <c r="D134" t="inlineStr">
        <is>
          <t>VÄSTERNORRLANDS LÄN</t>
        </is>
      </c>
      <c r="E134" t="inlineStr">
        <is>
          <t>SOLLEFTEÅ</t>
        </is>
      </c>
      <c r="F134" t="inlineStr">
        <is>
          <t>SCA</t>
        </is>
      </c>
      <c r="G134" t="n">
        <v>5.4</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27983-2021 artfynd.xlsx", "A 27983-2021")</f>
        <v/>
      </c>
      <c r="T134">
        <f>HYPERLINK("https://klasma.github.io/Logging_2283/kartor/A 27983-2021 karta.png", "A 27983-2021")</f>
        <v/>
      </c>
      <c r="V134">
        <f>HYPERLINK("https://klasma.github.io/Logging_2283/klagomål/A 27983-2021 FSC-klagomål.docx", "A 27983-2021")</f>
        <v/>
      </c>
      <c r="W134">
        <f>HYPERLINK("https://klasma.github.io/Logging_2283/klagomålsmail/A 27983-2021 FSC-klagomål mail.docx", "A 27983-2021")</f>
        <v/>
      </c>
      <c r="X134">
        <f>HYPERLINK("https://klasma.github.io/Logging_2283/tillsyn/A 27983-2021 tillsynsbegäran.docx", "A 27983-2021")</f>
        <v/>
      </c>
      <c r="Y134">
        <f>HYPERLINK("https://klasma.github.io/Logging_2283/tillsynsmail/A 27983-2021 tillsynsbegäran mail.docx", "A 27983-2021")</f>
        <v/>
      </c>
    </row>
    <row r="135" ht="15" customHeight="1">
      <c r="A135" t="inlineStr">
        <is>
          <t>A 39329-2021</t>
        </is>
      </c>
      <c r="B135" s="1" t="n">
        <v>44414</v>
      </c>
      <c r="C135" s="1" t="n">
        <v>45282</v>
      </c>
      <c r="D135" t="inlineStr">
        <is>
          <t>VÄSTERNORRLANDS LÄN</t>
        </is>
      </c>
      <c r="E135" t="inlineStr">
        <is>
          <t>SOLLEFTEÅ</t>
        </is>
      </c>
      <c r="F135" t="inlineStr">
        <is>
          <t>SCA</t>
        </is>
      </c>
      <c r="G135" t="n">
        <v>2.7</v>
      </c>
      <c r="H135" t="n">
        <v>0</v>
      </c>
      <c r="I135" t="n">
        <v>1</v>
      </c>
      <c r="J135" t="n">
        <v>1</v>
      </c>
      <c r="K135" t="n">
        <v>0</v>
      </c>
      <c r="L135" t="n">
        <v>0</v>
      </c>
      <c r="M135" t="n">
        <v>0</v>
      </c>
      <c r="N135" t="n">
        <v>0</v>
      </c>
      <c r="O135" t="n">
        <v>1</v>
      </c>
      <c r="P135" t="n">
        <v>0</v>
      </c>
      <c r="Q135" t="n">
        <v>2</v>
      </c>
      <c r="R135" s="2" t="inlineStr">
        <is>
          <t>Mörk kolflarnlav
Bollvitmossa</t>
        </is>
      </c>
      <c r="S135">
        <f>HYPERLINK("https://klasma.github.io/Logging_2283/artfynd/A 39329-2021 artfynd.xlsx", "A 39329-2021")</f>
        <v/>
      </c>
      <c r="T135">
        <f>HYPERLINK("https://klasma.github.io/Logging_2283/kartor/A 39329-2021 karta.png", "A 39329-2021")</f>
        <v/>
      </c>
      <c r="V135">
        <f>HYPERLINK("https://klasma.github.io/Logging_2283/klagomål/A 39329-2021 FSC-klagomål.docx", "A 39329-2021")</f>
        <v/>
      </c>
      <c r="W135">
        <f>HYPERLINK("https://klasma.github.io/Logging_2283/klagomålsmail/A 39329-2021 FSC-klagomål mail.docx", "A 39329-2021")</f>
        <v/>
      </c>
      <c r="X135">
        <f>HYPERLINK("https://klasma.github.io/Logging_2283/tillsyn/A 39329-2021 tillsynsbegäran.docx", "A 39329-2021")</f>
        <v/>
      </c>
      <c r="Y135">
        <f>HYPERLINK("https://klasma.github.io/Logging_2283/tillsynsmail/A 39329-2021 tillsynsbegäran mail.docx", "A 39329-2021")</f>
        <v/>
      </c>
    </row>
    <row r="136" ht="15" customHeight="1">
      <c r="A136" t="inlineStr">
        <is>
          <t>A 47858-2021</t>
        </is>
      </c>
      <c r="B136" s="1" t="n">
        <v>44448</v>
      </c>
      <c r="C136" s="1" t="n">
        <v>45282</v>
      </c>
      <c r="D136" t="inlineStr">
        <is>
          <t>VÄSTERNORRLANDS LÄN</t>
        </is>
      </c>
      <c r="E136" t="inlineStr">
        <is>
          <t>SOLLEFTEÅ</t>
        </is>
      </c>
      <c r="G136" t="n">
        <v>7.7</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47858-2021 artfynd.xlsx", "A 47858-2021")</f>
        <v/>
      </c>
      <c r="T136">
        <f>HYPERLINK("https://klasma.github.io/Logging_2283/kartor/A 47858-2021 karta.png", "A 47858-2021")</f>
        <v/>
      </c>
      <c r="V136">
        <f>HYPERLINK("https://klasma.github.io/Logging_2283/klagomål/A 47858-2021 FSC-klagomål.docx", "A 47858-2021")</f>
        <v/>
      </c>
      <c r="W136">
        <f>HYPERLINK("https://klasma.github.io/Logging_2283/klagomålsmail/A 47858-2021 FSC-klagomål mail.docx", "A 47858-2021")</f>
        <v/>
      </c>
      <c r="X136">
        <f>HYPERLINK("https://klasma.github.io/Logging_2283/tillsyn/A 47858-2021 tillsynsbegäran.docx", "A 47858-2021")</f>
        <v/>
      </c>
      <c r="Y136">
        <f>HYPERLINK("https://klasma.github.io/Logging_2283/tillsynsmail/A 47858-2021 tillsynsbegäran mail.docx", "A 47858-2021")</f>
        <v/>
      </c>
    </row>
    <row r="137" ht="15" customHeight="1">
      <c r="A137" t="inlineStr">
        <is>
          <t>A 51024-2021</t>
        </is>
      </c>
      <c r="B137" s="1" t="n">
        <v>44461</v>
      </c>
      <c r="C137" s="1" t="n">
        <v>45282</v>
      </c>
      <c r="D137" t="inlineStr">
        <is>
          <t>VÄSTERNORRLANDS LÄN</t>
        </is>
      </c>
      <c r="E137" t="inlineStr">
        <is>
          <t>SOLLEFTEÅ</t>
        </is>
      </c>
      <c r="F137" t="inlineStr">
        <is>
          <t>SCA</t>
        </is>
      </c>
      <c r="G137" t="n">
        <v>7.1</v>
      </c>
      <c r="H137" t="n">
        <v>0</v>
      </c>
      <c r="I137" t="n">
        <v>0</v>
      </c>
      <c r="J137" t="n">
        <v>2</v>
      </c>
      <c r="K137" t="n">
        <v>0</v>
      </c>
      <c r="L137" t="n">
        <v>0</v>
      </c>
      <c r="M137" t="n">
        <v>0</v>
      </c>
      <c r="N137" t="n">
        <v>0</v>
      </c>
      <c r="O137" t="n">
        <v>2</v>
      </c>
      <c r="P137" t="n">
        <v>0</v>
      </c>
      <c r="Q137" t="n">
        <v>2</v>
      </c>
      <c r="R137" s="2" t="inlineStr">
        <is>
          <t>Tallticka
Ullticka</t>
        </is>
      </c>
      <c r="S137">
        <f>HYPERLINK("https://klasma.github.io/Logging_2283/artfynd/A 51024-2021 artfynd.xlsx", "A 51024-2021")</f>
        <v/>
      </c>
      <c r="T137">
        <f>HYPERLINK("https://klasma.github.io/Logging_2283/kartor/A 51024-2021 karta.png", "A 51024-2021")</f>
        <v/>
      </c>
      <c r="V137">
        <f>HYPERLINK("https://klasma.github.io/Logging_2283/klagomål/A 51024-2021 FSC-klagomål.docx", "A 51024-2021")</f>
        <v/>
      </c>
      <c r="W137">
        <f>HYPERLINK("https://klasma.github.io/Logging_2283/klagomålsmail/A 51024-2021 FSC-klagomål mail.docx", "A 51024-2021")</f>
        <v/>
      </c>
      <c r="X137">
        <f>HYPERLINK("https://klasma.github.io/Logging_2283/tillsyn/A 51024-2021 tillsynsbegäran.docx", "A 51024-2021")</f>
        <v/>
      </c>
      <c r="Y137">
        <f>HYPERLINK("https://klasma.github.io/Logging_2283/tillsynsmail/A 51024-2021 tillsynsbegäran mail.docx", "A 51024-2021")</f>
        <v/>
      </c>
    </row>
    <row r="138" ht="15" customHeight="1">
      <c r="A138" t="inlineStr">
        <is>
          <t>A 54153-2021</t>
        </is>
      </c>
      <c r="B138" s="1" t="n">
        <v>44469</v>
      </c>
      <c r="C138" s="1" t="n">
        <v>45282</v>
      </c>
      <c r="D138" t="inlineStr">
        <is>
          <t>VÄSTERNORRLANDS LÄN</t>
        </is>
      </c>
      <c r="E138" t="inlineStr">
        <is>
          <t>SOLLEFTEÅ</t>
        </is>
      </c>
      <c r="G138" t="n">
        <v>1.4</v>
      </c>
      <c r="H138" t="n">
        <v>0</v>
      </c>
      <c r="I138" t="n">
        <v>0</v>
      </c>
      <c r="J138" t="n">
        <v>2</v>
      </c>
      <c r="K138" t="n">
        <v>0</v>
      </c>
      <c r="L138" t="n">
        <v>0</v>
      </c>
      <c r="M138" t="n">
        <v>0</v>
      </c>
      <c r="N138" t="n">
        <v>0</v>
      </c>
      <c r="O138" t="n">
        <v>2</v>
      </c>
      <c r="P138" t="n">
        <v>0</v>
      </c>
      <c r="Q138" t="n">
        <v>2</v>
      </c>
      <c r="R138" s="2" t="inlineStr">
        <is>
          <t>Garnlav
Rosenticka</t>
        </is>
      </c>
      <c r="S138">
        <f>HYPERLINK("https://klasma.github.io/Logging_2283/artfynd/A 54153-2021 artfynd.xlsx", "A 54153-2021")</f>
        <v/>
      </c>
      <c r="T138">
        <f>HYPERLINK("https://klasma.github.io/Logging_2283/kartor/A 54153-2021 karta.png", "A 54153-2021")</f>
        <v/>
      </c>
      <c r="V138">
        <f>HYPERLINK("https://klasma.github.io/Logging_2283/klagomål/A 54153-2021 FSC-klagomål.docx", "A 54153-2021")</f>
        <v/>
      </c>
      <c r="W138">
        <f>HYPERLINK("https://klasma.github.io/Logging_2283/klagomålsmail/A 54153-2021 FSC-klagomål mail.docx", "A 54153-2021")</f>
        <v/>
      </c>
      <c r="X138">
        <f>HYPERLINK("https://klasma.github.io/Logging_2283/tillsyn/A 54153-2021 tillsynsbegäran.docx", "A 54153-2021")</f>
        <v/>
      </c>
      <c r="Y138">
        <f>HYPERLINK("https://klasma.github.io/Logging_2283/tillsynsmail/A 54153-2021 tillsynsbegäran mail.docx", "A 54153-2021")</f>
        <v/>
      </c>
    </row>
    <row r="139" ht="15" customHeight="1">
      <c r="A139" t="inlineStr">
        <is>
          <t>A 9583-2022</t>
        </is>
      </c>
      <c r="B139" s="1" t="n">
        <v>44617</v>
      </c>
      <c r="C139" s="1" t="n">
        <v>45282</v>
      </c>
      <c r="D139" t="inlineStr">
        <is>
          <t>VÄSTERNORRLANDS LÄN</t>
        </is>
      </c>
      <c r="E139" t="inlineStr">
        <is>
          <t>SOLLEFTEÅ</t>
        </is>
      </c>
      <c r="F139" t="inlineStr">
        <is>
          <t>Övriga Aktiebolag</t>
        </is>
      </c>
      <c r="G139" t="n">
        <v>2.3</v>
      </c>
      <c r="H139" t="n">
        <v>0</v>
      </c>
      <c r="I139" t="n">
        <v>0</v>
      </c>
      <c r="J139" t="n">
        <v>2</v>
      </c>
      <c r="K139" t="n">
        <v>0</v>
      </c>
      <c r="L139" t="n">
        <v>0</v>
      </c>
      <c r="M139" t="n">
        <v>0</v>
      </c>
      <c r="N139" t="n">
        <v>0</v>
      </c>
      <c r="O139" t="n">
        <v>2</v>
      </c>
      <c r="P139" t="n">
        <v>0</v>
      </c>
      <c r="Q139" t="n">
        <v>2</v>
      </c>
      <c r="R139" s="2" t="inlineStr">
        <is>
          <t>Garnlav
Lunglav</t>
        </is>
      </c>
      <c r="S139">
        <f>HYPERLINK("https://klasma.github.io/Logging_2283/artfynd/A 9583-2022 artfynd.xlsx", "A 9583-2022")</f>
        <v/>
      </c>
      <c r="T139">
        <f>HYPERLINK("https://klasma.github.io/Logging_2283/kartor/A 9583-2022 karta.png", "A 9583-2022")</f>
        <v/>
      </c>
      <c r="V139">
        <f>HYPERLINK("https://klasma.github.io/Logging_2283/klagomål/A 9583-2022 FSC-klagomål.docx", "A 9583-2022")</f>
        <v/>
      </c>
      <c r="W139">
        <f>HYPERLINK("https://klasma.github.io/Logging_2283/klagomålsmail/A 9583-2022 FSC-klagomål mail.docx", "A 9583-2022")</f>
        <v/>
      </c>
      <c r="X139">
        <f>HYPERLINK("https://klasma.github.io/Logging_2283/tillsyn/A 9583-2022 tillsynsbegäran.docx", "A 9583-2022")</f>
        <v/>
      </c>
      <c r="Y139">
        <f>HYPERLINK("https://klasma.github.io/Logging_2283/tillsynsmail/A 9583-2022 tillsynsbegäran mail.docx", "A 9583-2022")</f>
        <v/>
      </c>
    </row>
    <row r="140" ht="15" customHeight="1">
      <c r="A140" t="inlineStr">
        <is>
          <t>A 13059-2022</t>
        </is>
      </c>
      <c r="B140" s="1" t="n">
        <v>44643</v>
      </c>
      <c r="C140" s="1" t="n">
        <v>45282</v>
      </c>
      <c r="D140" t="inlineStr">
        <is>
          <t>VÄSTERNORRLANDS LÄN</t>
        </is>
      </c>
      <c r="E140" t="inlineStr">
        <is>
          <t>SOLLEFTEÅ</t>
        </is>
      </c>
      <c r="G140" t="n">
        <v>9.9</v>
      </c>
      <c r="H140" t="n">
        <v>0</v>
      </c>
      <c r="I140" t="n">
        <v>0</v>
      </c>
      <c r="J140" t="n">
        <v>2</v>
      </c>
      <c r="K140" t="n">
        <v>0</v>
      </c>
      <c r="L140" t="n">
        <v>0</v>
      </c>
      <c r="M140" t="n">
        <v>0</v>
      </c>
      <c r="N140" t="n">
        <v>0</v>
      </c>
      <c r="O140" t="n">
        <v>2</v>
      </c>
      <c r="P140" t="n">
        <v>0</v>
      </c>
      <c r="Q140" t="n">
        <v>2</v>
      </c>
      <c r="R140" s="2" t="inlineStr">
        <is>
          <t>Garnlav
Ullticka</t>
        </is>
      </c>
      <c r="S140">
        <f>HYPERLINK("https://klasma.github.io/Logging_2283/artfynd/A 13059-2022 artfynd.xlsx", "A 13059-2022")</f>
        <v/>
      </c>
      <c r="T140">
        <f>HYPERLINK("https://klasma.github.io/Logging_2283/kartor/A 13059-2022 karta.png", "A 13059-2022")</f>
        <v/>
      </c>
      <c r="V140">
        <f>HYPERLINK("https://klasma.github.io/Logging_2283/klagomål/A 13059-2022 FSC-klagomål.docx", "A 13059-2022")</f>
        <v/>
      </c>
      <c r="W140">
        <f>HYPERLINK("https://klasma.github.io/Logging_2283/klagomålsmail/A 13059-2022 FSC-klagomål mail.docx", "A 13059-2022")</f>
        <v/>
      </c>
      <c r="X140">
        <f>HYPERLINK("https://klasma.github.io/Logging_2283/tillsyn/A 13059-2022 tillsynsbegäran.docx", "A 13059-2022")</f>
        <v/>
      </c>
      <c r="Y140">
        <f>HYPERLINK("https://klasma.github.io/Logging_2283/tillsynsmail/A 13059-2022 tillsynsbegäran mail.docx", "A 13059-2022")</f>
        <v/>
      </c>
    </row>
    <row r="141" ht="15" customHeight="1">
      <c r="A141" t="inlineStr">
        <is>
          <t>A 20956-2022</t>
        </is>
      </c>
      <c r="B141" s="1" t="n">
        <v>44701</v>
      </c>
      <c r="C141" s="1" t="n">
        <v>45282</v>
      </c>
      <c r="D141" t="inlineStr">
        <is>
          <t>VÄSTERNORRLANDS LÄN</t>
        </is>
      </c>
      <c r="E141" t="inlineStr">
        <is>
          <t>SOLLEFTEÅ</t>
        </is>
      </c>
      <c r="F141" t="inlineStr">
        <is>
          <t>SCA</t>
        </is>
      </c>
      <c r="G141" t="n">
        <v>2.5</v>
      </c>
      <c r="H141" t="n">
        <v>0</v>
      </c>
      <c r="I141" t="n">
        <v>0</v>
      </c>
      <c r="J141" t="n">
        <v>2</v>
      </c>
      <c r="K141" t="n">
        <v>0</v>
      </c>
      <c r="L141" t="n">
        <v>0</v>
      </c>
      <c r="M141" t="n">
        <v>0</v>
      </c>
      <c r="N141" t="n">
        <v>0</v>
      </c>
      <c r="O141" t="n">
        <v>2</v>
      </c>
      <c r="P141" t="n">
        <v>0</v>
      </c>
      <c r="Q141" t="n">
        <v>2</v>
      </c>
      <c r="R141" s="2" t="inlineStr">
        <is>
          <t>Kandelabersvamp
Stiftgelélav</t>
        </is>
      </c>
      <c r="S141">
        <f>HYPERLINK("https://klasma.github.io/Logging_2283/artfynd/A 20956-2022 artfynd.xlsx", "A 20956-2022")</f>
        <v/>
      </c>
      <c r="T141">
        <f>HYPERLINK("https://klasma.github.io/Logging_2283/kartor/A 20956-2022 karta.png", "A 20956-2022")</f>
        <v/>
      </c>
      <c r="V141">
        <f>HYPERLINK("https://klasma.github.io/Logging_2283/klagomål/A 20956-2022 FSC-klagomål.docx", "A 20956-2022")</f>
        <v/>
      </c>
      <c r="W141">
        <f>HYPERLINK("https://klasma.github.io/Logging_2283/klagomålsmail/A 20956-2022 FSC-klagomål mail.docx", "A 20956-2022")</f>
        <v/>
      </c>
      <c r="X141">
        <f>HYPERLINK("https://klasma.github.io/Logging_2283/tillsyn/A 20956-2022 tillsynsbegäran.docx", "A 20956-2022")</f>
        <v/>
      </c>
      <c r="Y141">
        <f>HYPERLINK("https://klasma.github.io/Logging_2283/tillsynsmail/A 20956-2022 tillsynsbegäran mail.docx", "A 20956-2022")</f>
        <v/>
      </c>
    </row>
    <row r="142" ht="15" customHeight="1">
      <c r="A142" t="inlineStr">
        <is>
          <t>A 24321-2022</t>
        </is>
      </c>
      <c r="B142" s="1" t="n">
        <v>44725</v>
      </c>
      <c r="C142" s="1" t="n">
        <v>45282</v>
      </c>
      <c r="D142" t="inlineStr">
        <is>
          <t>VÄSTERNORRLANDS LÄN</t>
        </is>
      </c>
      <c r="E142" t="inlineStr">
        <is>
          <t>SOLLEFTEÅ</t>
        </is>
      </c>
      <c r="F142" t="inlineStr">
        <is>
          <t>SCA</t>
        </is>
      </c>
      <c r="G142" t="n">
        <v>1.1</v>
      </c>
      <c r="H142" t="n">
        <v>1</v>
      </c>
      <c r="I142" t="n">
        <v>0</v>
      </c>
      <c r="J142" t="n">
        <v>1</v>
      </c>
      <c r="K142" t="n">
        <v>1</v>
      </c>
      <c r="L142" t="n">
        <v>0</v>
      </c>
      <c r="M142" t="n">
        <v>0</v>
      </c>
      <c r="N142" t="n">
        <v>0</v>
      </c>
      <c r="O142" t="n">
        <v>2</v>
      </c>
      <c r="P142" t="n">
        <v>1</v>
      </c>
      <c r="Q142" t="n">
        <v>2</v>
      </c>
      <c r="R142" s="2" t="inlineStr">
        <is>
          <t>Knärot
Garnlav</t>
        </is>
      </c>
      <c r="S142">
        <f>HYPERLINK("https://klasma.github.io/Logging_2283/artfynd/A 24321-2022 artfynd.xlsx", "A 24321-2022")</f>
        <v/>
      </c>
      <c r="T142">
        <f>HYPERLINK("https://klasma.github.io/Logging_2283/kartor/A 24321-2022 karta.png", "A 24321-2022")</f>
        <v/>
      </c>
      <c r="U142">
        <f>HYPERLINK("https://klasma.github.io/Logging_2283/knärot/A 24321-2022 karta knärot.png", "A 24321-2022")</f>
        <v/>
      </c>
      <c r="V142">
        <f>HYPERLINK("https://klasma.github.io/Logging_2283/klagomål/A 24321-2022 FSC-klagomål.docx", "A 24321-2022")</f>
        <v/>
      </c>
      <c r="W142">
        <f>HYPERLINK("https://klasma.github.io/Logging_2283/klagomålsmail/A 24321-2022 FSC-klagomål mail.docx", "A 24321-2022")</f>
        <v/>
      </c>
      <c r="X142">
        <f>HYPERLINK("https://klasma.github.io/Logging_2283/tillsyn/A 24321-2022 tillsynsbegäran.docx", "A 24321-2022")</f>
        <v/>
      </c>
      <c r="Y142">
        <f>HYPERLINK("https://klasma.github.io/Logging_2283/tillsynsmail/A 24321-2022 tillsynsbegäran mail.docx", "A 24321-2022")</f>
        <v/>
      </c>
    </row>
    <row r="143" ht="15" customHeight="1">
      <c r="A143" t="inlineStr">
        <is>
          <t>A 29549-2022</t>
        </is>
      </c>
      <c r="B143" s="1" t="n">
        <v>44753</v>
      </c>
      <c r="C143" s="1" t="n">
        <v>45282</v>
      </c>
      <c r="D143" t="inlineStr">
        <is>
          <t>VÄSTERNORRLANDS LÄN</t>
        </is>
      </c>
      <c r="E143" t="inlineStr">
        <is>
          <t>SOLLEFTEÅ</t>
        </is>
      </c>
      <c r="F143" t="inlineStr">
        <is>
          <t>SCA</t>
        </is>
      </c>
      <c r="G143" t="n">
        <v>36.7</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HYPERLINK("https://klasma.github.io/Logging_2283/artfynd/A 29549-2022 artfynd.xlsx", "A 29549-2022")</f>
        <v/>
      </c>
      <c r="T143">
        <f>HYPERLINK("https://klasma.github.io/Logging_2283/kartor/A 29549-2022 karta.png", "A 29549-2022")</f>
        <v/>
      </c>
      <c r="V143">
        <f>HYPERLINK("https://klasma.github.io/Logging_2283/klagomål/A 29549-2022 FSC-klagomål.docx", "A 29549-2022")</f>
        <v/>
      </c>
      <c r="W143">
        <f>HYPERLINK("https://klasma.github.io/Logging_2283/klagomålsmail/A 29549-2022 FSC-klagomål mail.docx", "A 29549-2022")</f>
        <v/>
      </c>
      <c r="X143">
        <f>HYPERLINK("https://klasma.github.io/Logging_2283/tillsyn/A 29549-2022 tillsynsbegäran.docx", "A 29549-2022")</f>
        <v/>
      </c>
      <c r="Y143">
        <f>HYPERLINK("https://klasma.github.io/Logging_2283/tillsynsmail/A 29549-2022 tillsynsbegäran mail.docx", "A 29549-2022")</f>
        <v/>
      </c>
    </row>
    <row r="144" ht="15" customHeight="1">
      <c r="A144" t="inlineStr">
        <is>
          <t>A 30235-2022</t>
        </is>
      </c>
      <c r="B144" s="1" t="n">
        <v>44757</v>
      </c>
      <c r="C144" s="1" t="n">
        <v>45282</v>
      </c>
      <c r="D144" t="inlineStr">
        <is>
          <t>VÄSTERNORRLANDS LÄN</t>
        </is>
      </c>
      <c r="E144" t="inlineStr">
        <is>
          <t>SOLLEFTEÅ</t>
        </is>
      </c>
      <c r="F144" t="inlineStr">
        <is>
          <t>SCA</t>
        </is>
      </c>
      <c r="G144" t="n">
        <v>4.7</v>
      </c>
      <c r="H144" t="n">
        <v>2</v>
      </c>
      <c r="I144" t="n">
        <v>0</v>
      </c>
      <c r="J144" t="n">
        <v>0</v>
      </c>
      <c r="K144" t="n">
        <v>2</v>
      </c>
      <c r="L144" t="n">
        <v>0</v>
      </c>
      <c r="M144" t="n">
        <v>0</v>
      </c>
      <c r="N144" t="n">
        <v>0</v>
      </c>
      <c r="O144" t="n">
        <v>2</v>
      </c>
      <c r="P144" t="n">
        <v>2</v>
      </c>
      <c r="Q144" t="n">
        <v>2</v>
      </c>
      <c r="R144" s="2" t="inlineStr">
        <is>
          <t>Doftticka
Knärot</t>
        </is>
      </c>
      <c r="S144">
        <f>HYPERLINK("https://klasma.github.io/Logging_2283/artfynd/A 30235-2022 artfynd.xlsx", "A 30235-2022")</f>
        <v/>
      </c>
      <c r="T144">
        <f>HYPERLINK("https://klasma.github.io/Logging_2283/kartor/A 30235-2022 karta.png", "A 30235-2022")</f>
        <v/>
      </c>
      <c r="U144">
        <f>HYPERLINK("https://klasma.github.io/Logging_2283/knärot/A 30235-2022 karta knärot.png", "A 30235-2022")</f>
        <v/>
      </c>
      <c r="V144">
        <f>HYPERLINK("https://klasma.github.io/Logging_2283/klagomål/A 30235-2022 FSC-klagomål.docx", "A 30235-2022")</f>
        <v/>
      </c>
      <c r="W144">
        <f>HYPERLINK("https://klasma.github.io/Logging_2283/klagomålsmail/A 30235-2022 FSC-klagomål mail.docx", "A 30235-2022")</f>
        <v/>
      </c>
      <c r="X144">
        <f>HYPERLINK("https://klasma.github.io/Logging_2283/tillsyn/A 30235-2022 tillsynsbegäran.docx", "A 30235-2022")</f>
        <v/>
      </c>
      <c r="Y144">
        <f>HYPERLINK("https://klasma.github.io/Logging_2283/tillsynsmail/A 30235-2022 tillsynsbegäran mail.docx", "A 30235-2022")</f>
        <v/>
      </c>
    </row>
    <row r="145" ht="15" customHeight="1">
      <c r="A145" t="inlineStr">
        <is>
          <t>A 33087-2022</t>
        </is>
      </c>
      <c r="B145" s="1" t="n">
        <v>44785</v>
      </c>
      <c r="C145" s="1" t="n">
        <v>45282</v>
      </c>
      <c r="D145" t="inlineStr">
        <is>
          <t>VÄSTERNORRLANDS LÄN</t>
        </is>
      </c>
      <c r="E145" t="inlineStr">
        <is>
          <t>SOLLEFTEÅ</t>
        </is>
      </c>
      <c r="G145" t="n">
        <v>0.5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33087-2022 artfynd.xlsx", "A 33087-2022")</f>
        <v/>
      </c>
      <c r="T145">
        <f>HYPERLINK("https://klasma.github.io/Logging_2283/kartor/A 33087-2022 karta.png", "A 33087-2022")</f>
        <v/>
      </c>
      <c r="V145">
        <f>HYPERLINK("https://klasma.github.io/Logging_2283/klagomål/A 33087-2022 FSC-klagomål.docx", "A 33087-2022")</f>
        <v/>
      </c>
      <c r="W145">
        <f>HYPERLINK("https://klasma.github.io/Logging_2283/klagomålsmail/A 33087-2022 FSC-klagomål mail.docx", "A 33087-2022")</f>
        <v/>
      </c>
      <c r="X145">
        <f>HYPERLINK("https://klasma.github.io/Logging_2283/tillsyn/A 33087-2022 tillsynsbegäran.docx", "A 33087-2022")</f>
        <v/>
      </c>
      <c r="Y145">
        <f>HYPERLINK("https://klasma.github.io/Logging_2283/tillsynsmail/A 33087-2022 tillsynsbegäran mail.docx", "A 33087-2022")</f>
        <v/>
      </c>
    </row>
    <row r="146" ht="15" customHeight="1">
      <c r="A146" t="inlineStr">
        <is>
          <t>A 34526-2022</t>
        </is>
      </c>
      <c r="B146" s="1" t="n">
        <v>44792</v>
      </c>
      <c r="C146" s="1" t="n">
        <v>45282</v>
      </c>
      <c r="D146" t="inlineStr">
        <is>
          <t>VÄSTERNORRLANDS LÄN</t>
        </is>
      </c>
      <c r="E146" t="inlineStr">
        <is>
          <t>SOLLEFTEÅ</t>
        </is>
      </c>
      <c r="F146" t="inlineStr">
        <is>
          <t>SCA</t>
        </is>
      </c>
      <c r="G146" t="n">
        <v>1.4</v>
      </c>
      <c r="H146" t="n">
        <v>0</v>
      </c>
      <c r="I146" t="n">
        <v>0</v>
      </c>
      <c r="J146" t="n">
        <v>2</v>
      </c>
      <c r="K146" t="n">
        <v>0</v>
      </c>
      <c r="L146" t="n">
        <v>0</v>
      </c>
      <c r="M146" t="n">
        <v>0</v>
      </c>
      <c r="N146" t="n">
        <v>0</v>
      </c>
      <c r="O146" t="n">
        <v>2</v>
      </c>
      <c r="P146" t="n">
        <v>0</v>
      </c>
      <c r="Q146" t="n">
        <v>2</v>
      </c>
      <c r="R146" s="2" t="inlineStr">
        <is>
          <t>Garnlav
Mörk kolflarnlav</t>
        </is>
      </c>
      <c r="S146">
        <f>HYPERLINK("https://klasma.github.io/Logging_2283/artfynd/A 34526-2022 artfynd.xlsx", "A 34526-2022")</f>
        <v/>
      </c>
      <c r="T146">
        <f>HYPERLINK("https://klasma.github.io/Logging_2283/kartor/A 34526-2022 karta.png", "A 34526-2022")</f>
        <v/>
      </c>
      <c r="V146">
        <f>HYPERLINK("https://klasma.github.io/Logging_2283/klagomål/A 34526-2022 FSC-klagomål.docx", "A 34526-2022")</f>
        <v/>
      </c>
      <c r="W146">
        <f>HYPERLINK("https://klasma.github.io/Logging_2283/klagomålsmail/A 34526-2022 FSC-klagomål mail.docx", "A 34526-2022")</f>
        <v/>
      </c>
      <c r="X146">
        <f>HYPERLINK("https://klasma.github.io/Logging_2283/tillsyn/A 34526-2022 tillsynsbegäran.docx", "A 34526-2022")</f>
        <v/>
      </c>
      <c r="Y146">
        <f>HYPERLINK("https://klasma.github.io/Logging_2283/tillsynsmail/A 34526-2022 tillsynsbegäran mail.docx", "A 34526-2022")</f>
        <v/>
      </c>
    </row>
    <row r="147" ht="15" customHeight="1">
      <c r="A147" t="inlineStr">
        <is>
          <t>A 37243-2022</t>
        </is>
      </c>
      <c r="B147" s="1" t="n">
        <v>44806</v>
      </c>
      <c r="C147" s="1" t="n">
        <v>45282</v>
      </c>
      <c r="D147" t="inlineStr">
        <is>
          <t>VÄSTERNORRLANDS LÄN</t>
        </is>
      </c>
      <c r="E147" t="inlineStr">
        <is>
          <t>SOLLEFTEÅ</t>
        </is>
      </c>
      <c r="F147" t="inlineStr">
        <is>
          <t>SCA</t>
        </is>
      </c>
      <c r="G147" t="n">
        <v>7.1</v>
      </c>
      <c r="H147" t="n">
        <v>0</v>
      </c>
      <c r="I147" t="n">
        <v>1</v>
      </c>
      <c r="J147" t="n">
        <v>1</v>
      </c>
      <c r="K147" t="n">
        <v>0</v>
      </c>
      <c r="L147" t="n">
        <v>0</v>
      </c>
      <c r="M147" t="n">
        <v>0</v>
      </c>
      <c r="N147" t="n">
        <v>0</v>
      </c>
      <c r="O147" t="n">
        <v>1</v>
      </c>
      <c r="P147" t="n">
        <v>0</v>
      </c>
      <c r="Q147" t="n">
        <v>2</v>
      </c>
      <c r="R147" s="2" t="inlineStr">
        <is>
          <t>Violettgrå tagellav
Dropptaggsvamp</t>
        </is>
      </c>
      <c r="S147">
        <f>HYPERLINK("https://klasma.github.io/Logging_2283/artfynd/A 37243-2022 artfynd.xlsx", "A 37243-2022")</f>
        <v/>
      </c>
      <c r="T147">
        <f>HYPERLINK("https://klasma.github.io/Logging_2283/kartor/A 37243-2022 karta.png", "A 37243-2022")</f>
        <v/>
      </c>
      <c r="V147">
        <f>HYPERLINK("https://klasma.github.io/Logging_2283/klagomål/A 37243-2022 FSC-klagomål.docx", "A 37243-2022")</f>
        <v/>
      </c>
      <c r="W147">
        <f>HYPERLINK("https://klasma.github.io/Logging_2283/klagomålsmail/A 37243-2022 FSC-klagomål mail.docx", "A 37243-2022")</f>
        <v/>
      </c>
      <c r="X147">
        <f>HYPERLINK("https://klasma.github.io/Logging_2283/tillsyn/A 37243-2022 tillsynsbegäran.docx", "A 37243-2022")</f>
        <v/>
      </c>
      <c r="Y147">
        <f>HYPERLINK("https://klasma.github.io/Logging_2283/tillsynsmail/A 37243-2022 tillsynsbegäran mail.docx", "A 37243-2022")</f>
        <v/>
      </c>
    </row>
    <row r="148" ht="15" customHeight="1">
      <c r="A148" t="inlineStr">
        <is>
          <t>A 45083-2022</t>
        </is>
      </c>
      <c r="B148" s="1" t="n">
        <v>44841</v>
      </c>
      <c r="C148" s="1" t="n">
        <v>45282</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45083-2022 artfynd.xlsx", "A 45083-2022")</f>
        <v/>
      </c>
      <c r="T148">
        <f>HYPERLINK("https://klasma.github.io/Logging_2283/kartor/A 45083-2022 karta.png", "A 45083-2022")</f>
        <v/>
      </c>
      <c r="V148">
        <f>HYPERLINK("https://klasma.github.io/Logging_2283/klagomål/A 45083-2022 FSC-klagomål.docx", "A 45083-2022")</f>
        <v/>
      </c>
      <c r="W148">
        <f>HYPERLINK("https://klasma.github.io/Logging_2283/klagomålsmail/A 45083-2022 FSC-klagomål mail.docx", "A 45083-2022")</f>
        <v/>
      </c>
      <c r="X148">
        <f>HYPERLINK("https://klasma.github.io/Logging_2283/tillsyn/A 45083-2022 tillsynsbegäran.docx", "A 45083-2022")</f>
        <v/>
      </c>
      <c r="Y148">
        <f>HYPERLINK("https://klasma.github.io/Logging_2283/tillsynsmail/A 45083-2022 tillsynsbegäran mail.docx", "A 45083-2022")</f>
        <v/>
      </c>
    </row>
    <row r="149" ht="15" customHeight="1">
      <c r="A149" t="inlineStr">
        <is>
          <t>A 45084-2022</t>
        </is>
      </c>
      <c r="B149" s="1" t="n">
        <v>44841</v>
      </c>
      <c r="C149" s="1" t="n">
        <v>45282</v>
      </c>
      <c r="D149" t="inlineStr">
        <is>
          <t>VÄSTERNORRLANDS LÄN</t>
        </is>
      </c>
      <c r="E149" t="inlineStr">
        <is>
          <t>SOLLEFTEÅ</t>
        </is>
      </c>
      <c r="F149" t="inlineStr">
        <is>
          <t>SCA</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HYPERLINK("https://klasma.github.io/Logging_2283/artfynd/A 45084-2022 artfynd.xlsx", "A 45084-2022")</f>
        <v/>
      </c>
      <c r="T149">
        <f>HYPERLINK("https://klasma.github.io/Logging_2283/kartor/A 45084-2022 karta.png", "A 45084-2022")</f>
        <v/>
      </c>
      <c r="V149">
        <f>HYPERLINK("https://klasma.github.io/Logging_2283/klagomål/A 45084-2022 FSC-klagomål.docx", "A 45084-2022")</f>
        <v/>
      </c>
      <c r="W149">
        <f>HYPERLINK("https://klasma.github.io/Logging_2283/klagomålsmail/A 45084-2022 FSC-klagomål mail.docx", "A 45084-2022")</f>
        <v/>
      </c>
      <c r="X149">
        <f>HYPERLINK("https://klasma.github.io/Logging_2283/tillsyn/A 45084-2022 tillsynsbegäran.docx", "A 45084-2022")</f>
        <v/>
      </c>
      <c r="Y149">
        <f>HYPERLINK("https://klasma.github.io/Logging_2283/tillsynsmail/A 45084-2022 tillsynsbegäran mail.docx", "A 45084-2022")</f>
        <v/>
      </c>
    </row>
    <row r="150" ht="15" customHeight="1">
      <c r="A150" t="inlineStr">
        <is>
          <t>A 48073-2022</t>
        </is>
      </c>
      <c r="B150" s="1" t="n">
        <v>44855</v>
      </c>
      <c r="C150" s="1" t="n">
        <v>45282</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48073-2022 artfynd.xlsx", "A 48073-2022")</f>
        <v/>
      </c>
      <c r="T150">
        <f>HYPERLINK("https://klasma.github.io/Logging_2283/kartor/A 48073-2022 karta.png", "A 48073-2022")</f>
        <v/>
      </c>
      <c r="V150">
        <f>HYPERLINK("https://klasma.github.io/Logging_2283/klagomål/A 48073-2022 FSC-klagomål.docx", "A 48073-2022")</f>
        <v/>
      </c>
      <c r="W150">
        <f>HYPERLINK("https://klasma.github.io/Logging_2283/klagomålsmail/A 48073-2022 FSC-klagomål mail.docx", "A 48073-2022")</f>
        <v/>
      </c>
      <c r="X150">
        <f>HYPERLINK("https://klasma.github.io/Logging_2283/tillsyn/A 48073-2022 tillsynsbegäran.docx", "A 48073-2022")</f>
        <v/>
      </c>
      <c r="Y150">
        <f>HYPERLINK("https://klasma.github.io/Logging_2283/tillsynsmail/A 48073-2022 tillsynsbegäran mail.docx", "A 48073-2022")</f>
        <v/>
      </c>
    </row>
    <row r="151" ht="15" customHeight="1">
      <c r="A151" t="inlineStr">
        <is>
          <t>A 53130-2022</t>
        </is>
      </c>
      <c r="B151" s="1" t="n">
        <v>44873</v>
      </c>
      <c r="C151" s="1" t="n">
        <v>45282</v>
      </c>
      <c r="D151" t="inlineStr">
        <is>
          <t>VÄSTERNORRLANDS LÄN</t>
        </is>
      </c>
      <c r="E151" t="inlineStr">
        <is>
          <t>SOLLEFTEÅ</t>
        </is>
      </c>
      <c r="G151" t="n">
        <v>19.8</v>
      </c>
      <c r="H151" t="n">
        <v>2</v>
      </c>
      <c r="I151" t="n">
        <v>0</v>
      </c>
      <c r="J151" t="n">
        <v>1</v>
      </c>
      <c r="K151" t="n">
        <v>0</v>
      </c>
      <c r="L151" t="n">
        <v>0</v>
      </c>
      <c r="M151" t="n">
        <v>0</v>
      </c>
      <c r="N151" t="n">
        <v>0</v>
      </c>
      <c r="O151" t="n">
        <v>1</v>
      </c>
      <c r="P151" t="n">
        <v>0</v>
      </c>
      <c r="Q151" t="n">
        <v>2</v>
      </c>
      <c r="R151" s="2" t="inlineStr">
        <is>
          <t>Myrbräcka
Fläcknycklar</t>
        </is>
      </c>
      <c r="S151">
        <f>HYPERLINK("https://klasma.github.io/Logging_2283/artfynd/A 53130-2022 artfynd.xlsx", "A 53130-2022")</f>
        <v/>
      </c>
      <c r="T151">
        <f>HYPERLINK("https://klasma.github.io/Logging_2283/kartor/A 53130-2022 karta.png", "A 53130-2022")</f>
        <v/>
      </c>
      <c r="V151">
        <f>HYPERLINK("https://klasma.github.io/Logging_2283/klagomål/A 53130-2022 FSC-klagomål.docx", "A 53130-2022")</f>
        <v/>
      </c>
      <c r="W151">
        <f>HYPERLINK("https://klasma.github.io/Logging_2283/klagomålsmail/A 53130-2022 FSC-klagomål mail.docx", "A 53130-2022")</f>
        <v/>
      </c>
      <c r="X151">
        <f>HYPERLINK("https://klasma.github.io/Logging_2283/tillsyn/A 53130-2022 tillsynsbegäran.docx", "A 53130-2022")</f>
        <v/>
      </c>
      <c r="Y151">
        <f>HYPERLINK("https://klasma.github.io/Logging_2283/tillsynsmail/A 53130-2022 tillsynsbegäran mail.docx", "A 53130-2022")</f>
        <v/>
      </c>
    </row>
    <row r="152" ht="15" customHeight="1">
      <c r="A152" t="inlineStr">
        <is>
          <t>A 55727-2022</t>
        </is>
      </c>
      <c r="B152" s="1" t="n">
        <v>44883</v>
      </c>
      <c r="C152" s="1" t="n">
        <v>45282</v>
      </c>
      <c r="D152" t="inlineStr">
        <is>
          <t>VÄSTERNORRLANDS LÄN</t>
        </is>
      </c>
      <c r="E152" t="inlineStr">
        <is>
          <t>SOLLEFTEÅ</t>
        </is>
      </c>
      <c r="G152" t="n">
        <v>16.7</v>
      </c>
      <c r="H152" t="n">
        <v>1</v>
      </c>
      <c r="I152" t="n">
        <v>0</v>
      </c>
      <c r="J152" t="n">
        <v>2</v>
      </c>
      <c r="K152" t="n">
        <v>0</v>
      </c>
      <c r="L152" t="n">
        <v>0</v>
      </c>
      <c r="M152" t="n">
        <v>0</v>
      </c>
      <c r="N152" t="n">
        <v>0</v>
      </c>
      <c r="O152" t="n">
        <v>2</v>
      </c>
      <c r="P152" t="n">
        <v>0</v>
      </c>
      <c r="Q152" t="n">
        <v>2</v>
      </c>
      <c r="R152" s="2" t="inlineStr">
        <is>
          <t>Rosenticka
Tretåig hackspett</t>
        </is>
      </c>
      <c r="S152">
        <f>HYPERLINK("https://klasma.github.io/Logging_2283/artfynd/A 55727-2022 artfynd.xlsx", "A 55727-2022")</f>
        <v/>
      </c>
      <c r="T152">
        <f>HYPERLINK("https://klasma.github.io/Logging_2283/kartor/A 55727-2022 karta.png", "A 55727-2022")</f>
        <v/>
      </c>
      <c r="V152">
        <f>HYPERLINK("https://klasma.github.io/Logging_2283/klagomål/A 55727-2022 FSC-klagomål.docx", "A 55727-2022")</f>
        <v/>
      </c>
      <c r="W152">
        <f>HYPERLINK("https://klasma.github.io/Logging_2283/klagomålsmail/A 55727-2022 FSC-klagomål mail.docx", "A 55727-2022")</f>
        <v/>
      </c>
      <c r="X152">
        <f>HYPERLINK("https://klasma.github.io/Logging_2283/tillsyn/A 55727-2022 tillsynsbegäran.docx", "A 55727-2022")</f>
        <v/>
      </c>
      <c r="Y152">
        <f>HYPERLINK("https://klasma.github.io/Logging_2283/tillsynsmail/A 55727-2022 tillsynsbegäran mail.docx", "A 55727-2022")</f>
        <v/>
      </c>
    </row>
    <row r="153" ht="15" customHeight="1">
      <c r="A153" t="inlineStr">
        <is>
          <t>A 59046-2022</t>
        </is>
      </c>
      <c r="B153" s="1" t="n">
        <v>44903</v>
      </c>
      <c r="C153" s="1" t="n">
        <v>45282</v>
      </c>
      <c r="D153" t="inlineStr">
        <is>
          <t>VÄSTERNORRLANDS LÄN</t>
        </is>
      </c>
      <c r="E153" t="inlineStr">
        <is>
          <t>SOLLEFTEÅ</t>
        </is>
      </c>
      <c r="F153" t="inlineStr">
        <is>
          <t>SCA</t>
        </is>
      </c>
      <c r="G153" t="n">
        <v>10.3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HYPERLINK("https://klasma.github.io/Logging_2283/artfynd/A 59046-2022 artfynd.xlsx", "A 59046-2022")</f>
        <v/>
      </c>
      <c r="T153">
        <f>HYPERLINK("https://klasma.github.io/Logging_2283/kartor/A 59046-2022 karta.png", "A 59046-2022")</f>
        <v/>
      </c>
      <c r="V153">
        <f>HYPERLINK("https://klasma.github.io/Logging_2283/klagomål/A 59046-2022 FSC-klagomål.docx", "A 59046-2022")</f>
        <v/>
      </c>
      <c r="W153">
        <f>HYPERLINK("https://klasma.github.io/Logging_2283/klagomålsmail/A 59046-2022 FSC-klagomål mail.docx", "A 59046-2022")</f>
        <v/>
      </c>
      <c r="X153">
        <f>HYPERLINK("https://klasma.github.io/Logging_2283/tillsyn/A 59046-2022 tillsynsbegäran.docx", "A 59046-2022")</f>
        <v/>
      </c>
      <c r="Y153">
        <f>HYPERLINK("https://klasma.github.io/Logging_2283/tillsynsmail/A 59046-2022 tillsynsbegäran mail.docx", "A 59046-2022")</f>
        <v/>
      </c>
    </row>
    <row r="154" ht="15" customHeight="1">
      <c r="A154" t="inlineStr">
        <is>
          <t>A 3017-2023</t>
        </is>
      </c>
      <c r="B154" s="1" t="n">
        <v>44945</v>
      </c>
      <c r="C154" s="1" t="n">
        <v>45282</v>
      </c>
      <c r="D154" t="inlineStr">
        <is>
          <t>VÄSTERNORRLANDS LÄN</t>
        </is>
      </c>
      <c r="E154" t="inlineStr">
        <is>
          <t>SOLLEFTEÅ</t>
        </is>
      </c>
      <c r="G154" t="n">
        <v>3.6</v>
      </c>
      <c r="H154" t="n">
        <v>0</v>
      </c>
      <c r="I154" t="n">
        <v>0</v>
      </c>
      <c r="J154" t="n">
        <v>2</v>
      </c>
      <c r="K154" t="n">
        <v>0</v>
      </c>
      <c r="L154" t="n">
        <v>0</v>
      </c>
      <c r="M154" t="n">
        <v>0</v>
      </c>
      <c r="N154" t="n">
        <v>0</v>
      </c>
      <c r="O154" t="n">
        <v>2</v>
      </c>
      <c r="P154" t="n">
        <v>0</v>
      </c>
      <c r="Q154" t="n">
        <v>2</v>
      </c>
      <c r="R154" s="2" t="inlineStr">
        <is>
          <t>Harticka
Ullticka</t>
        </is>
      </c>
      <c r="S154">
        <f>HYPERLINK("https://klasma.github.io/Logging_2283/artfynd/A 3017-2023 artfynd.xlsx", "A 3017-2023")</f>
        <v/>
      </c>
      <c r="T154">
        <f>HYPERLINK("https://klasma.github.io/Logging_2283/kartor/A 3017-2023 karta.png", "A 3017-2023")</f>
        <v/>
      </c>
      <c r="V154">
        <f>HYPERLINK("https://klasma.github.io/Logging_2283/klagomål/A 3017-2023 FSC-klagomål.docx", "A 3017-2023")</f>
        <v/>
      </c>
      <c r="W154">
        <f>HYPERLINK("https://klasma.github.io/Logging_2283/klagomålsmail/A 3017-2023 FSC-klagomål mail.docx", "A 3017-2023")</f>
        <v/>
      </c>
      <c r="X154">
        <f>HYPERLINK("https://klasma.github.io/Logging_2283/tillsyn/A 3017-2023 tillsynsbegäran.docx", "A 3017-2023")</f>
        <v/>
      </c>
      <c r="Y154">
        <f>HYPERLINK("https://klasma.github.io/Logging_2283/tillsynsmail/A 3017-2023 tillsynsbegäran mail.docx", "A 3017-2023")</f>
        <v/>
      </c>
    </row>
    <row r="155" ht="15" customHeight="1">
      <c r="A155" t="inlineStr">
        <is>
          <t>A 8669-2023</t>
        </is>
      </c>
      <c r="B155" s="1" t="n">
        <v>44977</v>
      </c>
      <c r="C155" s="1" t="n">
        <v>45282</v>
      </c>
      <c r="D155" t="inlineStr">
        <is>
          <t>VÄSTERNORRLANDS LÄN</t>
        </is>
      </c>
      <c r="E155" t="inlineStr">
        <is>
          <t>SOLLEFTEÅ</t>
        </is>
      </c>
      <c r="F155" t="inlineStr">
        <is>
          <t>SCA</t>
        </is>
      </c>
      <c r="G155" t="n">
        <v>2.3</v>
      </c>
      <c r="H155" t="n">
        <v>1</v>
      </c>
      <c r="I155" t="n">
        <v>1</v>
      </c>
      <c r="J155" t="n">
        <v>1</v>
      </c>
      <c r="K155" t="n">
        <v>0</v>
      </c>
      <c r="L155" t="n">
        <v>0</v>
      </c>
      <c r="M155" t="n">
        <v>0</v>
      </c>
      <c r="N155" t="n">
        <v>0</v>
      </c>
      <c r="O155" t="n">
        <v>1</v>
      </c>
      <c r="P155" t="n">
        <v>0</v>
      </c>
      <c r="Q155" t="n">
        <v>2</v>
      </c>
      <c r="R155" s="2" t="inlineStr">
        <is>
          <t>Garnlav
Lappranunkel</t>
        </is>
      </c>
      <c r="S155">
        <f>HYPERLINK("https://klasma.github.io/Logging_2283/artfynd/A 8669-2023 artfynd.xlsx", "A 8669-2023")</f>
        <v/>
      </c>
      <c r="T155">
        <f>HYPERLINK("https://klasma.github.io/Logging_2283/kartor/A 8669-2023 karta.png", "A 8669-2023")</f>
        <v/>
      </c>
      <c r="V155">
        <f>HYPERLINK("https://klasma.github.io/Logging_2283/klagomål/A 8669-2023 FSC-klagomål.docx", "A 8669-2023")</f>
        <v/>
      </c>
      <c r="W155">
        <f>HYPERLINK("https://klasma.github.io/Logging_2283/klagomålsmail/A 8669-2023 FSC-klagomål mail.docx", "A 8669-2023")</f>
        <v/>
      </c>
      <c r="X155">
        <f>HYPERLINK("https://klasma.github.io/Logging_2283/tillsyn/A 8669-2023 tillsynsbegäran.docx", "A 8669-2023")</f>
        <v/>
      </c>
      <c r="Y155">
        <f>HYPERLINK("https://klasma.github.io/Logging_2283/tillsynsmail/A 8669-2023 tillsynsbegäran mail.docx", "A 8669-2023")</f>
        <v/>
      </c>
    </row>
    <row r="156" ht="15" customHeight="1">
      <c r="A156" t="inlineStr">
        <is>
          <t>A 13000-2023</t>
        </is>
      </c>
      <c r="B156" s="1" t="n">
        <v>45002</v>
      </c>
      <c r="C156" s="1" t="n">
        <v>45282</v>
      </c>
      <c r="D156" t="inlineStr">
        <is>
          <t>VÄSTERNORRLANDS LÄN</t>
        </is>
      </c>
      <c r="E156" t="inlineStr">
        <is>
          <t>SOLLEFTEÅ</t>
        </is>
      </c>
      <c r="F156" t="inlineStr">
        <is>
          <t>SCA</t>
        </is>
      </c>
      <c r="G156" t="n">
        <v>93.5</v>
      </c>
      <c r="H156" t="n">
        <v>1</v>
      </c>
      <c r="I156" t="n">
        <v>0</v>
      </c>
      <c r="J156" t="n">
        <v>1</v>
      </c>
      <c r="K156" t="n">
        <v>0</v>
      </c>
      <c r="L156" t="n">
        <v>0</v>
      </c>
      <c r="M156" t="n">
        <v>0</v>
      </c>
      <c r="N156" t="n">
        <v>0</v>
      </c>
      <c r="O156" t="n">
        <v>1</v>
      </c>
      <c r="P156" t="n">
        <v>0</v>
      </c>
      <c r="Q156" t="n">
        <v>2</v>
      </c>
      <c r="R156" s="2" t="inlineStr">
        <is>
          <t>Månlåsbräken
Fläcknycklar</t>
        </is>
      </c>
      <c r="S156">
        <f>HYPERLINK("https://klasma.github.io/Logging_2283/artfynd/A 13000-2023 artfynd.xlsx", "A 13000-2023")</f>
        <v/>
      </c>
      <c r="T156">
        <f>HYPERLINK("https://klasma.github.io/Logging_2283/kartor/A 13000-2023 karta.png", "A 13000-2023")</f>
        <v/>
      </c>
      <c r="V156">
        <f>HYPERLINK("https://klasma.github.io/Logging_2283/klagomål/A 13000-2023 FSC-klagomål.docx", "A 13000-2023")</f>
        <v/>
      </c>
      <c r="W156">
        <f>HYPERLINK("https://klasma.github.io/Logging_2283/klagomålsmail/A 13000-2023 FSC-klagomål mail.docx", "A 13000-2023")</f>
        <v/>
      </c>
      <c r="X156">
        <f>HYPERLINK("https://klasma.github.io/Logging_2283/tillsyn/A 13000-2023 tillsynsbegäran.docx", "A 13000-2023")</f>
        <v/>
      </c>
      <c r="Y156">
        <f>HYPERLINK("https://klasma.github.io/Logging_2283/tillsynsmail/A 13000-2023 tillsynsbegäran mail.docx", "A 13000-2023")</f>
        <v/>
      </c>
    </row>
    <row r="157" ht="15" customHeight="1">
      <c r="A157" t="inlineStr">
        <is>
          <t>A 33036-2023</t>
        </is>
      </c>
      <c r="B157" s="1" t="n">
        <v>45125</v>
      </c>
      <c r="C157" s="1" t="n">
        <v>45282</v>
      </c>
      <c r="D157" t="inlineStr">
        <is>
          <t>VÄSTERNORRLANDS LÄN</t>
        </is>
      </c>
      <c r="E157" t="inlineStr">
        <is>
          <t>SOLLEFTEÅ</t>
        </is>
      </c>
      <c r="F157" t="inlineStr">
        <is>
          <t>SCA</t>
        </is>
      </c>
      <c r="G157" t="n">
        <v>12</v>
      </c>
      <c r="H157" t="n">
        <v>0</v>
      </c>
      <c r="I157" t="n">
        <v>1</v>
      </c>
      <c r="J157" t="n">
        <v>1</v>
      </c>
      <c r="K157" t="n">
        <v>0</v>
      </c>
      <c r="L157" t="n">
        <v>0</v>
      </c>
      <c r="M157" t="n">
        <v>0</v>
      </c>
      <c r="N157" t="n">
        <v>0</v>
      </c>
      <c r="O157" t="n">
        <v>1</v>
      </c>
      <c r="P157" t="n">
        <v>0</v>
      </c>
      <c r="Q157" t="n">
        <v>2</v>
      </c>
      <c r="R157" s="2" t="inlineStr">
        <is>
          <t>Småflikig brosklav
Stuplav</t>
        </is>
      </c>
      <c r="S157">
        <f>HYPERLINK("https://klasma.github.io/Logging_2283/artfynd/A 33036-2023 artfynd.xlsx", "A 33036-2023")</f>
        <v/>
      </c>
      <c r="T157">
        <f>HYPERLINK("https://klasma.github.io/Logging_2283/kartor/A 33036-2023 karta.png", "A 33036-2023")</f>
        <v/>
      </c>
      <c r="V157">
        <f>HYPERLINK("https://klasma.github.io/Logging_2283/klagomål/A 33036-2023 FSC-klagomål.docx", "A 33036-2023")</f>
        <v/>
      </c>
      <c r="W157">
        <f>HYPERLINK("https://klasma.github.io/Logging_2283/klagomålsmail/A 33036-2023 FSC-klagomål mail.docx", "A 33036-2023")</f>
        <v/>
      </c>
      <c r="X157">
        <f>HYPERLINK("https://klasma.github.io/Logging_2283/tillsyn/A 33036-2023 tillsynsbegäran.docx", "A 33036-2023")</f>
        <v/>
      </c>
      <c r="Y157">
        <f>HYPERLINK("https://klasma.github.io/Logging_2283/tillsynsmail/A 33036-2023 tillsynsbegäran mail.docx", "A 33036-2023")</f>
        <v/>
      </c>
    </row>
    <row r="158" ht="15" customHeight="1">
      <c r="A158" t="inlineStr">
        <is>
          <t>A 35587-2023</t>
        </is>
      </c>
      <c r="B158" s="1" t="n">
        <v>45147</v>
      </c>
      <c r="C158" s="1" t="n">
        <v>45282</v>
      </c>
      <c r="D158" t="inlineStr">
        <is>
          <t>VÄSTERNORRLANDS LÄN</t>
        </is>
      </c>
      <c r="E158" t="inlineStr">
        <is>
          <t>SOLLEFTEÅ</t>
        </is>
      </c>
      <c r="F158" t="inlineStr">
        <is>
          <t>Holmen skog AB</t>
        </is>
      </c>
      <c r="G158" t="n">
        <v>5.1</v>
      </c>
      <c r="H158" t="n">
        <v>0</v>
      </c>
      <c r="I158" t="n">
        <v>1</v>
      </c>
      <c r="J158" t="n">
        <v>0</v>
      </c>
      <c r="K158" t="n">
        <v>1</v>
      </c>
      <c r="L158" t="n">
        <v>0</v>
      </c>
      <c r="M158" t="n">
        <v>0</v>
      </c>
      <c r="N158" t="n">
        <v>0</v>
      </c>
      <c r="O158" t="n">
        <v>1</v>
      </c>
      <c r="P158" t="n">
        <v>1</v>
      </c>
      <c r="Q158" t="n">
        <v>2</v>
      </c>
      <c r="R158" s="2" t="inlineStr">
        <is>
          <t>Fläckporing
Dropptaggsvamp</t>
        </is>
      </c>
      <c r="S158">
        <f>HYPERLINK("https://klasma.github.io/Logging_2283/artfynd/A 35587-2023 artfynd.xlsx", "A 35587-2023")</f>
        <v/>
      </c>
      <c r="T158">
        <f>HYPERLINK("https://klasma.github.io/Logging_2283/kartor/A 35587-2023 karta.png", "A 35587-2023")</f>
        <v/>
      </c>
      <c r="V158">
        <f>HYPERLINK("https://klasma.github.io/Logging_2283/klagomål/A 35587-2023 FSC-klagomål.docx", "A 35587-2023")</f>
        <v/>
      </c>
      <c r="W158">
        <f>HYPERLINK("https://klasma.github.io/Logging_2283/klagomålsmail/A 35587-2023 FSC-klagomål mail.docx", "A 35587-2023")</f>
        <v/>
      </c>
      <c r="X158">
        <f>HYPERLINK("https://klasma.github.io/Logging_2283/tillsyn/A 35587-2023 tillsynsbegäran.docx", "A 35587-2023")</f>
        <v/>
      </c>
      <c r="Y158">
        <f>HYPERLINK("https://klasma.github.io/Logging_2283/tillsynsmail/A 35587-2023 tillsynsbegäran mail.docx", "A 35587-2023")</f>
        <v/>
      </c>
    </row>
    <row r="159" ht="15" customHeight="1">
      <c r="A159" t="inlineStr">
        <is>
          <t>A 40419-2023</t>
        </is>
      </c>
      <c r="B159" s="1" t="n">
        <v>45169</v>
      </c>
      <c r="C159" s="1" t="n">
        <v>45282</v>
      </c>
      <c r="D159" t="inlineStr">
        <is>
          <t>VÄSTERNORRLANDS LÄN</t>
        </is>
      </c>
      <c r="E159" t="inlineStr">
        <is>
          <t>SOLLEFTEÅ</t>
        </is>
      </c>
      <c r="F159" t="inlineStr">
        <is>
          <t>SCA</t>
        </is>
      </c>
      <c r="G159" t="n">
        <v>7.9</v>
      </c>
      <c r="H159" t="n">
        <v>1</v>
      </c>
      <c r="I159" t="n">
        <v>0</v>
      </c>
      <c r="J159" t="n">
        <v>1</v>
      </c>
      <c r="K159" t="n">
        <v>1</v>
      </c>
      <c r="L159" t="n">
        <v>0</v>
      </c>
      <c r="M159" t="n">
        <v>0</v>
      </c>
      <c r="N159" t="n">
        <v>0</v>
      </c>
      <c r="O159" t="n">
        <v>2</v>
      </c>
      <c r="P159" t="n">
        <v>1</v>
      </c>
      <c r="Q159" t="n">
        <v>2</v>
      </c>
      <c r="R159" s="2" t="inlineStr">
        <is>
          <t>Knärot
Lunglav</t>
        </is>
      </c>
      <c r="S159">
        <f>HYPERLINK("https://klasma.github.io/Logging_2283/artfynd/A 40419-2023 artfynd.xlsx", "A 40419-2023")</f>
        <v/>
      </c>
      <c r="T159">
        <f>HYPERLINK("https://klasma.github.io/Logging_2283/kartor/A 40419-2023 karta.png", "A 40419-2023")</f>
        <v/>
      </c>
      <c r="U159">
        <f>HYPERLINK("https://klasma.github.io/Logging_2283/knärot/A 40419-2023 karta knärot.png", "A 40419-2023")</f>
        <v/>
      </c>
      <c r="V159">
        <f>HYPERLINK("https://klasma.github.io/Logging_2283/klagomål/A 40419-2023 FSC-klagomål.docx", "A 40419-2023")</f>
        <v/>
      </c>
      <c r="W159">
        <f>HYPERLINK("https://klasma.github.io/Logging_2283/klagomålsmail/A 40419-2023 FSC-klagomål mail.docx", "A 40419-2023")</f>
        <v/>
      </c>
      <c r="X159">
        <f>HYPERLINK("https://klasma.github.io/Logging_2283/tillsyn/A 40419-2023 tillsynsbegäran.docx", "A 40419-2023")</f>
        <v/>
      </c>
      <c r="Y159">
        <f>HYPERLINK("https://klasma.github.io/Logging_2283/tillsynsmail/A 40419-2023 tillsynsbegäran mail.docx", "A 40419-2023")</f>
        <v/>
      </c>
    </row>
    <row r="160" ht="15" customHeight="1">
      <c r="A160" t="inlineStr">
        <is>
          <t>A 40866-2023</t>
        </is>
      </c>
      <c r="B160" s="1" t="n">
        <v>45173</v>
      </c>
      <c r="C160" s="1" t="n">
        <v>45282</v>
      </c>
      <c r="D160" t="inlineStr">
        <is>
          <t>VÄSTERNORRLANDS LÄN</t>
        </is>
      </c>
      <c r="E160" t="inlineStr">
        <is>
          <t>SOLLEFTEÅ</t>
        </is>
      </c>
      <c r="G160" t="n">
        <v>1.7</v>
      </c>
      <c r="H160" t="n">
        <v>1</v>
      </c>
      <c r="I160" t="n">
        <v>1</v>
      </c>
      <c r="J160" t="n">
        <v>0</v>
      </c>
      <c r="K160" t="n">
        <v>0</v>
      </c>
      <c r="L160" t="n">
        <v>0</v>
      </c>
      <c r="M160" t="n">
        <v>0</v>
      </c>
      <c r="N160" t="n">
        <v>0</v>
      </c>
      <c r="O160" t="n">
        <v>0</v>
      </c>
      <c r="P160" t="n">
        <v>0</v>
      </c>
      <c r="Q160" t="n">
        <v>2</v>
      </c>
      <c r="R160" s="2" t="inlineStr">
        <is>
          <t>Tibast
Skogsödla</t>
        </is>
      </c>
      <c r="S160">
        <f>HYPERLINK("https://klasma.github.io/Logging_2283/artfynd/A 40866-2023 artfynd.xlsx", "A 40866-2023")</f>
        <v/>
      </c>
      <c r="T160">
        <f>HYPERLINK("https://klasma.github.io/Logging_2283/kartor/A 40866-2023 karta.png", "A 40866-2023")</f>
        <v/>
      </c>
      <c r="V160">
        <f>HYPERLINK("https://klasma.github.io/Logging_2283/klagomål/A 40866-2023 FSC-klagomål.docx", "A 40866-2023")</f>
        <v/>
      </c>
      <c r="W160">
        <f>HYPERLINK("https://klasma.github.io/Logging_2283/klagomålsmail/A 40866-2023 FSC-klagomål mail.docx", "A 40866-2023")</f>
        <v/>
      </c>
      <c r="X160">
        <f>HYPERLINK("https://klasma.github.io/Logging_2283/tillsyn/A 40866-2023 tillsynsbegäran.docx", "A 40866-2023")</f>
        <v/>
      </c>
      <c r="Y160">
        <f>HYPERLINK("https://klasma.github.io/Logging_2283/tillsynsmail/A 40866-2023 tillsynsbegäran mail.docx", "A 40866-2023")</f>
        <v/>
      </c>
    </row>
    <row r="161" ht="15" customHeight="1">
      <c r="A161" t="inlineStr">
        <is>
          <t>A 48489-2023</t>
        </is>
      </c>
      <c r="B161" s="1" t="n">
        <v>45206</v>
      </c>
      <c r="C161" s="1" t="n">
        <v>45282</v>
      </c>
      <c r="D161" t="inlineStr">
        <is>
          <t>VÄSTERNORRLANDS LÄN</t>
        </is>
      </c>
      <c r="E161" t="inlineStr">
        <is>
          <t>SOLLEFTEÅ</t>
        </is>
      </c>
      <c r="F161" t="inlineStr">
        <is>
          <t>SCA</t>
        </is>
      </c>
      <c r="G161" t="n">
        <v>51.8</v>
      </c>
      <c r="H161" t="n">
        <v>2</v>
      </c>
      <c r="I161" t="n">
        <v>0</v>
      </c>
      <c r="J161" t="n">
        <v>2</v>
      </c>
      <c r="K161" t="n">
        <v>0</v>
      </c>
      <c r="L161" t="n">
        <v>0</v>
      </c>
      <c r="M161" t="n">
        <v>0</v>
      </c>
      <c r="N161" t="n">
        <v>0</v>
      </c>
      <c r="O161" t="n">
        <v>2</v>
      </c>
      <c r="P161" t="n">
        <v>0</v>
      </c>
      <c r="Q161" t="n">
        <v>2</v>
      </c>
      <c r="R161" s="2" t="inlineStr">
        <is>
          <t>Spillkråka
Talltita</t>
        </is>
      </c>
      <c r="S161">
        <f>HYPERLINK("https://klasma.github.io/Logging_2283/artfynd/A 48489-2023 artfynd.xlsx", "A 48489-2023")</f>
        <v/>
      </c>
      <c r="T161">
        <f>HYPERLINK("https://klasma.github.io/Logging_2283/kartor/A 48489-2023 karta.png", "A 48489-2023")</f>
        <v/>
      </c>
      <c r="V161">
        <f>HYPERLINK("https://klasma.github.io/Logging_2283/klagomål/A 48489-2023 FSC-klagomål.docx", "A 48489-2023")</f>
        <v/>
      </c>
      <c r="W161">
        <f>HYPERLINK("https://klasma.github.io/Logging_2283/klagomålsmail/A 48489-2023 FSC-klagomål mail.docx", "A 48489-2023")</f>
        <v/>
      </c>
      <c r="X161">
        <f>HYPERLINK("https://klasma.github.io/Logging_2283/tillsyn/A 48489-2023 tillsynsbegäran.docx", "A 48489-2023")</f>
        <v/>
      </c>
      <c r="Y161">
        <f>HYPERLINK("https://klasma.github.io/Logging_2283/tillsynsmail/A 48489-2023 tillsynsbegäran mail.docx", "A 48489-2023")</f>
        <v/>
      </c>
    </row>
    <row r="162" ht="15" customHeight="1">
      <c r="A162" t="inlineStr">
        <is>
          <t>A 53949-2023</t>
        </is>
      </c>
      <c r="B162" s="1" t="n">
        <v>45224</v>
      </c>
      <c r="C162" s="1" t="n">
        <v>45282</v>
      </c>
      <c r="D162" t="inlineStr">
        <is>
          <t>VÄSTERNORRLANDS LÄN</t>
        </is>
      </c>
      <c r="E162" t="inlineStr">
        <is>
          <t>SOLLEFTEÅ</t>
        </is>
      </c>
      <c r="G162" t="n">
        <v>4</v>
      </c>
      <c r="H162" t="n">
        <v>1</v>
      </c>
      <c r="I162" t="n">
        <v>0</v>
      </c>
      <c r="J162" t="n">
        <v>1</v>
      </c>
      <c r="K162" t="n">
        <v>0</v>
      </c>
      <c r="L162" t="n">
        <v>0</v>
      </c>
      <c r="M162" t="n">
        <v>0</v>
      </c>
      <c r="N162" t="n">
        <v>0</v>
      </c>
      <c r="O162" t="n">
        <v>1</v>
      </c>
      <c r="P162" t="n">
        <v>0</v>
      </c>
      <c r="Q162" t="n">
        <v>2</v>
      </c>
      <c r="R162" s="2" t="inlineStr">
        <is>
          <t>Granticka
Fläcknycklar</t>
        </is>
      </c>
      <c r="S162">
        <f>HYPERLINK("https://klasma.github.io/Logging_2283/artfynd/A 53949-2023 artfynd.xlsx", "A 53949-2023")</f>
        <v/>
      </c>
      <c r="T162">
        <f>HYPERLINK("https://klasma.github.io/Logging_2283/kartor/A 53949-2023 karta.png", "A 53949-2023")</f>
        <v/>
      </c>
      <c r="V162">
        <f>HYPERLINK("https://klasma.github.io/Logging_2283/klagomål/A 53949-2023 FSC-klagomål.docx", "A 53949-2023")</f>
        <v/>
      </c>
      <c r="W162">
        <f>HYPERLINK("https://klasma.github.io/Logging_2283/klagomålsmail/A 53949-2023 FSC-klagomål mail.docx", "A 53949-2023")</f>
        <v/>
      </c>
      <c r="X162">
        <f>HYPERLINK("https://klasma.github.io/Logging_2283/tillsyn/A 53949-2023 tillsynsbegäran.docx", "A 53949-2023")</f>
        <v/>
      </c>
      <c r="Y162">
        <f>HYPERLINK("https://klasma.github.io/Logging_2283/tillsynsmail/A 53949-2023 tillsynsbegäran mail.docx", "A 53949-2023")</f>
        <v/>
      </c>
    </row>
    <row r="163" ht="15" customHeight="1">
      <c r="A163" t="inlineStr">
        <is>
          <t>A 54030-2023</t>
        </is>
      </c>
      <c r="B163" s="1" t="n">
        <v>45231</v>
      </c>
      <c r="C163" s="1" t="n">
        <v>45282</v>
      </c>
      <c r="D163" t="inlineStr">
        <is>
          <t>VÄSTERNORRLANDS LÄN</t>
        </is>
      </c>
      <c r="E163" t="inlineStr">
        <is>
          <t>SOLLEFTEÅ</t>
        </is>
      </c>
      <c r="G163" t="n">
        <v>4.4</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54030-2023 artfynd.xlsx", "A 54030-2023")</f>
        <v/>
      </c>
      <c r="T163">
        <f>HYPERLINK("https://klasma.github.io/Logging_2283/kartor/A 54030-2023 karta.png", "A 54030-2023")</f>
        <v/>
      </c>
      <c r="V163">
        <f>HYPERLINK("https://klasma.github.io/Logging_2283/klagomål/A 54030-2023 FSC-klagomål.docx", "A 54030-2023")</f>
        <v/>
      </c>
      <c r="W163">
        <f>HYPERLINK("https://klasma.github.io/Logging_2283/klagomålsmail/A 54030-2023 FSC-klagomål mail.docx", "A 54030-2023")</f>
        <v/>
      </c>
      <c r="X163">
        <f>HYPERLINK("https://klasma.github.io/Logging_2283/tillsyn/A 54030-2023 tillsynsbegäran.docx", "A 54030-2023")</f>
        <v/>
      </c>
      <c r="Y163">
        <f>HYPERLINK("https://klasma.github.io/Logging_2283/tillsynsmail/A 54030-2023 tillsynsbegäran mail.docx", "A 54030-2023")</f>
        <v/>
      </c>
    </row>
    <row r="164" ht="15" customHeight="1">
      <c r="A164" t="inlineStr">
        <is>
          <t>A 58827-2023</t>
        </is>
      </c>
      <c r="B164" s="1" t="n">
        <v>45247</v>
      </c>
      <c r="C164" s="1" t="n">
        <v>45282</v>
      </c>
      <c r="D164" t="inlineStr">
        <is>
          <t>VÄSTERNORRLANDS LÄN</t>
        </is>
      </c>
      <c r="E164" t="inlineStr">
        <is>
          <t>SOLLEFTEÅ</t>
        </is>
      </c>
      <c r="G164" t="n">
        <v>2.2</v>
      </c>
      <c r="H164" t="n">
        <v>1</v>
      </c>
      <c r="I164" t="n">
        <v>0</v>
      </c>
      <c r="J164" t="n">
        <v>1</v>
      </c>
      <c r="K164" t="n">
        <v>0</v>
      </c>
      <c r="L164" t="n">
        <v>0</v>
      </c>
      <c r="M164" t="n">
        <v>0</v>
      </c>
      <c r="N164" t="n">
        <v>0</v>
      </c>
      <c r="O164" t="n">
        <v>1</v>
      </c>
      <c r="P164" t="n">
        <v>0</v>
      </c>
      <c r="Q164" t="n">
        <v>2</v>
      </c>
      <c r="R164" s="2" t="inlineStr">
        <is>
          <t>Garnlav
Mattlummer</t>
        </is>
      </c>
      <c r="S164">
        <f>HYPERLINK("https://klasma.github.io/Logging_2283/artfynd/A 58827-2023 artfynd.xlsx", "A 58827-2023")</f>
        <v/>
      </c>
      <c r="T164">
        <f>HYPERLINK("https://klasma.github.io/Logging_2283/kartor/A 58827-2023 karta.png", "A 58827-2023")</f>
        <v/>
      </c>
      <c r="V164">
        <f>HYPERLINK("https://klasma.github.io/Logging_2283/klagomål/A 58827-2023 FSC-klagomål.docx", "A 58827-2023")</f>
        <v/>
      </c>
      <c r="W164">
        <f>HYPERLINK("https://klasma.github.io/Logging_2283/klagomålsmail/A 58827-2023 FSC-klagomål mail.docx", "A 58827-2023")</f>
        <v/>
      </c>
      <c r="X164">
        <f>HYPERLINK("https://klasma.github.io/Logging_2283/tillsyn/A 58827-2023 tillsynsbegäran.docx", "A 58827-2023")</f>
        <v/>
      </c>
      <c r="Y164">
        <f>HYPERLINK("https://klasma.github.io/Logging_2283/tillsynsmail/A 58827-2023 tillsynsbegäran mail.docx", "A 58827-2023")</f>
        <v/>
      </c>
    </row>
    <row r="165" ht="15" customHeight="1">
      <c r="A165" t="inlineStr">
        <is>
          <t>A 58580-2018</t>
        </is>
      </c>
      <c r="B165" s="1" t="n">
        <v>43409</v>
      </c>
      <c r="C165" s="1" t="n">
        <v>45282</v>
      </c>
      <c r="D165" t="inlineStr">
        <is>
          <t>VÄSTERNORRLANDS LÄN</t>
        </is>
      </c>
      <c r="E165" t="inlineStr">
        <is>
          <t>SOLLEFTEÅ</t>
        </is>
      </c>
      <c r="G165" t="n">
        <v>3.9</v>
      </c>
      <c r="H165" t="n">
        <v>0</v>
      </c>
      <c r="I165" t="n">
        <v>0</v>
      </c>
      <c r="J165" t="n">
        <v>1</v>
      </c>
      <c r="K165" t="n">
        <v>0</v>
      </c>
      <c r="L165" t="n">
        <v>0</v>
      </c>
      <c r="M165" t="n">
        <v>0</v>
      </c>
      <c r="N165" t="n">
        <v>0</v>
      </c>
      <c r="O165" t="n">
        <v>1</v>
      </c>
      <c r="P165" t="n">
        <v>0</v>
      </c>
      <c r="Q165" t="n">
        <v>1</v>
      </c>
      <c r="R165" s="2" t="inlineStr">
        <is>
          <t>Garnlav</t>
        </is>
      </c>
      <c r="S165">
        <f>HYPERLINK("https://klasma.github.io/Logging_2283/artfynd/A 58580-2018 artfynd.xlsx", "A 58580-2018")</f>
        <v/>
      </c>
      <c r="T165">
        <f>HYPERLINK("https://klasma.github.io/Logging_2283/kartor/A 58580-2018 karta.png", "A 58580-2018")</f>
        <v/>
      </c>
      <c r="V165">
        <f>HYPERLINK("https://klasma.github.io/Logging_2283/klagomål/A 58580-2018 FSC-klagomål.docx", "A 58580-2018")</f>
        <v/>
      </c>
      <c r="W165">
        <f>HYPERLINK("https://klasma.github.io/Logging_2283/klagomålsmail/A 58580-2018 FSC-klagomål mail.docx", "A 58580-2018")</f>
        <v/>
      </c>
      <c r="X165">
        <f>HYPERLINK("https://klasma.github.io/Logging_2283/tillsyn/A 58580-2018 tillsynsbegäran.docx", "A 58580-2018")</f>
        <v/>
      </c>
      <c r="Y165">
        <f>HYPERLINK("https://klasma.github.io/Logging_2283/tillsynsmail/A 58580-2018 tillsynsbegäran mail.docx", "A 58580-2018")</f>
        <v/>
      </c>
    </row>
    <row r="166" ht="15" customHeight="1">
      <c r="A166" t="inlineStr">
        <is>
          <t>A 70806-2018</t>
        </is>
      </c>
      <c r="B166" s="1" t="n">
        <v>43451</v>
      </c>
      <c r="C166" s="1" t="n">
        <v>45282</v>
      </c>
      <c r="D166" t="inlineStr">
        <is>
          <t>VÄSTERNORRLANDS LÄN</t>
        </is>
      </c>
      <c r="E166" t="inlineStr">
        <is>
          <t>SOLLEFTEÅ</t>
        </is>
      </c>
      <c r="G166" t="n">
        <v>4.3</v>
      </c>
      <c r="H166" t="n">
        <v>0</v>
      </c>
      <c r="I166" t="n">
        <v>0</v>
      </c>
      <c r="J166" t="n">
        <v>1</v>
      </c>
      <c r="K166" t="n">
        <v>0</v>
      </c>
      <c r="L166" t="n">
        <v>0</v>
      </c>
      <c r="M166" t="n">
        <v>0</v>
      </c>
      <c r="N166" t="n">
        <v>0</v>
      </c>
      <c r="O166" t="n">
        <v>1</v>
      </c>
      <c r="P166" t="n">
        <v>0</v>
      </c>
      <c r="Q166" t="n">
        <v>1</v>
      </c>
      <c r="R166" s="2" t="inlineStr">
        <is>
          <t>Garnlav</t>
        </is>
      </c>
      <c r="S166">
        <f>HYPERLINK("https://klasma.github.io/Logging_2283/artfynd/A 70806-2018 artfynd.xlsx", "A 70806-2018")</f>
        <v/>
      </c>
      <c r="T166">
        <f>HYPERLINK("https://klasma.github.io/Logging_2283/kartor/A 70806-2018 karta.png", "A 70806-2018")</f>
        <v/>
      </c>
      <c r="V166">
        <f>HYPERLINK("https://klasma.github.io/Logging_2283/klagomål/A 70806-2018 FSC-klagomål.docx", "A 70806-2018")</f>
        <v/>
      </c>
      <c r="W166">
        <f>HYPERLINK("https://klasma.github.io/Logging_2283/klagomålsmail/A 70806-2018 FSC-klagomål mail.docx", "A 70806-2018")</f>
        <v/>
      </c>
      <c r="X166">
        <f>HYPERLINK("https://klasma.github.io/Logging_2283/tillsyn/A 70806-2018 tillsynsbegäran.docx", "A 70806-2018")</f>
        <v/>
      </c>
      <c r="Y166">
        <f>HYPERLINK("https://klasma.github.io/Logging_2283/tillsynsmail/A 70806-2018 tillsynsbegäran mail.docx", "A 70806-2018")</f>
        <v/>
      </c>
    </row>
    <row r="167" ht="15" customHeight="1">
      <c r="A167" t="inlineStr">
        <is>
          <t>A 71019-2018</t>
        </is>
      </c>
      <c r="B167" s="1" t="n">
        <v>43451</v>
      </c>
      <c r="C167" s="1" t="n">
        <v>45282</v>
      </c>
      <c r="D167" t="inlineStr">
        <is>
          <t>VÄSTERNORRLANDS LÄN</t>
        </is>
      </c>
      <c r="E167" t="inlineStr">
        <is>
          <t>SOLLEFTEÅ</t>
        </is>
      </c>
      <c r="G167" t="n">
        <v>7.6</v>
      </c>
      <c r="H167" t="n">
        <v>0</v>
      </c>
      <c r="I167" t="n">
        <v>0</v>
      </c>
      <c r="J167" t="n">
        <v>1</v>
      </c>
      <c r="K167" t="n">
        <v>0</v>
      </c>
      <c r="L167" t="n">
        <v>0</v>
      </c>
      <c r="M167" t="n">
        <v>0</v>
      </c>
      <c r="N167" t="n">
        <v>0</v>
      </c>
      <c r="O167" t="n">
        <v>1</v>
      </c>
      <c r="P167" t="n">
        <v>0</v>
      </c>
      <c r="Q167" t="n">
        <v>1</v>
      </c>
      <c r="R167" s="2" t="inlineStr">
        <is>
          <t>Rosenticka</t>
        </is>
      </c>
      <c r="S167">
        <f>HYPERLINK("https://klasma.github.io/Logging_2283/artfynd/A 71019-2018 artfynd.xlsx", "A 71019-2018")</f>
        <v/>
      </c>
      <c r="T167">
        <f>HYPERLINK("https://klasma.github.io/Logging_2283/kartor/A 71019-2018 karta.png", "A 71019-2018")</f>
        <v/>
      </c>
      <c r="V167">
        <f>HYPERLINK("https://klasma.github.io/Logging_2283/klagomål/A 71019-2018 FSC-klagomål.docx", "A 71019-2018")</f>
        <v/>
      </c>
      <c r="W167">
        <f>HYPERLINK("https://klasma.github.io/Logging_2283/klagomålsmail/A 71019-2018 FSC-klagomål mail.docx", "A 71019-2018")</f>
        <v/>
      </c>
      <c r="X167">
        <f>HYPERLINK("https://klasma.github.io/Logging_2283/tillsyn/A 71019-2018 tillsynsbegäran.docx", "A 71019-2018")</f>
        <v/>
      </c>
      <c r="Y167">
        <f>HYPERLINK("https://klasma.github.io/Logging_2283/tillsynsmail/A 71019-2018 tillsynsbegäran mail.docx", "A 71019-2018")</f>
        <v/>
      </c>
    </row>
    <row r="168" ht="15" customHeight="1">
      <c r="A168" t="inlineStr">
        <is>
          <t>A 3779-2019</t>
        </is>
      </c>
      <c r="B168" s="1" t="n">
        <v>43481</v>
      </c>
      <c r="C168" s="1" t="n">
        <v>45282</v>
      </c>
      <c r="D168" t="inlineStr">
        <is>
          <t>VÄSTERNORRLANDS LÄN</t>
        </is>
      </c>
      <c r="E168" t="inlineStr">
        <is>
          <t>SOLLEFTEÅ</t>
        </is>
      </c>
      <c r="F168" t="inlineStr">
        <is>
          <t>SCA</t>
        </is>
      </c>
      <c r="G168" t="n">
        <v>3.3</v>
      </c>
      <c r="H168" t="n">
        <v>0</v>
      </c>
      <c r="I168" t="n">
        <v>0</v>
      </c>
      <c r="J168" t="n">
        <v>1</v>
      </c>
      <c r="K168" t="n">
        <v>0</v>
      </c>
      <c r="L168" t="n">
        <v>0</v>
      </c>
      <c r="M168" t="n">
        <v>0</v>
      </c>
      <c r="N168" t="n">
        <v>0</v>
      </c>
      <c r="O168" t="n">
        <v>1</v>
      </c>
      <c r="P168" t="n">
        <v>0</v>
      </c>
      <c r="Q168" t="n">
        <v>1</v>
      </c>
      <c r="R168" s="2" t="inlineStr">
        <is>
          <t>Ullticka</t>
        </is>
      </c>
      <c r="S168">
        <f>HYPERLINK("https://klasma.github.io/Logging_2283/artfynd/A 3779-2019 artfynd.xlsx", "A 3779-2019")</f>
        <v/>
      </c>
      <c r="T168">
        <f>HYPERLINK("https://klasma.github.io/Logging_2283/kartor/A 3779-2019 karta.png", "A 3779-2019")</f>
        <v/>
      </c>
      <c r="V168">
        <f>HYPERLINK("https://klasma.github.io/Logging_2283/klagomål/A 3779-2019 FSC-klagomål.docx", "A 3779-2019")</f>
        <v/>
      </c>
      <c r="W168">
        <f>HYPERLINK("https://klasma.github.io/Logging_2283/klagomålsmail/A 3779-2019 FSC-klagomål mail.docx", "A 3779-2019")</f>
        <v/>
      </c>
      <c r="X168">
        <f>HYPERLINK("https://klasma.github.io/Logging_2283/tillsyn/A 3779-2019 tillsynsbegäran.docx", "A 3779-2019")</f>
        <v/>
      </c>
      <c r="Y168">
        <f>HYPERLINK("https://klasma.github.io/Logging_2283/tillsynsmail/A 3779-2019 tillsynsbegäran mail.docx", "A 3779-2019")</f>
        <v/>
      </c>
    </row>
    <row r="169" ht="15" customHeight="1">
      <c r="A169" t="inlineStr">
        <is>
          <t>A 8476-2019</t>
        </is>
      </c>
      <c r="B169" s="1" t="n">
        <v>43497</v>
      </c>
      <c r="C169" s="1" t="n">
        <v>45282</v>
      </c>
      <c r="D169" t="inlineStr">
        <is>
          <t>VÄSTERNORRLANDS LÄN</t>
        </is>
      </c>
      <c r="E169" t="inlineStr">
        <is>
          <t>SOLLEFTEÅ</t>
        </is>
      </c>
      <c r="G169" t="n">
        <v>5</v>
      </c>
      <c r="H169" t="n">
        <v>0</v>
      </c>
      <c r="I169" t="n">
        <v>0</v>
      </c>
      <c r="J169" t="n">
        <v>1</v>
      </c>
      <c r="K169" t="n">
        <v>0</v>
      </c>
      <c r="L169" t="n">
        <v>0</v>
      </c>
      <c r="M169" t="n">
        <v>0</v>
      </c>
      <c r="N169" t="n">
        <v>0</v>
      </c>
      <c r="O169" t="n">
        <v>1</v>
      </c>
      <c r="P169" t="n">
        <v>0</v>
      </c>
      <c r="Q169" t="n">
        <v>1</v>
      </c>
      <c r="R169" s="2" t="inlineStr">
        <is>
          <t>Ullticka</t>
        </is>
      </c>
      <c r="S169">
        <f>HYPERLINK("https://klasma.github.io/Logging_2283/artfynd/A 8476-2019 artfynd.xlsx", "A 8476-2019")</f>
        <v/>
      </c>
      <c r="T169">
        <f>HYPERLINK("https://klasma.github.io/Logging_2283/kartor/A 8476-2019 karta.png", "A 8476-2019")</f>
        <v/>
      </c>
      <c r="V169">
        <f>HYPERLINK("https://klasma.github.io/Logging_2283/klagomål/A 8476-2019 FSC-klagomål.docx", "A 8476-2019")</f>
        <v/>
      </c>
      <c r="W169">
        <f>HYPERLINK("https://klasma.github.io/Logging_2283/klagomålsmail/A 8476-2019 FSC-klagomål mail.docx", "A 8476-2019")</f>
        <v/>
      </c>
      <c r="X169">
        <f>HYPERLINK("https://klasma.github.io/Logging_2283/tillsyn/A 8476-2019 tillsynsbegäran.docx", "A 8476-2019")</f>
        <v/>
      </c>
      <c r="Y169">
        <f>HYPERLINK("https://klasma.github.io/Logging_2283/tillsynsmail/A 8476-2019 tillsynsbegäran mail.docx", "A 8476-2019")</f>
        <v/>
      </c>
    </row>
    <row r="170" ht="15" customHeight="1">
      <c r="A170" t="inlineStr">
        <is>
          <t>A 16838-2019</t>
        </is>
      </c>
      <c r="B170" s="1" t="n">
        <v>43549</v>
      </c>
      <c r="C170" s="1" t="n">
        <v>45282</v>
      </c>
      <c r="D170" t="inlineStr">
        <is>
          <t>VÄSTERNORRLANDS LÄN</t>
        </is>
      </c>
      <c r="E170" t="inlineStr">
        <is>
          <t>SOLLEFTEÅ</t>
        </is>
      </c>
      <c r="F170" t="inlineStr">
        <is>
          <t>SCA</t>
        </is>
      </c>
      <c r="G170" t="n">
        <v>16.4</v>
      </c>
      <c r="H170" t="n">
        <v>1</v>
      </c>
      <c r="I170" t="n">
        <v>0</v>
      </c>
      <c r="J170" t="n">
        <v>0</v>
      </c>
      <c r="K170" t="n">
        <v>0</v>
      </c>
      <c r="L170" t="n">
        <v>0</v>
      </c>
      <c r="M170" t="n">
        <v>1</v>
      </c>
      <c r="N170" t="n">
        <v>0</v>
      </c>
      <c r="O170" t="n">
        <v>1</v>
      </c>
      <c r="P170" t="n">
        <v>1</v>
      </c>
      <c r="Q170" t="n">
        <v>1</v>
      </c>
      <c r="R170" s="2" t="inlineStr">
        <is>
          <t>Ortolansparv</t>
        </is>
      </c>
      <c r="S170">
        <f>HYPERLINK("https://klasma.github.io/Logging_2283/artfynd/A 16838-2019 artfynd.xlsx", "A 16838-2019")</f>
        <v/>
      </c>
      <c r="T170">
        <f>HYPERLINK("https://klasma.github.io/Logging_2283/kartor/A 16838-2019 karta.png", "A 16838-2019")</f>
        <v/>
      </c>
      <c r="V170">
        <f>HYPERLINK("https://klasma.github.io/Logging_2283/klagomål/A 16838-2019 FSC-klagomål.docx", "A 16838-2019")</f>
        <v/>
      </c>
      <c r="W170">
        <f>HYPERLINK("https://klasma.github.io/Logging_2283/klagomålsmail/A 16838-2019 FSC-klagomål mail.docx", "A 16838-2019")</f>
        <v/>
      </c>
      <c r="X170">
        <f>HYPERLINK("https://klasma.github.io/Logging_2283/tillsyn/A 16838-2019 tillsynsbegäran.docx", "A 16838-2019")</f>
        <v/>
      </c>
      <c r="Y170">
        <f>HYPERLINK("https://klasma.github.io/Logging_2283/tillsynsmail/A 16838-2019 tillsynsbegäran mail.docx", "A 16838-2019")</f>
        <v/>
      </c>
    </row>
    <row r="171" ht="15" customHeight="1">
      <c r="A171" t="inlineStr">
        <is>
          <t>A 21120-2019</t>
        </is>
      </c>
      <c r="B171" s="1" t="n">
        <v>43578</v>
      </c>
      <c r="C171" s="1" t="n">
        <v>45282</v>
      </c>
      <c r="D171" t="inlineStr">
        <is>
          <t>VÄSTERNORRLANDS LÄN</t>
        </is>
      </c>
      <c r="E171" t="inlineStr">
        <is>
          <t>SOLLEFTEÅ</t>
        </is>
      </c>
      <c r="F171" t="inlineStr">
        <is>
          <t>SCA</t>
        </is>
      </c>
      <c r="G171" t="n">
        <v>54.4</v>
      </c>
      <c r="H171" t="n">
        <v>1</v>
      </c>
      <c r="I171" t="n">
        <v>0</v>
      </c>
      <c r="J171" t="n">
        <v>0</v>
      </c>
      <c r="K171" t="n">
        <v>0</v>
      </c>
      <c r="L171" t="n">
        <v>0</v>
      </c>
      <c r="M171" t="n">
        <v>0</v>
      </c>
      <c r="N171" t="n">
        <v>0</v>
      </c>
      <c r="O171" t="n">
        <v>0</v>
      </c>
      <c r="P171" t="n">
        <v>0</v>
      </c>
      <c r="Q171" t="n">
        <v>1</v>
      </c>
      <c r="R171" s="2" t="inlineStr">
        <is>
          <t>Revlummer</t>
        </is>
      </c>
      <c r="S171">
        <f>HYPERLINK("https://klasma.github.io/Logging_2283/artfynd/A 21120-2019 artfynd.xlsx", "A 21120-2019")</f>
        <v/>
      </c>
      <c r="T171">
        <f>HYPERLINK("https://klasma.github.io/Logging_2283/kartor/A 21120-2019 karta.png", "A 21120-2019")</f>
        <v/>
      </c>
      <c r="V171">
        <f>HYPERLINK("https://klasma.github.io/Logging_2283/klagomål/A 21120-2019 FSC-klagomål.docx", "A 21120-2019")</f>
        <v/>
      </c>
      <c r="W171">
        <f>HYPERLINK("https://klasma.github.io/Logging_2283/klagomålsmail/A 21120-2019 FSC-klagomål mail.docx", "A 21120-2019")</f>
        <v/>
      </c>
      <c r="X171">
        <f>HYPERLINK("https://klasma.github.io/Logging_2283/tillsyn/A 21120-2019 tillsynsbegäran.docx", "A 21120-2019")</f>
        <v/>
      </c>
      <c r="Y171">
        <f>HYPERLINK("https://klasma.github.io/Logging_2283/tillsynsmail/A 21120-2019 tillsynsbegäran mail.docx", "A 21120-2019")</f>
        <v/>
      </c>
    </row>
    <row r="172" ht="15" customHeight="1">
      <c r="A172" t="inlineStr">
        <is>
          <t>A 28600-2019</t>
        </is>
      </c>
      <c r="B172" s="1" t="n">
        <v>43626</v>
      </c>
      <c r="C172" s="1" t="n">
        <v>45282</v>
      </c>
      <c r="D172" t="inlineStr">
        <is>
          <t>VÄSTERNORRLANDS LÄN</t>
        </is>
      </c>
      <c r="E172" t="inlineStr">
        <is>
          <t>SOLLEFTEÅ</t>
        </is>
      </c>
      <c r="F172" t="inlineStr">
        <is>
          <t>SCA</t>
        </is>
      </c>
      <c r="G172" t="n">
        <v>5.9</v>
      </c>
      <c r="H172" t="n">
        <v>0</v>
      </c>
      <c r="I172" t="n">
        <v>0</v>
      </c>
      <c r="J172" t="n">
        <v>1</v>
      </c>
      <c r="K172" t="n">
        <v>0</v>
      </c>
      <c r="L172" t="n">
        <v>0</v>
      </c>
      <c r="M172" t="n">
        <v>0</v>
      </c>
      <c r="N172" t="n">
        <v>0</v>
      </c>
      <c r="O172" t="n">
        <v>1</v>
      </c>
      <c r="P172" t="n">
        <v>0</v>
      </c>
      <c r="Q172" t="n">
        <v>1</v>
      </c>
      <c r="R172" s="2" t="inlineStr">
        <is>
          <t>Tallriska</t>
        </is>
      </c>
      <c r="S172">
        <f>HYPERLINK("https://klasma.github.io/Logging_2283/artfynd/A 28600-2019 artfynd.xlsx", "A 28600-2019")</f>
        <v/>
      </c>
      <c r="T172">
        <f>HYPERLINK("https://klasma.github.io/Logging_2283/kartor/A 28600-2019 karta.png", "A 28600-2019")</f>
        <v/>
      </c>
      <c r="V172">
        <f>HYPERLINK("https://klasma.github.io/Logging_2283/klagomål/A 28600-2019 FSC-klagomål.docx", "A 28600-2019")</f>
        <v/>
      </c>
      <c r="W172">
        <f>HYPERLINK("https://klasma.github.io/Logging_2283/klagomålsmail/A 28600-2019 FSC-klagomål mail.docx", "A 28600-2019")</f>
        <v/>
      </c>
      <c r="X172">
        <f>HYPERLINK("https://klasma.github.io/Logging_2283/tillsyn/A 28600-2019 tillsynsbegäran.docx", "A 28600-2019")</f>
        <v/>
      </c>
      <c r="Y172">
        <f>HYPERLINK("https://klasma.github.io/Logging_2283/tillsynsmail/A 28600-2019 tillsynsbegäran mail.docx", "A 28600-2019")</f>
        <v/>
      </c>
    </row>
    <row r="173" ht="15" customHeight="1">
      <c r="A173" t="inlineStr">
        <is>
          <t>A 36982-2019</t>
        </is>
      </c>
      <c r="B173" s="1" t="n">
        <v>43676</v>
      </c>
      <c r="C173" s="1" t="n">
        <v>45282</v>
      </c>
      <c r="D173" t="inlineStr">
        <is>
          <t>VÄSTERNORRLANDS LÄN</t>
        </is>
      </c>
      <c r="E173" t="inlineStr">
        <is>
          <t>SOLLEFTEÅ</t>
        </is>
      </c>
      <c r="G173" t="n">
        <v>1.2</v>
      </c>
      <c r="H173" t="n">
        <v>0</v>
      </c>
      <c r="I173" t="n">
        <v>1</v>
      </c>
      <c r="J173" t="n">
        <v>0</v>
      </c>
      <c r="K173" t="n">
        <v>0</v>
      </c>
      <c r="L173" t="n">
        <v>0</v>
      </c>
      <c r="M173" t="n">
        <v>0</v>
      </c>
      <c r="N173" t="n">
        <v>0</v>
      </c>
      <c r="O173" t="n">
        <v>0</v>
      </c>
      <c r="P173" t="n">
        <v>0</v>
      </c>
      <c r="Q173" t="n">
        <v>1</v>
      </c>
      <c r="R173" s="2" t="inlineStr">
        <is>
          <t>Trådticka</t>
        </is>
      </c>
      <c r="S173">
        <f>HYPERLINK("https://klasma.github.io/Logging_2283/artfynd/A 36982-2019 artfynd.xlsx", "A 36982-2019")</f>
        <v/>
      </c>
      <c r="T173">
        <f>HYPERLINK("https://klasma.github.io/Logging_2283/kartor/A 36982-2019 karta.png", "A 36982-2019")</f>
        <v/>
      </c>
      <c r="V173">
        <f>HYPERLINK("https://klasma.github.io/Logging_2283/klagomål/A 36982-2019 FSC-klagomål.docx", "A 36982-2019")</f>
        <v/>
      </c>
      <c r="W173">
        <f>HYPERLINK("https://klasma.github.io/Logging_2283/klagomålsmail/A 36982-2019 FSC-klagomål mail.docx", "A 36982-2019")</f>
        <v/>
      </c>
      <c r="X173">
        <f>HYPERLINK("https://klasma.github.io/Logging_2283/tillsyn/A 36982-2019 tillsynsbegäran.docx", "A 36982-2019")</f>
        <v/>
      </c>
      <c r="Y173">
        <f>HYPERLINK("https://klasma.github.io/Logging_2283/tillsynsmail/A 36982-2019 tillsynsbegäran mail.docx", "A 36982-2019")</f>
        <v/>
      </c>
    </row>
    <row r="174" ht="15" customHeight="1">
      <c r="A174" t="inlineStr">
        <is>
          <t>A 38091-2019</t>
        </is>
      </c>
      <c r="B174" s="1" t="n">
        <v>43682</v>
      </c>
      <c r="C174" s="1" t="n">
        <v>45282</v>
      </c>
      <c r="D174" t="inlineStr">
        <is>
          <t>VÄSTERNORRLANDS LÄN</t>
        </is>
      </c>
      <c r="E174" t="inlineStr">
        <is>
          <t>SOLLEFTEÅ</t>
        </is>
      </c>
      <c r="F174" t="inlineStr">
        <is>
          <t>Holmen skog AB</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HYPERLINK("https://klasma.github.io/Logging_2283/artfynd/A 38091-2019 artfynd.xlsx", "A 38091-2019")</f>
        <v/>
      </c>
      <c r="T174">
        <f>HYPERLINK("https://klasma.github.io/Logging_2283/kartor/A 38091-2019 karta.png", "A 38091-2019")</f>
        <v/>
      </c>
      <c r="V174">
        <f>HYPERLINK("https://klasma.github.io/Logging_2283/klagomål/A 38091-2019 FSC-klagomål.docx", "A 38091-2019")</f>
        <v/>
      </c>
      <c r="W174">
        <f>HYPERLINK("https://klasma.github.io/Logging_2283/klagomålsmail/A 38091-2019 FSC-klagomål mail.docx", "A 38091-2019")</f>
        <v/>
      </c>
      <c r="X174">
        <f>HYPERLINK("https://klasma.github.io/Logging_2283/tillsyn/A 38091-2019 tillsynsbegäran.docx", "A 38091-2019")</f>
        <v/>
      </c>
      <c r="Y174">
        <f>HYPERLINK("https://klasma.github.io/Logging_2283/tillsynsmail/A 38091-2019 tillsynsbegäran mail.docx", "A 38091-2019")</f>
        <v/>
      </c>
    </row>
    <row r="175" ht="15" customHeight="1">
      <c r="A175" t="inlineStr">
        <is>
          <t>A 51669-2019</t>
        </is>
      </c>
      <c r="B175" s="1" t="n">
        <v>43740</v>
      </c>
      <c r="C175" s="1" t="n">
        <v>45282</v>
      </c>
      <c r="D175" t="inlineStr">
        <is>
          <t>VÄSTERNORRLANDS LÄN</t>
        </is>
      </c>
      <c r="E175" t="inlineStr">
        <is>
          <t>SOLLEFTEÅ</t>
        </is>
      </c>
      <c r="F175" t="inlineStr">
        <is>
          <t>SCA</t>
        </is>
      </c>
      <c r="G175" t="n">
        <v>3.6</v>
      </c>
      <c r="H175" t="n">
        <v>0</v>
      </c>
      <c r="I175" t="n">
        <v>0</v>
      </c>
      <c r="J175" t="n">
        <v>1</v>
      </c>
      <c r="K175" t="n">
        <v>0</v>
      </c>
      <c r="L175" t="n">
        <v>0</v>
      </c>
      <c r="M175" t="n">
        <v>0</v>
      </c>
      <c r="N175" t="n">
        <v>0</v>
      </c>
      <c r="O175" t="n">
        <v>1</v>
      </c>
      <c r="P175" t="n">
        <v>0</v>
      </c>
      <c r="Q175" t="n">
        <v>1</v>
      </c>
      <c r="R175" s="2" t="inlineStr">
        <is>
          <t>Rosenticka</t>
        </is>
      </c>
      <c r="S175">
        <f>HYPERLINK("https://klasma.github.io/Logging_2283/artfynd/A 51669-2019 artfynd.xlsx", "A 51669-2019")</f>
        <v/>
      </c>
      <c r="T175">
        <f>HYPERLINK("https://klasma.github.io/Logging_2283/kartor/A 51669-2019 karta.png", "A 51669-2019")</f>
        <v/>
      </c>
      <c r="V175">
        <f>HYPERLINK("https://klasma.github.io/Logging_2283/klagomål/A 51669-2019 FSC-klagomål.docx", "A 51669-2019")</f>
        <v/>
      </c>
      <c r="W175">
        <f>HYPERLINK("https://klasma.github.io/Logging_2283/klagomålsmail/A 51669-2019 FSC-klagomål mail.docx", "A 51669-2019")</f>
        <v/>
      </c>
      <c r="X175">
        <f>HYPERLINK("https://klasma.github.io/Logging_2283/tillsyn/A 51669-2019 tillsynsbegäran.docx", "A 51669-2019")</f>
        <v/>
      </c>
      <c r="Y175">
        <f>HYPERLINK("https://klasma.github.io/Logging_2283/tillsynsmail/A 51669-2019 tillsynsbegäran mail.docx", "A 51669-2019")</f>
        <v/>
      </c>
    </row>
    <row r="176" ht="15" customHeight="1">
      <c r="A176" t="inlineStr">
        <is>
          <t>A 59511-2019</t>
        </is>
      </c>
      <c r="B176" s="1" t="n">
        <v>43773</v>
      </c>
      <c r="C176" s="1" t="n">
        <v>45282</v>
      </c>
      <c r="D176" t="inlineStr">
        <is>
          <t>VÄSTERNORRLANDS LÄN</t>
        </is>
      </c>
      <c r="E176" t="inlineStr">
        <is>
          <t>SOLLEFTEÅ</t>
        </is>
      </c>
      <c r="F176" t="inlineStr">
        <is>
          <t>Holmen skog AB</t>
        </is>
      </c>
      <c r="G176" t="n">
        <v>4.8</v>
      </c>
      <c r="H176" t="n">
        <v>0</v>
      </c>
      <c r="I176" t="n">
        <v>0</v>
      </c>
      <c r="J176" t="n">
        <v>1</v>
      </c>
      <c r="K176" t="n">
        <v>0</v>
      </c>
      <c r="L176" t="n">
        <v>0</v>
      </c>
      <c r="M176" t="n">
        <v>0</v>
      </c>
      <c r="N176" t="n">
        <v>0</v>
      </c>
      <c r="O176" t="n">
        <v>1</v>
      </c>
      <c r="P176" t="n">
        <v>0</v>
      </c>
      <c r="Q176" t="n">
        <v>1</v>
      </c>
      <c r="R176" s="2" t="inlineStr">
        <is>
          <t>Lunglav</t>
        </is>
      </c>
      <c r="S176">
        <f>HYPERLINK("https://klasma.github.io/Logging_2283/artfynd/A 59511-2019 artfynd.xlsx", "A 59511-2019")</f>
        <v/>
      </c>
      <c r="T176">
        <f>HYPERLINK("https://klasma.github.io/Logging_2283/kartor/A 59511-2019 karta.png", "A 59511-2019")</f>
        <v/>
      </c>
      <c r="V176">
        <f>HYPERLINK("https://klasma.github.io/Logging_2283/klagomål/A 59511-2019 FSC-klagomål.docx", "A 59511-2019")</f>
        <v/>
      </c>
      <c r="W176">
        <f>HYPERLINK("https://klasma.github.io/Logging_2283/klagomålsmail/A 59511-2019 FSC-klagomål mail.docx", "A 59511-2019")</f>
        <v/>
      </c>
      <c r="X176">
        <f>HYPERLINK("https://klasma.github.io/Logging_2283/tillsyn/A 59511-2019 tillsynsbegäran.docx", "A 59511-2019")</f>
        <v/>
      </c>
      <c r="Y176">
        <f>HYPERLINK("https://klasma.github.io/Logging_2283/tillsynsmail/A 59511-2019 tillsynsbegäran mail.docx", "A 59511-2019")</f>
        <v/>
      </c>
    </row>
    <row r="177" ht="15" customHeight="1">
      <c r="A177" t="inlineStr">
        <is>
          <t>A 9178-2020</t>
        </is>
      </c>
      <c r="B177" s="1" t="n">
        <v>43879</v>
      </c>
      <c r="C177" s="1" t="n">
        <v>45282</v>
      </c>
      <c r="D177" t="inlineStr">
        <is>
          <t>VÄSTERNORRLANDS LÄN</t>
        </is>
      </c>
      <c r="E177" t="inlineStr">
        <is>
          <t>SOLLEFTEÅ</t>
        </is>
      </c>
      <c r="G177" t="n">
        <v>5.3</v>
      </c>
      <c r="H177" t="n">
        <v>1</v>
      </c>
      <c r="I177" t="n">
        <v>0</v>
      </c>
      <c r="J177" t="n">
        <v>0</v>
      </c>
      <c r="K177" t="n">
        <v>0</v>
      </c>
      <c r="L177" t="n">
        <v>0</v>
      </c>
      <c r="M177" t="n">
        <v>0</v>
      </c>
      <c r="N177" t="n">
        <v>0</v>
      </c>
      <c r="O177" t="n">
        <v>0</v>
      </c>
      <c r="P177" t="n">
        <v>0</v>
      </c>
      <c r="Q177" t="n">
        <v>1</v>
      </c>
      <c r="R177" s="2" t="inlineStr">
        <is>
          <t>Fläcknycklar</t>
        </is>
      </c>
      <c r="S177">
        <f>HYPERLINK("https://klasma.github.io/Logging_2283/artfynd/A 9178-2020 artfynd.xlsx", "A 9178-2020")</f>
        <v/>
      </c>
      <c r="T177">
        <f>HYPERLINK("https://klasma.github.io/Logging_2283/kartor/A 9178-2020 karta.png", "A 9178-2020")</f>
        <v/>
      </c>
      <c r="V177">
        <f>HYPERLINK("https://klasma.github.io/Logging_2283/klagomål/A 9178-2020 FSC-klagomål.docx", "A 9178-2020")</f>
        <v/>
      </c>
      <c r="W177">
        <f>HYPERLINK("https://klasma.github.io/Logging_2283/klagomålsmail/A 9178-2020 FSC-klagomål mail.docx", "A 9178-2020")</f>
        <v/>
      </c>
      <c r="X177">
        <f>HYPERLINK("https://klasma.github.io/Logging_2283/tillsyn/A 9178-2020 tillsynsbegäran.docx", "A 9178-2020")</f>
        <v/>
      </c>
      <c r="Y177">
        <f>HYPERLINK("https://klasma.github.io/Logging_2283/tillsynsmail/A 9178-2020 tillsynsbegäran mail.docx", "A 9178-2020")</f>
        <v/>
      </c>
    </row>
    <row r="178" ht="15" customHeight="1">
      <c r="A178" t="inlineStr">
        <is>
          <t>A 19166-2020</t>
        </is>
      </c>
      <c r="B178" s="1" t="n">
        <v>43936</v>
      </c>
      <c r="C178" s="1" t="n">
        <v>45282</v>
      </c>
      <c r="D178" t="inlineStr">
        <is>
          <t>VÄSTERNORRLANDS LÄN</t>
        </is>
      </c>
      <c r="E178" t="inlineStr">
        <is>
          <t>SOLLEFTEÅ</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HYPERLINK("https://klasma.github.io/Logging_2283/artfynd/A 19166-2020 artfynd.xlsx", "A 19166-2020")</f>
        <v/>
      </c>
      <c r="T178">
        <f>HYPERLINK("https://klasma.github.io/Logging_2283/kartor/A 19166-2020 karta.png", "A 19166-2020")</f>
        <v/>
      </c>
      <c r="V178">
        <f>HYPERLINK("https://klasma.github.io/Logging_2283/klagomål/A 19166-2020 FSC-klagomål.docx", "A 19166-2020")</f>
        <v/>
      </c>
      <c r="W178">
        <f>HYPERLINK("https://klasma.github.io/Logging_2283/klagomålsmail/A 19166-2020 FSC-klagomål mail.docx", "A 19166-2020")</f>
        <v/>
      </c>
      <c r="X178">
        <f>HYPERLINK("https://klasma.github.io/Logging_2283/tillsyn/A 19166-2020 tillsynsbegäran.docx", "A 19166-2020")</f>
        <v/>
      </c>
      <c r="Y178">
        <f>HYPERLINK("https://klasma.github.io/Logging_2283/tillsynsmail/A 19166-2020 tillsynsbegäran mail.docx", "A 19166-2020")</f>
        <v/>
      </c>
    </row>
    <row r="179" ht="15" customHeight="1">
      <c r="A179" t="inlineStr">
        <is>
          <t>A 24641-2020</t>
        </is>
      </c>
      <c r="B179" s="1" t="n">
        <v>43977</v>
      </c>
      <c r="C179" s="1" t="n">
        <v>45282</v>
      </c>
      <c r="D179" t="inlineStr">
        <is>
          <t>VÄSTERNORRLANDS LÄN</t>
        </is>
      </c>
      <c r="E179" t="inlineStr">
        <is>
          <t>SOLLEFTEÅ</t>
        </is>
      </c>
      <c r="F179" t="inlineStr">
        <is>
          <t>SCA</t>
        </is>
      </c>
      <c r="G179" t="n">
        <v>3.9</v>
      </c>
      <c r="H179" t="n">
        <v>1</v>
      </c>
      <c r="I179" t="n">
        <v>0</v>
      </c>
      <c r="J179" t="n">
        <v>0</v>
      </c>
      <c r="K179" t="n">
        <v>1</v>
      </c>
      <c r="L179" t="n">
        <v>0</v>
      </c>
      <c r="M179" t="n">
        <v>0</v>
      </c>
      <c r="N179" t="n">
        <v>0</v>
      </c>
      <c r="O179" t="n">
        <v>1</v>
      </c>
      <c r="P179" t="n">
        <v>1</v>
      </c>
      <c r="Q179" t="n">
        <v>1</v>
      </c>
      <c r="R179" s="2" t="inlineStr">
        <is>
          <t>Knärot</t>
        </is>
      </c>
      <c r="S179">
        <f>HYPERLINK("https://klasma.github.io/Logging_2283/artfynd/A 24641-2020 artfynd.xlsx", "A 24641-2020")</f>
        <v/>
      </c>
      <c r="T179">
        <f>HYPERLINK("https://klasma.github.io/Logging_2283/kartor/A 24641-2020 karta.png", "A 24641-2020")</f>
        <v/>
      </c>
      <c r="U179">
        <f>HYPERLINK("https://klasma.github.io/Logging_2283/knärot/A 24641-2020 karta knärot.png", "A 24641-2020")</f>
        <v/>
      </c>
      <c r="V179">
        <f>HYPERLINK("https://klasma.github.io/Logging_2283/klagomål/A 24641-2020 FSC-klagomål.docx", "A 24641-2020")</f>
        <v/>
      </c>
      <c r="W179">
        <f>HYPERLINK("https://klasma.github.io/Logging_2283/klagomålsmail/A 24641-2020 FSC-klagomål mail.docx", "A 24641-2020")</f>
        <v/>
      </c>
      <c r="X179">
        <f>HYPERLINK("https://klasma.github.io/Logging_2283/tillsyn/A 24641-2020 tillsynsbegäran.docx", "A 24641-2020")</f>
        <v/>
      </c>
      <c r="Y179">
        <f>HYPERLINK("https://klasma.github.io/Logging_2283/tillsynsmail/A 24641-2020 tillsynsbegäran mail.docx", "A 24641-2020")</f>
        <v/>
      </c>
    </row>
    <row r="180" ht="15" customHeight="1">
      <c r="A180" t="inlineStr">
        <is>
          <t>A 33612-2020</t>
        </is>
      </c>
      <c r="B180" s="1" t="n">
        <v>44025</v>
      </c>
      <c r="C180" s="1" t="n">
        <v>45282</v>
      </c>
      <c r="D180" t="inlineStr">
        <is>
          <t>VÄSTERNORRLANDS LÄN</t>
        </is>
      </c>
      <c r="E180" t="inlineStr">
        <is>
          <t>SOLLEFTEÅ</t>
        </is>
      </c>
      <c r="F180" t="inlineStr">
        <is>
          <t>SCA</t>
        </is>
      </c>
      <c r="G180" t="n">
        <v>2.3</v>
      </c>
      <c r="H180" t="n">
        <v>0</v>
      </c>
      <c r="I180" t="n">
        <v>0</v>
      </c>
      <c r="J180" t="n">
        <v>1</v>
      </c>
      <c r="K180" t="n">
        <v>0</v>
      </c>
      <c r="L180" t="n">
        <v>0</v>
      </c>
      <c r="M180" t="n">
        <v>0</v>
      </c>
      <c r="N180" t="n">
        <v>0</v>
      </c>
      <c r="O180" t="n">
        <v>1</v>
      </c>
      <c r="P180" t="n">
        <v>0</v>
      </c>
      <c r="Q180" t="n">
        <v>1</v>
      </c>
      <c r="R180" s="2" t="inlineStr">
        <is>
          <t>Dvärgbägarlav</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row>
    <row r="181" ht="15" customHeight="1">
      <c r="A181" t="inlineStr">
        <is>
          <t>A 47840-2020</t>
        </is>
      </c>
      <c r="B181" s="1" t="n">
        <v>44098</v>
      </c>
      <c r="C181" s="1" t="n">
        <v>45282</v>
      </c>
      <c r="D181" t="inlineStr">
        <is>
          <t>VÄSTERNORRLANDS LÄN</t>
        </is>
      </c>
      <c r="E181" t="inlineStr">
        <is>
          <t>SOLLEFTEÅ</t>
        </is>
      </c>
      <c r="F181" t="inlineStr">
        <is>
          <t>SCA</t>
        </is>
      </c>
      <c r="G181" t="n">
        <v>9.699999999999999</v>
      </c>
      <c r="H181" t="n">
        <v>1</v>
      </c>
      <c r="I181" t="n">
        <v>0</v>
      </c>
      <c r="J181" t="n">
        <v>0</v>
      </c>
      <c r="K181" t="n">
        <v>1</v>
      </c>
      <c r="L181" t="n">
        <v>0</v>
      </c>
      <c r="M181" t="n">
        <v>0</v>
      </c>
      <c r="N181" t="n">
        <v>0</v>
      </c>
      <c r="O181" t="n">
        <v>1</v>
      </c>
      <c r="P181" t="n">
        <v>1</v>
      </c>
      <c r="Q181" t="n">
        <v>1</v>
      </c>
      <c r="R181" s="2" t="inlineStr">
        <is>
          <t>Knärot</t>
        </is>
      </c>
      <c r="S181">
        <f>HYPERLINK("https://klasma.github.io/Logging_2283/artfynd/A 47840-2020 artfynd.xlsx", "A 47840-2020")</f>
        <v/>
      </c>
      <c r="T181">
        <f>HYPERLINK("https://klasma.github.io/Logging_2283/kartor/A 47840-2020 karta.png", "A 47840-2020")</f>
        <v/>
      </c>
      <c r="U181">
        <f>HYPERLINK("https://klasma.github.io/Logging_2283/knärot/A 47840-2020 karta knärot.png", "A 47840-2020")</f>
        <v/>
      </c>
      <c r="V181">
        <f>HYPERLINK("https://klasma.github.io/Logging_2283/klagomål/A 47840-2020 FSC-klagomål.docx", "A 47840-2020")</f>
        <v/>
      </c>
      <c r="W181">
        <f>HYPERLINK("https://klasma.github.io/Logging_2283/klagomålsmail/A 47840-2020 FSC-klagomål mail.docx", "A 47840-2020")</f>
        <v/>
      </c>
      <c r="X181">
        <f>HYPERLINK("https://klasma.github.io/Logging_2283/tillsyn/A 47840-2020 tillsynsbegäran.docx", "A 47840-2020")</f>
        <v/>
      </c>
      <c r="Y181">
        <f>HYPERLINK("https://klasma.github.io/Logging_2283/tillsynsmail/A 47840-2020 tillsynsbegäran mail.docx", "A 47840-2020")</f>
        <v/>
      </c>
    </row>
    <row r="182" ht="15" customHeight="1">
      <c r="A182" t="inlineStr">
        <is>
          <t>A 68651-2020</t>
        </is>
      </c>
      <c r="B182" s="1" t="n">
        <v>44186</v>
      </c>
      <c r="C182" s="1" t="n">
        <v>45282</v>
      </c>
      <c r="D182" t="inlineStr">
        <is>
          <t>VÄSTERNORRLANDS LÄN</t>
        </is>
      </c>
      <c r="E182" t="inlineStr">
        <is>
          <t>SOLLEFTEÅ</t>
        </is>
      </c>
      <c r="F182" t="inlineStr">
        <is>
          <t>SCA</t>
        </is>
      </c>
      <c r="G182" t="n">
        <v>1.5</v>
      </c>
      <c r="H182" t="n">
        <v>0</v>
      </c>
      <c r="I182" t="n">
        <v>0</v>
      </c>
      <c r="J182" t="n">
        <v>1</v>
      </c>
      <c r="K182" t="n">
        <v>0</v>
      </c>
      <c r="L182" t="n">
        <v>0</v>
      </c>
      <c r="M182" t="n">
        <v>0</v>
      </c>
      <c r="N182" t="n">
        <v>0</v>
      </c>
      <c r="O182" t="n">
        <v>1</v>
      </c>
      <c r="P182" t="n">
        <v>0</v>
      </c>
      <c r="Q182" t="n">
        <v>1</v>
      </c>
      <c r="R182" s="2" t="inlineStr">
        <is>
          <t>Harticka</t>
        </is>
      </c>
      <c r="S182">
        <f>HYPERLINK("https://klasma.github.io/Logging_2283/artfynd/A 68651-2020 artfynd.xlsx", "A 68651-2020")</f>
        <v/>
      </c>
      <c r="T182">
        <f>HYPERLINK("https://klasma.github.io/Logging_2283/kartor/A 68651-2020 karta.png", "A 68651-2020")</f>
        <v/>
      </c>
      <c r="V182">
        <f>HYPERLINK("https://klasma.github.io/Logging_2283/klagomål/A 68651-2020 FSC-klagomål.docx", "A 68651-2020")</f>
        <v/>
      </c>
      <c r="W182">
        <f>HYPERLINK("https://klasma.github.io/Logging_2283/klagomålsmail/A 68651-2020 FSC-klagomål mail.docx", "A 68651-2020")</f>
        <v/>
      </c>
      <c r="X182">
        <f>HYPERLINK("https://klasma.github.io/Logging_2283/tillsyn/A 68651-2020 tillsynsbegäran.docx", "A 68651-2020")</f>
        <v/>
      </c>
      <c r="Y182">
        <f>HYPERLINK("https://klasma.github.io/Logging_2283/tillsynsmail/A 68651-2020 tillsynsbegäran mail.docx", "A 68651-2020")</f>
        <v/>
      </c>
    </row>
    <row r="183" ht="15" customHeight="1">
      <c r="A183" t="inlineStr">
        <is>
          <t>A 68789-2020</t>
        </is>
      </c>
      <c r="B183" s="1" t="n">
        <v>44186</v>
      </c>
      <c r="C183" s="1" t="n">
        <v>45282</v>
      </c>
      <c r="D183" t="inlineStr">
        <is>
          <t>VÄSTERNORRLANDS LÄN</t>
        </is>
      </c>
      <c r="E183" t="inlineStr">
        <is>
          <t>SOLLEFTEÅ</t>
        </is>
      </c>
      <c r="G183" t="n">
        <v>2.1</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68789-2020 artfynd.xlsx", "A 68789-2020")</f>
        <v/>
      </c>
      <c r="T183">
        <f>HYPERLINK("https://klasma.github.io/Logging_2283/kartor/A 68789-2020 karta.png", "A 68789-2020")</f>
        <v/>
      </c>
      <c r="U183">
        <f>HYPERLINK("https://klasma.github.io/Logging_2283/knärot/A 68789-2020 karta knärot.png", "A 68789-2020")</f>
        <v/>
      </c>
      <c r="V183">
        <f>HYPERLINK("https://klasma.github.io/Logging_2283/klagomål/A 68789-2020 FSC-klagomål.docx", "A 68789-2020")</f>
        <v/>
      </c>
      <c r="W183">
        <f>HYPERLINK("https://klasma.github.io/Logging_2283/klagomålsmail/A 68789-2020 FSC-klagomål mail.docx", "A 68789-2020")</f>
        <v/>
      </c>
      <c r="X183">
        <f>HYPERLINK("https://klasma.github.io/Logging_2283/tillsyn/A 68789-2020 tillsynsbegäran.docx", "A 68789-2020")</f>
        <v/>
      </c>
      <c r="Y183">
        <f>HYPERLINK("https://klasma.github.io/Logging_2283/tillsynsmail/A 68789-2020 tillsynsbegäran mail.docx", "A 68789-2020")</f>
        <v/>
      </c>
    </row>
    <row r="184" ht="15" customHeight="1">
      <c r="A184" t="inlineStr">
        <is>
          <t>A 17377-2021</t>
        </is>
      </c>
      <c r="B184" s="1" t="n">
        <v>44298</v>
      </c>
      <c r="C184" s="1" t="n">
        <v>45282</v>
      </c>
      <c r="D184" t="inlineStr">
        <is>
          <t>VÄSTERNORRLANDS LÄN</t>
        </is>
      </c>
      <c r="E184" t="inlineStr">
        <is>
          <t>SOLLEFTEÅ</t>
        </is>
      </c>
      <c r="G184" t="n">
        <v>5.1</v>
      </c>
      <c r="H184" t="n">
        <v>0</v>
      </c>
      <c r="I184" t="n">
        <v>0</v>
      </c>
      <c r="J184" t="n">
        <v>1</v>
      </c>
      <c r="K184" t="n">
        <v>0</v>
      </c>
      <c r="L184" t="n">
        <v>0</v>
      </c>
      <c r="M184" t="n">
        <v>0</v>
      </c>
      <c r="N184" t="n">
        <v>0</v>
      </c>
      <c r="O184" t="n">
        <v>1</v>
      </c>
      <c r="P184" t="n">
        <v>0</v>
      </c>
      <c r="Q184" t="n">
        <v>1</v>
      </c>
      <c r="R184" s="2" t="inlineStr">
        <is>
          <t>Ullticka</t>
        </is>
      </c>
      <c r="S184">
        <f>HYPERLINK("https://klasma.github.io/Logging_2283/artfynd/A 17377-2021 artfynd.xlsx", "A 17377-2021")</f>
        <v/>
      </c>
      <c r="T184">
        <f>HYPERLINK("https://klasma.github.io/Logging_2283/kartor/A 17377-2021 karta.png", "A 17377-2021")</f>
        <v/>
      </c>
      <c r="V184">
        <f>HYPERLINK("https://klasma.github.io/Logging_2283/klagomål/A 17377-2021 FSC-klagomål.docx", "A 17377-2021")</f>
        <v/>
      </c>
      <c r="W184">
        <f>HYPERLINK("https://klasma.github.io/Logging_2283/klagomålsmail/A 17377-2021 FSC-klagomål mail.docx", "A 17377-2021")</f>
        <v/>
      </c>
      <c r="X184">
        <f>HYPERLINK("https://klasma.github.io/Logging_2283/tillsyn/A 17377-2021 tillsynsbegäran.docx", "A 17377-2021")</f>
        <v/>
      </c>
      <c r="Y184">
        <f>HYPERLINK("https://klasma.github.io/Logging_2283/tillsynsmail/A 17377-2021 tillsynsbegäran mail.docx", "A 17377-2021")</f>
        <v/>
      </c>
    </row>
    <row r="185" ht="15" customHeight="1">
      <c r="A185" t="inlineStr">
        <is>
          <t>A 18461-2021</t>
        </is>
      </c>
      <c r="B185" s="1" t="n">
        <v>44305</v>
      </c>
      <c r="C185" s="1" t="n">
        <v>45282</v>
      </c>
      <c r="D185" t="inlineStr">
        <is>
          <t>VÄSTERNORRLANDS LÄN</t>
        </is>
      </c>
      <c r="E185" t="inlineStr">
        <is>
          <t>SOLLEFTEÅ</t>
        </is>
      </c>
      <c r="F185" t="inlineStr">
        <is>
          <t>SCA</t>
        </is>
      </c>
      <c r="G185" t="n">
        <v>1.7</v>
      </c>
      <c r="H185" t="n">
        <v>1</v>
      </c>
      <c r="I185" t="n">
        <v>0</v>
      </c>
      <c r="J185" t="n">
        <v>1</v>
      </c>
      <c r="K185" t="n">
        <v>0</v>
      </c>
      <c r="L185" t="n">
        <v>0</v>
      </c>
      <c r="M185" t="n">
        <v>0</v>
      </c>
      <c r="N185" t="n">
        <v>0</v>
      </c>
      <c r="O185" t="n">
        <v>1</v>
      </c>
      <c r="P185" t="n">
        <v>0</v>
      </c>
      <c r="Q185" t="n">
        <v>1</v>
      </c>
      <c r="R185" s="2" t="inlineStr">
        <is>
          <t>Nordfladdermus</t>
        </is>
      </c>
      <c r="S185">
        <f>HYPERLINK("https://klasma.github.io/Logging_2283/artfynd/A 18461-2021 artfynd.xlsx", "A 18461-2021")</f>
        <v/>
      </c>
      <c r="T185">
        <f>HYPERLINK("https://klasma.github.io/Logging_2283/kartor/A 18461-2021 karta.png", "A 18461-2021")</f>
        <v/>
      </c>
      <c r="V185">
        <f>HYPERLINK("https://klasma.github.io/Logging_2283/klagomål/A 18461-2021 FSC-klagomål.docx", "A 18461-2021")</f>
        <v/>
      </c>
      <c r="W185">
        <f>HYPERLINK("https://klasma.github.io/Logging_2283/klagomålsmail/A 18461-2021 FSC-klagomål mail.docx", "A 18461-2021")</f>
        <v/>
      </c>
      <c r="X185">
        <f>HYPERLINK("https://klasma.github.io/Logging_2283/tillsyn/A 18461-2021 tillsynsbegäran.docx", "A 18461-2021")</f>
        <v/>
      </c>
      <c r="Y185">
        <f>HYPERLINK("https://klasma.github.io/Logging_2283/tillsynsmail/A 18461-2021 tillsynsbegäran mail.docx", "A 18461-2021")</f>
        <v/>
      </c>
    </row>
    <row r="186" ht="15" customHeight="1">
      <c r="A186" t="inlineStr">
        <is>
          <t>A 42224-2021</t>
        </is>
      </c>
      <c r="B186" s="1" t="n">
        <v>44426</v>
      </c>
      <c r="C186" s="1" t="n">
        <v>45282</v>
      </c>
      <c r="D186" t="inlineStr">
        <is>
          <t>VÄSTERNORRLANDS LÄN</t>
        </is>
      </c>
      <c r="E186" t="inlineStr">
        <is>
          <t>SOLLEFTEÅ</t>
        </is>
      </c>
      <c r="G186" t="n">
        <v>0.6</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42224-2021 artfynd.xlsx", "A 42224-2021")</f>
        <v/>
      </c>
      <c r="T186">
        <f>HYPERLINK("https://klasma.github.io/Logging_2283/kartor/A 42224-2021 karta.png", "A 42224-2021")</f>
        <v/>
      </c>
      <c r="V186">
        <f>HYPERLINK("https://klasma.github.io/Logging_2283/klagomål/A 42224-2021 FSC-klagomål.docx", "A 42224-2021")</f>
        <v/>
      </c>
      <c r="W186">
        <f>HYPERLINK("https://klasma.github.io/Logging_2283/klagomålsmail/A 42224-2021 FSC-klagomål mail.docx", "A 42224-2021")</f>
        <v/>
      </c>
      <c r="X186">
        <f>HYPERLINK("https://klasma.github.io/Logging_2283/tillsyn/A 42224-2021 tillsynsbegäran.docx", "A 42224-2021")</f>
        <v/>
      </c>
      <c r="Y186">
        <f>HYPERLINK("https://klasma.github.io/Logging_2283/tillsynsmail/A 42224-2021 tillsynsbegäran mail.docx", "A 42224-2021")</f>
        <v/>
      </c>
    </row>
    <row r="187" ht="15" customHeight="1">
      <c r="A187" t="inlineStr">
        <is>
          <t>A 51019-2021</t>
        </is>
      </c>
      <c r="B187" s="1" t="n">
        <v>44460</v>
      </c>
      <c r="C187" s="1" t="n">
        <v>45282</v>
      </c>
      <c r="D187" t="inlineStr">
        <is>
          <t>VÄSTERNORRLANDS LÄN</t>
        </is>
      </c>
      <c r="E187" t="inlineStr">
        <is>
          <t>SOLLEFTEÅ</t>
        </is>
      </c>
      <c r="F187" t="inlineStr">
        <is>
          <t>SCA</t>
        </is>
      </c>
      <c r="G187" t="n">
        <v>2.1</v>
      </c>
      <c r="H187" t="n">
        <v>1</v>
      </c>
      <c r="I187" t="n">
        <v>0</v>
      </c>
      <c r="J187" t="n">
        <v>0</v>
      </c>
      <c r="K187" t="n">
        <v>0</v>
      </c>
      <c r="L187" t="n">
        <v>0</v>
      </c>
      <c r="M187" t="n">
        <v>0</v>
      </c>
      <c r="N187" t="n">
        <v>0</v>
      </c>
      <c r="O187" t="n">
        <v>0</v>
      </c>
      <c r="P187" t="n">
        <v>0</v>
      </c>
      <c r="Q187" t="n">
        <v>1</v>
      </c>
      <c r="R187" s="2" t="inlineStr">
        <is>
          <t>Fläcknycklar</t>
        </is>
      </c>
      <c r="S187">
        <f>HYPERLINK("https://klasma.github.io/Logging_2283/artfynd/A 51019-2021 artfynd.xlsx", "A 51019-2021")</f>
        <v/>
      </c>
      <c r="T187">
        <f>HYPERLINK("https://klasma.github.io/Logging_2283/kartor/A 51019-2021 karta.png", "A 51019-2021")</f>
        <v/>
      </c>
      <c r="V187">
        <f>HYPERLINK("https://klasma.github.io/Logging_2283/klagomål/A 51019-2021 FSC-klagomål.docx", "A 51019-2021")</f>
        <v/>
      </c>
      <c r="W187">
        <f>HYPERLINK("https://klasma.github.io/Logging_2283/klagomålsmail/A 51019-2021 FSC-klagomål mail.docx", "A 51019-2021")</f>
        <v/>
      </c>
      <c r="X187">
        <f>HYPERLINK("https://klasma.github.io/Logging_2283/tillsyn/A 51019-2021 tillsynsbegäran.docx", "A 51019-2021")</f>
        <v/>
      </c>
      <c r="Y187">
        <f>HYPERLINK("https://klasma.github.io/Logging_2283/tillsynsmail/A 51019-2021 tillsynsbegäran mail.docx", "A 51019-2021")</f>
        <v/>
      </c>
    </row>
    <row r="188" ht="15" customHeight="1">
      <c r="A188" t="inlineStr">
        <is>
          <t>A 67402-2021</t>
        </is>
      </c>
      <c r="B188" s="1" t="n">
        <v>44523</v>
      </c>
      <c r="C188" s="1" t="n">
        <v>45282</v>
      </c>
      <c r="D188" t="inlineStr">
        <is>
          <t>VÄSTERNORRLANDS LÄN</t>
        </is>
      </c>
      <c r="E188" t="inlineStr">
        <is>
          <t>SOLLEFTEÅ</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HYPERLINK("https://klasma.github.io/Logging_2283/artfynd/A 67402-2021 artfynd.xlsx", "A 67402-2021")</f>
        <v/>
      </c>
      <c r="T188">
        <f>HYPERLINK("https://klasma.github.io/Logging_2283/kartor/A 67402-2021 karta.png", "A 67402-2021")</f>
        <v/>
      </c>
      <c r="U188">
        <f>HYPERLINK("https://klasma.github.io/Logging_2283/knärot/A 67402-2021 karta knärot.png", "A 67402-2021")</f>
        <v/>
      </c>
      <c r="V188">
        <f>HYPERLINK("https://klasma.github.io/Logging_2283/klagomål/A 67402-2021 FSC-klagomål.docx", "A 67402-2021")</f>
        <v/>
      </c>
      <c r="W188">
        <f>HYPERLINK("https://klasma.github.io/Logging_2283/klagomålsmail/A 67402-2021 FSC-klagomål mail.docx", "A 67402-2021")</f>
        <v/>
      </c>
      <c r="X188">
        <f>HYPERLINK("https://klasma.github.io/Logging_2283/tillsyn/A 67402-2021 tillsynsbegäran.docx", "A 67402-2021")</f>
        <v/>
      </c>
      <c r="Y188">
        <f>HYPERLINK("https://klasma.github.io/Logging_2283/tillsynsmail/A 67402-2021 tillsynsbegäran mail.docx", "A 67402-2021")</f>
        <v/>
      </c>
    </row>
    <row r="189" ht="15" customHeight="1">
      <c r="A189" t="inlineStr">
        <is>
          <t>A 68781-2021</t>
        </is>
      </c>
      <c r="B189" s="1" t="n">
        <v>44529</v>
      </c>
      <c r="C189" s="1" t="n">
        <v>45282</v>
      </c>
      <c r="D189" t="inlineStr">
        <is>
          <t>VÄSTERNORRLANDS LÄN</t>
        </is>
      </c>
      <c r="E189" t="inlineStr">
        <is>
          <t>SOLLEFTEÅ</t>
        </is>
      </c>
      <c r="F189" t="inlineStr">
        <is>
          <t>SCA</t>
        </is>
      </c>
      <c r="G189" t="n">
        <v>1.9</v>
      </c>
      <c r="H189" t="n">
        <v>1</v>
      </c>
      <c r="I189" t="n">
        <v>0</v>
      </c>
      <c r="J189" t="n">
        <v>0</v>
      </c>
      <c r="K189" t="n">
        <v>1</v>
      </c>
      <c r="L189" t="n">
        <v>0</v>
      </c>
      <c r="M189" t="n">
        <v>0</v>
      </c>
      <c r="N189" t="n">
        <v>0</v>
      </c>
      <c r="O189" t="n">
        <v>1</v>
      </c>
      <c r="P189" t="n">
        <v>1</v>
      </c>
      <c r="Q189" t="n">
        <v>1</v>
      </c>
      <c r="R189" s="2" t="inlineStr">
        <is>
          <t>Doftticka</t>
        </is>
      </c>
      <c r="S189">
        <f>HYPERLINK("https://klasma.github.io/Logging_2283/artfynd/A 68781-2021 artfynd.xlsx", "A 68781-2021")</f>
        <v/>
      </c>
      <c r="T189">
        <f>HYPERLINK("https://klasma.github.io/Logging_2283/kartor/A 68781-2021 karta.png", "A 68781-2021")</f>
        <v/>
      </c>
      <c r="V189">
        <f>HYPERLINK("https://klasma.github.io/Logging_2283/klagomål/A 68781-2021 FSC-klagomål.docx", "A 68781-2021")</f>
        <v/>
      </c>
      <c r="W189">
        <f>HYPERLINK("https://klasma.github.io/Logging_2283/klagomålsmail/A 68781-2021 FSC-klagomål mail.docx", "A 68781-2021")</f>
        <v/>
      </c>
      <c r="X189">
        <f>HYPERLINK("https://klasma.github.io/Logging_2283/tillsyn/A 68781-2021 tillsynsbegäran.docx", "A 68781-2021")</f>
        <v/>
      </c>
      <c r="Y189">
        <f>HYPERLINK("https://klasma.github.io/Logging_2283/tillsynsmail/A 68781-2021 tillsynsbegäran mail.docx", "A 68781-2021")</f>
        <v/>
      </c>
    </row>
    <row r="190" ht="15" customHeight="1">
      <c r="A190" t="inlineStr">
        <is>
          <t>A 71349-2021</t>
        </is>
      </c>
      <c r="B190" s="1" t="n">
        <v>44539</v>
      </c>
      <c r="C190" s="1" t="n">
        <v>45282</v>
      </c>
      <c r="D190" t="inlineStr">
        <is>
          <t>VÄSTERNORRLANDS LÄN</t>
        </is>
      </c>
      <c r="E190" t="inlineStr">
        <is>
          <t>SOLLEFTEÅ</t>
        </is>
      </c>
      <c r="G190" t="n">
        <v>0.5</v>
      </c>
      <c r="H190" t="n">
        <v>1</v>
      </c>
      <c r="I190" t="n">
        <v>0</v>
      </c>
      <c r="J190" t="n">
        <v>1</v>
      </c>
      <c r="K190" t="n">
        <v>0</v>
      </c>
      <c r="L190" t="n">
        <v>0</v>
      </c>
      <c r="M190" t="n">
        <v>0</v>
      </c>
      <c r="N190" t="n">
        <v>0</v>
      </c>
      <c r="O190" t="n">
        <v>1</v>
      </c>
      <c r="P190" t="n">
        <v>0</v>
      </c>
      <c r="Q190" t="n">
        <v>1</v>
      </c>
      <c r="R190" s="2" t="inlineStr">
        <is>
          <t>Björktrast</t>
        </is>
      </c>
      <c r="S190">
        <f>HYPERLINK("https://klasma.github.io/Logging_2283/artfynd/A 71349-2021 artfynd.xlsx", "A 71349-2021")</f>
        <v/>
      </c>
      <c r="T190">
        <f>HYPERLINK("https://klasma.github.io/Logging_2283/kartor/A 71349-2021 karta.png", "A 71349-2021")</f>
        <v/>
      </c>
      <c r="V190">
        <f>HYPERLINK("https://klasma.github.io/Logging_2283/klagomål/A 71349-2021 FSC-klagomål.docx", "A 71349-2021")</f>
        <v/>
      </c>
      <c r="W190">
        <f>HYPERLINK("https://klasma.github.io/Logging_2283/klagomålsmail/A 71349-2021 FSC-klagomål mail.docx", "A 71349-2021")</f>
        <v/>
      </c>
      <c r="X190">
        <f>HYPERLINK("https://klasma.github.io/Logging_2283/tillsyn/A 71349-2021 tillsynsbegäran.docx", "A 71349-2021")</f>
        <v/>
      </c>
      <c r="Y190">
        <f>HYPERLINK("https://klasma.github.io/Logging_2283/tillsynsmail/A 71349-2021 tillsynsbegäran mail.docx", "A 71349-2021")</f>
        <v/>
      </c>
    </row>
    <row r="191" ht="15" customHeight="1">
      <c r="A191" t="inlineStr">
        <is>
          <t>A 15669-2022</t>
        </is>
      </c>
      <c r="B191" s="1" t="n">
        <v>44662</v>
      </c>
      <c r="C191" s="1" t="n">
        <v>45282</v>
      </c>
      <c r="D191" t="inlineStr">
        <is>
          <t>VÄSTERNORRLANDS LÄN</t>
        </is>
      </c>
      <c r="E191" t="inlineStr">
        <is>
          <t>SOLLEFTEÅ</t>
        </is>
      </c>
      <c r="G191" t="n">
        <v>12.1</v>
      </c>
      <c r="H191" t="n">
        <v>0</v>
      </c>
      <c r="I191" t="n">
        <v>1</v>
      </c>
      <c r="J191" t="n">
        <v>0</v>
      </c>
      <c r="K191" t="n">
        <v>0</v>
      </c>
      <c r="L191" t="n">
        <v>0</v>
      </c>
      <c r="M191" t="n">
        <v>0</v>
      </c>
      <c r="N191" t="n">
        <v>0</v>
      </c>
      <c r="O191" t="n">
        <v>0</v>
      </c>
      <c r="P191" t="n">
        <v>0</v>
      </c>
      <c r="Q191" t="n">
        <v>1</v>
      </c>
      <c r="R191" s="2" t="inlineStr">
        <is>
          <t>Skinnlav</t>
        </is>
      </c>
      <c r="S191">
        <f>HYPERLINK("https://klasma.github.io/Logging_2283/artfynd/A 15669-2022 artfynd.xlsx", "A 15669-2022")</f>
        <v/>
      </c>
      <c r="T191">
        <f>HYPERLINK("https://klasma.github.io/Logging_2283/kartor/A 15669-2022 karta.png", "A 15669-2022")</f>
        <v/>
      </c>
      <c r="V191">
        <f>HYPERLINK("https://klasma.github.io/Logging_2283/klagomål/A 15669-2022 FSC-klagomål.docx", "A 15669-2022")</f>
        <v/>
      </c>
      <c r="W191">
        <f>HYPERLINK("https://klasma.github.io/Logging_2283/klagomålsmail/A 15669-2022 FSC-klagomål mail.docx", "A 15669-2022")</f>
        <v/>
      </c>
      <c r="X191">
        <f>HYPERLINK("https://klasma.github.io/Logging_2283/tillsyn/A 15669-2022 tillsynsbegäran.docx", "A 15669-2022")</f>
        <v/>
      </c>
      <c r="Y191">
        <f>HYPERLINK("https://klasma.github.io/Logging_2283/tillsynsmail/A 15669-2022 tillsynsbegäran mail.docx", "A 15669-2022")</f>
        <v/>
      </c>
    </row>
    <row r="192" ht="15" customHeight="1">
      <c r="A192" t="inlineStr">
        <is>
          <t>A 16269-2022</t>
        </is>
      </c>
      <c r="B192" s="1" t="n">
        <v>44670</v>
      </c>
      <c r="C192" s="1" t="n">
        <v>45282</v>
      </c>
      <c r="D192" t="inlineStr">
        <is>
          <t>VÄSTERNORRLANDS LÄN</t>
        </is>
      </c>
      <c r="E192" t="inlineStr">
        <is>
          <t>SOLLEFTEÅ</t>
        </is>
      </c>
      <c r="F192" t="inlineStr">
        <is>
          <t>Holmen skog AB</t>
        </is>
      </c>
      <c r="G192" t="n">
        <v>4.6</v>
      </c>
      <c r="H192" t="n">
        <v>1</v>
      </c>
      <c r="I192" t="n">
        <v>0</v>
      </c>
      <c r="J192" t="n">
        <v>1</v>
      </c>
      <c r="K192" t="n">
        <v>0</v>
      </c>
      <c r="L192" t="n">
        <v>0</v>
      </c>
      <c r="M192" t="n">
        <v>0</v>
      </c>
      <c r="N192" t="n">
        <v>0</v>
      </c>
      <c r="O192" t="n">
        <v>1</v>
      </c>
      <c r="P192" t="n">
        <v>0</v>
      </c>
      <c r="Q192" t="n">
        <v>1</v>
      </c>
      <c r="R192" s="2" t="inlineStr">
        <is>
          <t>Tretåig hackspett</t>
        </is>
      </c>
      <c r="S192">
        <f>HYPERLINK("https://klasma.github.io/Logging_2283/artfynd/A 16269-2022 artfynd.xlsx", "A 16269-2022")</f>
        <v/>
      </c>
      <c r="T192">
        <f>HYPERLINK("https://klasma.github.io/Logging_2283/kartor/A 16269-2022 karta.png", "A 16269-2022")</f>
        <v/>
      </c>
      <c r="V192">
        <f>HYPERLINK("https://klasma.github.io/Logging_2283/klagomål/A 16269-2022 FSC-klagomål.docx", "A 16269-2022")</f>
        <v/>
      </c>
      <c r="W192">
        <f>HYPERLINK("https://klasma.github.io/Logging_2283/klagomålsmail/A 16269-2022 FSC-klagomål mail.docx", "A 16269-2022")</f>
        <v/>
      </c>
      <c r="X192">
        <f>HYPERLINK("https://klasma.github.io/Logging_2283/tillsyn/A 16269-2022 tillsynsbegäran.docx", "A 16269-2022")</f>
        <v/>
      </c>
      <c r="Y192">
        <f>HYPERLINK("https://klasma.github.io/Logging_2283/tillsynsmail/A 16269-2022 tillsynsbegäran mail.docx", "A 16269-2022")</f>
        <v/>
      </c>
    </row>
    <row r="193" ht="15" customHeight="1">
      <c r="A193" t="inlineStr">
        <is>
          <t>A 21708-2022</t>
        </is>
      </c>
      <c r="B193" s="1" t="n">
        <v>44707</v>
      </c>
      <c r="C193" s="1" t="n">
        <v>45282</v>
      </c>
      <c r="D193" t="inlineStr">
        <is>
          <t>VÄSTERNORRLANDS LÄN</t>
        </is>
      </c>
      <c r="E193" t="inlineStr">
        <is>
          <t>SOLLEFTEÅ</t>
        </is>
      </c>
      <c r="F193" t="inlineStr">
        <is>
          <t>SCA</t>
        </is>
      </c>
      <c r="G193" t="n">
        <v>2.6</v>
      </c>
      <c r="H193" t="n">
        <v>0</v>
      </c>
      <c r="I193" t="n">
        <v>0</v>
      </c>
      <c r="J193" t="n">
        <v>1</v>
      </c>
      <c r="K193" t="n">
        <v>0</v>
      </c>
      <c r="L193" t="n">
        <v>0</v>
      </c>
      <c r="M193" t="n">
        <v>0</v>
      </c>
      <c r="N193" t="n">
        <v>0</v>
      </c>
      <c r="O193" t="n">
        <v>1</v>
      </c>
      <c r="P193" t="n">
        <v>0</v>
      </c>
      <c r="Q193" t="n">
        <v>1</v>
      </c>
      <c r="R193" s="2" t="inlineStr">
        <is>
          <t>Lunglav</t>
        </is>
      </c>
      <c r="S193">
        <f>HYPERLINK("https://klasma.github.io/Logging_2283/artfynd/A 21708-2022 artfynd.xlsx", "A 21708-2022")</f>
        <v/>
      </c>
      <c r="T193">
        <f>HYPERLINK("https://klasma.github.io/Logging_2283/kartor/A 21708-2022 karta.png", "A 21708-2022")</f>
        <v/>
      </c>
      <c r="V193">
        <f>HYPERLINK("https://klasma.github.io/Logging_2283/klagomål/A 21708-2022 FSC-klagomål.docx", "A 21708-2022")</f>
        <v/>
      </c>
      <c r="W193">
        <f>HYPERLINK("https://klasma.github.io/Logging_2283/klagomålsmail/A 21708-2022 FSC-klagomål mail.docx", "A 21708-2022")</f>
        <v/>
      </c>
      <c r="X193">
        <f>HYPERLINK("https://klasma.github.io/Logging_2283/tillsyn/A 21708-2022 tillsynsbegäran.docx", "A 21708-2022")</f>
        <v/>
      </c>
      <c r="Y193">
        <f>HYPERLINK("https://klasma.github.io/Logging_2283/tillsynsmail/A 21708-2022 tillsynsbegäran mail.docx", "A 21708-2022")</f>
        <v/>
      </c>
    </row>
    <row r="194" ht="15" customHeight="1">
      <c r="A194" t="inlineStr">
        <is>
          <t>A 26121-2022</t>
        </is>
      </c>
      <c r="B194" s="1" t="n">
        <v>44734</v>
      </c>
      <c r="C194" s="1" t="n">
        <v>45282</v>
      </c>
      <c r="D194" t="inlineStr">
        <is>
          <t>VÄSTERNORRLANDS LÄN</t>
        </is>
      </c>
      <c r="E194" t="inlineStr">
        <is>
          <t>SOLLEFTEÅ</t>
        </is>
      </c>
      <c r="F194" t="inlineStr">
        <is>
          <t>SCA</t>
        </is>
      </c>
      <c r="G194" t="n">
        <v>6.3</v>
      </c>
      <c r="H194" t="n">
        <v>0</v>
      </c>
      <c r="I194" t="n">
        <v>0</v>
      </c>
      <c r="J194" t="n">
        <v>1</v>
      </c>
      <c r="K194" t="n">
        <v>0</v>
      </c>
      <c r="L194" t="n">
        <v>0</v>
      </c>
      <c r="M194" t="n">
        <v>0</v>
      </c>
      <c r="N194" t="n">
        <v>0</v>
      </c>
      <c r="O194" t="n">
        <v>1</v>
      </c>
      <c r="P194" t="n">
        <v>0</v>
      </c>
      <c r="Q194" t="n">
        <v>1</v>
      </c>
      <c r="R194" s="2" t="inlineStr">
        <is>
          <t>Veckticka</t>
        </is>
      </c>
      <c r="S194">
        <f>HYPERLINK("https://klasma.github.io/Logging_2283/artfynd/A 26121-2022 artfynd.xlsx", "A 26121-2022")</f>
        <v/>
      </c>
      <c r="T194">
        <f>HYPERLINK("https://klasma.github.io/Logging_2283/kartor/A 26121-2022 karta.png", "A 26121-2022")</f>
        <v/>
      </c>
      <c r="V194">
        <f>HYPERLINK("https://klasma.github.io/Logging_2283/klagomål/A 26121-2022 FSC-klagomål.docx", "A 26121-2022")</f>
        <v/>
      </c>
      <c r="W194">
        <f>HYPERLINK("https://klasma.github.io/Logging_2283/klagomålsmail/A 26121-2022 FSC-klagomål mail.docx", "A 26121-2022")</f>
        <v/>
      </c>
      <c r="X194">
        <f>HYPERLINK("https://klasma.github.io/Logging_2283/tillsyn/A 26121-2022 tillsynsbegäran.docx", "A 26121-2022")</f>
        <v/>
      </c>
      <c r="Y194">
        <f>HYPERLINK("https://klasma.github.io/Logging_2283/tillsynsmail/A 26121-2022 tillsynsbegäran mail.docx", "A 26121-2022")</f>
        <v/>
      </c>
    </row>
    <row r="195" ht="15" customHeight="1">
      <c r="A195" t="inlineStr">
        <is>
          <t>A 27106-2022</t>
        </is>
      </c>
      <c r="B195" s="1" t="n">
        <v>44741</v>
      </c>
      <c r="C195" s="1" t="n">
        <v>45282</v>
      </c>
      <c r="D195" t="inlineStr">
        <is>
          <t>VÄSTERNORRLANDS LÄN</t>
        </is>
      </c>
      <c r="E195" t="inlineStr">
        <is>
          <t>SOLLEFTEÅ</t>
        </is>
      </c>
      <c r="G195" t="n">
        <v>1.3</v>
      </c>
      <c r="H195" t="n">
        <v>1</v>
      </c>
      <c r="I195" t="n">
        <v>0</v>
      </c>
      <c r="J195" t="n">
        <v>0</v>
      </c>
      <c r="K195" t="n">
        <v>0</v>
      </c>
      <c r="L195" t="n">
        <v>0</v>
      </c>
      <c r="M195" t="n">
        <v>0</v>
      </c>
      <c r="N195" t="n">
        <v>0</v>
      </c>
      <c r="O195" t="n">
        <v>0</v>
      </c>
      <c r="P195" t="n">
        <v>0</v>
      </c>
      <c r="Q195" t="n">
        <v>1</v>
      </c>
      <c r="R195" s="2" t="inlineStr">
        <is>
          <t>Revlummer</t>
        </is>
      </c>
      <c r="S195">
        <f>HYPERLINK("https://klasma.github.io/Logging_2283/artfynd/A 27106-2022 artfynd.xlsx", "A 27106-2022")</f>
        <v/>
      </c>
      <c r="T195">
        <f>HYPERLINK("https://klasma.github.io/Logging_2283/kartor/A 27106-2022 karta.png", "A 27106-2022")</f>
        <v/>
      </c>
      <c r="V195">
        <f>HYPERLINK("https://klasma.github.io/Logging_2283/klagomål/A 27106-2022 FSC-klagomål.docx", "A 27106-2022")</f>
        <v/>
      </c>
      <c r="W195">
        <f>HYPERLINK("https://klasma.github.io/Logging_2283/klagomålsmail/A 27106-2022 FSC-klagomål mail.docx", "A 27106-2022")</f>
        <v/>
      </c>
      <c r="X195">
        <f>HYPERLINK("https://klasma.github.io/Logging_2283/tillsyn/A 27106-2022 tillsynsbegäran.docx", "A 27106-2022")</f>
        <v/>
      </c>
      <c r="Y195">
        <f>HYPERLINK("https://klasma.github.io/Logging_2283/tillsynsmail/A 27106-2022 tillsynsbegäran mail.docx", "A 27106-2022")</f>
        <v/>
      </c>
    </row>
    <row r="196" ht="15" customHeight="1">
      <c r="A196" t="inlineStr">
        <is>
          <t>A 29037-2022</t>
        </is>
      </c>
      <c r="B196" s="1" t="n">
        <v>44749</v>
      </c>
      <c r="C196" s="1" t="n">
        <v>45282</v>
      </c>
      <c r="D196" t="inlineStr">
        <is>
          <t>VÄSTERNORRLANDS LÄN</t>
        </is>
      </c>
      <c r="E196" t="inlineStr">
        <is>
          <t>SOLLEFTEÅ</t>
        </is>
      </c>
      <c r="F196" t="inlineStr">
        <is>
          <t>SCA</t>
        </is>
      </c>
      <c r="G196" t="n">
        <v>1</v>
      </c>
      <c r="H196" t="n">
        <v>0</v>
      </c>
      <c r="I196" t="n">
        <v>1</v>
      </c>
      <c r="J196" t="n">
        <v>0</v>
      </c>
      <c r="K196" t="n">
        <v>0</v>
      </c>
      <c r="L196" t="n">
        <v>0</v>
      </c>
      <c r="M196" t="n">
        <v>0</v>
      </c>
      <c r="N196" t="n">
        <v>0</v>
      </c>
      <c r="O196" t="n">
        <v>0</v>
      </c>
      <c r="P196" t="n">
        <v>0</v>
      </c>
      <c r="Q196" t="n">
        <v>1</v>
      </c>
      <c r="R196" s="2" t="inlineStr">
        <is>
          <t>Vanlig flatbagge</t>
        </is>
      </c>
      <c r="S196">
        <f>HYPERLINK("https://klasma.github.io/Logging_2283/artfynd/A 29037-2022 artfynd.xlsx", "A 29037-2022")</f>
        <v/>
      </c>
      <c r="T196">
        <f>HYPERLINK("https://klasma.github.io/Logging_2283/kartor/A 29037-2022 karta.png", "A 29037-2022")</f>
        <v/>
      </c>
      <c r="V196">
        <f>HYPERLINK("https://klasma.github.io/Logging_2283/klagomål/A 29037-2022 FSC-klagomål.docx", "A 29037-2022")</f>
        <v/>
      </c>
      <c r="W196">
        <f>HYPERLINK("https://klasma.github.io/Logging_2283/klagomålsmail/A 29037-2022 FSC-klagomål mail.docx", "A 29037-2022")</f>
        <v/>
      </c>
      <c r="X196">
        <f>HYPERLINK("https://klasma.github.io/Logging_2283/tillsyn/A 29037-2022 tillsynsbegäran.docx", "A 29037-2022")</f>
        <v/>
      </c>
      <c r="Y196">
        <f>HYPERLINK("https://klasma.github.io/Logging_2283/tillsynsmail/A 29037-2022 tillsynsbegäran mail.docx", "A 29037-2022")</f>
        <v/>
      </c>
    </row>
    <row r="197" ht="15" customHeight="1">
      <c r="A197" t="inlineStr">
        <is>
          <t>A 33216-2022</t>
        </is>
      </c>
      <c r="B197" s="1" t="n">
        <v>44785</v>
      </c>
      <c r="C197" s="1" t="n">
        <v>45282</v>
      </c>
      <c r="D197" t="inlineStr">
        <is>
          <t>VÄSTERNORRLANDS LÄN</t>
        </is>
      </c>
      <c r="E197" t="inlineStr">
        <is>
          <t>SOLLEFTEÅ</t>
        </is>
      </c>
      <c r="F197" t="inlineStr">
        <is>
          <t>SCA</t>
        </is>
      </c>
      <c r="G197" t="n">
        <v>4.4</v>
      </c>
      <c r="H197" t="n">
        <v>0</v>
      </c>
      <c r="I197" t="n">
        <v>0</v>
      </c>
      <c r="J197" t="n">
        <v>0</v>
      </c>
      <c r="K197" t="n">
        <v>1</v>
      </c>
      <c r="L197" t="n">
        <v>0</v>
      </c>
      <c r="M197" t="n">
        <v>0</v>
      </c>
      <c r="N197" t="n">
        <v>0</v>
      </c>
      <c r="O197" t="n">
        <v>1</v>
      </c>
      <c r="P197" t="n">
        <v>1</v>
      </c>
      <c r="Q197" t="n">
        <v>1</v>
      </c>
      <c r="R197" s="2" t="inlineStr">
        <is>
          <t>Rynkskinn</t>
        </is>
      </c>
      <c r="S197">
        <f>HYPERLINK("https://klasma.github.io/Logging_2283/artfynd/A 33216-2022 artfynd.xlsx", "A 33216-2022")</f>
        <v/>
      </c>
      <c r="T197">
        <f>HYPERLINK("https://klasma.github.io/Logging_2283/kartor/A 33216-2022 karta.png", "A 33216-2022")</f>
        <v/>
      </c>
      <c r="V197">
        <f>HYPERLINK("https://klasma.github.io/Logging_2283/klagomål/A 33216-2022 FSC-klagomål.docx", "A 33216-2022")</f>
        <v/>
      </c>
      <c r="W197">
        <f>HYPERLINK("https://klasma.github.io/Logging_2283/klagomålsmail/A 33216-2022 FSC-klagomål mail.docx", "A 33216-2022")</f>
        <v/>
      </c>
      <c r="X197">
        <f>HYPERLINK("https://klasma.github.io/Logging_2283/tillsyn/A 33216-2022 tillsynsbegäran.docx", "A 33216-2022")</f>
        <v/>
      </c>
      <c r="Y197">
        <f>HYPERLINK("https://klasma.github.io/Logging_2283/tillsynsmail/A 33216-2022 tillsynsbegäran mail.docx", "A 33216-2022")</f>
        <v/>
      </c>
    </row>
    <row r="198" ht="15" customHeight="1">
      <c r="A198" t="inlineStr">
        <is>
          <t>A 33504-2022</t>
        </is>
      </c>
      <c r="B198" s="1" t="n">
        <v>44788</v>
      </c>
      <c r="C198" s="1" t="n">
        <v>45282</v>
      </c>
      <c r="D198" t="inlineStr">
        <is>
          <t>VÄSTERNORRLANDS LÄN</t>
        </is>
      </c>
      <c r="E198" t="inlineStr">
        <is>
          <t>SOLLEFTEÅ</t>
        </is>
      </c>
      <c r="F198" t="inlineStr">
        <is>
          <t>SCA</t>
        </is>
      </c>
      <c r="G198" t="n">
        <v>5.2</v>
      </c>
      <c r="H198" t="n">
        <v>1</v>
      </c>
      <c r="I198" t="n">
        <v>0</v>
      </c>
      <c r="J198" t="n">
        <v>0</v>
      </c>
      <c r="K198" t="n">
        <v>1</v>
      </c>
      <c r="L198" t="n">
        <v>0</v>
      </c>
      <c r="M198" t="n">
        <v>0</v>
      </c>
      <c r="N198" t="n">
        <v>0</v>
      </c>
      <c r="O198" t="n">
        <v>1</v>
      </c>
      <c r="P198" t="n">
        <v>1</v>
      </c>
      <c r="Q198" t="n">
        <v>1</v>
      </c>
      <c r="R198" s="2" t="inlineStr">
        <is>
          <t>Knärot</t>
        </is>
      </c>
      <c r="S198">
        <f>HYPERLINK("https://klasma.github.io/Logging_2283/artfynd/A 33504-2022 artfynd.xlsx", "A 33504-2022")</f>
        <v/>
      </c>
      <c r="T198">
        <f>HYPERLINK("https://klasma.github.io/Logging_2283/kartor/A 33504-2022 karta.png", "A 33504-2022")</f>
        <v/>
      </c>
      <c r="U198">
        <f>HYPERLINK("https://klasma.github.io/Logging_2283/knärot/A 33504-2022 karta knärot.png", "A 33504-2022")</f>
        <v/>
      </c>
      <c r="V198">
        <f>HYPERLINK("https://klasma.github.io/Logging_2283/klagomål/A 33504-2022 FSC-klagomål.docx", "A 33504-2022")</f>
        <v/>
      </c>
      <c r="W198">
        <f>HYPERLINK("https://klasma.github.io/Logging_2283/klagomålsmail/A 33504-2022 FSC-klagomål mail.docx", "A 33504-2022")</f>
        <v/>
      </c>
      <c r="X198">
        <f>HYPERLINK("https://klasma.github.io/Logging_2283/tillsyn/A 33504-2022 tillsynsbegäran.docx", "A 33504-2022")</f>
        <v/>
      </c>
      <c r="Y198">
        <f>HYPERLINK("https://klasma.github.io/Logging_2283/tillsynsmail/A 33504-2022 tillsynsbegäran mail.docx", "A 33504-2022")</f>
        <v/>
      </c>
    </row>
    <row r="199" ht="15" customHeight="1">
      <c r="A199" t="inlineStr">
        <is>
          <t>A 35013-2022</t>
        </is>
      </c>
      <c r="B199" s="1" t="n">
        <v>44796</v>
      </c>
      <c r="C199" s="1" t="n">
        <v>45282</v>
      </c>
      <c r="D199" t="inlineStr">
        <is>
          <t>VÄSTERNORRLANDS LÄN</t>
        </is>
      </c>
      <c r="E199" t="inlineStr">
        <is>
          <t>SOLLEFTEÅ</t>
        </is>
      </c>
      <c r="F199" t="inlineStr">
        <is>
          <t>SCA</t>
        </is>
      </c>
      <c r="G199" t="n">
        <v>2.1</v>
      </c>
      <c r="H199" t="n">
        <v>0</v>
      </c>
      <c r="I199" t="n">
        <v>0</v>
      </c>
      <c r="J199" t="n">
        <v>1</v>
      </c>
      <c r="K199" t="n">
        <v>0</v>
      </c>
      <c r="L199" t="n">
        <v>0</v>
      </c>
      <c r="M199" t="n">
        <v>0</v>
      </c>
      <c r="N199" t="n">
        <v>0</v>
      </c>
      <c r="O199" t="n">
        <v>1</v>
      </c>
      <c r="P199" t="n">
        <v>0</v>
      </c>
      <c r="Q199" t="n">
        <v>1</v>
      </c>
      <c r="R199" s="2" t="inlineStr">
        <is>
          <t>Rosenticka</t>
        </is>
      </c>
      <c r="S199">
        <f>HYPERLINK("https://klasma.github.io/Logging_2283/artfynd/A 35013-2022 artfynd.xlsx", "A 35013-2022")</f>
        <v/>
      </c>
      <c r="T199">
        <f>HYPERLINK("https://klasma.github.io/Logging_2283/kartor/A 35013-2022 karta.png", "A 35013-2022")</f>
        <v/>
      </c>
      <c r="V199">
        <f>HYPERLINK("https://klasma.github.io/Logging_2283/klagomål/A 35013-2022 FSC-klagomål.docx", "A 35013-2022")</f>
        <v/>
      </c>
      <c r="W199">
        <f>HYPERLINK("https://klasma.github.io/Logging_2283/klagomålsmail/A 35013-2022 FSC-klagomål mail.docx", "A 35013-2022")</f>
        <v/>
      </c>
      <c r="X199">
        <f>HYPERLINK("https://klasma.github.io/Logging_2283/tillsyn/A 35013-2022 tillsynsbegäran.docx", "A 35013-2022")</f>
        <v/>
      </c>
      <c r="Y199">
        <f>HYPERLINK("https://klasma.github.io/Logging_2283/tillsynsmail/A 35013-2022 tillsynsbegäran mail.docx", "A 35013-2022")</f>
        <v/>
      </c>
    </row>
    <row r="200" ht="15" customHeight="1">
      <c r="A200" t="inlineStr">
        <is>
          <t>A 38367-2022</t>
        </is>
      </c>
      <c r="B200" s="1" t="n">
        <v>44812</v>
      </c>
      <c r="C200" s="1" t="n">
        <v>45282</v>
      </c>
      <c r="D200" t="inlineStr">
        <is>
          <t>VÄSTERNORRLANDS LÄN</t>
        </is>
      </c>
      <c r="E200" t="inlineStr">
        <is>
          <t>SOLLEFTEÅ</t>
        </is>
      </c>
      <c r="F200" t="inlineStr">
        <is>
          <t>Kommuner</t>
        </is>
      </c>
      <c r="G200" t="n">
        <v>19.6</v>
      </c>
      <c r="H200" t="n">
        <v>0</v>
      </c>
      <c r="I200" t="n">
        <v>0</v>
      </c>
      <c r="J200" t="n">
        <v>1</v>
      </c>
      <c r="K200" t="n">
        <v>0</v>
      </c>
      <c r="L200" t="n">
        <v>0</v>
      </c>
      <c r="M200" t="n">
        <v>0</v>
      </c>
      <c r="N200" t="n">
        <v>0</v>
      </c>
      <c r="O200" t="n">
        <v>1</v>
      </c>
      <c r="P200" t="n">
        <v>0</v>
      </c>
      <c r="Q200" t="n">
        <v>1</v>
      </c>
      <c r="R200" s="2" t="inlineStr">
        <is>
          <t>Garnlav</t>
        </is>
      </c>
      <c r="S200">
        <f>HYPERLINK("https://klasma.github.io/Logging_2283/artfynd/A 38367-2022 artfynd.xlsx", "A 38367-2022")</f>
        <v/>
      </c>
      <c r="T200">
        <f>HYPERLINK("https://klasma.github.io/Logging_2283/kartor/A 38367-2022 karta.png", "A 38367-2022")</f>
        <v/>
      </c>
      <c r="V200">
        <f>HYPERLINK("https://klasma.github.io/Logging_2283/klagomål/A 38367-2022 FSC-klagomål.docx", "A 38367-2022")</f>
        <v/>
      </c>
      <c r="W200">
        <f>HYPERLINK("https://klasma.github.io/Logging_2283/klagomålsmail/A 38367-2022 FSC-klagomål mail.docx", "A 38367-2022")</f>
        <v/>
      </c>
      <c r="X200">
        <f>HYPERLINK("https://klasma.github.io/Logging_2283/tillsyn/A 38367-2022 tillsynsbegäran.docx", "A 38367-2022")</f>
        <v/>
      </c>
      <c r="Y200">
        <f>HYPERLINK("https://klasma.github.io/Logging_2283/tillsynsmail/A 38367-2022 tillsynsbegäran mail.docx", "A 38367-2022")</f>
        <v/>
      </c>
    </row>
    <row r="201" ht="15" customHeight="1">
      <c r="A201" t="inlineStr">
        <is>
          <t>A 38363-2022</t>
        </is>
      </c>
      <c r="B201" s="1" t="n">
        <v>44812</v>
      </c>
      <c r="C201" s="1" t="n">
        <v>45282</v>
      </c>
      <c r="D201" t="inlineStr">
        <is>
          <t>VÄSTERNORRLANDS LÄN</t>
        </is>
      </c>
      <c r="E201" t="inlineStr">
        <is>
          <t>SOLLEFTEÅ</t>
        </is>
      </c>
      <c r="F201" t="inlineStr">
        <is>
          <t>Kommuner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HYPERLINK("https://klasma.github.io/Logging_2283/artfynd/A 38363-2022 artfynd.xlsx", "A 38363-2022")</f>
        <v/>
      </c>
      <c r="T201">
        <f>HYPERLINK("https://klasma.github.io/Logging_2283/kartor/A 38363-2022 karta.png", "A 38363-2022")</f>
        <v/>
      </c>
      <c r="V201">
        <f>HYPERLINK("https://klasma.github.io/Logging_2283/klagomål/A 38363-2022 FSC-klagomål.docx", "A 38363-2022")</f>
        <v/>
      </c>
      <c r="W201">
        <f>HYPERLINK("https://klasma.github.io/Logging_2283/klagomålsmail/A 38363-2022 FSC-klagomål mail.docx", "A 38363-2022")</f>
        <v/>
      </c>
      <c r="X201">
        <f>HYPERLINK("https://klasma.github.io/Logging_2283/tillsyn/A 38363-2022 tillsynsbegäran.docx", "A 38363-2022")</f>
        <v/>
      </c>
      <c r="Y201">
        <f>HYPERLINK("https://klasma.github.io/Logging_2283/tillsynsmail/A 38363-2022 tillsynsbegäran mail.docx", "A 38363-2022")</f>
        <v/>
      </c>
    </row>
    <row r="202" ht="15" customHeight="1">
      <c r="A202" t="inlineStr">
        <is>
          <t>A 40626-2022</t>
        </is>
      </c>
      <c r="B202" s="1" t="n">
        <v>44824</v>
      </c>
      <c r="C202" s="1" t="n">
        <v>45282</v>
      </c>
      <c r="D202" t="inlineStr">
        <is>
          <t>VÄSTERNORRLANDS LÄN</t>
        </is>
      </c>
      <c r="E202" t="inlineStr">
        <is>
          <t>SOLLEFTEÅ</t>
        </is>
      </c>
      <c r="F202" t="inlineStr">
        <is>
          <t>SCA</t>
        </is>
      </c>
      <c r="G202" t="n">
        <v>2.5</v>
      </c>
      <c r="H202" t="n">
        <v>1</v>
      </c>
      <c r="I202" t="n">
        <v>0</v>
      </c>
      <c r="J202" t="n">
        <v>1</v>
      </c>
      <c r="K202" t="n">
        <v>0</v>
      </c>
      <c r="L202" t="n">
        <v>0</v>
      </c>
      <c r="M202" t="n">
        <v>0</v>
      </c>
      <c r="N202" t="n">
        <v>0</v>
      </c>
      <c r="O202" t="n">
        <v>1</v>
      </c>
      <c r="P202" t="n">
        <v>0</v>
      </c>
      <c r="Q202" t="n">
        <v>1</v>
      </c>
      <c r="R202" s="2" t="inlineStr">
        <is>
          <t>Spillkråka</t>
        </is>
      </c>
      <c r="S202">
        <f>HYPERLINK("https://klasma.github.io/Logging_2283/artfynd/A 40626-2022 artfynd.xlsx", "A 40626-2022")</f>
        <v/>
      </c>
      <c r="T202">
        <f>HYPERLINK("https://klasma.github.io/Logging_2283/kartor/A 40626-2022 karta.png", "A 40626-2022")</f>
        <v/>
      </c>
      <c r="V202">
        <f>HYPERLINK("https://klasma.github.io/Logging_2283/klagomål/A 40626-2022 FSC-klagomål.docx", "A 40626-2022")</f>
        <v/>
      </c>
      <c r="W202">
        <f>HYPERLINK("https://klasma.github.io/Logging_2283/klagomålsmail/A 40626-2022 FSC-klagomål mail.docx", "A 40626-2022")</f>
        <v/>
      </c>
      <c r="X202">
        <f>HYPERLINK("https://klasma.github.io/Logging_2283/tillsyn/A 40626-2022 tillsynsbegäran.docx", "A 40626-2022")</f>
        <v/>
      </c>
      <c r="Y202">
        <f>HYPERLINK("https://klasma.github.io/Logging_2283/tillsynsmail/A 40626-2022 tillsynsbegäran mail.docx", "A 40626-2022")</f>
        <v/>
      </c>
    </row>
    <row r="203" ht="15" customHeight="1">
      <c r="A203" t="inlineStr">
        <is>
          <t>A 44763-2022</t>
        </is>
      </c>
      <c r="B203" s="1" t="n">
        <v>44840</v>
      </c>
      <c r="C203" s="1" t="n">
        <v>45282</v>
      </c>
      <c r="D203" t="inlineStr">
        <is>
          <t>VÄSTERNORRLANDS LÄN</t>
        </is>
      </c>
      <c r="E203" t="inlineStr">
        <is>
          <t>SOLLEFTEÅ</t>
        </is>
      </c>
      <c r="F203" t="inlineStr">
        <is>
          <t>SCA</t>
        </is>
      </c>
      <c r="G203" t="n">
        <v>1.2</v>
      </c>
      <c r="H203" t="n">
        <v>0</v>
      </c>
      <c r="I203" t="n">
        <v>0</v>
      </c>
      <c r="J203" t="n">
        <v>1</v>
      </c>
      <c r="K203" t="n">
        <v>0</v>
      </c>
      <c r="L203" t="n">
        <v>0</v>
      </c>
      <c r="M203" t="n">
        <v>0</v>
      </c>
      <c r="N203" t="n">
        <v>0</v>
      </c>
      <c r="O203" t="n">
        <v>1</v>
      </c>
      <c r="P203" t="n">
        <v>0</v>
      </c>
      <c r="Q203" t="n">
        <v>1</v>
      </c>
      <c r="R203" s="2" t="inlineStr">
        <is>
          <t>Rosenticka</t>
        </is>
      </c>
      <c r="S203">
        <f>HYPERLINK("https://klasma.github.io/Logging_2283/artfynd/A 44763-2022 artfynd.xlsx", "A 44763-2022")</f>
        <v/>
      </c>
      <c r="T203">
        <f>HYPERLINK("https://klasma.github.io/Logging_2283/kartor/A 44763-2022 karta.png", "A 44763-2022")</f>
        <v/>
      </c>
      <c r="V203">
        <f>HYPERLINK("https://klasma.github.io/Logging_2283/klagomål/A 44763-2022 FSC-klagomål.docx", "A 44763-2022")</f>
        <v/>
      </c>
      <c r="W203">
        <f>HYPERLINK("https://klasma.github.io/Logging_2283/klagomålsmail/A 44763-2022 FSC-klagomål mail.docx", "A 44763-2022")</f>
        <v/>
      </c>
      <c r="X203">
        <f>HYPERLINK("https://klasma.github.io/Logging_2283/tillsyn/A 44763-2022 tillsynsbegäran.docx", "A 44763-2022")</f>
        <v/>
      </c>
      <c r="Y203">
        <f>HYPERLINK("https://klasma.github.io/Logging_2283/tillsynsmail/A 44763-2022 tillsynsbegäran mail.docx", "A 44763-2022")</f>
        <v/>
      </c>
    </row>
    <row r="204" ht="15" customHeight="1">
      <c r="A204" t="inlineStr">
        <is>
          <t>A 46041-2022</t>
        </is>
      </c>
      <c r="B204" s="1" t="n">
        <v>44846</v>
      </c>
      <c r="C204" s="1" t="n">
        <v>45282</v>
      </c>
      <c r="D204" t="inlineStr">
        <is>
          <t>VÄSTERNORRLANDS LÄN</t>
        </is>
      </c>
      <c r="E204" t="inlineStr">
        <is>
          <t>SOLLEFTEÅ</t>
        </is>
      </c>
      <c r="F204" t="inlineStr">
        <is>
          <t>SCA</t>
        </is>
      </c>
      <c r="G204" t="n">
        <v>21.1</v>
      </c>
      <c r="H204" t="n">
        <v>0</v>
      </c>
      <c r="I204" t="n">
        <v>0</v>
      </c>
      <c r="J204" t="n">
        <v>1</v>
      </c>
      <c r="K204" t="n">
        <v>0</v>
      </c>
      <c r="L204" t="n">
        <v>0</v>
      </c>
      <c r="M204" t="n">
        <v>0</v>
      </c>
      <c r="N204" t="n">
        <v>0</v>
      </c>
      <c r="O204" t="n">
        <v>1</v>
      </c>
      <c r="P204" t="n">
        <v>0</v>
      </c>
      <c r="Q204" t="n">
        <v>1</v>
      </c>
      <c r="R204" s="2" t="inlineStr">
        <is>
          <t>Lunglav</t>
        </is>
      </c>
      <c r="S204">
        <f>HYPERLINK("https://klasma.github.io/Logging_2283/artfynd/A 46041-2022 artfynd.xlsx", "A 46041-2022")</f>
        <v/>
      </c>
      <c r="T204">
        <f>HYPERLINK("https://klasma.github.io/Logging_2283/kartor/A 46041-2022 karta.png", "A 46041-2022")</f>
        <v/>
      </c>
      <c r="V204">
        <f>HYPERLINK("https://klasma.github.io/Logging_2283/klagomål/A 46041-2022 FSC-klagomål.docx", "A 46041-2022")</f>
        <v/>
      </c>
      <c r="W204">
        <f>HYPERLINK("https://klasma.github.io/Logging_2283/klagomålsmail/A 46041-2022 FSC-klagomål mail.docx", "A 46041-2022")</f>
        <v/>
      </c>
      <c r="X204">
        <f>HYPERLINK("https://klasma.github.io/Logging_2283/tillsyn/A 46041-2022 tillsynsbegäran.docx", "A 46041-2022")</f>
        <v/>
      </c>
      <c r="Y204">
        <f>HYPERLINK("https://klasma.github.io/Logging_2283/tillsynsmail/A 46041-2022 tillsynsbegäran mail.docx", "A 46041-2022")</f>
        <v/>
      </c>
    </row>
    <row r="205" ht="15" customHeight="1">
      <c r="A205" t="inlineStr">
        <is>
          <t>A 46376-2022</t>
        </is>
      </c>
      <c r="B205" s="1" t="n">
        <v>44848</v>
      </c>
      <c r="C205" s="1" t="n">
        <v>45282</v>
      </c>
      <c r="D205" t="inlineStr">
        <is>
          <t>VÄSTERNORRLANDS LÄN</t>
        </is>
      </c>
      <c r="E205" t="inlineStr">
        <is>
          <t>SOLLEFTEÅ</t>
        </is>
      </c>
      <c r="F205" t="inlineStr">
        <is>
          <t>Holmen skog AB</t>
        </is>
      </c>
      <c r="G205" t="n">
        <v>23.9</v>
      </c>
      <c r="H205" t="n">
        <v>0</v>
      </c>
      <c r="I205" t="n">
        <v>1</v>
      </c>
      <c r="J205" t="n">
        <v>0</v>
      </c>
      <c r="K205" t="n">
        <v>0</v>
      </c>
      <c r="L205" t="n">
        <v>0</v>
      </c>
      <c r="M205" t="n">
        <v>0</v>
      </c>
      <c r="N205" t="n">
        <v>0</v>
      </c>
      <c r="O205" t="n">
        <v>0</v>
      </c>
      <c r="P205" t="n">
        <v>0</v>
      </c>
      <c r="Q205" t="n">
        <v>1</v>
      </c>
      <c r="R205" s="2" t="inlineStr">
        <is>
          <t>Skarp dropptaggsvamp</t>
        </is>
      </c>
      <c r="S205">
        <f>HYPERLINK("https://klasma.github.io/Logging_2283/artfynd/A 46376-2022 artfynd.xlsx", "A 46376-2022")</f>
        <v/>
      </c>
      <c r="T205">
        <f>HYPERLINK("https://klasma.github.io/Logging_2283/kartor/A 46376-2022 karta.png", "A 46376-2022")</f>
        <v/>
      </c>
      <c r="V205">
        <f>HYPERLINK("https://klasma.github.io/Logging_2283/klagomål/A 46376-2022 FSC-klagomål.docx", "A 46376-2022")</f>
        <v/>
      </c>
      <c r="W205">
        <f>HYPERLINK("https://klasma.github.io/Logging_2283/klagomålsmail/A 46376-2022 FSC-klagomål mail.docx", "A 46376-2022")</f>
        <v/>
      </c>
      <c r="X205">
        <f>HYPERLINK("https://klasma.github.io/Logging_2283/tillsyn/A 46376-2022 tillsynsbegäran.docx", "A 46376-2022")</f>
        <v/>
      </c>
      <c r="Y205">
        <f>HYPERLINK("https://klasma.github.io/Logging_2283/tillsynsmail/A 46376-2022 tillsynsbegäran mail.docx", "A 46376-2022")</f>
        <v/>
      </c>
    </row>
    <row r="206" ht="15" customHeight="1">
      <c r="A206" t="inlineStr">
        <is>
          <t>A 46629-2022</t>
        </is>
      </c>
      <c r="B206" s="1" t="n">
        <v>44848</v>
      </c>
      <c r="C206" s="1" t="n">
        <v>45282</v>
      </c>
      <c r="D206" t="inlineStr">
        <is>
          <t>VÄSTERNORRLANDS LÄN</t>
        </is>
      </c>
      <c r="E206" t="inlineStr">
        <is>
          <t>SOLLEFTEÅ</t>
        </is>
      </c>
      <c r="F206" t="inlineStr">
        <is>
          <t>SCA</t>
        </is>
      </c>
      <c r="G206" t="n">
        <v>4.5</v>
      </c>
      <c r="H206" t="n">
        <v>1</v>
      </c>
      <c r="I206" t="n">
        <v>0</v>
      </c>
      <c r="J206" t="n">
        <v>0</v>
      </c>
      <c r="K206" t="n">
        <v>1</v>
      </c>
      <c r="L206" t="n">
        <v>0</v>
      </c>
      <c r="M206" t="n">
        <v>0</v>
      </c>
      <c r="N206" t="n">
        <v>0</v>
      </c>
      <c r="O206" t="n">
        <v>1</v>
      </c>
      <c r="P206" t="n">
        <v>1</v>
      </c>
      <c r="Q206" t="n">
        <v>1</v>
      </c>
      <c r="R206" s="2" t="inlineStr">
        <is>
          <t>Knärot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row>
    <row r="207" ht="15" customHeight="1">
      <c r="A207" t="inlineStr">
        <is>
          <t>A 46630-2022</t>
        </is>
      </c>
      <c r="B207" s="1" t="n">
        <v>44848</v>
      </c>
      <c r="C207" s="1" t="n">
        <v>45282</v>
      </c>
      <c r="D207" t="inlineStr">
        <is>
          <t>VÄSTERNORRLANDS LÄN</t>
        </is>
      </c>
      <c r="E207" t="inlineStr">
        <is>
          <t>SOLLEFTEÅ</t>
        </is>
      </c>
      <c r="F207" t="inlineStr">
        <is>
          <t>SCA</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HYPERLINK("https://klasma.github.io/Logging_2283/artfynd/A 46630-2022 artfynd.xlsx", "A 46630-2022")</f>
        <v/>
      </c>
      <c r="T207">
        <f>HYPERLINK("https://klasma.github.io/Logging_2283/kartor/A 46630-2022 karta.png", "A 46630-2022")</f>
        <v/>
      </c>
      <c r="U207">
        <f>HYPERLINK("https://klasma.github.io/Logging_2283/knärot/A 46630-2022 karta knärot.png", "A 46630-2022")</f>
        <v/>
      </c>
      <c r="V207">
        <f>HYPERLINK("https://klasma.github.io/Logging_2283/klagomål/A 46630-2022 FSC-klagomål.docx", "A 46630-2022")</f>
        <v/>
      </c>
      <c r="W207">
        <f>HYPERLINK("https://klasma.github.io/Logging_2283/klagomålsmail/A 46630-2022 FSC-klagomål mail.docx", "A 46630-2022")</f>
        <v/>
      </c>
      <c r="X207">
        <f>HYPERLINK("https://klasma.github.io/Logging_2283/tillsyn/A 46630-2022 tillsynsbegäran.docx", "A 46630-2022")</f>
        <v/>
      </c>
      <c r="Y207">
        <f>HYPERLINK("https://klasma.github.io/Logging_2283/tillsynsmail/A 46630-2022 tillsynsbegäran mail.docx", "A 46630-2022")</f>
        <v/>
      </c>
    </row>
    <row r="208" ht="15" customHeight="1">
      <c r="A208" t="inlineStr">
        <is>
          <t>A 52736-2022</t>
        </is>
      </c>
      <c r="B208" s="1" t="n">
        <v>44874</v>
      </c>
      <c r="C208" s="1" t="n">
        <v>45282</v>
      </c>
      <c r="D208" t="inlineStr">
        <is>
          <t>VÄSTERNORRLANDS LÄN</t>
        </is>
      </c>
      <c r="E208" t="inlineStr">
        <is>
          <t>SOLLEFTEÅ</t>
        </is>
      </c>
      <c r="F208" t="inlineStr">
        <is>
          <t>SCA</t>
        </is>
      </c>
      <c r="G208" t="n">
        <v>15.1</v>
      </c>
      <c r="H208" t="n">
        <v>0</v>
      </c>
      <c r="I208" t="n">
        <v>0</v>
      </c>
      <c r="J208" t="n">
        <v>1</v>
      </c>
      <c r="K208" t="n">
        <v>0</v>
      </c>
      <c r="L208" t="n">
        <v>0</v>
      </c>
      <c r="M208" t="n">
        <v>0</v>
      </c>
      <c r="N208" t="n">
        <v>0</v>
      </c>
      <c r="O208" t="n">
        <v>1</v>
      </c>
      <c r="P208" t="n">
        <v>0</v>
      </c>
      <c r="Q208" t="n">
        <v>1</v>
      </c>
      <c r="R208" s="2" t="inlineStr">
        <is>
          <t>Orange taggsvamp</t>
        </is>
      </c>
      <c r="S208">
        <f>HYPERLINK("https://klasma.github.io/Logging_2283/artfynd/A 52736-2022 artfynd.xlsx", "A 52736-2022")</f>
        <v/>
      </c>
      <c r="T208">
        <f>HYPERLINK("https://klasma.github.io/Logging_2283/kartor/A 52736-2022 karta.png", "A 52736-2022")</f>
        <v/>
      </c>
      <c r="V208">
        <f>HYPERLINK("https://klasma.github.io/Logging_2283/klagomål/A 52736-2022 FSC-klagomål.docx", "A 52736-2022")</f>
        <v/>
      </c>
      <c r="W208">
        <f>HYPERLINK("https://klasma.github.io/Logging_2283/klagomålsmail/A 52736-2022 FSC-klagomål mail.docx", "A 52736-2022")</f>
        <v/>
      </c>
      <c r="X208">
        <f>HYPERLINK("https://klasma.github.io/Logging_2283/tillsyn/A 52736-2022 tillsynsbegäran.docx", "A 52736-2022")</f>
        <v/>
      </c>
      <c r="Y208">
        <f>HYPERLINK("https://klasma.github.io/Logging_2283/tillsynsmail/A 52736-2022 tillsynsbegäran mail.docx", "A 52736-2022")</f>
        <v/>
      </c>
    </row>
    <row r="209" ht="15" customHeight="1">
      <c r="A209" t="inlineStr">
        <is>
          <t>A 56932-2022</t>
        </is>
      </c>
      <c r="B209" s="1" t="n">
        <v>44894</v>
      </c>
      <c r="C209" s="1" t="n">
        <v>45282</v>
      </c>
      <c r="D209" t="inlineStr">
        <is>
          <t>VÄSTERNORRLANDS LÄN</t>
        </is>
      </c>
      <c r="E209" t="inlineStr">
        <is>
          <t>SOLLEFTEÅ</t>
        </is>
      </c>
      <c r="F209" t="inlineStr">
        <is>
          <t>Holmen skog AB</t>
        </is>
      </c>
      <c r="G209" t="n">
        <v>1.9</v>
      </c>
      <c r="H209" t="n">
        <v>0</v>
      </c>
      <c r="I209" t="n">
        <v>0</v>
      </c>
      <c r="J209" t="n">
        <v>1</v>
      </c>
      <c r="K209" t="n">
        <v>0</v>
      </c>
      <c r="L209" t="n">
        <v>0</v>
      </c>
      <c r="M209" t="n">
        <v>0</v>
      </c>
      <c r="N209" t="n">
        <v>0</v>
      </c>
      <c r="O209" t="n">
        <v>1</v>
      </c>
      <c r="P209" t="n">
        <v>0</v>
      </c>
      <c r="Q209" t="n">
        <v>1</v>
      </c>
      <c r="R209" s="2" t="inlineStr">
        <is>
          <t>Koralltaggsvamp</t>
        </is>
      </c>
      <c r="S209">
        <f>HYPERLINK("https://klasma.github.io/Logging_2283/artfynd/A 56932-2022 artfynd.xlsx", "A 56932-2022")</f>
        <v/>
      </c>
      <c r="T209">
        <f>HYPERLINK("https://klasma.github.io/Logging_2283/kartor/A 56932-2022 karta.png", "A 56932-2022")</f>
        <v/>
      </c>
      <c r="V209">
        <f>HYPERLINK("https://klasma.github.io/Logging_2283/klagomål/A 56932-2022 FSC-klagomål.docx", "A 56932-2022")</f>
        <v/>
      </c>
      <c r="W209">
        <f>HYPERLINK("https://klasma.github.io/Logging_2283/klagomålsmail/A 56932-2022 FSC-klagomål mail.docx", "A 56932-2022")</f>
        <v/>
      </c>
      <c r="X209">
        <f>HYPERLINK("https://klasma.github.io/Logging_2283/tillsyn/A 56932-2022 tillsynsbegäran.docx", "A 56932-2022")</f>
        <v/>
      </c>
      <c r="Y209">
        <f>HYPERLINK("https://klasma.github.io/Logging_2283/tillsynsmail/A 56932-2022 tillsynsbegäran mail.docx", "A 56932-2022")</f>
        <v/>
      </c>
    </row>
    <row r="210" ht="15" customHeight="1">
      <c r="A210" t="inlineStr">
        <is>
          <t>A 60833-2022</t>
        </is>
      </c>
      <c r="B210" s="1" t="n">
        <v>44907</v>
      </c>
      <c r="C210" s="1" t="n">
        <v>45282</v>
      </c>
      <c r="D210" t="inlineStr">
        <is>
          <t>VÄSTERNORRLANDS LÄN</t>
        </is>
      </c>
      <c r="E210" t="inlineStr">
        <is>
          <t>SOLLEFTEÅ</t>
        </is>
      </c>
      <c r="G210" t="n">
        <v>4.4</v>
      </c>
      <c r="H210" t="n">
        <v>0</v>
      </c>
      <c r="I210" t="n">
        <v>0</v>
      </c>
      <c r="J210" t="n">
        <v>1</v>
      </c>
      <c r="K210" t="n">
        <v>0</v>
      </c>
      <c r="L210" t="n">
        <v>0</v>
      </c>
      <c r="M210" t="n">
        <v>0</v>
      </c>
      <c r="N210" t="n">
        <v>0</v>
      </c>
      <c r="O210" t="n">
        <v>1</v>
      </c>
      <c r="P210" t="n">
        <v>0</v>
      </c>
      <c r="Q210" t="n">
        <v>1</v>
      </c>
      <c r="R210" s="2" t="inlineStr">
        <is>
          <t>Kolflarnlav</t>
        </is>
      </c>
      <c r="S210">
        <f>HYPERLINK("https://klasma.github.io/Logging_2283/artfynd/A 60833-2022 artfynd.xlsx", "A 60833-2022")</f>
        <v/>
      </c>
      <c r="T210">
        <f>HYPERLINK("https://klasma.github.io/Logging_2283/kartor/A 60833-2022 karta.png", "A 60833-2022")</f>
        <v/>
      </c>
      <c r="V210">
        <f>HYPERLINK("https://klasma.github.io/Logging_2283/klagomål/A 60833-2022 FSC-klagomål.docx", "A 60833-2022")</f>
        <v/>
      </c>
      <c r="W210">
        <f>HYPERLINK("https://klasma.github.io/Logging_2283/klagomålsmail/A 60833-2022 FSC-klagomål mail.docx", "A 60833-2022")</f>
        <v/>
      </c>
      <c r="X210">
        <f>HYPERLINK("https://klasma.github.io/Logging_2283/tillsyn/A 60833-2022 tillsynsbegäran.docx", "A 60833-2022")</f>
        <v/>
      </c>
      <c r="Y210">
        <f>HYPERLINK("https://klasma.github.io/Logging_2283/tillsynsmail/A 60833-2022 tillsynsbegäran mail.docx", "A 60833-2022")</f>
        <v/>
      </c>
    </row>
    <row r="211" ht="15" customHeight="1">
      <c r="A211" t="inlineStr">
        <is>
          <t>A 60939-2022</t>
        </is>
      </c>
      <c r="B211" s="1" t="n">
        <v>44908</v>
      </c>
      <c r="C211" s="1" t="n">
        <v>45282</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Garnlav</t>
        </is>
      </c>
      <c r="S211">
        <f>HYPERLINK("https://klasma.github.io/Logging_2283/artfynd/A 60939-2022 artfynd.xlsx", "A 60939-2022")</f>
        <v/>
      </c>
      <c r="T211">
        <f>HYPERLINK("https://klasma.github.io/Logging_2283/kartor/A 60939-2022 karta.png", "A 60939-2022")</f>
        <v/>
      </c>
      <c r="V211">
        <f>HYPERLINK("https://klasma.github.io/Logging_2283/klagomål/A 60939-2022 FSC-klagomål.docx", "A 60939-2022")</f>
        <v/>
      </c>
      <c r="W211">
        <f>HYPERLINK("https://klasma.github.io/Logging_2283/klagomålsmail/A 60939-2022 FSC-klagomål mail.docx", "A 60939-2022")</f>
        <v/>
      </c>
      <c r="X211">
        <f>HYPERLINK("https://klasma.github.io/Logging_2283/tillsyn/A 60939-2022 tillsynsbegäran.docx", "A 60939-2022")</f>
        <v/>
      </c>
      <c r="Y211">
        <f>HYPERLINK("https://klasma.github.io/Logging_2283/tillsynsmail/A 60939-2022 tillsynsbegäran mail.docx", "A 60939-2022")</f>
        <v/>
      </c>
    </row>
    <row r="212" ht="15" customHeight="1">
      <c r="A212" t="inlineStr">
        <is>
          <t>A 986-2023</t>
        </is>
      </c>
      <c r="B212" s="1" t="n">
        <v>44935</v>
      </c>
      <c r="C212" s="1" t="n">
        <v>45282</v>
      </c>
      <c r="D212" t="inlineStr">
        <is>
          <t>VÄSTERNORRLANDS LÄN</t>
        </is>
      </c>
      <c r="E212" t="inlineStr">
        <is>
          <t>SOLLEFTEÅ</t>
        </is>
      </c>
      <c r="G212" t="n">
        <v>2.6</v>
      </c>
      <c r="H212" t="n">
        <v>1</v>
      </c>
      <c r="I212" t="n">
        <v>0</v>
      </c>
      <c r="J212" t="n">
        <v>0</v>
      </c>
      <c r="K212" t="n">
        <v>0</v>
      </c>
      <c r="L212" t="n">
        <v>0</v>
      </c>
      <c r="M212" t="n">
        <v>0</v>
      </c>
      <c r="N212" t="n">
        <v>0</v>
      </c>
      <c r="O212" t="n">
        <v>0</v>
      </c>
      <c r="P212" t="n">
        <v>0</v>
      </c>
      <c r="Q212" t="n">
        <v>1</v>
      </c>
      <c r="R212" s="2" t="inlineStr">
        <is>
          <t>Revlummer</t>
        </is>
      </c>
      <c r="S212">
        <f>HYPERLINK("https://klasma.github.io/Logging_2283/artfynd/A 986-2023 artfynd.xlsx", "A 986-2023")</f>
        <v/>
      </c>
      <c r="T212">
        <f>HYPERLINK("https://klasma.github.io/Logging_2283/kartor/A 986-2023 karta.png", "A 986-2023")</f>
        <v/>
      </c>
      <c r="V212">
        <f>HYPERLINK("https://klasma.github.io/Logging_2283/klagomål/A 986-2023 FSC-klagomål.docx", "A 986-2023")</f>
        <v/>
      </c>
      <c r="W212">
        <f>HYPERLINK("https://klasma.github.io/Logging_2283/klagomålsmail/A 986-2023 FSC-klagomål mail.docx", "A 986-2023")</f>
        <v/>
      </c>
      <c r="X212">
        <f>HYPERLINK("https://klasma.github.io/Logging_2283/tillsyn/A 986-2023 tillsynsbegäran.docx", "A 986-2023")</f>
        <v/>
      </c>
      <c r="Y212">
        <f>HYPERLINK("https://klasma.github.io/Logging_2283/tillsynsmail/A 986-2023 tillsynsbegäran mail.docx", "A 986-2023")</f>
        <v/>
      </c>
    </row>
    <row r="213" ht="15" customHeight="1">
      <c r="A213" t="inlineStr">
        <is>
          <t>A 12862-2023</t>
        </is>
      </c>
      <c r="B213" s="1" t="n">
        <v>45001</v>
      </c>
      <c r="C213" s="1" t="n">
        <v>45282</v>
      </c>
      <c r="D213" t="inlineStr">
        <is>
          <t>VÄSTERNORRLANDS LÄN</t>
        </is>
      </c>
      <c r="E213" t="inlineStr">
        <is>
          <t>SOLLEFTEÅ</t>
        </is>
      </c>
      <c r="F213" t="inlineStr">
        <is>
          <t>Övriga Aktiebolag</t>
        </is>
      </c>
      <c r="G213" t="n">
        <v>10.4</v>
      </c>
      <c r="H213" t="n">
        <v>0</v>
      </c>
      <c r="I213" t="n">
        <v>1</v>
      </c>
      <c r="J213" t="n">
        <v>0</v>
      </c>
      <c r="K213" t="n">
        <v>0</v>
      </c>
      <c r="L213" t="n">
        <v>0</v>
      </c>
      <c r="M213" t="n">
        <v>0</v>
      </c>
      <c r="N213" t="n">
        <v>0</v>
      </c>
      <c r="O213" t="n">
        <v>0</v>
      </c>
      <c r="P213" t="n">
        <v>0</v>
      </c>
      <c r="Q213" t="n">
        <v>1</v>
      </c>
      <c r="R213" s="2" t="inlineStr">
        <is>
          <t>Korallblylav</t>
        </is>
      </c>
      <c r="S213">
        <f>HYPERLINK("https://klasma.github.io/Logging_2283/artfynd/A 12862-2023 artfynd.xlsx", "A 12862-2023")</f>
        <v/>
      </c>
      <c r="T213">
        <f>HYPERLINK("https://klasma.github.io/Logging_2283/kartor/A 12862-2023 karta.png", "A 12862-2023")</f>
        <v/>
      </c>
      <c r="V213">
        <f>HYPERLINK("https://klasma.github.io/Logging_2283/klagomål/A 12862-2023 FSC-klagomål.docx", "A 12862-2023")</f>
        <v/>
      </c>
      <c r="W213">
        <f>HYPERLINK("https://klasma.github.io/Logging_2283/klagomålsmail/A 12862-2023 FSC-klagomål mail.docx", "A 12862-2023")</f>
        <v/>
      </c>
      <c r="X213">
        <f>HYPERLINK("https://klasma.github.io/Logging_2283/tillsyn/A 12862-2023 tillsynsbegäran.docx", "A 12862-2023")</f>
        <v/>
      </c>
      <c r="Y213">
        <f>HYPERLINK("https://klasma.github.io/Logging_2283/tillsynsmail/A 12862-2023 tillsynsbegäran mail.docx", "A 12862-2023")</f>
        <v/>
      </c>
    </row>
    <row r="214" ht="15" customHeight="1">
      <c r="A214" t="inlineStr">
        <is>
          <t>A 29958-2023</t>
        </is>
      </c>
      <c r="B214" s="1" t="n">
        <v>45107</v>
      </c>
      <c r="C214" s="1" t="n">
        <v>45282</v>
      </c>
      <c r="D214" t="inlineStr">
        <is>
          <t>VÄSTERNORRLANDS LÄN</t>
        </is>
      </c>
      <c r="E214" t="inlineStr">
        <is>
          <t>SOLLEFTEÅ</t>
        </is>
      </c>
      <c r="F214" t="inlineStr">
        <is>
          <t>SCA</t>
        </is>
      </c>
      <c r="G214" t="n">
        <v>7.5</v>
      </c>
      <c r="H214" t="n">
        <v>1</v>
      </c>
      <c r="I214" t="n">
        <v>0</v>
      </c>
      <c r="J214" t="n">
        <v>1</v>
      </c>
      <c r="K214" t="n">
        <v>0</v>
      </c>
      <c r="L214" t="n">
        <v>0</v>
      </c>
      <c r="M214" t="n">
        <v>0</v>
      </c>
      <c r="N214" t="n">
        <v>0</v>
      </c>
      <c r="O214" t="n">
        <v>1</v>
      </c>
      <c r="P214" t="n">
        <v>0</v>
      </c>
      <c r="Q214" t="n">
        <v>1</v>
      </c>
      <c r="R214" s="2" t="inlineStr">
        <is>
          <t>Tretåig hackspett</t>
        </is>
      </c>
      <c r="S214">
        <f>HYPERLINK("https://klasma.github.io/Logging_2283/artfynd/A 29958-2023 artfynd.xlsx", "A 29958-2023")</f>
        <v/>
      </c>
      <c r="T214">
        <f>HYPERLINK("https://klasma.github.io/Logging_2283/kartor/A 29958-2023 karta.png", "A 29958-2023")</f>
        <v/>
      </c>
      <c r="V214">
        <f>HYPERLINK("https://klasma.github.io/Logging_2283/klagomål/A 29958-2023 FSC-klagomål.docx", "A 29958-2023")</f>
        <v/>
      </c>
      <c r="W214">
        <f>HYPERLINK("https://klasma.github.io/Logging_2283/klagomålsmail/A 29958-2023 FSC-klagomål mail.docx", "A 29958-2023")</f>
        <v/>
      </c>
      <c r="X214">
        <f>HYPERLINK("https://klasma.github.io/Logging_2283/tillsyn/A 29958-2023 tillsynsbegäran.docx", "A 29958-2023")</f>
        <v/>
      </c>
      <c r="Y214">
        <f>HYPERLINK("https://klasma.github.io/Logging_2283/tillsynsmail/A 29958-2023 tillsynsbegäran mail.docx", "A 29958-2023")</f>
        <v/>
      </c>
    </row>
    <row r="215" ht="15" customHeight="1">
      <c r="A215" t="inlineStr">
        <is>
          <t>A 31920-2023</t>
        </is>
      </c>
      <c r="B215" s="1" t="n">
        <v>45118</v>
      </c>
      <c r="C215" s="1" t="n">
        <v>45282</v>
      </c>
      <c r="D215" t="inlineStr">
        <is>
          <t>VÄSTERNORRLANDS LÄN</t>
        </is>
      </c>
      <c r="E215" t="inlineStr">
        <is>
          <t>SOLLEFTEÅ</t>
        </is>
      </c>
      <c r="F215" t="inlineStr">
        <is>
          <t>SCA</t>
        </is>
      </c>
      <c r="G215" t="n">
        <v>2</v>
      </c>
      <c r="H215" t="n">
        <v>0</v>
      </c>
      <c r="I215" t="n">
        <v>0</v>
      </c>
      <c r="J215" t="n">
        <v>1</v>
      </c>
      <c r="K215" t="n">
        <v>0</v>
      </c>
      <c r="L215" t="n">
        <v>0</v>
      </c>
      <c r="M215" t="n">
        <v>0</v>
      </c>
      <c r="N215" t="n">
        <v>0</v>
      </c>
      <c r="O215" t="n">
        <v>1</v>
      </c>
      <c r="P215" t="n">
        <v>0</v>
      </c>
      <c r="Q215" t="n">
        <v>1</v>
      </c>
      <c r="R215" s="2" t="inlineStr">
        <is>
          <t>Ullticka</t>
        </is>
      </c>
      <c r="S215">
        <f>HYPERLINK("https://klasma.github.io/Logging_2283/artfynd/A 31920-2023 artfynd.xlsx", "A 31920-2023")</f>
        <v/>
      </c>
      <c r="T215">
        <f>HYPERLINK("https://klasma.github.io/Logging_2283/kartor/A 31920-2023 karta.png", "A 31920-2023")</f>
        <v/>
      </c>
      <c r="V215">
        <f>HYPERLINK("https://klasma.github.io/Logging_2283/klagomål/A 31920-2023 FSC-klagomål.docx", "A 31920-2023")</f>
        <v/>
      </c>
      <c r="W215">
        <f>HYPERLINK("https://klasma.github.io/Logging_2283/klagomålsmail/A 31920-2023 FSC-klagomål mail.docx", "A 31920-2023")</f>
        <v/>
      </c>
      <c r="X215">
        <f>HYPERLINK("https://klasma.github.io/Logging_2283/tillsyn/A 31920-2023 tillsynsbegäran.docx", "A 31920-2023")</f>
        <v/>
      </c>
      <c r="Y215">
        <f>HYPERLINK("https://klasma.github.io/Logging_2283/tillsynsmail/A 31920-2023 tillsynsbegäran mail.docx", "A 31920-2023")</f>
        <v/>
      </c>
    </row>
    <row r="216" ht="15" customHeight="1">
      <c r="A216" t="inlineStr">
        <is>
          <t>A 32217-2023</t>
        </is>
      </c>
      <c r="B216" s="1" t="n">
        <v>45119</v>
      </c>
      <c r="C216" s="1" t="n">
        <v>45282</v>
      </c>
      <c r="D216" t="inlineStr">
        <is>
          <t>VÄSTERNORRLANDS LÄN</t>
        </is>
      </c>
      <c r="E216" t="inlineStr">
        <is>
          <t>SOLLEFTEÅ</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HYPERLINK("https://klasma.github.io/Logging_2283/artfynd/A 32217-2023 artfynd.xlsx", "A 32217-2023")</f>
        <v/>
      </c>
      <c r="T216">
        <f>HYPERLINK("https://klasma.github.io/Logging_2283/kartor/A 32217-2023 karta.png", "A 32217-2023")</f>
        <v/>
      </c>
      <c r="V216">
        <f>HYPERLINK("https://klasma.github.io/Logging_2283/klagomål/A 32217-2023 FSC-klagomål.docx", "A 32217-2023")</f>
        <v/>
      </c>
      <c r="W216">
        <f>HYPERLINK("https://klasma.github.io/Logging_2283/klagomålsmail/A 32217-2023 FSC-klagomål mail.docx", "A 32217-2023")</f>
        <v/>
      </c>
      <c r="X216">
        <f>HYPERLINK("https://klasma.github.io/Logging_2283/tillsyn/A 32217-2023 tillsynsbegäran.docx", "A 32217-2023")</f>
        <v/>
      </c>
      <c r="Y216">
        <f>HYPERLINK("https://klasma.github.io/Logging_2283/tillsynsmail/A 32217-2023 tillsynsbegäran mail.docx", "A 32217-2023")</f>
        <v/>
      </c>
    </row>
    <row r="217" ht="15" customHeight="1">
      <c r="A217" t="inlineStr">
        <is>
          <t>A 32734-2023</t>
        </is>
      </c>
      <c r="B217" s="1" t="n">
        <v>45121</v>
      </c>
      <c r="C217" s="1" t="n">
        <v>45282</v>
      </c>
      <c r="D217" t="inlineStr">
        <is>
          <t>VÄSTERNORRLANDS LÄN</t>
        </is>
      </c>
      <c r="E217" t="inlineStr">
        <is>
          <t>SOLLEFTEÅ</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HYPERLINK("https://klasma.github.io/Logging_2283/artfynd/A 32734-2023 artfynd.xlsx", "A 32734-2023")</f>
        <v/>
      </c>
      <c r="T217">
        <f>HYPERLINK("https://klasma.github.io/Logging_2283/kartor/A 32734-2023 karta.png", "A 32734-2023")</f>
        <v/>
      </c>
      <c r="V217">
        <f>HYPERLINK("https://klasma.github.io/Logging_2283/klagomål/A 32734-2023 FSC-klagomål.docx", "A 32734-2023")</f>
        <v/>
      </c>
      <c r="W217">
        <f>HYPERLINK("https://klasma.github.io/Logging_2283/klagomålsmail/A 32734-2023 FSC-klagomål mail.docx", "A 32734-2023")</f>
        <v/>
      </c>
      <c r="X217">
        <f>HYPERLINK("https://klasma.github.io/Logging_2283/tillsyn/A 32734-2023 tillsynsbegäran.docx", "A 32734-2023")</f>
        <v/>
      </c>
      <c r="Y217">
        <f>HYPERLINK("https://klasma.github.io/Logging_2283/tillsynsmail/A 32734-2023 tillsynsbegäran mail.docx", "A 32734-2023")</f>
        <v/>
      </c>
    </row>
    <row r="218" ht="15" customHeight="1">
      <c r="A218" t="inlineStr">
        <is>
          <t>A 38089-2023</t>
        </is>
      </c>
      <c r="B218" s="1" t="n">
        <v>45160</v>
      </c>
      <c r="C218" s="1" t="n">
        <v>45282</v>
      </c>
      <c r="D218" t="inlineStr">
        <is>
          <t>VÄSTERNORRLANDS LÄN</t>
        </is>
      </c>
      <c r="E218" t="inlineStr">
        <is>
          <t>SOLLEFTEÅ</t>
        </is>
      </c>
      <c r="F218" t="inlineStr">
        <is>
          <t>SCA</t>
        </is>
      </c>
      <c r="G218" t="n">
        <v>4.3</v>
      </c>
      <c r="H218" t="n">
        <v>0</v>
      </c>
      <c r="I218" t="n">
        <v>0</v>
      </c>
      <c r="J218" t="n">
        <v>1</v>
      </c>
      <c r="K218" t="n">
        <v>0</v>
      </c>
      <c r="L218" t="n">
        <v>0</v>
      </c>
      <c r="M218" t="n">
        <v>0</v>
      </c>
      <c r="N218" t="n">
        <v>0</v>
      </c>
      <c r="O218" t="n">
        <v>1</v>
      </c>
      <c r="P218" t="n">
        <v>0</v>
      </c>
      <c r="Q218" t="n">
        <v>1</v>
      </c>
      <c r="R218" s="2" t="inlineStr">
        <is>
          <t>Garnlav</t>
        </is>
      </c>
      <c r="S218">
        <f>HYPERLINK("https://klasma.github.io/Logging_2283/artfynd/A 38089-2023 artfynd.xlsx", "A 38089-2023")</f>
        <v/>
      </c>
      <c r="T218">
        <f>HYPERLINK("https://klasma.github.io/Logging_2283/kartor/A 38089-2023 karta.png", "A 38089-2023")</f>
        <v/>
      </c>
      <c r="V218">
        <f>HYPERLINK("https://klasma.github.io/Logging_2283/klagomål/A 38089-2023 FSC-klagomål.docx", "A 38089-2023")</f>
        <v/>
      </c>
      <c r="W218">
        <f>HYPERLINK("https://klasma.github.io/Logging_2283/klagomålsmail/A 38089-2023 FSC-klagomål mail.docx", "A 38089-2023")</f>
        <v/>
      </c>
      <c r="X218">
        <f>HYPERLINK("https://klasma.github.io/Logging_2283/tillsyn/A 38089-2023 tillsynsbegäran.docx", "A 38089-2023")</f>
        <v/>
      </c>
      <c r="Y218">
        <f>HYPERLINK("https://klasma.github.io/Logging_2283/tillsynsmail/A 38089-2023 tillsynsbegäran mail.docx", "A 38089-2023")</f>
        <v/>
      </c>
    </row>
    <row r="219" ht="15" customHeight="1">
      <c r="A219" t="inlineStr">
        <is>
          <t>A 39565-2023</t>
        </is>
      </c>
      <c r="B219" s="1" t="n">
        <v>45167</v>
      </c>
      <c r="C219" s="1" t="n">
        <v>45282</v>
      </c>
      <c r="D219" t="inlineStr">
        <is>
          <t>VÄSTERNORRLANDS LÄN</t>
        </is>
      </c>
      <c r="E219" t="inlineStr">
        <is>
          <t>SOLLEFTEÅ</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HYPERLINK("https://klasma.github.io/Logging_2283/artfynd/A 39565-2023 artfynd.xlsx", "A 39565-2023")</f>
        <v/>
      </c>
      <c r="T219">
        <f>HYPERLINK("https://klasma.github.io/Logging_2283/kartor/A 39565-2023 karta.png", "A 39565-2023")</f>
        <v/>
      </c>
      <c r="V219">
        <f>HYPERLINK("https://klasma.github.io/Logging_2283/klagomål/A 39565-2023 FSC-klagomål.docx", "A 39565-2023")</f>
        <v/>
      </c>
      <c r="W219">
        <f>HYPERLINK("https://klasma.github.io/Logging_2283/klagomålsmail/A 39565-2023 FSC-klagomål mail.docx", "A 39565-2023")</f>
        <v/>
      </c>
      <c r="X219">
        <f>HYPERLINK("https://klasma.github.io/Logging_2283/tillsyn/A 39565-2023 tillsynsbegäran.docx", "A 39565-2023")</f>
        <v/>
      </c>
      <c r="Y219">
        <f>HYPERLINK("https://klasma.github.io/Logging_2283/tillsynsmail/A 39565-2023 tillsynsbegäran mail.docx", "A 39565-2023")</f>
        <v/>
      </c>
    </row>
    <row r="220" ht="15" customHeight="1">
      <c r="A220" t="inlineStr">
        <is>
          <t>A 46203-2023</t>
        </is>
      </c>
      <c r="B220" s="1" t="n">
        <v>45190</v>
      </c>
      <c r="C220" s="1" t="n">
        <v>45282</v>
      </c>
      <c r="D220" t="inlineStr">
        <is>
          <t>VÄSTERNORRLANDS LÄN</t>
        </is>
      </c>
      <c r="E220" t="inlineStr">
        <is>
          <t>SOLLEFTEÅ</t>
        </is>
      </c>
      <c r="G220" t="n">
        <v>13</v>
      </c>
      <c r="H220" t="n">
        <v>0</v>
      </c>
      <c r="I220" t="n">
        <v>0</v>
      </c>
      <c r="J220" t="n">
        <v>1</v>
      </c>
      <c r="K220" t="n">
        <v>0</v>
      </c>
      <c r="L220" t="n">
        <v>0</v>
      </c>
      <c r="M220" t="n">
        <v>0</v>
      </c>
      <c r="N220" t="n">
        <v>0</v>
      </c>
      <c r="O220" t="n">
        <v>1</v>
      </c>
      <c r="P220" t="n">
        <v>0</v>
      </c>
      <c r="Q220" t="n">
        <v>1</v>
      </c>
      <c r="R220" s="2" t="inlineStr">
        <is>
          <t>Garnlav</t>
        </is>
      </c>
      <c r="S220">
        <f>HYPERLINK("https://klasma.github.io/Logging_2283/artfynd/A 46203-2023 artfynd.xlsx", "A 46203-2023")</f>
        <v/>
      </c>
      <c r="T220">
        <f>HYPERLINK("https://klasma.github.io/Logging_2283/kartor/A 46203-2023 karta.png", "A 46203-2023")</f>
        <v/>
      </c>
      <c r="V220">
        <f>HYPERLINK("https://klasma.github.io/Logging_2283/klagomål/A 46203-2023 FSC-klagomål.docx", "A 46203-2023")</f>
        <v/>
      </c>
      <c r="W220">
        <f>HYPERLINK("https://klasma.github.io/Logging_2283/klagomålsmail/A 46203-2023 FSC-klagomål mail.docx", "A 46203-2023")</f>
        <v/>
      </c>
      <c r="X220">
        <f>HYPERLINK("https://klasma.github.io/Logging_2283/tillsyn/A 46203-2023 tillsynsbegäran.docx", "A 46203-2023")</f>
        <v/>
      </c>
      <c r="Y220">
        <f>HYPERLINK("https://klasma.github.io/Logging_2283/tillsynsmail/A 46203-2023 tillsynsbegäran mail.docx", "A 46203-2023")</f>
        <v/>
      </c>
    </row>
    <row r="221" ht="15" customHeight="1">
      <c r="A221" t="inlineStr">
        <is>
          <t>A 48087-2023</t>
        </is>
      </c>
      <c r="B221" s="1" t="n">
        <v>45204</v>
      </c>
      <c r="C221" s="1" t="n">
        <v>45282</v>
      </c>
      <c r="D221" t="inlineStr">
        <is>
          <t>VÄSTERNORRLANDS LÄN</t>
        </is>
      </c>
      <c r="E221" t="inlineStr">
        <is>
          <t>SOLLEFTEÅ</t>
        </is>
      </c>
      <c r="F221" t="inlineStr">
        <is>
          <t>SCA</t>
        </is>
      </c>
      <c r="G221" t="n">
        <v>0.6</v>
      </c>
      <c r="H221" t="n">
        <v>0</v>
      </c>
      <c r="I221" t="n">
        <v>0</v>
      </c>
      <c r="J221" t="n">
        <v>1</v>
      </c>
      <c r="K221" t="n">
        <v>0</v>
      </c>
      <c r="L221" t="n">
        <v>0</v>
      </c>
      <c r="M221" t="n">
        <v>0</v>
      </c>
      <c r="N221" t="n">
        <v>0</v>
      </c>
      <c r="O221" t="n">
        <v>1</v>
      </c>
      <c r="P221" t="n">
        <v>0</v>
      </c>
      <c r="Q221" t="n">
        <v>1</v>
      </c>
      <c r="R221" s="2" t="inlineStr">
        <is>
          <t>Doftskinn</t>
        </is>
      </c>
      <c r="S221">
        <f>HYPERLINK("https://klasma.github.io/Logging_2283/artfynd/A 48087-2023 artfynd.xlsx", "A 48087-2023")</f>
        <v/>
      </c>
      <c r="T221">
        <f>HYPERLINK("https://klasma.github.io/Logging_2283/kartor/A 48087-2023 karta.png", "A 48087-2023")</f>
        <v/>
      </c>
      <c r="V221">
        <f>HYPERLINK("https://klasma.github.io/Logging_2283/klagomål/A 48087-2023 FSC-klagomål.docx", "A 48087-2023")</f>
        <v/>
      </c>
      <c r="W221">
        <f>HYPERLINK("https://klasma.github.io/Logging_2283/klagomålsmail/A 48087-2023 FSC-klagomål mail.docx", "A 48087-2023")</f>
        <v/>
      </c>
      <c r="X221">
        <f>HYPERLINK("https://klasma.github.io/Logging_2283/tillsyn/A 48087-2023 tillsynsbegäran.docx", "A 48087-2023")</f>
        <v/>
      </c>
      <c r="Y221">
        <f>HYPERLINK("https://klasma.github.io/Logging_2283/tillsynsmail/A 48087-2023 tillsynsbegäran mail.docx", "A 48087-2023")</f>
        <v/>
      </c>
    </row>
    <row r="222" ht="15" customHeight="1">
      <c r="A222" t="inlineStr">
        <is>
          <t>A 53059-2023</t>
        </is>
      </c>
      <c r="B222" s="1" t="n">
        <v>45226</v>
      </c>
      <c r="C222" s="1" t="n">
        <v>45282</v>
      </c>
      <c r="D222" t="inlineStr">
        <is>
          <t>VÄSTERNORRLANDS LÄN</t>
        </is>
      </c>
      <c r="E222" t="inlineStr">
        <is>
          <t>SOLLEFTEÅ</t>
        </is>
      </c>
      <c r="F222" t="inlineStr">
        <is>
          <t>SCA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HYPERLINK("https://klasma.github.io/Logging_2283/artfynd/A 53059-2023 artfynd.xlsx", "A 53059-2023")</f>
        <v/>
      </c>
      <c r="T222">
        <f>HYPERLINK("https://klasma.github.io/Logging_2283/kartor/A 53059-2023 karta.png", "A 53059-2023")</f>
        <v/>
      </c>
      <c r="U222">
        <f>HYPERLINK("https://klasma.github.io/Logging_2283/knärot/A 53059-2023 karta knärot.png", "A 53059-2023")</f>
        <v/>
      </c>
      <c r="V222">
        <f>HYPERLINK("https://klasma.github.io/Logging_2283/klagomål/A 53059-2023 FSC-klagomål.docx", "A 53059-2023")</f>
        <v/>
      </c>
      <c r="W222">
        <f>HYPERLINK("https://klasma.github.io/Logging_2283/klagomålsmail/A 53059-2023 FSC-klagomål mail.docx", "A 53059-2023")</f>
        <v/>
      </c>
      <c r="X222">
        <f>HYPERLINK("https://klasma.github.io/Logging_2283/tillsyn/A 53059-2023 tillsynsbegäran.docx", "A 53059-2023")</f>
        <v/>
      </c>
      <c r="Y222">
        <f>HYPERLINK("https://klasma.github.io/Logging_2283/tillsynsmail/A 53059-2023 tillsynsbegäran mail.docx", "A 53059-2023")</f>
        <v/>
      </c>
    </row>
    <row r="223" ht="15" customHeight="1">
      <c r="A223" t="inlineStr">
        <is>
          <t>A 53039-2023</t>
        </is>
      </c>
      <c r="B223" s="1" t="n">
        <v>45226</v>
      </c>
      <c r="C223" s="1" t="n">
        <v>45282</v>
      </c>
      <c r="D223" t="inlineStr">
        <is>
          <t>VÄSTERNORRLANDS LÄN</t>
        </is>
      </c>
      <c r="E223" t="inlineStr">
        <is>
          <t>SOLLEFTEÅ</t>
        </is>
      </c>
      <c r="F223" t="inlineStr">
        <is>
          <t>SCA</t>
        </is>
      </c>
      <c r="G223" t="n">
        <v>1.8</v>
      </c>
      <c r="H223" t="n">
        <v>1</v>
      </c>
      <c r="I223" t="n">
        <v>0</v>
      </c>
      <c r="J223" t="n">
        <v>1</v>
      </c>
      <c r="K223" t="n">
        <v>0</v>
      </c>
      <c r="L223" t="n">
        <v>0</v>
      </c>
      <c r="M223" t="n">
        <v>0</v>
      </c>
      <c r="N223" t="n">
        <v>0</v>
      </c>
      <c r="O223" t="n">
        <v>1</v>
      </c>
      <c r="P223" t="n">
        <v>0</v>
      </c>
      <c r="Q223" t="n">
        <v>1</v>
      </c>
      <c r="R223" s="2" t="inlineStr">
        <is>
          <t>Nordfladdermus</t>
        </is>
      </c>
      <c r="S223">
        <f>HYPERLINK("https://klasma.github.io/Logging_2283/artfynd/A 53039-2023 artfynd.xlsx", "A 53039-2023")</f>
        <v/>
      </c>
      <c r="T223">
        <f>HYPERLINK("https://klasma.github.io/Logging_2283/kartor/A 53039-2023 karta.png", "A 53039-2023")</f>
        <v/>
      </c>
      <c r="V223">
        <f>HYPERLINK("https://klasma.github.io/Logging_2283/klagomål/A 53039-2023 FSC-klagomål.docx", "A 53039-2023")</f>
        <v/>
      </c>
      <c r="W223">
        <f>HYPERLINK("https://klasma.github.io/Logging_2283/klagomålsmail/A 53039-2023 FSC-klagomål mail.docx", "A 53039-2023")</f>
        <v/>
      </c>
      <c r="X223">
        <f>HYPERLINK("https://klasma.github.io/Logging_2283/tillsyn/A 53039-2023 tillsynsbegäran.docx", "A 53039-2023")</f>
        <v/>
      </c>
      <c r="Y223">
        <f>HYPERLINK("https://klasma.github.io/Logging_2283/tillsynsmail/A 53039-2023 tillsynsbegäran mail.docx", "A 53039-2023")</f>
        <v/>
      </c>
    </row>
    <row r="224" ht="15" customHeight="1">
      <c r="A224" t="inlineStr">
        <is>
          <t>A 53446-2023</t>
        </is>
      </c>
      <c r="B224" s="1" t="n">
        <v>45229</v>
      </c>
      <c r="C224" s="1" t="n">
        <v>45282</v>
      </c>
      <c r="D224" t="inlineStr">
        <is>
          <t>VÄSTERNORRLANDS LÄN</t>
        </is>
      </c>
      <c r="E224" t="inlineStr">
        <is>
          <t>SOLLEFTEÅ</t>
        </is>
      </c>
      <c r="F224" t="inlineStr">
        <is>
          <t>SCA</t>
        </is>
      </c>
      <c r="G224" t="n">
        <v>2.2</v>
      </c>
      <c r="H224" t="n">
        <v>0</v>
      </c>
      <c r="I224" t="n">
        <v>0</v>
      </c>
      <c r="J224" t="n">
        <v>1</v>
      </c>
      <c r="K224" t="n">
        <v>0</v>
      </c>
      <c r="L224" t="n">
        <v>0</v>
      </c>
      <c r="M224" t="n">
        <v>0</v>
      </c>
      <c r="N224" t="n">
        <v>0</v>
      </c>
      <c r="O224" t="n">
        <v>1</v>
      </c>
      <c r="P224" t="n">
        <v>0</v>
      </c>
      <c r="Q224" t="n">
        <v>1</v>
      </c>
      <c r="R224" s="2" t="inlineStr">
        <is>
          <t>Kolflarnlav</t>
        </is>
      </c>
      <c r="S224">
        <f>HYPERLINK("https://klasma.github.io/Logging_2283/artfynd/A 53446-2023 artfynd.xlsx", "A 53446-2023")</f>
        <v/>
      </c>
      <c r="T224">
        <f>HYPERLINK("https://klasma.github.io/Logging_2283/kartor/A 53446-2023 karta.png", "A 53446-2023")</f>
        <v/>
      </c>
      <c r="V224">
        <f>HYPERLINK("https://klasma.github.io/Logging_2283/klagomål/A 53446-2023 FSC-klagomål.docx", "A 53446-2023")</f>
        <v/>
      </c>
      <c r="W224">
        <f>HYPERLINK("https://klasma.github.io/Logging_2283/klagomålsmail/A 53446-2023 FSC-klagomål mail.docx", "A 53446-2023")</f>
        <v/>
      </c>
      <c r="X224">
        <f>HYPERLINK("https://klasma.github.io/Logging_2283/tillsyn/A 53446-2023 tillsynsbegäran.docx", "A 53446-2023")</f>
        <v/>
      </c>
      <c r="Y224">
        <f>HYPERLINK("https://klasma.github.io/Logging_2283/tillsynsmail/A 53446-2023 tillsynsbegäran mail.docx", "A 53446-2023")</f>
        <v/>
      </c>
    </row>
    <row r="225" ht="15" customHeight="1">
      <c r="A225" t="inlineStr">
        <is>
          <t>A 56257-2023</t>
        </is>
      </c>
      <c r="B225" s="1" t="n">
        <v>45240</v>
      </c>
      <c r="C225" s="1" t="n">
        <v>45282</v>
      </c>
      <c r="D225" t="inlineStr">
        <is>
          <t>VÄSTERNORRLANDS LÄN</t>
        </is>
      </c>
      <c r="E225" t="inlineStr">
        <is>
          <t>SOLLEFTEÅ</t>
        </is>
      </c>
      <c r="F225" t="inlineStr">
        <is>
          <t>SCA</t>
        </is>
      </c>
      <c r="G225" t="n">
        <v>2.9</v>
      </c>
      <c r="H225" t="n">
        <v>0</v>
      </c>
      <c r="I225" t="n">
        <v>1</v>
      </c>
      <c r="J225" t="n">
        <v>0</v>
      </c>
      <c r="K225" t="n">
        <v>0</v>
      </c>
      <c r="L225" t="n">
        <v>0</v>
      </c>
      <c r="M225" t="n">
        <v>0</v>
      </c>
      <c r="N225" t="n">
        <v>0</v>
      </c>
      <c r="O225" t="n">
        <v>0</v>
      </c>
      <c r="P225" t="n">
        <v>0</v>
      </c>
      <c r="Q225" t="n">
        <v>1</v>
      </c>
      <c r="R225" s="2" t="inlineStr">
        <is>
          <t>Tibast</t>
        </is>
      </c>
      <c r="S225">
        <f>HYPERLINK("https://klasma.github.io/Logging_2283/artfynd/A 56257-2023 artfynd.xlsx", "A 56257-2023")</f>
        <v/>
      </c>
      <c r="T225">
        <f>HYPERLINK("https://klasma.github.io/Logging_2283/kartor/A 56257-2023 karta.png", "A 56257-2023")</f>
        <v/>
      </c>
      <c r="V225">
        <f>HYPERLINK("https://klasma.github.io/Logging_2283/klagomål/A 56257-2023 FSC-klagomål.docx", "A 56257-2023")</f>
        <v/>
      </c>
      <c r="W225">
        <f>HYPERLINK("https://klasma.github.io/Logging_2283/klagomålsmail/A 56257-2023 FSC-klagomål mail.docx", "A 56257-2023")</f>
        <v/>
      </c>
      <c r="X225">
        <f>HYPERLINK("https://klasma.github.io/Logging_2283/tillsyn/A 56257-2023 tillsynsbegäran.docx", "A 56257-2023")</f>
        <v/>
      </c>
      <c r="Y225">
        <f>HYPERLINK("https://klasma.github.io/Logging_2283/tillsynsmail/A 56257-2023 tillsynsbegäran mail.docx", "A 56257-2023")</f>
        <v/>
      </c>
    </row>
    <row r="226" ht="15" customHeight="1">
      <c r="A226" t="inlineStr">
        <is>
          <t>A 59100-2023</t>
        </is>
      </c>
      <c r="B226" s="1" t="n">
        <v>45252</v>
      </c>
      <c r="C226" s="1" t="n">
        <v>45282</v>
      </c>
      <c r="D226" t="inlineStr">
        <is>
          <t>VÄSTERNORRLANDS LÄN</t>
        </is>
      </c>
      <c r="E226" t="inlineStr">
        <is>
          <t>SOLLEFTEÅ</t>
        </is>
      </c>
      <c r="F226" t="inlineStr">
        <is>
          <t>SCA</t>
        </is>
      </c>
      <c r="G226" t="n">
        <v>4.2</v>
      </c>
      <c r="H226" t="n">
        <v>0</v>
      </c>
      <c r="I226" t="n">
        <v>0</v>
      </c>
      <c r="J226" t="n">
        <v>1</v>
      </c>
      <c r="K226" t="n">
        <v>0</v>
      </c>
      <c r="L226" t="n">
        <v>0</v>
      </c>
      <c r="M226" t="n">
        <v>0</v>
      </c>
      <c r="N226" t="n">
        <v>0</v>
      </c>
      <c r="O226" t="n">
        <v>1</v>
      </c>
      <c r="P226" t="n">
        <v>0</v>
      </c>
      <c r="Q226" t="n">
        <v>1</v>
      </c>
      <c r="R226" s="2" t="inlineStr">
        <is>
          <t>Skrovlig taggsvamp</t>
        </is>
      </c>
      <c r="S226">
        <f>HYPERLINK("https://klasma.github.io/Logging_2283/artfynd/A 59100-2023 artfynd.xlsx", "A 59100-2023")</f>
        <v/>
      </c>
      <c r="T226">
        <f>HYPERLINK("https://klasma.github.io/Logging_2283/kartor/A 59100-2023 karta.png", "A 59100-2023")</f>
        <v/>
      </c>
      <c r="V226">
        <f>HYPERLINK("https://klasma.github.io/Logging_2283/klagomål/A 59100-2023 FSC-klagomål.docx", "A 59100-2023")</f>
        <v/>
      </c>
      <c r="W226">
        <f>HYPERLINK("https://klasma.github.io/Logging_2283/klagomålsmail/A 59100-2023 FSC-klagomål mail.docx", "A 59100-2023")</f>
        <v/>
      </c>
      <c r="X226">
        <f>HYPERLINK("https://klasma.github.io/Logging_2283/tillsyn/A 59100-2023 tillsynsbegäran.docx", "A 59100-2023")</f>
        <v/>
      </c>
      <c r="Y226">
        <f>HYPERLINK("https://klasma.github.io/Logging_2283/tillsynsmail/A 59100-2023 tillsynsbegäran mail.docx", "A 59100-2023")</f>
        <v/>
      </c>
    </row>
    <row r="227" ht="15" customHeight="1">
      <c r="A227" t="inlineStr">
        <is>
          <t>A 33896-2018</t>
        </is>
      </c>
      <c r="B227" s="1" t="n">
        <v>43314</v>
      </c>
      <c r="C227" s="1" t="n">
        <v>45282</v>
      </c>
      <c r="D227" t="inlineStr">
        <is>
          <t>VÄSTERNORRLANDS LÄN</t>
        </is>
      </c>
      <c r="E227" t="inlineStr">
        <is>
          <t>SOLLEFTEÅ</t>
        </is>
      </c>
      <c r="G227" t="n">
        <v>0.5</v>
      </c>
      <c r="H227" t="n">
        <v>0</v>
      </c>
      <c r="I227" t="n">
        <v>0</v>
      </c>
      <c r="J227" t="n">
        <v>0</v>
      </c>
      <c r="K227" t="n">
        <v>0</v>
      </c>
      <c r="L227" t="n">
        <v>0</v>
      </c>
      <c r="M227" t="n">
        <v>0</v>
      </c>
      <c r="N227" t="n">
        <v>0</v>
      </c>
      <c r="O227" t="n">
        <v>0</v>
      </c>
      <c r="P227" t="n">
        <v>0</v>
      </c>
      <c r="Q227" t="n">
        <v>0</v>
      </c>
      <c r="R227" s="2" t="inlineStr"/>
    </row>
    <row r="228" ht="15" customHeight="1">
      <c r="A228" t="inlineStr">
        <is>
          <t>A 34267-2018</t>
        </is>
      </c>
      <c r="B228" s="1" t="n">
        <v>43318</v>
      </c>
      <c r="C228" s="1" t="n">
        <v>45282</v>
      </c>
      <c r="D228" t="inlineStr">
        <is>
          <t>VÄSTERNORRLANDS LÄN</t>
        </is>
      </c>
      <c r="E228" t="inlineStr">
        <is>
          <t>SOLLEFTEÅ</t>
        </is>
      </c>
      <c r="G228" t="n">
        <v>5.3</v>
      </c>
      <c r="H228" t="n">
        <v>0</v>
      </c>
      <c r="I228" t="n">
        <v>0</v>
      </c>
      <c r="J228" t="n">
        <v>0</v>
      </c>
      <c r="K228" t="n">
        <v>0</v>
      </c>
      <c r="L228" t="n">
        <v>0</v>
      </c>
      <c r="M228" t="n">
        <v>0</v>
      </c>
      <c r="N228" t="n">
        <v>0</v>
      </c>
      <c r="O228" t="n">
        <v>0</v>
      </c>
      <c r="P228" t="n">
        <v>0</v>
      </c>
      <c r="Q228" t="n">
        <v>0</v>
      </c>
      <c r="R228" s="2" t="inlineStr"/>
    </row>
    <row r="229" ht="15" customHeight="1">
      <c r="A229" t="inlineStr">
        <is>
          <t>A 36973-2018</t>
        </is>
      </c>
      <c r="B229" s="1" t="n">
        <v>43332</v>
      </c>
      <c r="C229" s="1" t="n">
        <v>45282</v>
      </c>
      <c r="D229" t="inlineStr">
        <is>
          <t>VÄSTERNORRLANDS LÄN</t>
        </is>
      </c>
      <c r="E229" t="inlineStr">
        <is>
          <t>SOLLEFTEÅ</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37589-2018</t>
        </is>
      </c>
      <c r="B230" s="1" t="n">
        <v>43334</v>
      </c>
      <c r="C230" s="1" t="n">
        <v>45282</v>
      </c>
      <c r="D230" t="inlineStr">
        <is>
          <t>VÄSTERNORRLANDS LÄN</t>
        </is>
      </c>
      <c r="E230" t="inlineStr">
        <is>
          <t>SOLLEFTEÅ</t>
        </is>
      </c>
      <c r="G230" t="n">
        <v>1.6</v>
      </c>
      <c r="H230" t="n">
        <v>0</v>
      </c>
      <c r="I230" t="n">
        <v>0</v>
      </c>
      <c r="J230" t="n">
        <v>0</v>
      </c>
      <c r="K230" t="n">
        <v>0</v>
      </c>
      <c r="L230" t="n">
        <v>0</v>
      </c>
      <c r="M230" t="n">
        <v>0</v>
      </c>
      <c r="N230" t="n">
        <v>0</v>
      </c>
      <c r="O230" t="n">
        <v>0</v>
      </c>
      <c r="P230" t="n">
        <v>0</v>
      </c>
      <c r="Q230" t="n">
        <v>0</v>
      </c>
      <c r="R230" s="2" t="inlineStr"/>
    </row>
    <row r="231" ht="15" customHeight="1">
      <c r="A231" t="inlineStr">
        <is>
          <t>A 37875-2018</t>
        </is>
      </c>
      <c r="B231" s="1" t="n">
        <v>43335</v>
      </c>
      <c r="C231" s="1" t="n">
        <v>45282</v>
      </c>
      <c r="D231" t="inlineStr">
        <is>
          <t>VÄSTERNORRLANDS LÄN</t>
        </is>
      </c>
      <c r="E231" t="inlineStr">
        <is>
          <t>SOLLEFTEÅ</t>
        </is>
      </c>
      <c r="G231" t="n">
        <v>4.9</v>
      </c>
      <c r="H231" t="n">
        <v>0</v>
      </c>
      <c r="I231" t="n">
        <v>0</v>
      </c>
      <c r="J231" t="n">
        <v>0</v>
      </c>
      <c r="K231" t="n">
        <v>0</v>
      </c>
      <c r="L231" t="n">
        <v>0</v>
      </c>
      <c r="M231" t="n">
        <v>0</v>
      </c>
      <c r="N231" t="n">
        <v>0</v>
      </c>
      <c r="O231" t="n">
        <v>0</v>
      </c>
      <c r="P231" t="n">
        <v>0</v>
      </c>
      <c r="Q231" t="n">
        <v>0</v>
      </c>
      <c r="R231" s="2" t="inlineStr"/>
    </row>
    <row r="232" ht="15" customHeight="1">
      <c r="A232" t="inlineStr">
        <is>
          <t>A 40310-2018</t>
        </is>
      </c>
      <c r="B232" s="1" t="n">
        <v>43343</v>
      </c>
      <c r="C232" s="1" t="n">
        <v>45282</v>
      </c>
      <c r="D232" t="inlineStr">
        <is>
          <t>VÄSTERNORRLANDS LÄN</t>
        </is>
      </c>
      <c r="E232" t="inlineStr">
        <is>
          <t>SOLLEFTEÅ</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40433-2018</t>
        </is>
      </c>
      <c r="B233" s="1" t="n">
        <v>43346</v>
      </c>
      <c r="C233" s="1" t="n">
        <v>45282</v>
      </c>
      <c r="D233" t="inlineStr">
        <is>
          <t>VÄSTERNORRLANDS LÄN</t>
        </is>
      </c>
      <c r="E233" t="inlineStr">
        <is>
          <t>SOLLEFTEÅ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40683-2018</t>
        </is>
      </c>
      <c r="B234" s="1" t="n">
        <v>43346</v>
      </c>
      <c r="C234" s="1" t="n">
        <v>45282</v>
      </c>
      <c r="D234" t="inlineStr">
        <is>
          <t>VÄSTERNORRLANDS LÄN</t>
        </is>
      </c>
      <c r="E234" t="inlineStr">
        <is>
          <t>SOLLEFTEÅ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41185-2018</t>
        </is>
      </c>
      <c r="B235" s="1" t="n">
        <v>43346</v>
      </c>
      <c r="C235" s="1" t="n">
        <v>45282</v>
      </c>
      <c r="D235" t="inlineStr">
        <is>
          <t>VÄSTERNORRLANDS LÄN</t>
        </is>
      </c>
      <c r="E235" t="inlineStr">
        <is>
          <t>SOLLEFTEÅ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41661-2018</t>
        </is>
      </c>
      <c r="B236" s="1" t="n">
        <v>43349</v>
      </c>
      <c r="C236" s="1" t="n">
        <v>45282</v>
      </c>
      <c r="D236" t="inlineStr">
        <is>
          <t>VÄSTERNORRLANDS LÄN</t>
        </is>
      </c>
      <c r="E236" t="inlineStr">
        <is>
          <t>SOLLEFTEÅ</t>
        </is>
      </c>
      <c r="G236" t="n">
        <v>0.7</v>
      </c>
      <c r="H236" t="n">
        <v>0</v>
      </c>
      <c r="I236" t="n">
        <v>0</v>
      </c>
      <c r="J236" t="n">
        <v>0</v>
      </c>
      <c r="K236" t="n">
        <v>0</v>
      </c>
      <c r="L236" t="n">
        <v>0</v>
      </c>
      <c r="M236" t="n">
        <v>0</v>
      </c>
      <c r="N236" t="n">
        <v>0</v>
      </c>
      <c r="O236" t="n">
        <v>0</v>
      </c>
      <c r="P236" t="n">
        <v>0</v>
      </c>
      <c r="Q236" t="n">
        <v>0</v>
      </c>
      <c r="R236" s="2" t="inlineStr"/>
    </row>
    <row r="237" ht="15" customHeight="1">
      <c r="A237" t="inlineStr">
        <is>
          <t>A 43215-2018</t>
        </is>
      </c>
      <c r="B237" s="1" t="n">
        <v>43353</v>
      </c>
      <c r="C237" s="1" t="n">
        <v>45282</v>
      </c>
      <c r="D237" t="inlineStr">
        <is>
          <t>VÄSTERNORRLANDS LÄN</t>
        </is>
      </c>
      <c r="E237" t="inlineStr">
        <is>
          <t>SOLLEFTEÅ</t>
        </is>
      </c>
      <c r="G237" t="n">
        <v>16</v>
      </c>
      <c r="H237" t="n">
        <v>0</v>
      </c>
      <c r="I237" t="n">
        <v>0</v>
      </c>
      <c r="J237" t="n">
        <v>0</v>
      </c>
      <c r="K237" t="n">
        <v>0</v>
      </c>
      <c r="L237" t="n">
        <v>0</v>
      </c>
      <c r="M237" t="n">
        <v>0</v>
      </c>
      <c r="N237" t="n">
        <v>0</v>
      </c>
      <c r="O237" t="n">
        <v>0</v>
      </c>
      <c r="P237" t="n">
        <v>0</v>
      </c>
      <c r="Q237" t="n">
        <v>0</v>
      </c>
      <c r="R237" s="2" t="inlineStr"/>
    </row>
    <row r="238" ht="15" customHeight="1">
      <c r="A238" t="inlineStr">
        <is>
          <t>A 45786-2018</t>
        </is>
      </c>
      <c r="B238" s="1" t="n">
        <v>43362</v>
      </c>
      <c r="C238" s="1" t="n">
        <v>45282</v>
      </c>
      <c r="D238" t="inlineStr">
        <is>
          <t>VÄSTERNORRLANDS LÄN</t>
        </is>
      </c>
      <c r="E238" t="inlineStr">
        <is>
          <t>SOLLEFTEÅ</t>
        </is>
      </c>
      <c r="G238" t="n">
        <v>6.1</v>
      </c>
      <c r="H238" t="n">
        <v>0</v>
      </c>
      <c r="I238" t="n">
        <v>0</v>
      </c>
      <c r="J238" t="n">
        <v>0</v>
      </c>
      <c r="K238" t="n">
        <v>0</v>
      </c>
      <c r="L238" t="n">
        <v>0</v>
      </c>
      <c r="M238" t="n">
        <v>0</v>
      </c>
      <c r="N238" t="n">
        <v>0</v>
      </c>
      <c r="O238" t="n">
        <v>0</v>
      </c>
      <c r="P238" t="n">
        <v>0</v>
      </c>
      <c r="Q238" t="n">
        <v>0</v>
      </c>
      <c r="R238" s="2" t="inlineStr"/>
    </row>
    <row r="239" ht="15" customHeight="1">
      <c r="A239" t="inlineStr">
        <is>
          <t>A 50423-2018</t>
        </is>
      </c>
      <c r="B239" s="1" t="n">
        <v>43378</v>
      </c>
      <c r="C239" s="1" t="n">
        <v>45282</v>
      </c>
      <c r="D239" t="inlineStr">
        <is>
          <t>VÄSTERNORRLANDS LÄN</t>
        </is>
      </c>
      <c r="E239" t="inlineStr">
        <is>
          <t>SOLLEFTEÅ</t>
        </is>
      </c>
      <c r="F239" t="inlineStr">
        <is>
          <t>SCA</t>
        </is>
      </c>
      <c r="G239" t="n">
        <v>6.4</v>
      </c>
      <c r="H239" t="n">
        <v>0</v>
      </c>
      <c r="I239" t="n">
        <v>0</v>
      </c>
      <c r="J239" t="n">
        <v>0</v>
      </c>
      <c r="K239" t="n">
        <v>0</v>
      </c>
      <c r="L239" t="n">
        <v>0</v>
      </c>
      <c r="M239" t="n">
        <v>0</v>
      </c>
      <c r="N239" t="n">
        <v>0</v>
      </c>
      <c r="O239" t="n">
        <v>0</v>
      </c>
      <c r="P239" t="n">
        <v>0</v>
      </c>
      <c r="Q239" t="n">
        <v>0</v>
      </c>
      <c r="R239" s="2" t="inlineStr"/>
    </row>
    <row r="240" ht="15" customHeight="1">
      <c r="A240" t="inlineStr">
        <is>
          <t>A 50996-2018</t>
        </is>
      </c>
      <c r="B240" s="1" t="n">
        <v>43378</v>
      </c>
      <c r="C240" s="1" t="n">
        <v>45282</v>
      </c>
      <c r="D240" t="inlineStr">
        <is>
          <t>VÄSTERNORRLANDS LÄN</t>
        </is>
      </c>
      <c r="E240" t="inlineStr">
        <is>
          <t>SOLLEFTEÅ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52458-2018</t>
        </is>
      </c>
      <c r="B241" s="1" t="n">
        <v>43383</v>
      </c>
      <c r="C241" s="1" t="n">
        <v>45282</v>
      </c>
      <c r="D241" t="inlineStr">
        <is>
          <t>VÄSTERNORRLANDS LÄN</t>
        </is>
      </c>
      <c r="E241" t="inlineStr">
        <is>
          <t>SOLLEFTEÅ</t>
        </is>
      </c>
      <c r="G241" t="n">
        <v>7.6</v>
      </c>
      <c r="H241" t="n">
        <v>0</v>
      </c>
      <c r="I241" t="n">
        <v>0</v>
      </c>
      <c r="J241" t="n">
        <v>0</v>
      </c>
      <c r="K241" t="n">
        <v>0</v>
      </c>
      <c r="L241" t="n">
        <v>0</v>
      </c>
      <c r="M241" t="n">
        <v>0</v>
      </c>
      <c r="N241" t="n">
        <v>0</v>
      </c>
      <c r="O241" t="n">
        <v>0</v>
      </c>
      <c r="P241" t="n">
        <v>0</v>
      </c>
      <c r="Q241" t="n">
        <v>0</v>
      </c>
      <c r="R241" s="2" t="inlineStr"/>
    </row>
    <row r="242" ht="15" customHeight="1">
      <c r="A242" t="inlineStr">
        <is>
          <t>A 52745-2018</t>
        </is>
      </c>
      <c r="B242" s="1" t="n">
        <v>43384</v>
      </c>
      <c r="C242" s="1" t="n">
        <v>45282</v>
      </c>
      <c r="D242" t="inlineStr">
        <is>
          <t>VÄSTERNORRLANDS LÄN</t>
        </is>
      </c>
      <c r="E242" t="inlineStr">
        <is>
          <t>SOLLEFTEÅ</t>
        </is>
      </c>
      <c r="G242" t="n">
        <v>4.7</v>
      </c>
      <c r="H242" t="n">
        <v>0</v>
      </c>
      <c r="I242" t="n">
        <v>0</v>
      </c>
      <c r="J242" t="n">
        <v>0</v>
      </c>
      <c r="K242" t="n">
        <v>0</v>
      </c>
      <c r="L242" t="n">
        <v>0</v>
      </c>
      <c r="M242" t="n">
        <v>0</v>
      </c>
      <c r="N242" t="n">
        <v>0</v>
      </c>
      <c r="O242" t="n">
        <v>0</v>
      </c>
      <c r="P242" t="n">
        <v>0</v>
      </c>
      <c r="Q242" t="n">
        <v>0</v>
      </c>
      <c r="R242" s="2" t="inlineStr"/>
    </row>
    <row r="243" ht="15" customHeight="1">
      <c r="A243" t="inlineStr">
        <is>
          <t>A 53595-2018</t>
        </is>
      </c>
      <c r="B243" s="1" t="n">
        <v>43388</v>
      </c>
      <c r="C243" s="1" t="n">
        <v>45282</v>
      </c>
      <c r="D243" t="inlineStr">
        <is>
          <t>VÄSTERNORRLANDS LÄN</t>
        </is>
      </c>
      <c r="E243" t="inlineStr">
        <is>
          <t>SOLLEFTEÅ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54076-2018</t>
        </is>
      </c>
      <c r="B244" s="1" t="n">
        <v>43388</v>
      </c>
      <c r="C244" s="1" t="n">
        <v>45282</v>
      </c>
      <c r="D244" t="inlineStr">
        <is>
          <t>VÄSTERNORRLANDS LÄN</t>
        </is>
      </c>
      <c r="E244" t="inlineStr">
        <is>
          <t>SOLLEFTEÅ</t>
        </is>
      </c>
      <c r="G244" t="n">
        <v>1.1</v>
      </c>
      <c r="H244" t="n">
        <v>0</v>
      </c>
      <c r="I244" t="n">
        <v>0</v>
      </c>
      <c r="J244" t="n">
        <v>0</v>
      </c>
      <c r="K244" t="n">
        <v>0</v>
      </c>
      <c r="L244" t="n">
        <v>0</v>
      </c>
      <c r="M244" t="n">
        <v>0</v>
      </c>
      <c r="N244" t="n">
        <v>0</v>
      </c>
      <c r="O244" t="n">
        <v>0</v>
      </c>
      <c r="P244" t="n">
        <v>0</v>
      </c>
      <c r="Q244" t="n">
        <v>0</v>
      </c>
      <c r="R244" s="2" t="inlineStr"/>
    </row>
    <row r="245" ht="15" customHeight="1">
      <c r="A245" t="inlineStr">
        <is>
          <t>A 56189-2018</t>
        </is>
      </c>
      <c r="B245" s="1" t="n">
        <v>43389</v>
      </c>
      <c r="C245" s="1" t="n">
        <v>45282</v>
      </c>
      <c r="D245" t="inlineStr">
        <is>
          <t>VÄSTERNORRLANDS LÄN</t>
        </is>
      </c>
      <c r="E245" t="inlineStr">
        <is>
          <t>SOLLEFTEÅ</t>
        </is>
      </c>
      <c r="G245" t="n">
        <v>1.2</v>
      </c>
      <c r="H245" t="n">
        <v>0</v>
      </c>
      <c r="I245" t="n">
        <v>0</v>
      </c>
      <c r="J245" t="n">
        <v>0</v>
      </c>
      <c r="K245" t="n">
        <v>0</v>
      </c>
      <c r="L245" t="n">
        <v>0</v>
      </c>
      <c r="M245" t="n">
        <v>0</v>
      </c>
      <c r="N245" t="n">
        <v>0</v>
      </c>
      <c r="O245" t="n">
        <v>0</v>
      </c>
      <c r="P245" t="n">
        <v>0</v>
      </c>
      <c r="Q245" t="n">
        <v>0</v>
      </c>
      <c r="R245" s="2" t="inlineStr"/>
    </row>
    <row r="246" ht="15" customHeight="1">
      <c r="A246" t="inlineStr">
        <is>
          <t>A 54667-2018</t>
        </is>
      </c>
      <c r="B246" s="1" t="n">
        <v>43389</v>
      </c>
      <c r="C246" s="1" t="n">
        <v>45282</v>
      </c>
      <c r="D246" t="inlineStr">
        <is>
          <t>VÄSTERNORRLANDS LÄN</t>
        </is>
      </c>
      <c r="E246" t="inlineStr">
        <is>
          <t>SOLLEFTEÅ</t>
        </is>
      </c>
      <c r="G246" t="n">
        <v>1.8</v>
      </c>
      <c r="H246" t="n">
        <v>0</v>
      </c>
      <c r="I246" t="n">
        <v>0</v>
      </c>
      <c r="J246" t="n">
        <v>0</v>
      </c>
      <c r="K246" t="n">
        <v>0</v>
      </c>
      <c r="L246" t="n">
        <v>0</v>
      </c>
      <c r="M246" t="n">
        <v>0</v>
      </c>
      <c r="N246" t="n">
        <v>0</v>
      </c>
      <c r="O246" t="n">
        <v>0</v>
      </c>
      <c r="P246" t="n">
        <v>0</v>
      </c>
      <c r="Q246" t="n">
        <v>0</v>
      </c>
      <c r="R246" s="2" t="inlineStr"/>
    </row>
    <row r="247" ht="15" customHeight="1">
      <c r="A247" t="inlineStr">
        <is>
          <t>A 53746-2018</t>
        </is>
      </c>
      <c r="B247" s="1" t="n">
        <v>43391</v>
      </c>
      <c r="C247" s="1" t="n">
        <v>45282</v>
      </c>
      <c r="D247" t="inlineStr">
        <is>
          <t>VÄSTERNORRLANDS LÄN</t>
        </is>
      </c>
      <c r="E247" t="inlineStr">
        <is>
          <t>SOLLEFTEÅ</t>
        </is>
      </c>
      <c r="G247" t="n">
        <v>1</v>
      </c>
      <c r="H247" t="n">
        <v>0</v>
      </c>
      <c r="I247" t="n">
        <v>0</v>
      </c>
      <c r="J247" t="n">
        <v>0</v>
      </c>
      <c r="K247" t="n">
        <v>0</v>
      </c>
      <c r="L247" t="n">
        <v>0</v>
      </c>
      <c r="M247" t="n">
        <v>0</v>
      </c>
      <c r="N247" t="n">
        <v>0</v>
      </c>
      <c r="O247" t="n">
        <v>0</v>
      </c>
      <c r="P247" t="n">
        <v>0</v>
      </c>
      <c r="Q247" t="n">
        <v>0</v>
      </c>
      <c r="R247" s="2" t="inlineStr"/>
    </row>
    <row r="248" ht="15" customHeight="1">
      <c r="A248" t="inlineStr">
        <is>
          <t>A 54226-2018</t>
        </is>
      </c>
      <c r="B248" s="1" t="n">
        <v>43392</v>
      </c>
      <c r="C248" s="1" t="n">
        <v>45282</v>
      </c>
      <c r="D248" t="inlineStr">
        <is>
          <t>VÄSTERNORRLANDS LÄN</t>
        </is>
      </c>
      <c r="E248" t="inlineStr">
        <is>
          <t>SOLLEFTEÅ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55996-2018</t>
        </is>
      </c>
      <c r="B249" s="1" t="n">
        <v>43392</v>
      </c>
      <c r="C249" s="1" t="n">
        <v>45282</v>
      </c>
      <c r="D249" t="inlineStr">
        <is>
          <t>VÄSTERNORRLANDS LÄN</t>
        </is>
      </c>
      <c r="E249" t="inlineStr">
        <is>
          <t>SOLLEFTEÅ</t>
        </is>
      </c>
      <c r="G249" t="n">
        <v>2</v>
      </c>
      <c r="H249" t="n">
        <v>0</v>
      </c>
      <c r="I249" t="n">
        <v>0</v>
      </c>
      <c r="J249" t="n">
        <v>0</v>
      </c>
      <c r="K249" t="n">
        <v>0</v>
      </c>
      <c r="L249" t="n">
        <v>0</v>
      </c>
      <c r="M249" t="n">
        <v>0</v>
      </c>
      <c r="N249" t="n">
        <v>0</v>
      </c>
      <c r="O249" t="n">
        <v>0</v>
      </c>
      <c r="P249" t="n">
        <v>0</v>
      </c>
      <c r="Q249" t="n">
        <v>0</v>
      </c>
      <c r="R249" s="2" t="inlineStr"/>
    </row>
    <row r="250" ht="15" customHeight="1">
      <c r="A250" t="inlineStr">
        <is>
          <t>A 56610-2018</t>
        </is>
      </c>
      <c r="B250" s="1" t="n">
        <v>43395</v>
      </c>
      <c r="C250" s="1" t="n">
        <v>45282</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56666-2018</t>
        </is>
      </c>
      <c r="B251" s="1" t="n">
        <v>43395</v>
      </c>
      <c r="C251" s="1" t="n">
        <v>45282</v>
      </c>
      <c r="D251" t="inlineStr">
        <is>
          <t>VÄSTERNORRLANDS LÄN</t>
        </is>
      </c>
      <c r="E251" t="inlineStr">
        <is>
          <t>SOLLEFTEÅ</t>
        </is>
      </c>
      <c r="G251" t="n">
        <v>6</v>
      </c>
      <c r="H251" t="n">
        <v>0</v>
      </c>
      <c r="I251" t="n">
        <v>0</v>
      </c>
      <c r="J251" t="n">
        <v>0</v>
      </c>
      <c r="K251" t="n">
        <v>0</v>
      </c>
      <c r="L251" t="n">
        <v>0</v>
      </c>
      <c r="M251" t="n">
        <v>0</v>
      </c>
      <c r="N251" t="n">
        <v>0</v>
      </c>
      <c r="O251" t="n">
        <v>0</v>
      </c>
      <c r="P251" t="n">
        <v>0</v>
      </c>
      <c r="Q251" t="n">
        <v>0</v>
      </c>
      <c r="R251" s="2" t="inlineStr"/>
    </row>
    <row r="252" ht="15" customHeight="1">
      <c r="A252" t="inlineStr">
        <is>
          <t>A 56629-2018</t>
        </is>
      </c>
      <c r="B252" s="1" t="n">
        <v>43395</v>
      </c>
      <c r="C252" s="1" t="n">
        <v>45282</v>
      </c>
      <c r="D252" t="inlineStr">
        <is>
          <t>VÄSTERNORRLANDS LÄN</t>
        </is>
      </c>
      <c r="E252" t="inlineStr">
        <is>
          <t>SOLLEFTEÅ</t>
        </is>
      </c>
      <c r="G252" t="n">
        <v>10.6</v>
      </c>
      <c r="H252" t="n">
        <v>0</v>
      </c>
      <c r="I252" t="n">
        <v>0</v>
      </c>
      <c r="J252" t="n">
        <v>0</v>
      </c>
      <c r="K252" t="n">
        <v>0</v>
      </c>
      <c r="L252" t="n">
        <v>0</v>
      </c>
      <c r="M252" t="n">
        <v>0</v>
      </c>
      <c r="N252" t="n">
        <v>0</v>
      </c>
      <c r="O252" t="n">
        <v>0</v>
      </c>
      <c r="P252" t="n">
        <v>0</v>
      </c>
      <c r="Q252" t="n">
        <v>0</v>
      </c>
      <c r="R252" s="2" t="inlineStr"/>
    </row>
    <row r="253" ht="15" customHeight="1">
      <c r="A253" t="inlineStr">
        <is>
          <t>A 56139-2018</t>
        </is>
      </c>
      <c r="B253" s="1" t="n">
        <v>43398</v>
      </c>
      <c r="C253" s="1" t="n">
        <v>45282</v>
      </c>
      <c r="D253" t="inlineStr">
        <is>
          <t>VÄSTERNORRLANDS LÄN</t>
        </is>
      </c>
      <c r="E253" t="inlineStr">
        <is>
          <t>SOLLEFTEÅ</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58020-2018</t>
        </is>
      </c>
      <c r="B254" s="1" t="n">
        <v>43398</v>
      </c>
      <c r="C254" s="1" t="n">
        <v>45282</v>
      </c>
      <c r="D254" t="inlineStr">
        <is>
          <t>VÄSTERNORRLANDS LÄN</t>
        </is>
      </c>
      <c r="E254" t="inlineStr">
        <is>
          <t>SOLLEFTEÅ</t>
        </is>
      </c>
      <c r="G254" t="n">
        <v>6.5</v>
      </c>
      <c r="H254" t="n">
        <v>0</v>
      </c>
      <c r="I254" t="n">
        <v>0</v>
      </c>
      <c r="J254" t="n">
        <v>0</v>
      </c>
      <c r="K254" t="n">
        <v>0</v>
      </c>
      <c r="L254" t="n">
        <v>0</v>
      </c>
      <c r="M254" t="n">
        <v>0</v>
      </c>
      <c r="N254" t="n">
        <v>0</v>
      </c>
      <c r="O254" t="n">
        <v>0</v>
      </c>
      <c r="P254" t="n">
        <v>0</v>
      </c>
      <c r="Q254" t="n">
        <v>0</v>
      </c>
      <c r="R254" s="2" t="inlineStr"/>
    </row>
    <row r="255" ht="15" customHeight="1">
      <c r="A255" t="inlineStr">
        <is>
          <t>A 58397-2018</t>
        </is>
      </c>
      <c r="B255" s="1" t="n">
        <v>43399</v>
      </c>
      <c r="C255" s="1" t="n">
        <v>45282</v>
      </c>
      <c r="D255" t="inlineStr">
        <is>
          <t>VÄSTERNORRLANDS LÄN</t>
        </is>
      </c>
      <c r="E255" t="inlineStr">
        <is>
          <t>SOLLEFTEÅ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56500-2018</t>
        </is>
      </c>
      <c r="B256" s="1" t="n">
        <v>43399</v>
      </c>
      <c r="C256" s="1" t="n">
        <v>45282</v>
      </c>
      <c r="D256" t="inlineStr">
        <is>
          <t>VÄSTERNORRLANDS LÄN</t>
        </is>
      </c>
      <c r="E256" t="inlineStr">
        <is>
          <t>SOLLEFTEÅ</t>
        </is>
      </c>
      <c r="F256" t="inlineStr">
        <is>
          <t>SCA</t>
        </is>
      </c>
      <c r="G256" t="n">
        <v>6.7</v>
      </c>
      <c r="H256" t="n">
        <v>0</v>
      </c>
      <c r="I256" t="n">
        <v>0</v>
      </c>
      <c r="J256" t="n">
        <v>0</v>
      </c>
      <c r="K256" t="n">
        <v>0</v>
      </c>
      <c r="L256" t="n">
        <v>0</v>
      </c>
      <c r="M256" t="n">
        <v>0</v>
      </c>
      <c r="N256" t="n">
        <v>0</v>
      </c>
      <c r="O256" t="n">
        <v>0</v>
      </c>
      <c r="P256" t="n">
        <v>0</v>
      </c>
      <c r="Q256" t="n">
        <v>0</v>
      </c>
      <c r="R256" s="2" t="inlineStr"/>
    </row>
    <row r="257" ht="15" customHeight="1">
      <c r="A257" t="inlineStr">
        <is>
          <t>A 59371-2018</t>
        </is>
      </c>
      <c r="B257" s="1" t="n">
        <v>43404</v>
      </c>
      <c r="C257" s="1" t="n">
        <v>45282</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57954-2018</t>
        </is>
      </c>
      <c r="B258" s="1" t="n">
        <v>43405</v>
      </c>
      <c r="C258" s="1" t="n">
        <v>45282</v>
      </c>
      <c r="D258" t="inlineStr">
        <is>
          <t>VÄSTERNORRLANDS LÄN</t>
        </is>
      </c>
      <c r="E258" t="inlineStr">
        <is>
          <t>SOLLEFTEÅ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57747-2018</t>
        </is>
      </c>
      <c r="B259" s="1" t="n">
        <v>43405</v>
      </c>
      <c r="C259" s="1" t="n">
        <v>45282</v>
      </c>
      <c r="D259" t="inlineStr">
        <is>
          <t>VÄSTERNORRLANDS LÄN</t>
        </is>
      </c>
      <c r="E259" t="inlineStr">
        <is>
          <t>SOLLEFTEÅ</t>
        </is>
      </c>
      <c r="G259" t="n">
        <v>2.4</v>
      </c>
      <c r="H259" t="n">
        <v>0</v>
      </c>
      <c r="I259" t="n">
        <v>0</v>
      </c>
      <c r="J259" t="n">
        <v>0</v>
      </c>
      <c r="K259" t="n">
        <v>0</v>
      </c>
      <c r="L259" t="n">
        <v>0</v>
      </c>
      <c r="M259" t="n">
        <v>0</v>
      </c>
      <c r="N259" t="n">
        <v>0</v>
      </c>
      <c r="O259" t="n">
        <v>0</v>
      </c>
      <c r="P259" t="n">
        <v>0</v>
      </c>
      <c r="Q259" t="n">
        <v>0</v>
      </c>
      <c r="R259" s="2" t="inlineStr"/>
    </row>
    <row r="260" ht="15" customHeight="1">
      <c r="A260" t="inlineStr">
        <is>
          <t>A 57956-2018</t>
        </is>
      </c>
      <c r="B260" s="1" t="n">
        <v>43405</v>
      </c>
      <c r="C260" s="1" t="n">
        <v>45282</v>
      </c>
      <c r="D260" t="inlineStr">
        <is>
          <t>VÄSTERNORRLANDS LÄN</t>
        </is>
      </c>
      <c r="E260" t="inlineStr">
        <is>
          <t>SOLLEFTEÅ</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60057-2018</t>
        </is>
      </c>
      <c r="B261" s="1" t="n">
        <v>43412</v>
      </c>
      <c r="C261" s="1" t="n">
        <v>45282</v>
      </c>
      <c r="D261" t="inlineStr">
        <is>
          <t>VÄSTERNORRLANDS LÄN</t>
        </is>
      </c>
      <c r="E261" t="inlineStr">
        <is>
          <t>SOLLEFTEÅ</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60206-2018</t>
        </is>
      </c>
      <c r="B262" s="1" t="n">
        <v>43412</v>
      </c>
      <c r="C262" s="1" t="n">
        <v>45282</v>
      </c>
      <c r="D262" t="inlineStr">
        <is>
          <t>VÄSTERNORRLANDS LÄN</t>
        </is>
      </c>
      <c r="E262" t="inlineStr">
        <is>
          <t>SOLLEFTEÅ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62604-2018</t>
        </is>
      </c>
      <c r="B263" s="1" t="n">
        <v>43416</v>
      </c>
      <c r="C263" s="1" t="n">
        <v>45282</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62571-2018</t>
        </is>
      </c>
      <c r="B264" s="1" t="n">
        <v>43416</v>
      </c>
      <c r="C264" s="1" t="n">
        <v>45282</v>
      </c>
      <c r="D264" t="inlineStr">
        <is>
          <t>VÄSTERNORRLANDS LÄN</t>
        </is>
      </c>
      <c r="E264" t="inlineStr">
        <is>
          <t>SOLLEFTEÅ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59894-2018</t>
        </is>
      </c>
      <c r="B265" s="1" t="n">
        <v>43419</v>
      </c>
      <c r="C265" s="1" t="n">
        <v>45282</v>
      </c>
      <c r="D265" t="inlineStr">
        <is>
          <t>VÄSTERNORRLANDS LÄN</t>
        </is>
      </c>
      <c r="E265" t="inlineStr">
        <is>
          <t>SOLLEFTEÅ</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59621-2018</t>
        </is>
      </c>
      <c r="B266" s="1" t="n">
        <v>43419</v>
      </c>
      <c r="C266" s="1" t="n">
        <v>45282</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59615-2018</t>
        </is>
      </c>
      <c r="B267" s="1" t="n">
        <v>43419</v>
      </c>
      <c r="C267" s="1" t="n">
        <v>45282</v>
      </c>
      <c r="D267" t="inlineStr">
        <is>
          <t>VÄSTERNORRLANDS LÄN</t>
        </is>
      </c>
      <c r="E267" t="inlineStr">
        <is>
          <t>SOLLEFTEÅ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60505-2018</t>
        </is>
      </c>
      <c r="B268" s="1" t="n">
        <v>43420</v>
      </c>
      <c r="C268" s="1" t="n">
        <v>45282</v>
      </c>
      <c r="D268" t="inlineStr">
        <is>
          <t>VÄSTERNORRLANDS LÄN</t>
        </is>
      </c>
      <c r="E268" t="inlineStr">
        <is>
          <t>SOLLEFTEÅ</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60507-2018</t>
        </is>
      </c>
      <c r="B269" s="1" t="n">
        <v>43420</v>
      </c>
      <c r="C269" s="1" t="n">
        <v>45282</v>
      </c>
      <c r="D269" t="inlineStr">
        <is>
          <t>VÄSTERNORRLANDS LÄN</t>
        </is>
      </c>
      <c r="E269" t="inlineStr">
        <is>
          <t>SOLLEFTEÅ</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65627-2018</t>
        </is>
      </c>
      <c r="B270" s="1" t="n">
        <v>43425</v>
      </c>
      <c r="C270" s="1" t="n">
        <v>45282</v>
      </c>
      <c r="D270" t="inlineStr">
        <is>
          <t>VÄSTERNORRLANDS LÄN</t>
        </is>
      </c>
      <c r="E270" t="inlineStr">
        <is>
          <t>SOLLEFTEÅ</t>
        </is>
      </c>
      <c r="G270" t="n">
        <v>8.5</v>
      </c>
      <c r="H270" t="n">
        <v>0</v>
      </c>
      <c r="I270" t="n">
        <v>0</v>
      </c>
      <c r="J270" t="n">
        <v>0</v>
      </c>
      <c r="K270" t="n">
        <v>0</v>
      </c>
      <c r="L270" t="n">
        <v>0</v>
      </c>
      <c r="M270" t="n">
        <v>0</v>
      </c>
      <c r="N270" t="n">
        <v>0</v>
      </c>
      <c r="O270" t="n">
        <v>0</v>
      </c>
      <c r="P270" t="n">
        <v>0</v>
      </c>
      <c r="Q270" t="n">
        <v>0</v>
      </c>
      <c r="R270" s="2" t="inlineStr"/>
    </row>
    <row r="271" ht="15" customHeight="1">
      <c r="A271" t="inlineStr">
        <is>
          <t>A 66224-2018</t>
        </is>
      </c>
      <c r="B271" s="1" t="n">
        <v>43426</v>
      </c>
      <c r="C271" s="1" t="n">
        <v>45282</v>
      </c>
      <c r="D271" t="inlineStr">
        <is>
          <t>VÄSTERNORRLANDS LÄN</t>
        </is>
      </c>
      <c r="E271" t="inlineStr">
        <is>
          <t>SOLLEFTEÅ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63618-2018</t>
        </is>
      </c>
      <c r="B272" s="1" t="n">
        <v>43427</v>
      </c>
      <c r="C272" s="1" t="n">
        <v>45282</v>
      </c>
      <c r="D272" t="inlineStr">
        <is>
          <t>VÄSTERNORRLANDS LÄN</t>
        </is>
      </c>
      <c r="E272" t="inlineStr">
        <is>
          <t>SOLLEFTEÅ</t>
        </is>
      </c>
      <c r="F272" t="inlineStr">
        <is>
          <t>SCA</t>
        </is>
      </c>
      <c r="G272" t="n">
        <v>6</v>
      </c>
      <c r="H272" t="n">
        <v>0</v>
      </c>
      <c r="I272" t="n">
        <v>0</v>
      </c>
      <c r="J272" t="n">
        <v>0</v>
      </c>
      <c r="K272" t="n">
        <v>0</v>
      </c>
      <c r="L272" t="n">
        <v>0</v>
      </c>
      <c r="M272" t="n">
        <v>0</v>
      </c>
      <c r="N272" t="n">
        <v>0</v>
      </c>
      <c r="O272" t="n">
        <v>0</v>
      </c>
      <c r="P272" t="n">
        <v>0</v>
      </c>
      <c r="Q272" t="n">
        <v>0</v>
      </c>
      <c r="R272" s="2" t="inlineStr"/>
    </row>
    <row r="273" ht="15" customHeight="1">
      <c r="A273" t="inlineStr">
        <is>
          <t>A 63664-2018</t>
        </is>
      </c>
      <c r="B273" s="1" t="n">
        <v>43427</v>
      </c>
      <c r="C273" s="1" t="n">
        <v>45282</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63391-2018</t>
        </is>
      </c>
      <c r="B274" s="1" t="n">
        <v>43427</v>
      </c>
      <c r="C274" s="1" t="n">
        <v>45282</v>
      </c>
      <c r="D274" t="inlineStr">
        <is>
          <t>VÄSTERNORRLANDS LÄN</t>
        </is>
      </c>
      <c r="E274" t="inlineStr">
        <is>
          <t>SOLLEFTEÅ</t>
        </is>
      </c>
      <c r="G274" t="n">
        <v>9</v>
      </c>
      <c r="H274" t="n">
        <v>0</v>
      </c>
      <c r="I274" t="n">
        <v>0</v>
      </c>
      <c r="J274" t="n">
        <v>0</v>
      </c>
      <c r="K274" t="n">
        <v>0</v>
      </c>
      <c r="L274" t="n">
        <v>0</v>
      </c>
      <c r="M274" t="n">
        <v>0</v>
      </c>
      <c r="N274" t="n">
        <v>0</v>
      </c>
      <c r="O274" t="n">
        <v>0</v>
      </c>
      <c r="P274" t="n">
        <v>0</v>
      </c>
      <c r="Q274" t="n">
        <v>0</v>
      </c>
      <c r="R274" s="2" t="inlineStr"/>
    </row>
    <row r="275" ht="15" customHeight="1">
      <c r="A275" t="inlineStr">
        <is>
          <t>A 64084-2018</t>
        </is>
      </c>
      <c r="B275" s="1" t="n">
        <v>43430</v>
      </c>
      <c r="C275" s="1" t="n">
        <v>45282</v>
      </c>
      <c r="D275" t="inlineStr">
        <is>
          <t>VÄSTERNORRLANDS LÄN</t>
        </is>
      </c>
      <c r="E275" t="inlineStr">
        <is>
          <t>SOLLEFTEÅ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67309-2018</t>
        </is>
      </c>
      <c r="B276" s="1" t="n">
        <v>43432</v>
      </c>
      <c r="C276" s="1" t="n">
        <v>45282</v>
      </c>
      <c r="D276" t="inlineStr">
        <is>
          <t>VÄSTERNORRLANDS LÄN</t>
        </is>
      </c>
      <c r="E276" t="inlineStr">
        <is>
          <t>SOLLEFTEÅ</t>
        </is>
      </c>
      <c r="G276" t="n">
        <v>4.1</v>
      </c>
      <c r="H276" t="n">
        <v>0</v>
      </c>
      <c r="I276" t="n">
        <v>0</v>
      </c>
      <c r="J276" t="n">
        <v>0</v>
      </c>
      <c r="K276" t="n">
        <v>0</v>
      </c>
      <c r="L276" t="n">
        <v>0</v>
      </c>
      <c r="M276" t="n">
        <v>0</v>
      </c>
      <c r="N276" t="n">
        <v>0</v>
      </c>
      <c r="O276" t="n">
        <v>0</v>
      </c>
      <c r="P276" t="n">
        <v>0</v>
      </c>
      <c r="Q276" t="n">
        <v>0</v>
      </c>
      <c r="R276" s="2" t="inlineStr"/>
    </row>
    <row r="277" ht="15" customHeight="1">
      <c r="A277" t="inlineStr">
        <is>
          <t>A 67325-2018</t>
        </is>
      </c>
      <c r="B277" s="1" t="n">
        <v>43432</v>
      </c>
      <c r="C277" s="1" t="n">
        <v>45282</v>
      </c>
      <c r="D277" t="inlineStr">
        <is>
          <t>VÄSTERNORRLANDS LÄN</t>
        </is>
      </c>
      <c r="E277" t="inlineStr">
        <is>
          <t>SOLLEFTEÅ</t>
        </is>
      </c>
      <c r="G277" t="n">
        <v>1.9</v>
      </c>
      <c r="H277" t="n">
        <v>0</v>
      </c>
      <c r="I277" t="n">
        <v>0</v>
      </c>
      <c r="J277" t="n">
        <v>0</v>
      </c>
      <c r="K277" t="n">
        <v>0</v>
      </c>
      <c r="L277" t="n">
        <v>0</v>
      </c>
      <c r="M277" t="n">
        <v>0</v>
      </c>
      <c r="N277" t="n">
        <v>0</v>
      </c>
      <c r="O277" t="n">
        <v>0</v>
      </c>
      <c r="P277" t="n">
        <v>0</v>
      </c>
      <c r="Q277" t="n">
        <v>0</v>
      </c>
      <c r="R277" s="2" t="inlineStr"/>
    </row>
    <row r="278" ht="15" customHeight="1">
      <c r="A278" t="inlineStr">
        <is>
          <t>A 66193-2018</t>
        </is>
      </c>
      <c r="B278" s="1" t="n">
        <v>43434</v>
      </c>
      <c r="C278" s="1" t="n">
        <v>45282</v>
      </c>
      <c r="D278" t="inlineStr">
        <is>
          <t>VÄSTERNORRLANDS LÄN</t>
        </is>
      </c>
      <c r="E278" t="inlineStr">
        <is>
          <t>SOLLEFTEÅ</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66449-2018</t>
        </is>
      </c>
      <c r="B279" s="1" t="n">
        <v>43437</v>
      </c>
      <c r="C279" s="1" t="n">
        <v>45282</v>
      </c>
      <c r="D279" t="inlineStr">
        <is>
          <t>VÄSTERNORRLANDS LÄN</t>
        </is>
      </c>
      <c r="E279" t="inlineStr">
        <is>
          <t>SOLLEFTEÅ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68205-2018</t>
        </is>
      </c>
      <c r="B280" s="1" t="n">
        <v>43437</v>
      </c>
      <c r="C280" s="1" t="n">
        <v>45282</v>
      </c>
      <c r="D280" t="inlineStr">
        <is>
          <t>VÄSTERNORRLANDS LÄN</t>
        </is>
      </c>
      <c r="E280" t="inlineStr">
        <is>
          <t>SOLLEFTEÅ</t>
        </is>
      </c>
      <c r="G280" t="n">
        <v>7</v>
      </c>
      <c r="H280" t="n">
        <v>0</v>
      </c>
      <c r="I280" t="n">
        <v>0</v>
      </c>
      <c r="J280" t="n">
        <v>0</v>
      </c>
      <c r="K280" t="n">
        <v>0</v>
      </c>
      <c r="L280" t="n">
        <v>0</v>
      </c>
      <c r="M280" t="n">
        <v>0</v>
      </c>
      <c r="N280" t="n">
        <v>0</v>
      </c>
      <c r="O280" t="n">
        <v>0</v>
      </c>
      <c r="P280" t="n">
        <v>0</v>
      </c>
      <c r="Q280" t="n">
        <v>0</v>
      </c>
      <c r="R280" s="2" t="inlineStr"/>
    </row>
    <row r="281" ht="15" customHeight="1">
      <c r="A281" t="inlineStr">
        <is>
          <t>A 68153-2018</t>
        </is>
      </c>
      <c r="B281" s="1" t="n">
        <v>43437</v>
      </c>
      <c r="C281" s="1" t="n">
        <v>45282</v>
      </c>
      <c r="D281" t="inlineStr">
        <is>
          <t>VÄSTERNORRLANDS LÄN</t>
        </is>
      </c>
      <c r="E281" t="inlineStr">
        <is>
          <t>SOLLEFTEÅ</t>
        </is>
      </c>
      <c r="G281" t="n">
        <v>2.3</v>
      </c>
      <c r="H281" t="n">
        <v>0</v>
      </c>
      <c r="I281" t="n">
        <v>0</v>
      </c>
      <c r="J281" t="n">
        <v>0</v>
      </c>
      <c r="K281" t="n">
        <v>0</v>
      </c>
      <c r="L281" t="n">
        <v>0</v>
      </c>
      <c r="M281" t="n">
        <v>0</v>
      </c>
      <c r="N281" t="n">
        <v>0</v>
      </c>
      <c r="O281" t="n">
        <v>0</v>
      </c>
      <c r="P281" t="n">
        <v>0</v>
      </c>
      <c r="Q281" t="n">
        <v>0</v>
      </c>
      <c r="R281" s="2" t="inlineStr"/>
    </row>
    <row r="282" ht="15" customHeight="1">
      <c r="A282" t="inlineStr">
        <is>
          <t>A 66761-2018</t>
        </is>
      </c>
      <c r="B282" s="1" t="n">
        <v>43437</v>
      </c>
      <c r="C282" s="1" t="n">
        <v>45282</v>
      </c>
      <c r="D282" t="inlineStr">
        <is>
          <t>VÄSTERNORRLANDS LÄN</t>
        </is>
      </c>
      <c r="E282" t="inlineStr">
        <is>
          <t>SOLLEFTEÅ</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68195-2018</t>
        </is>
      </c>
      <c r="B283" s="1" t="n">
        <v>43437</v>
      </c>
      <c r="C283" s="1" t="n">
        <v>45282</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67572-2018</t>
        </is>
      </c>
      <c r="B284" s="1" t="n">
        <v>43439</v>
      </c>
      <c r="C284" s="1" t="n">
        <v>45282</v>
      </c>
      <c r="D284" t="inlineStr">
        <is>
          <t>VÄSTERNORRLANDS LÄN</t>
        </is>
      </c>
      <c r="E284" t="inlineStr">
        <is>
          <t>SOLLEFTEÅ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68665-2018</t>
        </is>
      </c>
      <c r="B285" s="1" t="n">
        <v>43444</v>
      </c>
      <c r="C285" s="1" t="n">
        <v>45282</v>
      </c>
      <c r="D285" t="inlineStr">
        <is>
          <t>VÄSTERNORRLANDS LÄN</t>
        </is>
      </c>
      <c r="E285" t="inlineStr">
        <is>
          <t>SOLLEFTEÅ</t>
        </is>
      </c>
      <c r="G285" t="n">
        <v>3.3</v>
      </c>
      <c r="H285" t="n">
        <v>0</v>
      </c>
      <c r="I285" t="n">
        <v>0</v>
      </c>
      <c r="J285" t="n">
        <v>0</v>
      </c>
      <c r="K285" t="n">
        <v>0</v>
      </c>
      <c r="L285" t="n">
        <v>0</v>
      </c>
      <c r="M285" t="n">
        <v>0</v>
      </c>
      <c r="N285" t="n">
        <v>0</v>
      </c>
      <c r="O285" t="n">
        <v>0</v>
      </c>
      <c r="P285" t="n">
        <v>0</v>
      </c>
      <c r="Q285" t="n">
        <v>0</v>
      </c>
      <c r="R285" s="2" t="inlineStr"/>
    </row>
    <row r="286" ht="15" customHeight="1">
      <c r="A286" t="inlineStr">
        <is>
          <t>A 70365-2018</t>
        </is>
      </c>
      <c r="B286" s="1" t="n">
        <v>43446</v>
      </c>
      <c r="C286" s="1" t="n">
        <v>45282</v>
      </c>
      <c r="D286" t="inlineStr">
        <is>
          <t>VÄSTERNORRLANDS LÄN</t>
        </is>
      </c>
      <c r="E286" t="inlineStr">
        <is>
          <t>SOLLEFTEÅ</t>
        </is>
      </c>
      <c r="G286" t="n">
        <v>9</v>
      </c>
      <c r="H286" t="n">
        <v>0</v>
      </c>
      <c r="I286" t="n">
        <v>0</v>
      </c>
      <c r="J286" t="n">
        <v>0</v>
      </c>
      <c r="K286" t="n">
        <v>0</v>
      </c>
      <c r="L286" t="n">
        <v>0</v>
      </c>
      <c r="M286" t="n">
        <v>0</v>
      </c>
      <c r="N286" t="n">
        <v>0</v>
      </c>
      <c r="O286" t="n">
        <v>0</v>
      </c>
      <c r="P286" t="n">
        <v>0</v>
      </c>
      <c r="Q286" t="n">
        <v>0</v>
      </c>
      <c r="R286" s="2" t="inlineStr"/>
    </row>
    <row r="287" ht="15" customHeight="1">
      <c r="A287" t="inlineStr">
        <is>
          <t>A 70368-2018</t>
        </is>
      </c>
      <c r="B287" s="1" t="n">
        <v>43446</v>
      </c>
      <c r="C287" s="1" t="n">
        <v>45282</v>
      </c>
      <c r="D287" t="inlineStr">
        <is>
          <t>VÄSTERNORRLANDS LÄN</t>
        </is>
      </c>
      <c r="E287" t="inlineStr">
        <is>
          <t>SOLLEFTEÅ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70581-2018</t>
        </is>
      </c>
      <c r="B288" s="1" t="n">
        <v>43447</v>
      </c>
      <c r="C288" s="1" t="n">
        <v>45282</v>
      </c>
      <c r="D288" t="inlineStr">
        <is>
          <t>VÄSTERNORRLANDS LÄN</t>
        </is>
      </c>
      <c r="E288" t="inlineStr">
        <is>
          <t>SOLLEFTEÅ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69970-2018</t>
        </is>
      </c>
      <c r="B289" s="1" t="n">
        <v>43447</v>
      </c>
      <c r="C289" s="1" t="n">
        <v>45282</v>
      </c>
      <c r="D289" t="inlineStr">
        <is>
          <t>VÄSTERNORRLANDS LÄN</t>
        </is>
      </c>
      <c r="E289" t="inlineStr">
        <is>
          <t>SOLLEFTEÅ</t>
        </is>
      </c>
      <c r="G289" t="n">
        <v>1.5</v>
      </c>
      <c r="H289" t="n">
        <v>0</v>
      </c>
      <c r="I289" t="n">
        <v>0</v>
      </c>
      <c r="J289" t="n">
        <v>0</v>
      </c>
      <c r="K289" t="n">
        <v>0</v>
      </c>
      <c r="L289" t="n">
        <v>0</v>
      </c>
      <c r="M289" t="n">
        <v>0</v>
      </c>
      <c r="N289" t="n">
        <v>0</v>
      </c>
      <c r="O289" t="n">
        <v>0</v>
      </c>
      <c r="P289" t="n">
        <v>0</v>
      </c>
      <c r="Q289" t="n">
        <v>0</v>
      </c>
      <c r="R289" s="2" t="inlineStr"/>
    </row>
    <row r="290" ht="15" customHeight="1">
      <c r="A290" t="inlineStr">
        <is>
          <t>A 70429-2018</t>
        </is>
      </c>
      <c r="B290" s="1" t="n">
        <v>43451</v>
      </c>
      <c r="C290" s="1" t="n">
        <v>45282</v>
      </c>
      <c r="D290" t="inlineStr">
        <is>
          <t>VÄSTERNORRLANDS LÄN</t>
        </is>
      </c>
      <c r="E290" t="inlineStr">
        <is>
          <t>SOLLEFTEÅ</t>
        </is>
      </c>
      <c r="G290" t="n">
        <v>4</v>
      </c>
      <c r="H290" t="n">
        <v>0</v>
      </c>
      <c r="I290" t="n">
        <v>0</v>
      </c>
      <c r="J290" t="n">
        <v>0</v>
      </c>
      <c r="K290" t="n">
        <v>0</v>
      </c>
      <c r="L290" t="n">
        <v>0</v>
      </c>
      <c r="M290" t="n">
        <v>0</v>
      </c>
      <c r="N290" t="n">
        <v>0</v>
      </c>
      <c r="O290" t="n">
        <v>0</v>
      </c>
      <c r="P290" t="n">
        <v>0</v>
      </c>
      <c r="Q290" t="n">
        <v>0</v>
      </c>
      <c r="R290" s="2" t="inlineStr"/>
    </row>
    <row r="291" ht="15" customHeight="1">
      <c r="A291" t="inlineStr">
        <is>
          <t>A 71366-2018</t>
        </is>
      </c>
      <c r="B291" s="1" t="n">
        <v>43453</v>
      </c>
      <c r="C291" s="1" t="n">
        <v>45282</v>
      </c>
      <c r="D291" t="inlineStr">
        <is>
          <t>VÄSTERNORRLANDS LÄN</t>
        </is>
      </c>
      <c r="E291" t="inlineStr">
        <is>
          <t>SOLLEFTEÅ</t>
        </is>
      </c>
      <c r="G291" t="n">
        <v>11.7</v>
      </c>
      <c r="H291" t="n">
        <v>0</v>
      </c>
      <c r="I291" t="n">
        <v>0</v>
      </c>
      <c r="J291" t="n">
        <v>0</v>
      </c>
      <c r="K291" t="n">
        <v>0</v>
      </c>
      <c r="L291" t="n">
        <v>0</v>
      </c>
      <c r="M291" t="n">
        <v>0</v>
      </c>
      <c r="N291" t="n">
        <v>0</v>
      </c>
      <c r="O291" t="n">
        <v>0</v>
      </c>
      <c r="P291" t="n">
        <v>0</v>
      </c>
      <c r="Q291" t="n">
        <v>0</v>
      </c>
      <c r="R291" s="2" t="inlineStr"/>
    </row>
    <row r="292" ht="15" customHeight="1">
      <c r="A292" t="inlineStr">
        <is>
          <t>A 71359-2018</t>
        </is>
      </c>
      <c r="B292" s="1" t="n">
        <v>43453</v>
      </c>
      <c r="C292" s="1" t="n">
        <v>45282</v>
      </c>
      <c r="D292" t="inlineStr">
        <is>
          <t>VÄSTERNORRLANDS LÄN</t>
        </is>
      </c>
      <c r="E292" t="inlineStr">
        <is>
          <t>SOLLEFTEÅ</t>
        </is>
      </c>
      <c r="G292" t="n">
        <v>13.6</v>
      </c>
      <c r="H292" t="n">
        <v>0</v>
      </c>
      <c r="I292" t="n">
        <v>0</v>
      </c>
      <c r="J292" t="n">
        <v>0</v>
      </c>
      <c r="K292" t="n">
        <v>0</v>
      </c>
      <c r="L292" t="n">
        <v>0</v>
      </c>
      <c r="M292" t="n">
        <v>0</v>
      </c>
      <c r="N292" t="n">
        <v>0</v>
      </c>
      <c r="O292" t="n">
        <v>0</v>
      </c>
      <c r="P292" t="n">
        <v>0</v>
      </c>
      <c r="Q292" t="n">
        <v>0</v>
      </c>
      <c r="R292" s="2" t="inlineStr"/>
    </row>
    <row r="293" ht="15" customHeight="1">
      <c r="A293" t="inlineStr">
        <is>
          <t>A 71384-2018</t>
        </is>
      </c>
      <c r="B293" s="1" t="n">
        <v>43453</v>
      </c>
      <c r="C293" s="1" t="n">
        <v>45282</v>
      </c>
      <c r="D293" t="inlineStr">
        <is>
          <t>VÄSTERNORRLANDS LÄN</t>
        </is>
      </c>
      <c r="E293" t="inlineStr">
        <is>
          <t>SOLLEFTEÅ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71419-2018</t>
        </is>
      </c>
      <c r="B294" s="1" t="n">
        <v>43453</v>
      </c>
      <c r="C294" s="1" t="n">
        <v>45282</v>
      </c>
      <c r="D294" t="inlineStr">
        <is>
          <t>VÄSTERNORRLANDS LÄN</t>
        </is>
      </c>
      <c r="E294" t="inlineStr">
        <is>
          <t>SOLLEFTEÅ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71868-2018</t>
        </is>
      </c>
      <c r="B295" s="1" t="n">
        <v>43454</v>
      </c>
      <c r="C295" s="1" t="n">
        <v>45282</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71866-2018</t>
        </is>
      </c>
      <c r="B296" s="1" t="n">
        <v>43454</v>
      </c>
      <c r="C296" s="1" t="n">
        <v>45282</v>
      </c>
      <c r="D296" t="inlineStr">
        <is>
          <t>VÄSTERNORRLANDS LÄN</t>
        </is>
      </c>
      <c r="E296" t="inlineStr">
        <is>
          <t>SOLLEFTEÅ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72286-2018</t>
        </is>
      </c>
      <c r="B297" s="1" t="n">
        <v>43455</v>
      </c>
      <c r="C297" s="1" t="n">
        <v>45282</v>
      </c>
      <c r="D297" t="inlineStr">
        <is>
          <t>VÄSTERNORRLANDS LÄN</t>
        </is>
      </c>
      <c r="E297" t="inlineStr">
        <is>
          <t>SOLLEFTEÅ</t>
        </is>
      </c>
      <c r="G297" t="n">
        <v>2.6</v>
      </c>
      <c r="H297" t="n">
        <v>0</v>
      </c>
      <c r="I297" t="n">
        <v>0</v>
      </c>
      <c r="J297" t="n">
        <v>0</v>
      </c>
      <c r="K297" t="n">
        <v>0</v>
      </c>
      <c r="L297" t="n">
        <v>0</v>
      </c>
      <c r="M297" t="n">
        <v>0</v>
      </c>
      <c r="N297" t="n">
        <v>0</v>
      </c>
      <c r="O297" t="n">
        <v>0</v>
      </c>
      <c r="P297" t="n">
        <v>0</v>
      </c>
      <c r="Q297" t="n">
        <v>0</v>
      </c>
      <c r="R297" s="2" t="inlineStr"/>
    </row>
    <row r="298" ht="15" customHeight="1">
      <c r="A298" t="inlineStr">
        <is>
          <t>A 72483-2018</t>
        </is>
      </c>
      <c r="B298" s="1" t="n">
        <v>43461</v>
      </c>
      <c r="C298" s="1" t="n">
        <v>45282</v>
      </c>
      <c r="D298" t="inlineStr">
        <is>
          <t>VÄSTERNORRLANDS LÄN</t>
        </is>
      </c>
      <c r="E298" t="inlineStr">
        <is>
          <t>SOLLEFTEÅ</t>
        </is>
      </c>
      <c r="F298" t="inlineStr">
        <is>
          <t>SCA</t>
        </is>
      </c>
      <c r="G298" t="n">
        <v>9</v>
      </c>
      <c r="H298" t="n">
        <v>0</v>
      </c>
      <c r="I298" t="n">
        <v>0</v>
      </c>
      <c r="J298" t="n">
        <v>0</v>
      </c>
      <c r="K298" t="n">
        <v>0</v>
      </c>
      <c r="L298" t="n">
        <v>0</v>
      </c>
      <c r="M298" t="n">
        <v>0</v>
      </c>
      <c r="N298" t="n">
        <v>0</v>
      </c>
      <c r="O298" t="n">
        <v>0</v>
      </c>
      <c r="P298" t="n">
        <v>0</v>
      </c>
      <c r="Q298" t="n">
        <v>0</v>
      </c>
      <c r="R298" s="2" t="inlineStr"/>
    </row>
    <row r="299" ht="15" customHeight="1">
      <c r="A299" t="inlineStr">
        <is>
          <t>A 2421-2019</t>
        </is>
      </c>
      <c r="B299" s="1" t="n">
        <v>43468</v>
      </c>
      <c r="C299" s="1" t="n">
        <v>45282</v>
      </c>
      <c r="D299" t="inlineStr">
        <is>
          <t>VÄSTERNORRLANDS LÄN</t>
        </is>
      </c>
      <c r="E299" t="inlineStr">
        <is>
          <t>SOLLEFTEÅ</t>
        </is>
      </c>
      <c r="G299" t="n">
        <v>6.7</v>
      </c>
      <c r="H299" t="n">
        <v>0</v>
      </c>
      <c r="I299" t="n">
        <v>0</v>
      </c>
      <c r="J299" t="n">
        <v>0</v>
      </c>
      <c r="K299" t="n">
        <v>0</v>
      </c>
      <c r="L299" t="n">
        <v>0</v>
      </c>
      <c r="M299" t="n">
        <v>0</v>
      </c>
      <c r="N299" t="n">
        <v>0</v>
      </c>
      <c r="O299" t="n">
        <v>0</v>
      </c>
      <c r="P299" t="n">
        <v>0</v>
      </c>
      <c r="Q299" t="n">
        <v>0</v>
      </c>
      <c r="R299" s="2" t="inlineStr"/>
    </row>
    <row r="300" ht="15" customHeight="1">
      <c r="A300" t="inlineStr">
        <is>
          <t>A 543-2019</t>
        </is>
      </c>
      <c r="B300" s="1" t="n">
        <v>43469</v>
      </c>
      <c r="C300" s="1" t="n">
        <v>45282</v>
      </c>
      <c r="D300" t="inlineStr">
        <is>
          <t>VÄSTERNORRLANDS LÄN</t>
        </is>
      </c>
      <c r="E300" t="inlineStr">
        <is>
          <t>SOLLEFTEÅ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552-2019</t>
        </is>
      </c>
      <c r="B301" s="1" t="n">
        <v>43469</v>
      </c>
      <c r="C301" s="1" t="n">
        <v>45282</v>
      </c>
      <c r="D301" t="inlineStr">
        <is>
          <t>VÄSTERNORRLANDS LÄN</t>
        </is>
      </c>
      <c r="E301" t="inlineStr">
        <is>
          <t>SOLLEFTEÅ</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565-2019</t>
        </is>
      </c>
      <c r="B302" s="1" t="n">
        <v>43469</v>
      </c>
      <c r="C302" s="1" t="n">
        <v>45282</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3110-2019</t>
        </is>
      </c>
      <c r="B303" s="1" t="n">
        <v>43479</v>
      </c>
      <c r="C303" s="1" t="n">
        <v>45282</v>
      </c>
      <c r="D303" t="inlineStr">
        <is>
          <t>VÄSTERNORRLANDS LÄN</t>
        </is>
      </c>
      <c r="E303" t="inlineStr">
        <is>
          <t>SOLLEFTEÅ</t>
        </is>
      </c>
      <c r="G303" t="n">
        <v>3.5</v>
      </c>
      <c r="H303" t="n">
        <v>0</v>
      </c>
      <c r="I303" t="n">
        <v>0</v>
      </c>
      <c r="J303" t="n">
        <v>0</v>
      </c>
      <c r="K303" t="n">
        <v>0</v>
      </c>
      <c r="L303" t="n">
        <v>0</v>
      </c>
      <c r="M303" t="n">
        <v>0</v>
      </c>
      <c r="N303" t="n">
        <v>0</v>
      </c>
      <c r="O303" t="n">
        <v>0</v>
      </c>
      <c r="P303" t="n">
        <v>0</v>
      </c>
      <c r="Q303" t="n">
        <v>0</v>
      </c>
      <c r="R303" s="2" t="inlineStr"/>
    </row>
    <row r="304" ht="15" customHeight="1">
      <c r="A304" t="inlineStr">
        <is>
          <t>A 4336-2019</t>
        </is>
      </c>
      <c r="B304" s="1" t="n">
        <v>43479</v>
      </c>
      <c r="C304" s="1" t="n">
        <v>45282</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3162-2019</t>
        </is>
      </c>
      <c r="B305" s="1" t="n">
        <v>43480</v>
      </c>
      <c r="C305" s="1" t="n">
        <v>45282</v>
      </c>
      <c r="D305" t="inlineStr">
        <is>
          <t>VÄSTERNORRLANDS LÄN</t>
        </is>
      </c>
      <c r="E305" t="inlineStr">
        <is>
          <t>SOLLEFTEÅ</t>
        </is>
      </c>
      <c r="G305" t="n">
        <v>3.9</v>
      </c>
      <c r="H305" t="n">
        <v>0</v>
      </c>
      <c r="I305" t="n">
        <v>0</v>
      </c>
      <c r="J305" t="n">
        <v>0</v>
      </c>
      <c r="K305" t="n">
        <v>0</v>
      </c>
      <c r="L305" t="n">
        <v>0</v>
      </c>
      <c r="M305" t="n">
        <v>0</v>
      </c>
      <c r="N305" t="n">
        <v>0</v>
      </c>
      <c r="O305" t="n">
        <v>0</v>
      </c>
      <c r="P305" t="n">
        <v>0</v>
      </c>
      <c r="Q305" t="n">
        <v>0</v>
      </c>
      <c r="R305" s="2" t="inlineStr"/>
    </row>
    <row r="306" ht="15" customHeight="1">
      <c r="A306" t="inlineStr">
        <is>
          <t>A 3157-2019</t>
        </is>
      </c>
      <c r="B306" s="1" t="n">
        <v>43480</v>
      </c>
      <c r="C306" s="1" t="n">
        <v>45282</v>
      </c>
      <c r="D306" t="inlineStr">
        <is>
          <t>VÄSTERNORRLANDS LÄN</t>
        </is>
      </c>
      <c r="E306" t="inlineStr">
        <is>
          <t>SOLLEFTEÅ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5065-2019</t>
        </is>
      </c>
      <c r="B307" s="1" t="n">
        <v>43480</v>
      </c>
      <c r="C307" s="1" t="n">
        <v>45282</v>
      </c>
      <c r="D307" t="inlineStr">
        <is>
          <t>VÄSTERNORRLANDS LÄN</t>
        </is>
      </c>
      <c r="E307" t="inlineStr">
        <is>
          <t>SOLLEFTEÅ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3781-2019</t>
        </is>
      </c>
      <c r="B308" s="1" t="n">
        <v>43481</v>
      </c>
      <c r="C308" s="1" t="n">
        <v>45282</v>
      </c>
      <c r="D308" t="inlineStr">
        <is>
          <t>VÄSTERNORRLANDS LÄN</t>
        </is>
      </c>
      <c r="E308" t="inlineStr">
        <is>
          <t>SOLLEFTEÅ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5193-2019</t>
        </is>
      </c>
      <c r="B309" s="1" t="n">
        <v>43481</v>
      </c>
      <c r="C309" s="1" t="n">
        <v>45282</v>
      </c>
      <c r="D309" t="inlineStr">
        <is>
          <t>VÄSTERNORRLANDS LÄN</t>
        </is>
      </c>
      <c r="E309" t="inlineStr">
        <is>
          <t>SOLLEFTEÅ</t>
        </is>
      </c>
      <c r="G309" t="n">
        <v>11.3</v>
      </c>
      <c r="H309" t="n">
        <v>0</v>
      </c>
      <c r="I309" t="n">
        <v>0</v>
      </c>
      <c r="J309" t="n">
        <v>0</v>
      </c>
      <c r="K309" t="n">
        <v>0</v>
      </c>
      <c r="L309" t="n">
        <v>0</v>
      </c>
      <c r="M309" t="n">
        <v>0</v>
      </c>
      <c r="N309" t="n">
        <v>0</v>
      </c>
      <c r="O309" t="n">
        <v>0</v>
      </c>
      <c r="P309" t="n">
        <v>0</v>
      </c>
      <c r="Q309" t="n">
        <v>0</v>
      </c>
      <c r="R309" s="2" t="inlineStr"/>
    </row>
    <row r="310" ht="15" customHeight="1">
      <c r="A310" t="inlineStr">
        <is>
          <t>A 3780-2019</t>
        </is>
      </c>
      <c r="B310" s="1" t="n">
        <v>43481</v>
      </c>
      <c r="C310" s="1" t="n">
        <v>45282</v>
      </c>
      <c r="D310" t="inlineStr">
        <is>
          <t>VÄSTERNORRLANDS LÄN</t>
        </is>
      </c>
      <c r="E310" t="inlineStr">
        <is>
          <t>SOLLEFTEÅ</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3952-2019</t>
        </is>
      </c>
      <c r="B311" s="1" t="n">
        <v>43482</v>
      </c>
      <c r="C311" s="1" t="n">
        <v>45282</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5050-2019</t>
        </is>
      </c>
      <c r="B312" s="1" t="n">
        <v>43487</v>
      </c>
      <c r="C312" s="1" t="n">
        <v>45282</v>
      </c>
      <c r="D312" t="inlineStr">
        <is>
          <t>VÄSTERNORRLANDS LÄN</t>
        </is>
      </c>
      <c r="E312" t="inlineStr">
        <is>
          <t>SOLLEFTEÅ</t>
        </is>
      </c>
      <c r="F312" t="inlineStr">
        <is>
          <t>Kyrkan</t>
        </is>
      </c>
      <c r="G312" t="n">
        <v>17.3</v>
      </c>
      <c r="H312" t="n">
        <v>0</v>
      </c>
      <c r="I312" t="n">
        <v>0</v>
      </c>
      <c r="J312" t="n">
        <v>0</v>
      </c>
      <c r="K312" t="n">
        <v>0</v>
      </c>
      <c r="L312" t="n">
        <v>0</v>
      </c>
      <c r="M312" t="n">
        <v>0</v>
      </c>
      <c r="N312" t="n">
        <v>0</v>
      </c>
      <c r="O312" t="n">
        <v>0</v>
      </c>
      <c r="P312" t="n">
        <v>0</v>
      </c>
      <c r="Q312" t="n">
        <v>0</v>
      </c>
      <c r="R312" s="2" t="inlineStr"/>
    </row>
    <row r="313" ht="15" customHeight="1">
      <c r="A313" t="inlineStr">
        <is>
          <t>A 7159-2019</t>
        </is>
      </c>
      <c r="B313" s="1" t="n">
        <v>43489</v>
      </c>
      <c r="C313" s="1" t="n">
        <v>45282</v>
      </c>
      <c r="D313" t="inlineStr">
        <is>
          <t>VÄSTERNORRLANDS LÄN</t>
        </is>
      </c>
      <c r="E313" t="inlineStr">
        <is>
          <t>SOLLEFTEÅ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5923-2019</t>
        </is>
      </c>
      <c r="B314" s="1" t="n">
        <v>43490</v>
      </c>
      <c r="C314" s="1" t="n">
        <v>45282</v>
      </c>
      <c r="D314" t="inlineStr">
        <is>
          <t>VÄSTERNORRLANDS LÄN</t>
        </is>
      </c>
      <c r="E314" t="inlineStr">
        <is>
          <t>SOLLEFTEÅ</t>
        </is>
      </c>
      <c r="G314" t="n">
        <v>6.8</v>
      </c>
      <c r="H314" t="n">
        <v>0</v>
      </c>
      <c r="I314" t="n">
        <v>0</v>
      </c>
      <c r="J314" t="n">
        <v>0</v>
      </c>
      <c r="K314" t="n">
        <v>0</v>
      </c>
      <c r="L314" t="n">
        <v>0</v>
      </c>
      <c r="M314" t="n">
        <v>0</v>
      </c>
      <c r="N314" t="n">
        <v>0</v>
      </c>
      <c r="O314" t="n">
        <v>0</v>
      </c>
      <c r="P314" t="n">
        <v>0</v>
      </c>
      <c r="Q314" t="n">
        <v>0</v>
      </c>
      <c r="R314" s="2" t="inlineStr"/>
    </row>
    <row r="315" ht="15" customHeight="1">
      <c r="A315" t="inlineStr">
        <is>
          <t>A 7792-2019</t>
        </is>
      </c>
      <c r="B315" s="1" t="n">
        <v>43494</v>
      </c>
      <c r="C315" s="1" t="n">
        <v>45282</v>
      </c>
      <c r="D315" t="inlineStr">
        <is>
          <t>VÄSTERNORRLANDS LÄN</t>
        </is>
      </c>
      <c r="E315" t="inlineStr">
        <is>
          <t>SOLLEFTEÅ</t>
        </is>
      </c>
      <c r="G315" t="n">
        <v>2.5</v>
      </c>
      <c r="H315" t="n">
        <v>0</v>
      </c>
      <c r="I315" t="n">
        <v>0</v>
      </c>
      <c r="J315" t="n">
        <v>0</v>
      </c>
      <c r="K315" t="n">
        <v>0</v>
      </c>
      <c r="L315" t="n">
        <v>0</v>
      </c>
      <c r="M315" t="n">
        <v>0</v>
      </c>
      <c r="N315" t="n">
        <v>0</v>
      </c>
      <c r="O315" t="n">
        <v>0</v>
      </c>
      <c r="P315" t="n">
        <v>0</v>
      </c>
      <c r="Q315" t="n">
        <v>0</v>
      </c>
      <c r="R315" s="2" t="inlineStr"/>
    </row>
    <row r="316" ht="15" customHeight="1">
      <c r="A316" t="inlineStr">
        <is>
          <t>A 7878-2019</t>
        </is>
      </c>
      <c r="B316" s="1" t="n">
        <v>43500</v>
      </c>
      <c r="C316" s="1" t="n">
        <v>45282</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8020-2019</t>
        </is>
      </c>
      <c r="B317" s="1" t="n">
        <v>43501</v>
      </c>
      <c r="C317" s="1" t="n">
        <v>45282</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7970-2019</t>
        </is>
      </c>
      <c r="B318" s="1" t="n">
        <v>43501</v>
      </c>
      <c r="C318" s="1" t="n">
        <v>45282</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9051-2019</t>
        </is>
      </c>
      <c r="B319" s="1" t="n">
        <v>43504</v>
      </c>
      <c r="C319" s="1" t="n">
        <v>45282</v>
      </c>
      <c r="D319" t="inlineStr">
        <is>
          <t>VÄSTERNORRLANDS LÄN</t>
        </is>
      </c>
      <c r="E319" t="inlineStr">
        <is>
          <t>SOLLEFTEÅ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9521-2019</t>
        </is>
      </c>
      <c r="B320" s="1" t="n">
        <v>43507</v>
      </c>
      <c r="C320" s="1" t="n">
        <v>45282</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9519-2019</t>
        </is>
      </c>
      <c r="B321" s="1" t="n">
        <v>43507</v>
      </c>
      <c r="C321" s="1" t="n">
        <v>45282</v>
      </c>
      <c r="D321" t="inlineStr">
        <is>
          <t>VÄSTERNORRLANDS LÄN</t>
        </is>
      </c>
      <c r="E321" t="inlineStr">
        <is>
          <t>SOLLEFTEÅ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9367-2019</t>
        </is>
      </c>
      <c r="B322" s="1" t="n">
        <v>43507</v>
      </c>
      <c r="C322" s="1" t="n">
        <v>45282</v>
      </c>
      <c r="D322" t="inlineStr">
        <is>
          <t>VÄSTERNORRLANDS LÄN</t>
        </is>
      </c>
      <c r="E322" t="inlineStr">
        <is>
          <t>SOLLEFTEÅ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9610-2019</t>
        </is>
      </c>
      <c r="B323" s="1" t="n">
        <v>43508</v>
      </c>
      <c r="C323" s="1" t="n">
        <v>45282</v>
      </c>
      <c r="D323" t="inlineStr">
        <is>
          <t>VÄSTERNORRLANDS LÄN</t>
        </is>
      </c>
      <c r="E323" t="inlineStr">
        <is>
          <t>SOLLEFTEÅ</t>
        </is>
      </c>
      <c r="G323" t="n">
        <v>7.7</v>
      </c>
      <c r="H323" t="n">
        <v>0</v>
      </c>
      <c r="I323" t="n">
        <v>0</v>
      </c>
      <c r="J323" t="n">
        <v>0</v>
      </c>
      <c r="K323" t="n">
        <v>0</v>
      </c>
      <c r="L323" t="n">
        <v>0</v>
      </c>
      <c r="M323" t="n">
        <v>0</v>
      </c>
      <c r="N323" t="n">
        <v>0</v>
      </c>
      <c r="O323" t="n">
        <v>0</v>
      </c>
      <c r="P323" t="n">
        <v>0</v>
      </c>
      <c r="Q323" t="n">
        <v>0</v>
      </c>
      <c r="R323" s="2" t="inlineStr"/>
    </row>
    <row r="324" ht="15" customHeight="1">
      <c r="A324" t="inlineStr">
        <is>
          <t>A 9727-2019</t>
        </is>
      </c>
      <c r="B324" s="1" t="n">
        <v>43508</v>
      </c>
      <c r="C324" s="1" t="n">
        <v>45282</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11285-2019</t>
        </is>
      </c>
      <c r="B325" s="1" t="n">
        <v>43516</v>
      </c>
      <c r="C325" s="1" t="n">
        <v>45282</v>
      </c>
      <c r="D325" t="inlineStr">
        <is>
          <t>VÄSTERNORRLANDS LÄN</t>
        </is>
      </c>
      <c r="E325" t="inlineStr">
        <is>
          <t>SOLLEFTEÅ</t>
        </is>
      </c>
      <c r="F325" t="inlineStr">
        <is>
          <t>SCA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11283-2019</t>
        </is>
      </c>
      <c r="B326" s="1" t="n">
        <v>43516</v>
      </c>
      <c r="C326" s="1" t="n">
        <v>45282</v>
      </c>
      <c r="D326" t="inlineStr">
        <is>
          <t>VÄSTERNORRLANDS LÄN</t>
        </is>
      </c>
      <c r="E326" t="inlineStr">
        <is>
          <t>SOLLEFTEÅ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11177-2019</t>
        </is>
      </c>
      <c r="B327" s="1" t="n">
        <v>43516</v>
      </c>
      <c r="C327" s="1" t="n">
        <v>45282</v>
      </c>
      <c r="D327" t="inlineStr">
        <is>
          <t>VÄSTERNORRLANDS LÄN</t>
        </is>
      </c>
      <c r="E327" t="inlineStr">
        <is>
          <t>SOLLEFTEÅ</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11341-2019</t>
        </is>
      </c>
      <c r="B328" s="1" t="n">
        <v>43517</v>
      </c>
      <c r="C328" s="1" t="n">
        <v>45282</v>
      </c>
      <c r="D328" t="inlineStr">
        <is>
          <t>VÄSTERNORRLANDS LÄN</t>
        </is>
      </c>
      <c r="E328" t="inlineStr">
        <is>
          <t>SOLLEFTEÅ</t>
        </is>
      </c>
      <c r="G328" t="n">
        <v>7.2</v>
      </c>
      <c r="H328" t="n">
        <v>0</v>
      </c>
      <c r="I328" t="n">
        <v>0</v>
      </c>
      <c r="J328" t="n">
        <v>0</v>
      </c>
      <c r="K328" t="n">
        <v>0</v>
      </c>
      <c r="L328" t="n">
        <v>0</v>
      </c>
      <c r="M328" t="n">
        <v>0</v>
      </c>
      <c r="N328" t="n">
        <v>0</v>
      </c>
      <c r="O328" t="n">
        <v>0</v>
      </c>
      <c r="P328" t="n">
        <v>0</v>
      </c>
      <c r="Q328" t="n">
        <v>0</v>
      </c>
      <c r="R328" s="2" t="inlineStr"/>
    </row>
    <row r="329" ht="15" customHeight="1">
      <c r="A329" t="inlineStr">
        <is>
          <t>A 11766-2019</t>
        </is>
      </c>
      <c r="B329" s="1" t="n">
        <v>43520</v>
      </c>
      <c r="C329" s="1" t="n">
        <v>45282</v>
      </c>
      <c r="D329" t="inlineStr">
        <is>
          <t>VÄSTERNORRLANDS LÄN</t>
        </is>
      </c>
      <c r="E329" t="inlineStr">
        <is>
          <t>SOLLEFTEÅ</t>
        </is>
      </c>
      <c r="G329" t="n">
        <v>7.1</v>
      </c>
      <c r="H329" t="n">
        <v>0</v>
      </c>
      <c r="I329" t="n">
        <v>0</v>
      </c>
      <c r="J329" t="n">
        <v>0</v>
      </c>
      <c r="K329" t="n">
        <v>0</v>
      </c>
      <c r="L329" t="n">
        <v>0</v>
      </c>
      <c r="M329" t="n">
        <v>0</v>
      </c>
      <c r="N329" t="n">
        <v>0</v>
      </c>
      <c r="O329" t="n">
        <v>0</v>
      </c>
      <c r="P329" t="n">
        <v>0</v>
      </c>
      <c r="Q329" t="n">
        <v>0</v>
      </c>
      <c r="R329" s="2" t="inlineStr"/>
    </row>
    <row r="330" ht="15" customHeight="1">
      <c r="A330" t="inlineStr">
        <is>
          <t>A 11759-2019</t>
        </is>
      </c>
      <c r="B330" s="1" t="n">
        <v>43520</v>
      </c>
      <c r="C330" s="1" t="n">
        <v>45282</v>
      </c>
      <c r="D330" t="inlineStr">
        <is>
          <t>VÄSTERNORRLANDS LÄN</t>
        </is>
      </c>
      <c r="E330" t="inlineStr">
        <is>
          <t>SOLLEFTEÅ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12510-2019</t>
        </is>
      </c>
      <c r="B331" s="1" t="n">
        <v>43523</v>
      </c>
      <c r="C331" s="1" t="n">
        <v>45282</v>
      </c>
      <c r="D331" t="inlineStr">
        <is>
          <t>VÄSTERNORRLANDS LÄN</t>
        </is>
      </c>
      <c r="E331" t="inlineStr">
        <is>
          <t>SOLLEFTEÅ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12812-2019</t>
        </is>
      </c>
      <c r="B332" s="1" t="n">
        <v>43524</v>
      </c>
      <c r="C332" s="1" t="n">
        <v>45282</v>
      </c>
      <c r="D332" t="inlineStr">
        <is>
          <t>VÄSTERNORRLANDS LÄN</t>
        </is>
      </c>
      <c r="E332" t="inlineStr">
        <is>
          <t>SOLLEFTEÅ</t>
        </is>
      </c>
      <c r="G332" t="n">
        <v>6.4</v>
      </c>
      <c r="H332" t="n">
        <v>0</v>
      </c>
      <c r="I332" t="n">
        <v>0</v>
      </c>
      <c r="J332" t="n">
        <v>0</v>
      </c>
      <c r="K332" t="n">
        <v>0</v>
      </c>
      <c r="L332" t="n">
        <v>0</v>
      </c>
      <c r="M332" t="n">
        <v>0</v>
      </c>
      <c r="N332" t="n">
        <v>0</v>
      </c>
      <c r="O332" t="n">
        <v>0</v>
      </c>
      <c r="P332" t="n">
        <v>0</v>
      </c>
      <c r="Q332" t="n">
        <v>0</v>
      </c>
      <c r="R332" s="2" t="inlineStr"/>
    </row>
    <row r="333" ht="15" customHeight="1">
      <c r="A333" t="inlineStr">
        <is>
          <t>A 12987-2019</t>
        </is>
      </c>
      <c r="B333" s="1" t="n">
        <v>43525</v>
      </c>
      <c r="C333" s="1" t="n">
        <v>45282</v>
      </c>
      <c r="D333" t="inlineStr">
        <is>
          <t>VÄSTERNORRLANDS LÄN</t>
        </is>
      </c>
      <c r="E333" t="inlineStr">
        <is>
          <t>SOLLEFTEÅ</t>
        </is>
      </c>
      <c r="G333" t="n">
        <v>3</v>
      </c>
      <c r="H333" t="n">
        <v>0</v>
      </c>
      <c r="I333" t="n">
        <v>0</v>
      </c>
      <c r="J333" t="n">
        <v>0</v>
      </c>
      <c r="K333" t="n">
        <v>0</v>
      </c>
      <c r="L333" t="n">
        <v>0</v>
      </c>
      <c r="M333" t="n">
        <v>0</v>
      </c>
      <c r="N333" t="n">
        <v>0</v>
      </c>
      <c r="O333" t="n">
        <v>0</v>
      </c>
      <c r="P333" t="n">
        <v>0</v>
      </c>
      <c r="Q333" t="n">
        <v>0</v>
      </c>
      <c r="R333" s="2" t="inlineStr"/>
    </row>
    <row r="334" ht="15" customHeight="1">
      <c r="A334" t="inlineStr">
        <is>
          <t>A 13653-2019</t>
        </is>
      </c>
      <c r="B334" s="1" t="n">
        <v>43530</v>
      </c>
      <c r="C334" s="1" t="n">
        <v>45282</v>
      </c>
      <c r="D334" t="inlineStr">
        <is>
          <t>VÄSTERNORRLANDS LÄN</t>
        </is>
      </c>
      <c r="E334" t="inlineStr">
        <is>
          <t>SOLLEFTEÅ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13711-2019</t>
        </is>
      </c>
      <c r="B335" s="1" t="n">
        <v>43530</v>
      </c>
      <c r="C335" s="1" t="n">
        <v>45282</v>
      </c>
      <c r="D335" t="inlineStr">
        <is>
          <t>VÄSTERNORRLANDS LÄN</t>
        </is>
      </c>
      <c r="E335" t="inlineStr">
        <is>
          <t>SOLLEFTEÅ</t>
        </is>
      </c>
      <c r="G335" t="n">
        <v>5.6</v>
      </c>
      <c r="H335" t="n">
        <v>0</v>
      </c>
      <c r="I335" t="n">
        <v>0</v>
      </c>
      <c r="J335" t="n">
        <v>0</v>
      </c>
      <c r="K335" t="n">
        <v>0</v>
      </c>
      <c r="L335" t="n">
        <v>0</v>
      </c>
      <c r="M335" t="n">
        <v>0</v>
      </c>
      <c r="N335" t="n">
        <v>0</v>
      </c>
      <c r="O335" t="n">
        <v>0</v>
      </c>
      <c r="P335" t="n">
        <v>0</v>
      </c>
      <c r="Q335" t="n">
        <v>0</v>
      </c>
      <c r="R335" s="2" t="inlineStr"/>
    </row>
    <row r="336" ht="15" customHeight="1">
      <c r="A336" t="inlineStr">
        <is>
          <t>A 13801-2019</t>
        </is>
      </c>
      <c r="B336" s="1" t="n">
        <v>43530</v>
      </c>
      <c r="C336" s="1" t="n">
        <v>45282</v>
      </c>
      <c r="D336" t="inlineStr">
        <is>
          <t>VÄSTERNORRLANDS LÄN</t>
        </is>
      </c>
      <c r="E336" t="inlineStr">
        <is>
          <t>SOLLEFTEÅ</t>
        </is>
      </c>
      <c r="G336" t="n">
        <v>1.8</v>
      </c>
      <c r="H336" t="n">
        <v>0</v>
      </c>
      <c r="I336" t="n">
        <v>0</v>
      </c>
      <c r="J336" t="n">
        <v>0</v>
      </c>
      <c r="K336" t="n">
        <v>0</v>
      </c>
      <c r="L336" t="n">
        <v>0</v>
      </c>
      <c r="M336" t="n">
        <v>0</v>
      </c>
      <c r="N336" t="n">
        <v>0</v>
      </c>
      <c r="O336" t="n">
        <v>0</v>
      </c>
      <c r="P336" t="n">
        <v>0</v>
      </c>
      <c r="Q336" t="n">
        <v>0</v>
      </c>
      <c r="R336" s="2" t="inlineStr"/>
    </row>
    <row r="337" ht="15" customHeight="1">
      <c r="A337" t="inlineStr">
        <is>
          <t>A 13648-2019</t>
        </is>
      </c>
      <c r="B337" s="1" t="n">
        <v>43530</v>
      </c>
      <c r="C337" s="1" t="n">
        <v>45282</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13800-2019</t>
        </is>
      </c>
      <c r="B338" s="1" t="n">
        <v>43530</v>
      </c>
      <c r="C338" s="1" t="n">
        <v>45282</v>
      </c>
      <c r="D338" t="inlineStr">
        <is>
          <t>VÄSTERNORRLANDS LÄN</t>
        </is>
      </c>
      <c r="E338" t="inlineStr">
        <is>
          <t>SOLLEFTEÅ</t>
        </is>
      </c>
      <c r="G338" t="n">
        <v>7.3</v>
      </c>
      <c r="H338" t="n">
        <v>0</v>
      </c>
      <c r="I338" t="n">
        <v>0</v>
      </c>
      <c r="J338" t="n">
        <v>0</v>
      </c>
      <c r="K338" t="n">
        <v>0</v>
      </c>
      <c r="L338" t="n">
        <v>0</v>
      </c>
      <c r="M338" t="n">
        <v>0</v>
      </c>
      <c r="N338" t="n">
        <v>0</v>
      </c>
      <c r="O338" t="n">
        <v>0</v>
      </c>
      <c r="P338" t="n">
        <v>0</v>
      </c>
      <c r="Q338" t="n">
        <v>0</v>
      </c>
      <c r="R338" s="2" t="inlineStr"/>
    </row>
    <row r="339" ht="15" customHeight="1">
      <c r="A339" t="inlineStr">
        <is>
          <t>A 13914-2019</t>
        </is>
      </c>
      <c r="B339" s="1" t="n">
        <v>43531</v>
      </c>
      <c r="C339" s="1" t="n">
        <v>45282</v>
      </c>
      <c r="D339" t="inlineStr">
        <is>
          <t>VÄSTERNORRLANDS LÄN</t>
        </is>
      </c>
      <c r="E339" t="inlineStr">
        <is>
          <t>SOLLEFTEÅ</t>
        </is>
      </c>
      <c r="G339" t="n">
        <v>4.1</v>
      </c>
      <c r="H339" t="n">
        <v>0</v>
      </c>
      <c r="I339" t="n">
        <v>0</v>
      </c>
      <c r="J339" t="n">
        <v>0</v>
      </c>
      <c r="K339" t="n">
        <v>0</v>
      </c>
      <c r="L339" t="n">
        <v>0</v>
      </c>
      <c r="M339" t="n">
        <v>0</v>
      </c>
      <c r="N339" t="n">
        <v>0</v>
      </c>
      <c r="O339" t="n">
        <v>0</v>
      </c>
      <c r="P339" t="n">
        <v>0</v>
      </c>
      <c r="Q339" t="n">
        <v>0</v>
      </c>
      <c r="R339" s="2" t="inlineStr"/>
    </row>
    <row r="340" ht="15" customHeight="1">
      <c r="A340" t="inlineStr">
        <is>
          <t>A 13912-2019</t>
        </is>
      </c>
      <c r="B340" s="1" t="n">
        <v>43531</v>
      </c>
      <c r="C340" s="1" t="n">
        <v>45282</v>
      </c>
      <c r="D340" t="inlineStr">
        <is>
          <t>VÄSTERNORRLANDS LÄN</t>
        </is>
      </c>
      <c r="E340" t="inlineStr">
        <is>
          <t>SOLLEFTEÅ</t>
        </is>
      </c>
      <c r="G340" t="n">
        <v>6.1</v>
      </c>
      <c r="H340" t="n">
        <v>0</v>
      </c>
      <c r="I340" t="n">
        <v>0</v>
      </c>
      <c r="J340" t="n">
        <v>0</v>
      </c>
      <c r="K340" t="n">
        <v>0</v>
      </c>
      <c r="L340" t="n">
        <v>0</v>
      </c>
      <c r="M340" t="n">
        <v>0</v>
      </c>
      <c r="N340" t="n">
        <v>0</v>
      </c>
      <c r="O340" t="n">
        <v>0</v>
      </c>
      <c r="P340" t="n">
        <v>0</v>
      </c>
      <c r="Q340" t="n">
        <v>0</v>
      </c>
      <c r="R340" s="2" t="inlineStr"/>
    </row>
    <row r="341" ht="15" customHeight="1">
      <c r="A341" t="inlineStr">
        <is>
          <t>A 15272-2019</t>
        </is>
      </c>
      <c r="B341" s="1" t="n">
        <v>43539</v>
      </c>
      <c r="C341" s="1" t="n">
        <v>45282</v>
      </c>
      <c r="D341" t="inlineStr">
        <is>
          <t>VÄSTERNORRLANDS LÄN</t>
        </is>
      </c>
      <c r="E341" t="inlineStr">
        <is>
          <t>SOLLEFTEÅ</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15737-2019</t>
        </is>
      </c>
      <c r="B342" s="1" t="n">
        <v>43542</v>
      </c>
      <c r="C342" s="1" t="n">
        <v>45282</v>
      </c>
      <c r="D342" t="inlineStr">
        <is>
          <t>VÄSTERNORRLANDS LÄN</t>
        </is>
      </c>
      <c r="E342" t="inlineStr">
        <is>
          <t>SOLLEFTEÅ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15897-2019</t>
        </is>
      </c>
      <c r="B343" s="1" t="n">
        <v>43543</v>
      </c>
      <c r="C343" s="1" t="n">
        <v>45282</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16033-2019</t>
        </is>
      </c>
      <c r="B344" s="1" t="n">
        <v>43543</v>
      </c>
      <c r="C344" s="1" t="n">
        <v>45282</v>
      </c>
      <c r="D344" t="inlineStr">
        <is>
          <t>VÄSTERNORRLANDS LÄN</t>
        </is>
      </c>
      <c r="E344" t="inlineStr">
        <is>
          <t>SOLLEFTEÅ</t>
        </is>
      </c>
      <c r="G344" t="n">
        <v>6.3</v>
      </c>
      <c r="H344" t="n">
        <v>0</v>
      </c>
      <c r="I344" t="n">
        <v>0</v>
      </c>
      <c r="J344" t="n">
        <v>0</v>
      </c>
      <c r="K344" t="n">
        <v>0</v>
      </c>
      <c r="L344" t="n">
        <v>0</v>
      </c>
      <c r="M344" t="n">
        <v>0</v>
      </c>
      <c r="N344" t="n">
        <v>0</v>
      </c>
      <c r="O344" t="n">
        <v>0</v>
      </c>
      <c r="P344" t="n">
        <v>0</v>
      </c>
      <c r="Q344" t="n">
        <v>0</v>
      </c>
      <c r="R344" s="2" t="inlineStr"/>
    </row>
    <row r="345" ht="15" customHeight="1">
      <c r="A345" t="inlineStr">
        <is>
          <t>A 16565-2019</t>
        </is>
      </c>
      <c r="B345" s="1" t="n">
        <v>43546</v>
      </c>
      <c r="C345" s="1" t="n">
        <v>45282</v>
      </c>
      <c r="D345" t="inlineStr">
        <is>
          <t>VÄSTERNORRLANDS LÄN</t>
        </is>
      </c>
      <c r="E345" t="inlineStr">
        <is>
          <t>SOLLEFTEÅ</t>
        </is>
      </c>
      <c r="F345" t="inlineStr">
        <is>
          <t>SCA</t>
        </is>
      </c>
      <c r="G345" t="n">
        <v>13.6</v>
      </c>
      <c r="H345" t="n">
        <v>0</v>
      </c>
      <c r="I345" t="n">
        <v>0</v>
      </c>
      <c r="J345" t="n">
        <v>0</v>
      </c>
      <c r="K345" t="n">
        <v>0</v>
      </c>
      <c r="L345" t="n">
        <v>0</v>
      </c>
      <c r="M345" t="n">
        <v>0</v>
      </c>
      <c r="N345" t="n">
        <v>0</v>
      </c>
      <c r="O345" t="n">
        <v>0</v>
      </c>
      <c r="P345" t="n">
        <v>0</v>
      </c>
      <c r="Q345" t="n">
        <v>0</v>
      </c>
      <c r="R345" s="2" t="inlineStr"/>
    </row>
    <row r="346" ht="15" customHeight="1">
      <c r="A346" t="inlineStr">
        <is>
          <t>A 16552-2019</t>
        </is>
      </c>
      <c r="B346" s="1" t="n">
        <v>43546</v>
      </c>
      <c r="C346" s="1" t="n">
        <v>45282</v>
      </c>
      <c r="D346" t="inlineStr">
        <is>
          <t>VÄSTERNORRLANDS LÄN</t>
        </is>
      </c>
      <c r="E346" t="inlineStr">
        <is>
          <t>SOLLEFTEÅ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16840-2019</t>
        </is>
      </c>
      <c r="B347" s="1" t="n">
        <v>43549</v>
      </c>
      <c r="C347" s="1" t="n">
        <v>45282</v>
      </c>
      <c r="D347" t="inlineStr">
        <is>
          <t>VÄSTERNORRLANDS LÄN</t>
        </is>
      </c>
      <c r="E347" t="inlineStr">
        <is>
          <t>SOLLEFTEÅ</t>
        </is>
      </c>
      <c r="F347" t="inlineStr">
        <is>
          <t>SCA</t>
        </is>
      </c>
      <c r="G347" t="n">
        <v>31.7</v>
      </c>
      <c r="H347" t="n">
        <v>0</v>
      </c>
      <c r="I347" t="n">
        <v>0</v>
      </c>
      <c r="J347" t="n">
        <v>0</v>
      </c>
      <c r="K347" t="n">
        <v>0</v>
      </c>
      <c r="L347" t="n">
        <v>0</v>
      </c>
      <c r="M347" t="n">
        <v>0</v>
      </c>
      <c r="N347" t="n">
        <v>0</v>
      </c>
      <c r="O347" t="n">
        <v>0</v>
      </c>
      <c r="P347" t="n">
        <v>0</v>
      </c>
      <c r="Q347" t="n">
        <v>0</v>
      </c>
      <c r="R347" s="2" t="inlineStr"/>
    </row>
    <row r="348" ht="15" customHeight="1">
      <c r="A348" t="inlineStr">
        <is>
          <t>A 16833-2019</t>
        </is>
      </c>
      <c r="B348" s="1" t="n">
        <v>43549</v>
      </c>
      <c r="C348" s="1" t="n">
        <v>45282</v>
      </c>
      <c r="D348" t="inlineStr">
        <is>
          <t>VÄSTERNORRLANDS LÄN</t>
        </is>
      </c>
      <c r="E348" t="inlineStr">
        <is>
          <t>SOLLEFTEÅ</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16832-2019</t>
        </is>
      </c>
      <c r="B349" s="1" t="n">
        <v>43549</v>
      </c>
      <c r="C349" s="1" t="n">
        <v>45282</v>
      </c>
      <c r="D349" t="inlineStr">
        <is>
          <t>VÄSTERNORRLANDS LÄN</t>
        </is>
      </c>
      <c r="E349" t="inlineStr">
        <is>
          <t>SOLLEFTEÅ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17670-2019</t>
        </is>
      </c>
      <c r="B350" s="1" t="n">
        <v>43552</v>
      </c>
      <c r="C350" s="1" t="n">
        <v>45282</v>
      </c>
      <c r="D350" t="inlineStr">
        <is>
          <t>VÄSTERNORRLANDS LÄN</t>
        </is>
      </c>
      <c r="E350" t="inlineStr">
        <is>
          <t>SOLLEFTEÅ</t>
        </is>
      </c>
      <c r="G350" t="n">
        <v>6.6</v>
      </c>
      <c r="H350" t="n">
        <v>0</v>
      </c>
      <c r="I350" t="n">
        <v>0</v>
      </c>
      <c r="J350" t="n">
        <v>0</v>
      </c>
      <c r="K350" t="n">
        <v>0</v>
      </c>
      <c r="L350" t="n">
        <v>0</v>
      </c>
      <c r="M350" t="n">
        <v>0</v>
      </c>
      <c r="N350" t="n">
        <v>0</v>
      </c>
      <c r="O350" t="n">
        <v>0</v>
      </c>
      <c r="P350" t="n">
        <v>0</v>
      </c>
      <c r="Q350" t="n">
        <v>0</v>
      </c>
      <c r="R350" s="2" t="inlineStr"/>
    </row>
    <row r="351" ht="15" customHeight="1">
      <c r="A351" t="inlineStr">
        <is>
          <t>A 18277-2019</t>
        </is>
      </c>
      <c r="B351" s="1" t="n">
        <v>43557</v>
      </c>
      <c r="C351" s="1" t="n">
        <v>45282</v>
      </c>
      <c r="D351" t="inlineStr">
        <is>
          <t>VÄSTERNORRLANDS LÄN</t>
        </is>
      </c>
      <c r="E351" t="inlineStr">
        <is>
          <t>SOLLEFTEÅ</t>
        </is>
      </c>
      <c r="G351" t="n">
        <v>6.2</v>
      </c>
      <c r="H351" t="n">
        <v>0</v>
      </c>
      <c r="I351" t="n">
        <v>0</v>
      </c>
      <c r="J351" t="n">
        <v>0</v>
      </c>
      <c r="K351" t="n">
        <v>0</v>
      </c>
      <c r="L351" t="n">
        <v>0</v>
      </c>
      <c r="M351" t="n">
        <v>0</v>
      </c>
      <c r="N351" t="n">
        <v>0</v>
      </c>
      <c r="O351" t="n">
        <v>0</v>
      </c>
      <c r="P351" t="n">
        <v>0</v>
      </c>
      <c r="Q351" t="n">
        <v>0</v>
      </c>
      <c r="R351" s="2" t="inlineStr"/>
    </row>
    <row r="352" ht="15" customHeight="1">
      <c r="A352" t="inlineStr">
        <is>
          <t>A 18578-2019</t>
        </is>
      </c>
      <c r="B352" s="1" t="n">
        <v>43558</v>
      </c>
      <c r="C352" s="1" t="n">
        <v>45282</v>
      </c>
      <c r="D352" t="inlineStr">
        <is>
          <t>VÄSTERNORRLANDS LÄN</t>
        </is>
      </c>
      <c r="E352" t="inlineStr">
        <is>
          <t>SOLLEFTEÅ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18452-2019</t>
        </is>
      </c>
      <c r="B353" s="1" t="n">
        <v>43559</v>
      </c>
      <c r="C353" s="1" t="n">
        <v>45282</v>
      </c>
      <c r="D353" t="inlineStr">
        <is>
          <t>VÄSTERNORRLANDS LÄN</t>
        </is>
      </c>
      <c r="E353" t="inlineStr">
        <is>
          <t>SOLLEFTEÅ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45282</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45282</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45282</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45282</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45282</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45282</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45282</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45282</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45282</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45282</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45282</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45282</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45282</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45282</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45282</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45282</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45282</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45282</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45282</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45282</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45282</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45282</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45282</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45282</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45282</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45282</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45282</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45282</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45282</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45282</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45282</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45282</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45282</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45282</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45282</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45282</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45282</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45282</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45282</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45282</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45282</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45282</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45282</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45282</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45282</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45282</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45282</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45282</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45282</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45282</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45282</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45282</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45282</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45282</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45282</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45282</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45282</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45282</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45282</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45282</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45282</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45282</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45282</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45282</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45282</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45282</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45282</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45282</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45282</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45282</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45282</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45282</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45282</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45282</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45282</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45282</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45282</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45282</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45282</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45282</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45282</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45282</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45282</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45282</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45282</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45282</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45282</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45282</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45282</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45282</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45282</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40512-2019</t>
        </is>
      </c>
      <c r="B445" s="1" t="n">
        <v>43696</v>
      </c>
      <c r="C445" s="1" t="n">
        <v>45282</v>
      </c>
      <c r="D445" t="inlineStr">
        <is>
          <t>VÄSTERNORRLANDS LÄN</t>
        </is>
      </c>
      <c r="E445" t="inlineStr">
        <is>
          <t>SOLLEFTEÅ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40685-2019</t>
        </is>
      </c>
      <c r="B446" s="1" t="n">
        <v>43696</v>
      </c>
      <c r="C446" s="1" t="n">
        <v>45282</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40682-2019</t>
        </is>
      </c>
      <c r="B447" s="1" t="n">
        <v>43696</v>
      </c>
      <c r="C447" s="1" t="n">
        <v>45282</v>
      </c>
      <c r="D447" t="inlineStr">
        <is>
          <t>VÄSTERNORRLANDS LÄN</t>
        </is>
      </c>
      <c r="E447" t="inlineStr">
        <is>
          <t>SOLLEFTEÅ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40514-2019</t>
        </is>
      </c>
      <c r="B448" s="1" t="n">
        <v>43696</v>
      </c>
      <c r="C448" s="1" t="n">
        <v>45282</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40679-2019</t>
        </is>
      </c>
      <c r="B449" s="1" t="n">
        <v>43696</v>
      </c>
      <c r="C449" s="1" t="n">
        <v>45282</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41786-2019</t>
        </is>
      </c>
      <c r="B450" s="1" t="n">
        <v>43699</v>
      </c>
      <c r="C450" s="1" t="n">
        <v>45282</v>
      </c>
      <c r="D450" t="inlineStr">
        <is>
          <t>VÄSTERNORRLANDS LÄN</t>
        </is>
      </c>
      <c r="E450" t="inlineStr">
        <is>
          <t>SOLLEFTEÅ</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42417-2019</t>
        </is>
      </c>
      <c r="B451" s="1" t="n">
        <v>43703</v>
      </c>
      <c r="C451" s="1" t="n">
        <v>45282</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42791-2019</t>
        </is>
      </c>
      <c r="B452" s="1" t="n">
        <v>43704</v>
      </c>
      <c r="C452" s="1" t="n">
        <v>45282</v>
      </c>
      <c r="D452" t="inlineStr">
        <is>
          <t>VÄSTERNORRLANDS LÄN</t>
        </is>
      </c>
      <c r="E452" t="inlineStr">
        <is>
          <t>SOLLEFTEÅ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42792-2019</t>
        </is>
      </c>
      <c r="B453" s="1" t="n">
        <v>43704</v>
      </c>
      <c r="C453" s="1" t="n">
        <v>45282</v>
      </c>
      <c r="D453" t="inlineStr">
        <is>
          <t>VÄSTERNORRLANDS LÄN</t>
        </is>
      </c>
      <c r="E453" t="inlineStr">
        <is>
          <t>SOLLEFTEÅ</t>
        </is>
      </c>
      <c r="G453" t="n">
        <v>5.7</v>
      </c>
      <c r="H453" t="n">
        <v>0</v>
      </c>
      <c r="I453" t="n">
        <v>0</v>
      </c>
      <c r="J453" t="n">
        <v>0</v>
      </c>
      <c r="K453" t="n">
        <v>0</v>
      </c>
      <c r="L453" t="n">
        <v>0</v>
      </c>
      <c r="M453" t="n">
        <v>0</v>
      </c>
      <c r="N453" t="n">
        <v>0</v>
      </c>
      <c r="O453" t="n">
        <v>0</v>
      </c>
      <c r="P453" t="n">
        <v>0</v>
      </c>
      <c r="Q453" t="n">
        <v>0</v>
      </c>
      <c r="R453" s="2" t="inlineStr"/>
    </row>
    <row r="454" ht="15" customHeight="1">
      <c r="A454" t="inlineStr">
        <is>
          <t>A 43499-2019</t>
        </is>
      </c>
      <c r="B454" s="1" t="n">
        <v>43706</v>
      </c>
      <c r="C454" s="1" t="n">
        <v>45282</v>
      </c>
      <c r="D454" t="inlineStr">
        <is>
          <t>VÄSTERNORRLANDS LÄN</t>
        </is>
      </c>
      <c r="E454" t="inlineStr">
        <is>
          <t>SOLLEFTEÅ</t>
        </is>
      </c>
      <c r="G454" t="n">
        <v>19.3</v>
      </c>
      <c r="H454" t="n">
        <v>0</v>
      </c>
      <c r="I454" t="n">
        <v>0</v>
      </c>
      <c r="J454" t="n">
        <v>0</v>
      </c>
      <c r="K454" t="n">
        <v>0</v>
      </c>
      <c r="L454" t="n">
        <v>0</v>
      </c>
      <c r="M454" t="n">
        <v>0</v>
      </c>
      <c r="N454" t="n">
        <v>0</v>
      </c>
      <c r="O454" t="n">
        <v>0</v>
      </c>
      <c r="P454" t="n">
        <v>0</v>
      </c>
      <c r="Q454" t="n">
        <v>0</v>
      </c>
      <c r="R454" s="2" t="inlineStr"/>
    </row>
    <row r="455" ht="15" customHeight="1">
      <c r="A455" t="inlineStr">
        <is>
          <t>A 45032-2019</t>
        </is>
      </c>
      <c r="B455" s="1" t="n">
        <v>43707</v>
      </c>
      <c r="C455" s="1" t="n">
        <v>45282</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44815-2019</t>
        </is>
      </c>
      <c r="B456" s="1" t="n">
        <v>43712</v>
      </c>
      <c r="C456" s="1" t="n">
        <v>45282</v>
      </c>
      <c r="D456" t="inlineStr">
        <is>
          <t>VÄSTERNORRLANDS LÄN</t>
        </is>
      </c>
      <c r="E456" t="inlineStr">
        <is>
          <t>SOLLEFTEÅ</t>
        </is>
      </c>
      <c r="G456" t="n">
        <v>3</v>
      </c>
      <c r="H456" t="n">
        <v>0</v>
      </c>
      <c r="I456" t="n">
        <v>0</v>
      </c>
      <c r="J456" t="n">
        <v>0</v>
      </c>
      <c r="K456" t="n">
        <v>0</v>
      </c>
      <c r="L456" t="n">
        <v>0</v>
      </c>
      <c r="M456" t="n">
        <v>0</v>
      </c>
      <c r="N456" t="n">
        <v>0</v>
      </c>
      <c r="O456" t="n">
        <v>0</v>
      </c>
      <c r="P456" t="n">
        <v>0</v>
      </c>
      <c r="Q456" t="n">
        <v>0</v>
      </c>
      <c r="R456" s="2" t="inlineStr"/>
    </row>
    <row r="457" ht="15" customHeight="1">
      <c r="A457" t="inlineStr">
        <is>
          <t>A 45941-2019</t>
        </is>
      </c>
      <c r="B457" s="1" t="n">
        <v>43712</v>
      </c>
      <c r="C457" s="1" t="n">
        <v>45282</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44888-2019</t>
        </is>
      </c>
      <c r="B458" s="1" t="n">
        <v>43712</v>
      </c>
      <c r="C458" s="1" t="n">
        <v>45282</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44960-2019</t>
        </is>
      </c>
      <c r="B459" s="1" t="n">
        <v>43713</v>
      </c>
      <c r="C459" s="1" t="n">
        <v>45282</v>
      </c>
      <c r="D459" t="inlineStr">
        <is>
          <t>VÄSTERNORRLANDS LÄN</t>
        </is>
      </c>
      <c r="E459" t="inlineStr">
        <is>
          <t>SOLLEFTEÅ</t>
        </is>
      </c>
      <c r="G459" t="n">
        <v>14.9</v>
      </c>
      <c r="H459" t="n">
        <v>0</v>
      </c>
      <c r="I459" t="n">
        <v>0</v>
      </c>
      <c r="J459" t="n">
        <v>0</v>
      </c>
      <c r="K459" t="n">
        <v>0</v>
      </c>
      <c r="L459" t="n">
        <v>0</v>
      </c>
      <c r="M459" t="n">
        <v>0</v>
      </c>
      <c r="N459" t="n">
        <v>0</v>
      </c>
      <c r="O459" t="n">
        <v>0</v>
      </c>
      <c r="P459" t="n">
        <v>0</v>
      </c>
      <c r="Q459" t="n">
        <v>0</v>
      </c>
      <c r="R459" s="2" t="inlineStr"/>
    </row>
    <row r="460" ht="15" customHeight="1">
      <c r="A460" t="inlineStr">
        <is>
          <t>A 45537-2019</t>
        </is>
      </c>
      <c r="B460" s="1" t="n">
        <v>43714</v>
      </c>
      <c r="C460" s="1" t="n">
        <v>45282</v>
      </c>
      <c r="D460" t="inlineStr">
        <is>
          <t>VÄSTERNORRLANDS LÄN</t>
        </is>
      </c>
      <c r="E460" t="inlineStr">
        <is>
          <t>SOLLEFTEÅ</t>
        </is>
      </c>
      <c r="F460" t="inlineStr">
        <is>
          <t>SCA</t>
        </is>
      </c>
      <c r="G460" t="n">
        <v>35.1</v>
      </c>
      <c r="H460" t="n">
        <v>0</v>
      </c>
      <c r="I460" t="n">
        <v>0</v>
      </c>
      <c r="J460" t="n">
        <v>0</v>
      </c>
      <c r="K460" t="n">
        <v>0</v>
      </c>
      <c r="L460" t="n">
        <v>0</v>
      </c>
      <c r="M460" t="n">
        <v>0</v>
      </c>
      <c r="N460" t="n">
        <v>0</v>
      </c>
      <c r="O460" t="n">
        <v>0</v>
      </c>
      <c r="P460" t="n">
        <v>0</v>
      </c>
      <c r="Q460" t="n">
        <v>0</v>
      </c>
      <c r="R460" s="2" t="inlineStr"/>
    </row>
    <row r="461" ht="15" customHeight="1">
      <c r="A461" t="inlineStr">
        <is>
          <t>A 46345-2019</t>
        </is>
      </c>
      <c r="B461" s="1" t="n">
        <v>43718</v>
      </c>
      <c r="C461" s="1" t="n">
        <v>45282</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46956-2019</t>
        </is>
      </c>
      <c r="B462" s="1" t="n">
        <v>43719</v>
      </c>
      <c r="C462" s="1" t="n">
        <v>45282</v>
      </c>
      <c r="D462" t="inlineStr">
        <is>
          <t>VÄSTERNORRLANDS LÄN</t>
        </is>
      </c>
      <c r="E462" t="inlineStr">
        <is>
          <t>SOLLEFTEÅ</t>
        </is>
      </c>
      <c r="G462" t="n">
        <v>18.1</v>
      </c>
      <c r="H462" t="n">
        <v>0</v>
      </c>
      <c r="I462" t="n">
        <v>0</v>
      </c>
      <c r="J462" t="n">
        <v>0</v>
      </c>
      <c r="K462" t="n">
        <v>0</v>
      </c>
      <c r="L462" t="n">
        <v>0</v>
      </c>
      <c r="M462" t="n">
        <v>0</v>
      </c>
      <c r="N462" t="n">
        <v>0</v>
      </c>
      <c r="O462" t="n">
        <v>0</v>
      </c>
      <c r="P462" t="n">
        <v>0</v>
      </c>
      <c r="Q462" t="n">
        <v>0</v>
      </c>
      <c r="R462" s="2" t="inlineStr"/>
    </row>
    <row r="463" ht="15" customHeight="1">
      <c r="A463" t="inlineStr">
        <is>
          <t>A 47366-2019</t>
        </is>
      </c>
      <c r="B463" s="1" t="n">
        <v>43721</v>
      </c>
      <c r="C463" s="1" t="n">
        <v>45282</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47764-2019</t>
        </is>
      </c>
      <c r="B464" s="1" t="n">
        <v>43724</v>
      </c>
      <c r="C464" s="1" t="n">
        <v>45282</v>
      </c>
      <c r="D464" t="inlineStr">
        <is>
          <t>VÄSTERNORRLANDS LÄN</t>
        </is>
      </c>
      <c r="E464" t="inlineStr">
        <is>
          <t>SOLLEFTEÅ</t>
        </is>
      </c>
      <c r="F464" t="inlineStr">
        <is>
          <t>Kyrkan</t>
        </is>
      </c>
      <c r="G464" t="n">
        <v>4.1</v>
      </c>
      <c r="H464" t="n">
        <v>0</v>
      </c>
      <c r="I464" t="n">
        <v>0</v>
      </c>
      <c r="J464" t="n">
        <v>0</v>
      </c>
      <c r="K464" t="n">
        <v>0</v>
      </c>
      <c r="L464" t="n">
        <v>0</v>
      </c>
      <c r="M464" t="n">
        <v>0</v>
      </c>
      <c r="N464" t="n">
        <v>0</v>
      </c>
      <c r="O464" t="n">
        <v>0</v>
      </c>
      <c r="P464" t="n">
        <v>0</v>
      </c>
      <c r="Q464" t="n">
        <v>0</v>
      </c>
      <c r="R464" s="2" t="inlineStr"/>
    </row>
    <row r="465" ht="15" customHeight="1">
      <c r="A465" t="inlineStr">
        <is>
          <t>A 47768-2019</t>
        </is>
      </c>
      <c r="B465" s="1" t="n">
        <v>43724</v>
      </c>
      <c r="C465" s="1" t="n">
        <v>45282</v>
      </c>
      <c r="D465" t="inlineStr">
        <is>
          <t>VÄSTERNORRLANDS LÄN</t>
        </is>
      </c>
      <c r="E465" t="inlineStr">
        <is>
          <t>SOLLEFTEÅ</t>
        </is>
      </c>
      <c r="F465" t="inlineStr">
        <is>
          <t>Kyrkan</t>
        </is>
      </c>
      <c r="G465" t="n">
        <v>12.1</v>
      </c>
      <c r="H465" t="n">
        <v>0</v>
      </c>
      <c r="I465" t="n">
        <v>0</v>
      </c>
      <c r="J465" t="n">
        <v>0</v>
      </c>
      <c r="K465" t="n">
        <v>0</v>
      </c>
      <c r="L465" t="n">
        <v>0</v>
      </c>
      <c r="M465" t="n">
        <v>0</v>
      </c>
      <c r="N465" t="n">
        <v>0</v>
      </c>
      <c r="O465" t="n">
        <v>0</v>
      </c>
      <c r="P465" t="n">
        <v>0</v>
      </c>
      <c r="Q465" t="n">
        <v>0</v>
      </c>
      <c r="R465" s="2" t="inlineStr"/>
    </row>
    <row r="466" ht="15" customHeight="1">
      <c r="A466" t="inlineStr">
        <is>
          <t>A 49381-2019</t>
        </is>
      </c>
      <c r="B466" s="1" t="n">
        <v>43731</v>
      </c>
      <c r="C466" s="1" t="n">
        <v>45282</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49380-2019</t>
        </is>
      </c>
      <c r="B467" s="1" t="n">
        <v>43731</v>
      </c>
      <c r="C467" s="1" t="n">
        <v>45282</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49674-2019</t>
        </is>
      </c>
      <c r="B468" s="1" t="n">
        <v>43732</v>
      </c>
      <c r="C468" s="1" t="n">
        <v>45282</v>
      </c>
      <c r="D468" t="inlineStr">
        <is>
          <t>VÄSTERNORRLANDS LÄN</t>
        </is>
      </c>
      <c r="E468" t="inlineStr">
        <is>
          <t>SOLLEFTEÅ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50283-2019</t>
        </is>
      </c>
      <c r="B469" s="1" t="n">
        <v>43734</v>
      </c>
      <c r="C469" s="1" t="n">
        <v>45282</v>
      </c>
      <c r="D469" t="inlineStr">
        <is>
          <t>VÄSTERNORRLANDS LÄN</t>
        </is>
      </c>
      <c r="E469" t="inlineStr">
        <is>
          <t>SOLLEFTEÅ</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50513-2019</t>
        </is>
      </c>
      <c r="B470" s="1" t="n">
        <v>43735</v>
      </c>
      <c r="C470" s="1" t="n">
        <v>45282</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50668-2019</t>
        </is>
      </c>
      <c r="B471" s="1" t="n">
        <v>43737</v>
      </c>
      <c r="C471" s="1" t="n">
        <v>45282</v>
      </c>
      <c r="D471" t="inlineStr">
        <is>
          <t>VÄSTERNORRLANDS LÄN</t>
        </is>
      </c>
      <c r="E471" t="inlineStr">
        <is>
          <t>SOLLEFTEÅ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51002-2019</t>
        </is>
      </c>
      <c r="B472" s="1" t="n">
        <v>43738</v>
      </c>
      <c r="C472" s="1" t="n">
        <v>45282</v>
      </c>
      <c r="D472" t="inlineStr">
        <is>
          <t>VÄSTERNORRLANDS LÄN</t>
        </is>
      </c>
      <c r="E472" t="inlineStr">
        <is>
          <t>SOLLEFTEÅ</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50999-2019</t>
        </is>
      </c>
      <c r="B473" s="1" t="n">
        <v>43738</v>
      </c>
      <c r="C473" s="1" t="n">
        <v>45282</v>
      </c>
      <c r="D473" t="inlineStr">
        <is>
          <t>VÄSTERNORRLANDS LÄN</t>
        </is>
      </c>
      <c r="E473" t="inlineStr">
        <is>
          <t>SOLLEFTEÅ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51675-2019</t>
        </is>
      </c>
      <c r="B474" s="1" t="n">
        <v>43740</v>
      </c>
      <c r="C474" s="1" t="n">
        <v>45282</v>
      </c>
      <c r="D474" t="inlineStr">
        <is>
          <t>VÄSTERNORRLANDS LÄN</t>
        </is>
      </c>
      <c r="E474" t="inlineStr">
        <is>
          <t>SOLLEFTEÅ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51671-2019</t>
        </is>
      </c>
      <c r="B475" s="1" t="n">
        <v>43740</v>
      </c>
      <c r="C475" s="1" t="n">
        <v>45282</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51682-2019</t>
        </is>
      </c>
      <c r="B476" s="1" t="n">
        <v>43740</v>
      </c>
      <c r="C476" s="1" t="n">
        <v>45282</v>
      </c>
      <c r="D476" t="inlineStr">
        <is>
          <t>VÄSTERNORRLANDS LÄN</t>
        </is>
      </c>
      <c r="E476" t="inlineStr">
        <is>
          <t>SOLLEFTEÅ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53079-2019</t>
        </is>
      </c>
      <c r="B477" s="1" t="n">
        <v>43740</v>
      </c>
      <c r="C477" s="1" t="n">
        <v>45282</v>
      </c>
      <c r="D477" t="inlineStr">
        <is>
          <t>VÄSTERNORRLANDS LÄN</t>
        </is>
      </c>
      <c r="E477" t="inlineStr">
        <is>
          <t>SOLLEFTEÅ</t>
        </is>
      </c>
      <c r="G477" t="n">
        <v>7.9</v>
      </c>
      <c r="H477" t="n">
        <v>0</v>
      </c>
      <c r="I477" t="n">
        <v>0</v>
      </c>
      <c r="J477" t="n">
        <v>0</v>
      </c>
      <c r="K477" t="n">
        <v>0</v>
      </c>
      <c r="L477" t="n">
        <v>0</v>
      </c>
      <c r="M477" t="n">
        <v>0</v>
      </c>
      <c r="N477" t="n">
        <v>0</v>
      </c>
      <c r="O477" t="n">
        <v>0</v>
      </c>
      <c r="P477" t="n">
        <v>0</v>
      </c>
      <c r="Q477" t="n">
        <v>0</v>
      </c>
      <c r="R477" s="2" t="inlineStr"/>
    </row>
    <row r="478" ht="15" customHeight="1">
      <c r="A478" t="inlineStr">
        <is>
          <t>A 51673-2019</t>
        </is>
      </c>
      <c r="B478" s="1" t="n">
        <v>43740</v>
      </c>
      <c r="C478" s="1" t="n">
        <v>45282</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53076-2019</t>
        </is>
      </c>
      <c r="B479" s="1" t="n">
        <v>43740</v>
      </c>
      <c r="C479" s="1" t="n">
        <v>45282</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53088-2019</t>
        </is>
      </c>
      <c r="B480" s="1" t="n">
        <v>43740</v>
      </c>
      <c r="C480" s="1" t="n">
        <v>45282</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51665-2019</t>
        </is>
      </c>
      <c r="B481" s="1" t="n">
        <v>43740</v>
      </c>
      <c r="C481" s="1" t="n">
        <v>45282</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51953-2019</t>
        </is>
      </c>
      <c r="B482" s="1" t="n">
        <v>43741</v>
      </c>
      <c r="C482" s="1" t="n">
        <v>45282</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53677-2019</t>
        </is>
      </c>
      <c r="B483" s="1" t="n">
        <v>43741</v>
      </c>
      <c r="C483" s="1" t="n">
        <v>45282</v>
      </c>
      <c r="D483" t="inlineStr">
        <is>
          <t>VÄSTERNORRLANDS LÄN</t>
        </is>
      </c>
      <c r="E483" t="inlineStr">
        <is>
          <t>SOLLEFTEÅ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51952-2019</t>
        </is>
      </c>
      <c r="B484" s="1" t="n">
        <v>43741</v>
      </c>
      <c r="C484" s="1" t="n">
        <v>45282</v>
      </c>
      <c r="D484" t="inlineStr">
        <is>
          <t>VÄSTERNORRLANDS LÄN</t>
        </is>
      </c>
      <c r="E484" t="inlineStr">
        <is>
          <t>SOLLEFTEÅ</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52568-2019</t>
        </is>
      </c>
      <c r="B485" s="1" t="n">
        <v>43745</v>
      </c>
      <c r="C485" s="1" t="n">
        <v>45282</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52569-2019</t>
        </is>
      </c>
      <c r="B486" s="1" t="n">
        <v>43745</v>
      </c>
      <c r="C486" s="1" t="n">
        <v>45282</v>
      </c>
      <c r="D486" t="inlineStr">
        <is>
          <t>VÄSTERNORRLANDS LÄN</t>
        </is>
      </c>
      <c r="E486" t="inlineStr">
        <is>
          <t>SOLLEFTEÅ</t>
        </is>
      </c>
      <c r="G486" t="n">
        <v>7.1</v>
      </c>
      <c r="H486" t="n">
        <v>0</v>
      </c>
      <c r="I486" t="n">
        <v>0</v>
      </c>
      <c r="J486" t="n">
        <v>0</v>
      </c>
      <c r="K486" t="n">
        <v>0</v>
      </c>
      <c r="L486" t="n">
        <v>0</v>
      </c>
      <c r="M486" t="n">
        <v>0</v>
      </c>
      <c r="N486" t="n">
        <v>0</v>
      </c>
      <c r="O486" t="n">
        <v>0</v>
      </c>
      <c r="P486" t="n">
        <v>0</v>
      </c>
      <c r="Q486" t="n">
        <v>0</v>
      </c>
      <c r="R486" s="2" t="inlineStr"/>
    </row>
    <row r="487" ht="15" customHeight="1">
      <c r="A487" t="inlineStr">
        <is>
          <t>A 52922-2019</t>
        </is>
      </c>
      <c r="B487" s="1" t="n">
        <v>43746</v>
      </c>
      <c r="C487" s="1" t="n">
        <v>45282</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53161-2019</t>
        </is>
      </c>
      <c r="B488" s="1" t="n">
        <v>43747</v>
      </c>
      <c r="C488" s="1" t="n">
        <v>45282</v>
      </c>
      <c r="D488" t="inlineStr">
        <is>
          <t>VÄSTERNORRLANDS LÄN</t>
        </is>
      </c>
      <c r="E488" t="inlineStr">
        <is>
          <t>SOLLEFTEÅ</t>
        </is>
      </c>
      <c r="F488" t="inlineStr">
        <is>
          <t>Kommuner</t>
        </is>
      </c>
      <c r="G488" t="n">
        <v>0.4</v>
      </c>
      <c r="H488" t="n">
        <v>0</v>
      </c>
      <c r="I488" t="n">
        <v>0</v>
      </c>
      <c r="J488" t="n">
        <v>0</v>
      </c>
      <c r="K488" t="n">
        <v>0</v>
      </c>
      <c r="L488" t="n">
        <v>0</v>
      </c>
      <c r="M488" t="n">
        <v>0</v>
      </c>
      <c r="N488" t="n">
        <v>0</v>
      </c>
      <c r="O488" t="n">
        <v>0</v>
      </c>
      <c r="P488" t="n">
        <v>0</v>
      </c>
      <c r="Q488" t="n">
        <v>0</v>
      </c>
      <c r="R488" s="2" t="inlineStr"/>
    </row>
    <row r="489" ht="15" customHeight="1">
      <c r="A489" t="inlineStr">
        <is>
          <t>A 55623-2019</t>
        </is>
      </c>
      <c r="B489" s="1" t="n">
        <v>43755</v>
      </c>
      <c r="C489" s="1" t="n">
        <v>45282</v>
      </c>
      <c r="D489" t="inlineStr">
        <is>
          <t>VÄSTERNORRLANDS LÄN</t>
        </is>
      </c>
      <c r="E489" t="inlineStr">
        <is>
          <t>SOLLEFTEÅ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55925-2019</t>
        </is>
      </c>
      <c r="B490" s="1" t="n">
        <v>43755</v>
      </c>
      <c r="C490" s="1" t="n">
        <v>45282</v>
      </c>
      <c r="D490" t="inlineStr">
        <is>
          <t>VÄSTERNORRLANDS LÄN</t>
        </is>
      </c>
      <c r="E490" t="inlineStr">
        <is>
          <t>SOLLEFTEÅ</t>
        </is>
      </c>
      <c r="G490" t="n">
        <v>6.4</v>
      </c>
      <c r="H490" t="n">
        <v>0</v>
      </c>
      <c r="I490" t="n">
        <v>0</v>
      </c>
      <c r="J490" t="n">
        <v>0</v>
      </c>
      <c r="K490" t="n">
        <v>0</v>
      </c>
      <c r="L490" t="n">
        <v>0</v>
      </c>
      <c r="M490" t="n">
        <v>0</v>
      </c>
      <c r="N490" t="n">
        <v>0</v>
      </c>
      <c r="O490" t="n">
        <v>0</v>
      </c>
      <c r="P490" t="n">
        <v>0</v>
      </c>
      <c r="Q490" t="n">
        <v>0</v>
      </c>
      <c r="R490" s="2" t="inlineStr"/>
    </row>
    <row r="491" ht="15" customHeight="1">
      <c r="A491" t="inlineStr">
        <is>
          <t>A 55628-2019</t>
        </is>
      </c>
      <c r="B491" s="1" t="n">
        <v>43755</v>
      </c>
      <c r="C491" s="1" t="n">
        <v>45282</v>
      </c>
      <c r="D491" t="inlineStr">
        <is>
          <t>VÄSTERNORRLANDS LÄN</t>
        </is>
      </c>
      <c r="E491" t="inlineStr">
        <is>
          <t>SOLLEFTEÅ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55625-2019</t>
        </is>
      </c>
      <c r="B492" s="1" t="n">
        <v>43755</v>
      </c>
      <c r="C492" s="1" t="n">
        <v>45282</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57365-2019</t>
        </is>
      </c>
      <c r="B493" s="1" t="n">
        <v>43760</v>
      </c>
      <c r="C493" s="1" t="n">
        <v>45282</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57575-2019</t>
        </is>
      </c>
      <c r="B494" s="1" t="n">
        <v>43761</v>
      </c>
      <c r="C494" s="1" t="n">
        <v>45282</v>
      </c>
      <c r="D494" t="inlineStr">
        <is>
          <t>VÄSTERNORRLANDS LÄN</t>
        </is>
      </c>
      <c r="E494" t="inlineStr">
        <is>
          <t>SOLLEFTEÅ</t>
        </is>
      </c>
      <c r="G494" t="n">
        <v>14.4</v>
      </c>
      <c r="H494" t="n">
        <v>0</v>
      </c>
      <c r="I494" t="n">
        <v>0</v>
      </c>
      <c r="J494" t="n">
        <v>0</v>
      </c>
      <c r="K494" t="n">
        <v>0</v>
      </c>
      <c r="L494" t="n">
        <v>0</v>
      </c>
      <c r="M494" t="n">
        <v>0</v>
      </c>
      <c r="N494" t="n">
        <v>0</v>
      </c>
      <c r="O494" t="n">
        <v>0</v>
      </c>
      <c r="P494" t="n">
        <v>0</v>
      </c>
      <c r="Q494" t="n">
        <v>0</v>
      </c>
      <c r="R494" s="2" t="inlineStr"/>
    </row>
    <row r="495" ht="15" customHeight="1">
      <c r="A495" t="inlineStr">
        <is>
          <t>A 56252-2019</t>
        </is>
      </c>
      <c r="B495" s="1" t="n">
        <v>43762</v>
      </c>
      <c r="C495" s="1" t="n">
        <v>45282</v>
      </c>
      <c r="D495" t="inlineStr">
        <is>
          <t>VÄSTERNORRLANDS LÄN</t>
        </is>
      </c>
      <c r="E495" t="inlineStr">
        <is>
          <t>SOLLEFTEÅ</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56493-2019</t>
        </is>
      </c>
      <c r="B496" s="1" t="n">
        <v>43762</v>
      </c>
      <c r="C496" s="1" t="n">
        <v>45282</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56492-2019</t>
        </is>
      </c>
      <c r="B497" s="1" t="n">
        <v>43762</v>
      </c>
      <c r="C497" s="1" t="n">
        <v>45282</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56803-2019</t>
        </is>
      </c>
      <c r="B498" s="1" t="n">
        <v>43763</v>
      </c>
      <c r="C498" s="1" t="n">
        <v>45282</v>
      </c>
      <c r="D498" t="inlineStr">
        <is>
          <t>VÄSTERNORRLANDS LÄN</t>
        </is>
      </c>
      <c r="E498" t="inlineStr">
        <is>
          <t>SOLLEFTEÅ</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56874-2019</t>
        </is>
      </c>
      <c r="B499" s="1" t="n">
        <v>43766</v>
      </c>
      <c r="C499" s="1" t="n">
        <v>45282</v>
      </c>
      <c r="D499" t="inlineStr">
        <is>
          <t>VÄSTERNORRLANDS LÄN</t>
        </is>
      </c>
      <c r="E499" t="inlineStr">
        <is>
          <t>SOLLEFTEÅ</t>
        </is>
      </c>
      <c r="G499" t="n">
        <v>6.1</v>
      </c>
      <c r="H499" t="n">
        <v>0</v>
      </c>
      <c r="I499" t="n">
        <v>0</v>
      </c>
      <c r="J499" t="n">
        <v>0</v>
      </c>
      <c r="K499" t="n">
        <v>0</v>
      </c>
      <c r="L499" t="n">
        <v>0</v>
      </c>
      <c r="M499" t="n">
        <v>0</v>
      </c>
      <c r="N499" t="n">
        <v>0</v>
      </c>
      <c r="O499" t="n">
        <v>0</v>
      </c>
      <c r="P499" t="n">
        <v>0</v>
      </c>
      <c r="Q499" t="n">
        <v>0</v>
      </c>
      <c r="R499" s="2" t="inlineStr"/>
    </row>
    <row r="500" ht="15" customHeight="1">
      <c r="A500" t="inlineStr">
        <is>
          <t>A 56985-2019</t>
        </is>
      </c>
      <c r="B500" s="1" t="n">
        <v>43766</v>
      </c>
      <c r="C500" s="1" t="n">
        <v>45282</v>
      </c>
      <c r="D500" t="inlineStr">
        <is>
          <t>VÄSTERNORRLANDS LÄN</t>
        </is>
      </c>
      <c r="E500" t="inlineStr">
        <is>
          <t>SOLLEFTEÅ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57041-2019</t>
        </is>
      </c>
      <c r="B501" s="1" t="n">
        <v>43766</v>
      </c>
      <c r="C501" s="1" t="n">
        <v>45282</v>
      </c>
      <c r="D501" t="inlineStr">
        <is>
          <t>VÄSTERNORRLANDS LÄN</t>
        </is>
      </c>
      <c r="E501" t="inlineStr">
        <is>
          <t>SOLLEFTEÅ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57188-2019</t>
        </is>
      </c>
      <c r="B502" s="1" t="n">
        <v>43766</v>
      </c>
      <c r="C502" s="1" t="n">
        <v>45282</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57882-2019</t>
        </is>
      </c>
      <c r="B503" s="1" t="n">
        <v>43768</v>
      </c>
      <c r="C503" s="1" t="n">
        <v>45282</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57884-2019</t>
        </is>
      </c>
      <c r="B504" s="1" t="n">
        <v>43768</v>
      </c>
      <c r="C504" s="1" t="n">
        <v>45282</v>
      </c>
      <c r="D504" t="inlineStr">
        <is>
          <t>VÄSTERNORRLANDS LÄN</t>
        </is>
      </c>
      <c r="E504" t="inlineStr">
        <is>
          <t>SOLLEFTEÅ</t>
        </is>
      </c>
      <c r="F504" t="inlineStr">
        <is>
          <t>SCA</t>
        </is>
      </c>
      <c r="G504" t="n">
        <v>14.7</v>
      </c>
      <c r="H504" t="n">
        <v>0</v>
      </c>
      <c r="I504" t="n">
        <v>0</v>
      </c>
      <c r="J504" t="n">
        <v>0</v>
      </c>
      <c r="K504" t="n">
        <v>0</v>
      </c>
      <c r="L504" t="n">
        <v>0</v>
      </c>
      <c r="M504" t="n">
        <v>0</v>
      </c>
      <c r="N504" t="n">
        <v>0</v>
      </c>
      <c r="O504" t="n">
        <v>0</v>
      </c>
      <c r="P504" t="n">
        <v>0</v>
      </c>
      <c r="Q504" t="n">
        <v>0</v>
      </c>
      <c r="R504" s="2" t="inlineStr"/>
    </row>
    <row r="505" ht="15" customHeight="1">
      <c r="A505" t="inlineStr">
        <is>
          <t>A 57883-2019</t>
        </is>
      </c>
      <c r="B505" s="1" t="n">
        <v>43768</v>
      </c>
      <c r="C505" s="1" t="n">
        <v>45282</v>
      </c>
      <c r="D505" t="inlineStr">
        <is>
          <t>VÄSTERNORRLANDS LÄN</t>
        </is>
      </c>
      <c r="E505" t="inlineStr">
        <is>
          <t>SOLLEFTEÅ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58170-2019</t>
        </is>
      </c>
      <c r="B506" s="1" t="n">
        <v>43769</v>
      </c>
      <c r="C506" s="1" t="n">
        <v>45282</v>
      </c>
      <c r="D506" t="inlineStr">
        <is>
          <t>VÄSTERNORRLANDS LÄN</t>
        </is>
      </c>
      <c r="E506" t="inlineStr">
        <is>
          <t>SOLLEFTEÅ</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58267-2019</t>
        </is>
      </c>
      <c r="B507" s="1" t="n">
        <v>43770</v>
      </c>
      <c r="C507" s="1" t="n">
        <v>45282</v>
      </c>
      <c r="D507" t="inlineStr">
        <is>
          <t>VÄSTERNORRLANDS LÄN</t>
        </is>
      </c>
      <c r="E507" t="inlineStr">
        <is>
          <t>SOLLEFTEÅ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59460-2019</t>
        </is>
      </c>
      <c r="B508" s="1" t="n">
        <v>43776</v>
      </c>
      <c r="C508" s="1" t="n">
        <v>45282</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60491-2019</t>
        </is>
      </c>
      <c r="B509" s="1" t="n">
        <v>43780</v>
      </c>
      <c r="C509" s="1" t="n">
        <v>45282</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61428-2019</t>
        </is>
      </c>
      <c r="B510" s="1" t="n">
        <v>43780</v>
      </c>
      <c r="C510" s="1" t="n">
        <v>45282</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60531-2019</t>
        </is>
      </c>
      <c r="B511" s="1" t="n">
        <v>43781</v>
      </c>
      <c r="C511" s="1" t="n">
        <v>45282</v>
      </c>
      <c r="D511" t="inlineStr">
        <is>
          <t>VÄSTERNORRLANDS LÄN</t>
        </is>
      </c>
      <c r="E511" t="inlineStr">
        <is>
          <t>SOLLEFTEÅ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60538-2019</t>
        </is>
      </c>
      <c r="B512" s="1" t="n">
        <v>43781</v>
      </c>
      <c r="C512" s="1" t="n">
        <v>45282</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60905-2019</t>
        </is>
      </c>
      <c r="B513" s="1" t="n">
        <v>43781</v>
      </c>
      <c r="C513" s="1" t="n">
        <v>45282</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61978-2019</t>
        </is>
      </c>
      <c r="B514" s="1" t="n">
        <v>43781</v>
      </c>
      <c r="C514" s="1" t="n">
        <v>45282</v>
      </c>
      <c r="D514" t="inlineStr">
        <is>
          <t>VÄSTERNORRLANDS LÄN</t>
        </is>
      </c>
      <c r="E514" t="inlineStr">
        <is>
          <t>SOLLEFTEÅ</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63450-2019</t>
        </is>
      </c>
      <c r="B515" s="1" t="n">
        <v>43788</v>
      </c>
      <c r="C515" s="1" t="n">
        <v>45282</v>
      </c>
      <c r="D515" t="inlineStr">
        <is>
          <t>VÄSTERNORRLANDS LÄN</t>
        </is>
      </c>
      <c r="E515" t="inlineStr">
        <is>
          <t>SOLLEFTEÅ</t>
        </is>
      </c>
      <c r="G515" t="n">
        <v>8.6</v>
      </c>
      <c r="H515" t="n">
        <v>0</v>
      </c>
      <c r="I515" t="n">
        <v>0</v>
      </c>
      <c r="J515" t="n">
        <v>0</v>
      </c>
      <c r="K515" t="n">
        <v>0</v>
      </c>
      <c r="L515" t="n">
        <v>0</v>
      </c>
      <c r="M515" t="n">
        <v>0</v>
      </c>
      <c r="N515" t="n">
        <v>0</v>
      </c>
      <c r="O515" t="n">
        <v>0</v>
      </c>
      <c r="P515" t="n">
        <v>0</v>
      </c>
      <c r="Q515" t="n">
        <v>0</v>
      </c>
      <c r="R515" s="2" t="inlineStr"/>
    </row>
    <row r="516" ht="15" customHeight="1">
      <c r="A516" t="inlineStr">
        <is>
          <t>A 62500-2019</t>
        </is>
      </c>
      <c r="B516" s="1" t="n">
        <v>43788</v>
      </c>
      <c r="C516" s="1" t="n">
        <v>45282</v>
      </c>
      <c r="D516" t="inlineStr">
        <is>
          <t>VÄSTERNORRLANDS LÄN</t>
        </is>
      </c>
      <c r="E516" t="inlineStr">
        <is>
          <t>SOLLEFTEÅ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64197-2019</t>
        </is>
      </c>
      <c r="B517" s="1" t="n">
        <v>43791</v>
      </c>
      <c r="C517" s="1" t="n">
        <v>45282</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63552-2019</t>
        </is>
      </c>
      <c r="B518" s="1" t="n">
        <v>43794</v>
      </c>
      <c r="C518" s="1" t="n">
        <v>45282</v>
      </c>
      <c r="D518" t="inlineStr">
        <is>
          <t>VÄSTERNORRLANDS LÄN</t>
        </is>
      </c>
      <c r="E518" t="inlineStr">
        <is>
          <t>SOLLEFTEÅ</t>
        </is>
      </c>
      <c r="G518" t="n">
        <v>7.2</v>
      </c>
      <c r="H518" t="n">
        <v>0</v>
      </c>
      <c r="I518" t="n">
        <v>0</v>
      </c>
      <c r="J518" t="n">
        <v>0</v>
      </c>
      <c r="K518" t="n">
        <v>0</v>
      </c>
      <c r="L518" t="n">
        <v>0</v>
      </c>
      <c r="M518" t="n">
        <v>0</v>
      </c>
      <c r="N518" t="n">
        <v>0</v>
      </c>
      <c r="O518" t="n">
        <v>0</v>
      </c>
      <c r="P518" t="n">
        <v>0</v>
      </c>
      <c r="Q518" t="n">
        <v>0</v>
      </c>
      <c r="R518" s="2" t="inlineStr"/>
    </row>
    <row r="519" ht="15" customHeight="1">
      <c r="A519" t="inlineStr">
        <is>
          <t>A 63752-2019</t>
        </is>
      </c>
      <c r="B519" s="1" t="n">
        <v>43795</v>
      </c>
      <c r="C519" s="1" t="n">
        <v>45282</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65218-2019</t>
        </is>
      </c>
      <c r="B520" s="1" t="n">
        <v>43797</v>
      </c>
      <c r="C520" s="1" t="n">
        <v>45282</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65029-2019</t>
        </is>
      </c>
      <c r="B521" s="1" t="n">
        <v>43801</v>
      </c>
      <c r="C521" s="1" t="n">
        <v>45282</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65332-2019</t>
        </is>
      </c>
      <c r="B522" s="1" t="n">
        <v>43802</v>
      </c>
      <c r="C522" s="1" t="n">
        <v>45282</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66321-2019</t>
        </is>
      </c>
      <c r="B523" s="1" t="n">
        <v>43802</v>
      </c>
      <c r="C523" s="1" t="n">
        <v>45282</v>
      </c>
      <c r="D523" t="inlineStr">
        <is>
          <t>VÄSTERNORRLANDS LÄN</t>
        </is>
      </c>
      <c r="E523" t="inlineStr">
        <is>
          <t>SOLLEFTEÅ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65319-2019</t>
        </is>
      </c>
      <c r="B524" s="1" t="n">
        <v>43802</v>
      </c>
      <c r="C524" s="1" t="n">
        <v>45282</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65327-2019</t>
        </is>
      </c>
      <c r="B525" s="1" t="n">
        <v>43802</v>
      </c>
      <c r="C525" s="1" t="n">
        <v>45282</v>
      </c>
      <c r="D525" t="inlineStr">
        <is>
          <t>VÄSTERNORRLANDS LÄN</t>
        </is>
      </c>
      <c r="E525" t="inlineStr">
        <is>
          <t>SOLLEFTEÅ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66391-2019</t>
        </is>
      </c>
      <c r="B526" s="1" t="n">
        <v>43808</v>
      </c>
      <c r="C526" s="1" t="n">
        <v>45282</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67805-2019</t>
        </is>
      </c>
      <c r="B527" s="1" t="n">
        <v>43815</v>
      </c>
      <c r="C527" s="1" t="n">
        <v>45282</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67815-2019</t>
        </is>
      </c>
      <c r="B528" s="1" t="n">
        <v>43815</v>
      </c>
      <c r="C528" s="1" t="n">
        <v>45282</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1627-2020</t>
        </is>
      </c>
      <c r="B529" s="1" t="n">
        <v>43829</v>
      </c>
      <c r="C529" s="1" t="n">
        <v>45282</v>
      </c>
      <c r="D529" t="inlineStr">
        <is>
          <t>VÄSTERNORRLANDS LÄN</t>
        </is>
      </c>
      <c r="E529" t="inlineStr">
        <is>
          <t>SOLLEFTEÅ</t>
        </is>
      </c>
      <c r="G529" t="n">
        <v>9</v>
      </c>
      <c r="H529" t="n">
        <v>0</v>
      </c>
      <c r="I529" t="n">
        <v>0</v>
      </c>
      <c r="J529" t="n">
        <v>0</v>
      </c>
      <c r="K529" t="n">
        <v>0</v>
      </c>
      <c r="L529" t="n">
        <v>0</v>
      </c>
      <c r="M529" t="n">
        <v>0</v>
      </c>
      <c r="N529" t="n">
        <v>0</v>
      </c>
      <c r="O529" t="n">
        <v>0</v>
      </c>
      <c r="P529" t="n">
        <v>0</v>
      </c>
      <c r="Q529" t="n">
        <v>0</v>
      </c>
      <c r="R529" s="2" t="inlineStr"/>
    </row>
    <row r="530" ht="15" customHeight="1">
      <c r="A530" t="inlineStr">
        <is>
          <t>A 127-2020</t>
        </is>
      </c>
      <c r="B530" s="1" t="n">
        <v>43832</v>
      </c>
      <c r="C530" s="1" t="n">
        <v>45282</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125-2020</t>
        </is>
      </c>
      <c r="B531" s="1" t="n">
        <v>43832</v>
      </c>
      <c r="C531" s="1" t="n">
        <v>45282</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126-2020</t>
        </is>
      </c>
      <c r="B532" s="1" t="n">
        <v>43832</v>
      </c>
      <c r="C532" s="1" t="n">
        <v>45282</v>
      </c>
      <c r="D532" t="inlineStr">
        <is>
          <t>VÄSTERNORRLANDS LÄN</t>
        </is>
      </c>
      <c r="E532" t="inlineStr">
        <is>
          <t>SOLLEFTEÅ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538-2020</t>
        </is>
      </c>
      <c r="B533" s="1" t="n">
        <v>43837</v>
      </c>
      <c r="C533" s="1" t="n">
        <v>45282</v>
      </c>
      <c r="D533" t="inlineStr">
        <is>
          <t>VÄSTERNORRLANDS LÄN</t>
        </is>
      </c>
      <c r="E533" t="inlineStr">
        <is>
          <t>SOLLEFTEÅ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1263-2020</t>
        </is>
      </c>
      <c r="B534" s="1" t="n">
        <v>43840</v>
      </c>
      <c r="C534" s="1" t="n">
        <v>45282</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1262-2020</t>
        </is>
      </c>
      <c r="B535" s="1" t="n">
        <v>43840</v>
      </c>
      <c r="C535" s="1" t="n">
        <v>45282</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1213-2020</t>
        </is>
      </c>
      <c r="B536" s="1" t="n">
        <v>43840</v>
      </c>
      <c r="C536" s="1" t="n">
        <v>45282</v>
      </c>
      <c r="D536" t="inlineStr">
        <is>
          <t>VÄSTERNORRLANDS LÄN</t>
        </is>
      </c>
      <c r="E536" t="inlineStr">
        <is>
          <t>SOLLEFTEÅ</t>
        </is>
      </c>
      <c r="F536" t="inlineStr">
        <is>
          <t>Kyrkan</t>
        </is>
      </c>
      <c r="G536" t="n">
        <v>13.9</v>
      </c>
      <c r="H536" t="n">
        <v>0</v>
      </c>
      <c r="I536" t="n">
        <v>0</v>
      </c>
      <c r="J536" t="n">
        <v>0</v>
      </c>
      <c r="K536" t="n">
        <v>0</v>
      </c>
      <c r="L536" t="n">
        <v>0</v>
      </c>
      <c r="M536" t="n">
        <v>0</v>
      </c>
      <c r="N536" t="n">
        <v>0</v>
      </c>
      <c r="O536" t="n">
        <v>0</v>
      </c>
      <c r="P536" t="n">
        <v>0</v>
      </c>
      <c r="Q536" t="n">
        <v>0</v>
      </c>
      <c r="R536" s="2" t="inlineStr"/>
    </row>
    <row r="537" ht="15" customHeight="1">
      <c r="A537" t="inlineStr">
        <is>
          <t>A 1568-2020</t>
        </is>
      </c>
      <c r="B537" s="1" t="n">
        <v>43844</v>
      </c>
      <c r="C537" s="1" t="n">
        <v>45282</v>
      </c>
      <c r="D537" t="inlineStr">
        <is>
          <t>VÄSTERNORRLANDS LÄN</t>
        </is>
      </c>
      <c r="E537" t="inlineStr">
        <is>
          <t>SOLLEFTEÅ</t>
        </is>
      </c>
      <c r="G537" t="n">
        <v>3.4</v>
      </c>
      <c r="H537" t="n">
        <v>0</v>
      </c>
      <c r="I537" t="n">
        <v>0</v>
      </c>
      <c r="J537" t="n">
        <v>0</v>
      </c>
      <c r="K537" t="n">
        <v>0</v>
      </c>
      <c r="L537" t="n">
        <v>0</v>
      </c>
      <c r="M537" t="n">
        <v>0</v>
      </c>
      <c r="N537" t="n">
        <v>0</v>
      </c>
      <c r="O537" t="n">
        <v>0</v>
      </c>
      <c r="P537" t="n">
        <v>0</v>
      </c>
      <c r="Q537" t="n">
        <v>0</v>
      </c>
      <c r="R537" s="2" t="inlineStr"/>
    </row>
    <row r="538" ht="15" customHeight="1">
      <c r="A538" t="inlineStr">
        <is>
          <t>A 2897-2020</t>
        </is>
      </c>
      <c r="B538" s="1" t="n">
        <v>43850</v>
      </c>
      <c r="C538" s="1" t="n">
        <v>45282</v>
      </c>
      <c r="D538" t="inlineStr">
        <is>
          <t>VÄSTERNORRLANDS LÄN</t>
        </is>
      </c>
      <c r="E538" t="inlineStr">
        <is>
          <t>SOLLEFTEÅ</t>
        </is>
      </c>
      <c r="G538" t="n">
        <v>7.6</v>
      </c>
      <c r="H538" t="n">
        <v>0</v>
      </c>
      <c r="I538" t="n">
        <v>0</v>
      </c>
      <c r="J538" t="n">
        <v>0</v>
      </c>
      <c r="K538" t="n">
        <v>0</v>
      </c>
      <c r="L538" t="n">
        <v>0</v>
      </c>
      <c r="M538" t="n">
        <v>0</v>
      </c>
      <c r="N538" t="n">
        <v>0</v>
      </c>
      <c r="O538" t="n">
        <v>0</v>
      </c>
      <c r="P538" t="n">
        <v>0</v>
      </c>
      <c r="Q538" t="n">
        <v>0</v>
      </c>
      <c r="R538" s="2" t="inlineStr"/>
    </row>
    <row r="539" ht="15" customHeight="1">
      <c r="A539" t="inlineStr">
        <is>
          <t>A 3230-2020</t>
        </is>
      </c>
      <c r="B539" s="1" t="n">
        <v>43851</v>
      </c>
      <c r="C539" s="1" t="n">
        <v>45282</v>
      </c>
      <c r="D539" t="inlineStr">
        <is>
          <t>VÄSTERNORRLANDS LÄN</t>
        </is>
      </c>
      <c r="E539" t="inlineStr">
        <is>
          <t>SOLLEFTEÅ</t>
        </is>
      </c>
      <c r="F539" t="inlineStr">
        <is>
          <t>Övriga statliga verk och myndigheter</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4363-2020</t>
        </is>
      </c>
      <c r="B540" s="1" t="n">
        <v>43857</v>
      </c>
      <c r="C540" s="1" t="n">
        <v>45282</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5248-2020</t>
        </is>
      </c>
      <c r="B541" s="1" t="n">
        <v>43857</v>
      </c>
      <c r="C541" s="1" t="n">
        <v>45282</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5635-2020</t>
        </is>
      </c>
      <c r="B542" s="1" t="n">
        <v>43860</v>
      </c>
      <c r="C542" s="1" t="n">
        <v>45282</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5662-2020</t>
        </is>
      </c>
      <c r="B543" s="1" t="n">
        <v>43861</v>
      </c>
      <c r="C543" s="1" t="n">
        <v>45282</v>
      </c>
      <c r="D543" t="inlineStr">
        <is>
          <t>VÄSTERNORRLANDS LÄN</t>
        </is>
      </c>
      <c r="E543" t="inlineStr">
        <is>
          <t>SOLLEFTEÅ</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5714-2020</t>
        </is>
      </c>
      <c r="B544" s="1" t="n">
        <v>43861</v>
      </c>
      <c r="C544" s="1" t="n">
        <v>45282</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5908-2020</t>
        </is>
      </c>
      <c r="B545" s="1" t="n">
        <v>43861</v>
      </c>
      <c r="C545" s="1" t="n">
        <v>45282</v>
      </c>
      <c r="D545" t="inlineStr">
        <is>
          <t>VÄSTERNORRLANDS LÄN</t>
        </is>
      </c>
      <c r="E545" t="inlineStr">
        <is>
          <t>SOLLEFTEÅ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8363-2020</t>
        </is>
      </c>
      <c r="B546" s="1" t="n">
        <v>43875</v>
      </c>
      <c r="C546" s="1" t="n">
        <v>45282</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8935-2020</t>
        </is>
      </c>
      <c r="B547" s="1" t="n">
        <v>43878</v>
      </c>
      <c r="C547" s="1" t="n">
        <v>45282</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10631-2020</t>
        </is>
      </c>
      <c r="B548" s="1" t="n">
        <v>43887</v>
      </c>
      <c r="C548" s="1" t="n">
        <v>45282</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10846-2020</t>
        </is>
      </c>
      <c r="B549" s="1" t="n">
        <v>43888</v>
      </c>
      <c r="C549" s="1" t="n">
        <v>45282</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11685-2020</t>
        </is>
      </c>
      <c r="B550" s="1" t="n">
        <v>43893</v>
      </c>
      <c r="C550" s="1" t="n">
        <v>45282</v>
      </c>
      <c r="D550" t="inlineStr">
        <is>
          <t>VÄSTERNORRLANDS LÄN</t>
        </is>
      </c>
      <c r="E550" t="inlineStr">
        <is>
          <t>SOLLEFTEÅ</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12819-2020</t>
        </is>
      </c>
      <c r="B551" s="1" t="n">
        <v>43893</v>
      </c>
      <c r="C551" s="1" t="n">
        <v>45282</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12526-2020</t>
        </is>
      </c>
      <c r="B552" s="1" t="n">
        <v>43896</v>
      </c>
      <c r="C552" s="1" t="n">
        <v>45282</v>
      </c>
      <c r="D552" t="inlineStr">
        <is>
          <t>VÄSTERNORRLANDS LÄN</t>
        </is>
      </c>
      <c r="E552" t="inlineStr">
        <is>
          <t>SOLLEFTEÅ</t>
        </is>
      </c>
      <c r="F552" t="inlineStr">
        <is>
          <t>SCA</t>
        </is>
      </c>
      <c r="G552" t="n">
        <v>14.7</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45282</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45282</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45282</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45282</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45282</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45282</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45282</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45282</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45282</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45282</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45282</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45282</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45282</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45282</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45282</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45282</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45282</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45282</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45282</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45282</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45282</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45282</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45282</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45282</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45282</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45282</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45282</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45282</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45282</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45282</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45282</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45282</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27177-2020</t>
        </is>
      </c>
      <c r="B585" s="1" t="n">
        <v>43991</v>
      </c>
      <c r="C585" s="1" t="n">
        <v>45282</v>
      </c>
      <c r="D585" t="inlineStr">
        <is>
          <t>VÄSTERNORRLANDS LÄN</t>
        </is>
      </c>
      <c r="E585" t="inlineStr">
        <is>
          <t>SOLLEFTEÅ</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27209-2020</t>
        </is>
      </c>
      <c r="B586" s="1" t="n">
        <v>43991</v>
      </c>
      <c r="C586" s="1" t="n">
        <v>45282</v>
      </c>
      <c r="D586" t="inlineStr">
        <is>
          <t>VÄSTERNORRLANDS LÄN</t>
        </is>
      </c>
      <c r="E586" t="inlineStr">
        <is>
          <t>SOLLEFTEÅ</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28489-2020</t>
        </is>
      </c>
      <c r="B587" s="1" t="n">
        <v>43998</v>
      </c>
      <c r="C587" s="1" t="n">
        <v>45282</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28486-2020</t>
        </is>
      </c>
      <c r="B588" s="1" t="n">
        <v>43999</v>
      </c>
      <c r="C588" s="1" t="n">
        <v>45282</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29648-2020</t>
        </is>
      </c>
      <c r="B589" s="1" t="n">
        <v>44004</v>
      </c>
      <c r="C589" s="1" t="n">
        <v>45282</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29503-2020</t>
        </is>
      </c>
      <c r="B590" s="1" t="n">
        <v>44005</v>
      </c>
      <c r="C590" s="1" t="n">
        <v>45282</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29825-2020</t>
        </is>
      </c>
      <c r="B591" s="1" t="n">
        <v>44005</v>
      </c>
      <c r="C591" s="1" t="n">
        <v>45282</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29801-2020</t>
        </is>
      </c>
      <c r="B592" s="1" t="n">
        <v>44005</v>
      </c>
      <c r="C592" s="1" t="n">
        <v>45282</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30492-2020</t>
        </is>
      </c>
      <c r="B593" s="1" t="n">
        <v>44007</v>
      </c>
      <c r="C593" s="1" t="n">
        <v>45282</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30484-2020</t>
        </is>
      </c>
      <c r="B594" s="1" t="n">
        <v>44007</v>
      </c>
      <c r="C594" s="1" t="n">
        <v>45282</v>
      </c>
      <c r="D594" t="inlineStr">
        <is>
          <t>VÄSTERNORRLANDS LÄN</t>
        </is>
      </c>
      <c r="E594" t="inlineStr">
        <is>
          <t>SOLLEFTEÅ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30753-2020</t>
        </is>
      </c>
      <c r="B595" s="1" t="n">
        <v>44008</v>
      </c>
      <c r="C595" s="1" t="n">
        <v>45282</v>
      </c>
      <c r="D595" t="inlineStr">
        <is>
          <t>VÄSTERNORRLANDS LÄN</t>
        </is>
      </c>
      <c r="E595" t="inlineStr">
        <is>
          <t>SOLLEFTEÅ</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30747-2020</t>
        </is>
      </c>
      <c r="B596" s="1" t="n">
        <v>44008</v>
      </c>
      <c r="C596" s="1" t="n">
        <v>45282</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30802-2020</t>
        </is>
      </c>
      <c r="B597" s="1" t="n">
        <v>44011</v>
      </c>
      <c r="C597" s="1" t="n">
        <v>45282</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31313-2020</t>
        </is>
      </c>
      <c r="B598" s="1" t="n">
        <v>44012</v>
      </c>
      <c r="C598" s="1" t="n">
        <v>45282</v>
      </c>
      <c r="D598" t="inlineStr">
        <is>
          <t>VÄSTERNORRLANDS LÄN</t>
        </is>
      </c>
      <c r="E598" t="inlineStr">
        <is>
          <t>SOLLEFTEÅ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32013-2020</t>
        </is>
      </c>
      <c r="B599" s="1" t="n">
        <v>44015</v>
      </c>
      <c r="C599" s="1" t="n">
        <v>45282</v>
      </c>
      <c r="D599" t="inlineStr">
        <is>
          <t>VÄSTERNORRLANDS LÄN</t>
        </is>
      </c>
      <c r="E599" t="inlineStr">
        <is>
          <t>SOLLEFTEÅ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32325-2020</t>
        </is>
      </c>
      <c r="B600" s="1" t="n">
        <v>44016</v>
      </c>
      <c r="C600" s="1" t="n">
        <v>45282</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32461-2020</t>
        </is>
      </c>
      <c r="B601" s="1" t="n">
        <v>44015</v>
      </c>
      <c r="C601" s="1" t="n">
        <v>45282</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32318-2020</t>
        </is>
      </c>
      <c r="B602" s="1" t="n">
        <v>44015</v>
      </c>
      <c r="C602" s="1" t="n">
        <v>45282</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32919-2020</t>
        </is>
      </c>
      <c r="B603" s="1" t="n">
        <v>44018</v>
      </c>
      <c r="C603" s="1" t="n">
        <v>45282</v>
      </c>
      <c r="D603" t="inlineStr">
        <is>
          <t>VÄSTERNORRLANDS LÄN</t>
        </is>
      </c>
      <c r="E603" t="inlineStr">
        <is>
          <t>SOLLEFTEÅ</t>
        </is>
      </c>
      <c r="G603" t="n">
        <v>5.5</v>
      </c>
      <c r="H603" t="n">
        <v>0</v>
      </c>
      <c r="I603" t="n">
        <v>0</v>
      </c>
      <c r="J603" t="n">
        <v>0</v>
      </c>
      <c r="K603" t="n">
        <v>0</v>
      </c>
      <c r="L603" t="n">
        <v>0</v>
      </c>
      <c r="M603" t="n">
        <v>0</v>
      </c>
      <c r="N603" t="n">
        <v>0</v>
      </c>
      <c r="O603" t="n">
        <v>0</v>
      </c>
      <c r="P603" t="n">
        <v>0</v>
      </c>
      <c r="Q603" t="n">
        <v>0</v>
      </c>
      <c r="R603" s="2" t="inlineStr"/>
    </row>
    <row r="604" ht="15" customHeight="1">
      <c r="A604" t="inlineStr">
        <is>
          <t>A 32929-2020</t>
        </is>
      </c>
      <c r="B604" s="1" t="n">
        <v>44018</v>
      </c>
      <c r="C604" s="1" t="n">
        <v>45282</v>
      </c>
      <c r="D604" t="inlineStr">
        <is>
          <t>VÄSTERNORRLANDS LÄN</t>
        </is>
      </c>
      <c r="E604" t="inlineStr">
        <is>
          <t>SOLLEFTEÅ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32924-2020</t>
        </is>
      </c>
      <c r="B605" s="1" t="n">
        <v>44018</v>
      </c>
      <c r="C605" s="1" t="n">
        <v>45282</v>
      </c>
      <c r="D605" t="inlineStr">
        <is>
          <t>VÄSTERNORRLANDS LÄN</t>
        </is>
      </c>
      <c r="E605" t="inlineStr">
        <is>
          <t>SOLLEFTEÅ</t>
        </is>
      </c>
      <c r="G605" t="n">
        <v>2.8</v>
      </c>
      <c r="H605" t="n">
        <v>0</v>
      </c>
      <c r="I605" t="n">
        <v>0</v>
      </c>
      <c r="J605" t="n">
        <v>0</v>
      </c>
      <c r="K605" t="n">
        <v>0</v>
      </c>
      <c r="L605" t="n">
        <v>0</v>
      </c>
      <c r="M605" t="n">
        <v>0</v>
      </c>
      <c r="N605" t="n">
        <v>0</v>
      </c>
      <c r="O605" t="n">
        <v>0</v>
      </c>
      <c r="P605" t="n">
        <v>0</v>
      </c>
      <c r="Q605" t="n">
        <v>0</v>
      </c>
      <c r="R605" s="2" t="inlineStr"/>
    </row>
    <row r="606" ht="15" customHeight="1">
      <c r="A606" t="inlineStr">
        <is>
          <t>A 32742-2020</t>
        </is>
      </c>
      <c r="B606" s="1" t="n">
        <v>44019</v>
      </c>
      <c r="C606" s="1" t="n">
        <v>45282</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33013-2020</t>
        </is>
      </c>
      <c r="B607" s="1" t="n">
        <v>44020</v>
      </c>
      <c r="C607" s="1" t="n">
        <v>45282</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33009-2020</t>
        </is>
      </c>
      <c r="B608" s="1" t="n">
        <v>44020</v>
      </c>
      <c r="C608" s="1" t="n">
        <v>45282</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33014-2020</t>
        </is>
      </c>
      <c r="B609" s="1" t="n">
        <v>44021</v>
      </c>
      <c r="C609" s="1" t="n">
        <v>45282</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33010-2020</t>
        </is>
      </c>
      <c r="B610" s="1" t="n">
        <v>44020</v>
      </c>
      <c r="C610" s="1" t="n">
        <v>45282</v>
      </c>
      <c r="D610" t="inlineStr">
        <is>
          <t>VÄSTERNORRLANDS LÄN</t>
        </is>
      </c>
      <c r="E610" t="inlineStr">
        <is>
          <t>SOLLEFTEÅ</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33200-2020</t>
        </is>
      </c>
      <c r="B611" s="1" t="n">
        <v>44021</v>
      </c>
      <c r="C611" s="1" t="n">
        <v>45282</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33209-2020</t>
        </is>
      </c>
      <c r="B612" s="1" t="n">
        <v>44021</v>
      </c>
      <c r="C612" s="1" t="n">
        <v>45282</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45282</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45282</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33208-2020</t>
        </is>
      </c>
      <c r="B615" s="1" t="n">
        <v>44021</v>
      </c>
      <c r="C615" s="1" t="n">
        <v>45282</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33440-2020</t>
        </is>
      </c>
      <c r="B616" s="1" t="n">
        <v>44022</v>
      </c>
      <c r="C616" s="1" t="n">
        <v>45282</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33458-2020</t>
        </is>
      </c>
      <c r="B617" s="1" t="n">
        <v>44022</v>
      </c>
      <c r="C617" s="1" t="n">
        <v>45282</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33445-2020</t>
        </is>
      </c>
      <c r="B618" s="1" t="n">
        <v>44022</v>
      </c>
      <c r="C618" s="1" t="n">
        <v>45282</v>
      </c>
      <c r="D618" t="inlineStr">
        <is>
          <t>VÄSTERNORRLANDS LÄN</t>
        </is>
      </c>
      <c r="E618" t="inlineStr">
        <is>
          <t>SOLLEFTEÅ</t>
        </is>
      </c>
      <c r="G618" t="n">
        <v>4.5</v>
      </c>
      <c r="H618" t="n">
        <v>0</v>
      </c>
      <c r="I618" t="n">
        <v>0</v>
      </c>
      <c r="J618" t="n">
        <v>0</v>
      </c>
      <c r="K618" t="n">
        <v>0</v>
      </c>
      <c r="L618" t="n">
        <v>0</v>
      </c>
      <c r="M618" t="n">
        <v>0</v>
      </c>
      <c r="N618" t="n">
        <v>0</v>
      </c>
      <c r="O618" t="n">
        <v>0</v>
      </c>
      <c r="P618" t="n">
        <v>0</v>
      </c>
      <c r="Q618" t="n">
        <v>0</v>
      </c>
      <c r="R618" s="2" t="inlineStr"/>
    </row>
    <row r="619" ht="15" customHeight="1">
      <c r="A619" t="inlineStr">
        <is>
          <t>A 33492-2020</t>
        </is>
      </c>
      <c r="B619" s="1" t="n">
        <v>44024</v>
      </c>
      <c r="C619" s="1" t="n">
        <v>45282</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33640-2020</t>
        </is>
      </c>
      <c r="B620" s="1" t="n">
        <v>44025</v>
      </c>
      <c r="C620" s="1" t="n">
        <v>45282</v>
      </c>
      <c r="D620" t="inlineStr">
        <is>
          <t>VÄSTERNORRLANDS LÄN</t>
        </is>
      </c>
      <c r="E620" t="inlineStr">
        <is>
          <t>SOLLEFTEÅ</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33641-2020</t>
        </is>
      </c>
      <c r="B621" s="1" t="n">
        <v>44025</v>
      </c>
      <c r="C621" s="1" t="n">
        <v>45282</v>
      </c>
      <c r="D621" t="inlineStr">
        <is>
          <t>VÄSTERNORRLANDS LÄN</t>
        </is>
      </c>
      <c r="E621" t="inlineStr">
        <is>
          <t>SOLLEFTEÅ</t>
        </is>
      </c>
      <c r="F621" t="inlineStr">
        <is>
          <t>SCA</t>
        </is>
      </c>
      <c r="G621" t="n">
        <v>8.1</v>
      </c>
      <c r="H621" t="n">
        <v>0</v>
      </c>
      <c r="I621" t="n">
        <v>0</v>
      </c>
      <c r="J621" t="n">
        <v>0</v>
      </c>
      <c r="K621" t="n">
        <v>0</v>
      </c>
      <c r="L621" t="n">
        <v>0</v>
      </c>
      <c r="M621" t="n">
        <v>0</v>
      </c>
      <c r="N621" t="n">
        <v>0</v>
      </c>
      <c r="O621" t="n">
        <v>0</v>
      </c>
      <c r="P621" t="n">
        <v>0</v>
      </c>
      <c r="Q621" t="n">
        <v>0</v>
      </c>
      <c r="R621" s="2" t="inlineStr"/>
    </row>
    <row r="622" ht="15" customHeight="1">
      <c r="A622" t="inlineStr">
        <is>
          <t>A 33628-2020</t>
        </is>
      </c>
      <c r="B622" s="1" t="n">
        <v>44025</v>
      </c>
      <c r="C622" s="1" t="n">
        <v>45282</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33784-2020</t>
        </is>
      </c>
      <c r="B623" s="1" t="n">
        <v>44026</v>
      </c>
      <c r="C623" s="1" t="n">
        <v>45282</v>
      </c>
      <c r="D623" t="inlineStr">
        <is>
          <t>VÄSTERNORRLANDS LÄN</t>
        </is>
      </c>
      <c r="E623" t="inlineStr">
        <is>
          <t>SOLLEFTEÅ</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33782-2020</t>
        </is>
      </c>
      <c r="B624" s="1" t="n">
        <v>44026</v>
      </c>
      <c r="C624" s="1" t="n">
        <v>45282</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33950-2020</t>
        </is>
      </c>
      <c r="B625" s="1" t="n">
        <v>44027</v>
      </c>
      <c r="C625" s="1" t="n">
        <v>45282</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34120-2020</t>
        </is>
      </c>
      <c r="B626" s="1" t="n">
        <v>44029</v>
      </c>
      <c r="C626" s="1" t="n">
        <v>45282</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34474-2020</t>
        </is>
      </c>
      <c r="B627" s="1" t="n">
        <v>44032</v>
      </c>
      <c r="C627" s="1" t="n">
        <v>45282</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34585-2020</t>
        </is>
      </c>
      <c r="B628" s="1" t="n">
        <v>44033</v>
      </c>
      <c r="C628" s="1" t="n">
        <v>45282</v>
      </c>
      <c r="D628" t="inlineStr">
        <is>
          <t>VÄSTERNORRLANDS LÄN</t>
        </is>
      </c>
      <c r="E628" t="inlineStr">
        <is>
          <t>SOLLEFTEÅ</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34669-2020</t>
        </is>
      </c>
      <c r="B629" s="1" t="n">
        <v>44034</v>
      </c>
      <c r="C629" s="1" t="n">
        <v>45282</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34800-2020</t>
        </is>
      </c>
      <c r="B630" s="1" t="n">
        <v>44035</v>
      </c>
      <c r="C630" s="1" t="n">
        <v>45282</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34921-2020</t>
        </is>
      </c>
      <c r="B631" s="1" t="n">
        <v>44036</v>
      </c>
      <c r="C631" s="1" t="n">
        <v>45282</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34923-2020</t>
        </is>
      </c>
      <c r="B632" s="1" t="n">
        <v>44037</v>
      </c>
      <c r="C632" s="1" t="n">
        <v>45282</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34922-2020</t>
        </is>
      </c>
      <c r="B633" s="1" t="n">
        <v>44036</v>
      </c>
      <c r="C633" s="1" t="n">
        <v>45282</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35220-2020</t>
        </is>
      </c>
      <c r="B634" s="1" t="n">
        <v>44041</v>
      </c>
      <c r="C634" s="1" t="n">
        <v>45282</v>
      </c>
      <c r="D634" t="inlineStr">
        <is>
          <t>VÄSTERNORRLANDS LÄN</t>
        </is>
      </c>
      <c r="E634" t="inlineStr">
        <is>
          <t>SOLLEFTEÅ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45282</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45282</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45282</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45282</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45282</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45282</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45282</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45282</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45282</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45282</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45282</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45282</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45282</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45282</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45282</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45282</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45282</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45282</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45282</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45282</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45282</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45282</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45282</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45282</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45282</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45282</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45282</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45282</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45282</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45282</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45282</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45282</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45282</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45282</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45282</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45282</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45282</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45282</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45282</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45282</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45282</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45282</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45282</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45282</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45282</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45282</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45282</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45282</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45282</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45282</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45282</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45282</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45282</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45282</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45282</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45282</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45282</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45282</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45282</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45282</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45282</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45282</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45282</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45282</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45282</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45282</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45282</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45282</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45282</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45282</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45282</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45282</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45282</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45282</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45282</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45282</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45282</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45282</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45282</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45282</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45282</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45282</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45282</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45282</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45282</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45282</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45282</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45282</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45282</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45282</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45282</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45282</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45282</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45282</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45282</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45282</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45282</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45282</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45282</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45282</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45282</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45282</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45282</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45282</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45282</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45282</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45282</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45282</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45282</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45282</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45282</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45282</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45282</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45282</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45282</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45282</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45282</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45282</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45282</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45282</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45282</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45282</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45282</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45282</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45282</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45282</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45282</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45282</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45282</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45282</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45282</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45282</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45282</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9626-2021</t>
        </is>
      </c>
      <c r="B768" s="1" t="n">
        <v>44251</v>
      </c>
      <c r="C768" s="1" t="n">
        <v>45282</v>
      </c>
      <c r="D768" t="inlineStr">
        <is>
          <t>VÄSTERNORRLANDS LÄN</t>
        </is>
      </c>
      <c r="E768" t="inlineStr">
        <is>
          <t>SOLLEFTEÅ</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11270-2021</t>
        </is>
      </c>
      <c r="B769" s="1" t="n">
        <v>44263</v>
      </c>
      <c r="C769" s="1" t="n">
        <v>45282</v>
      </c>
      <c r="D769" t="inlineStr">
        <is>
          <t>VÄSTERNORRLANDS LÄN</t>
        </is>
      </c>
      <c r="E769" t="inlineStr">
        <is>
          <t>SOLLEFTEÅ</t>
        </is>
      </c>
      <c r="F769" t="inlineStr">
        <is>
          <t>Kommuner</t>
        </is>
      </c>
      <c r="G769" t="n">
        <v>10.9</v>
      </c>
      <c r="H769" t="n">
        <v>0</v>
      </c>
      <c r="I769" t="n">
        <v>0</v>
      </c>
      <c r="J769" t="n">
        <v>0</v>
      </c>
      <c r="K769" t="n">
        <v>0</v>
      </c>
      <c r="L769" t="n">
        <v>0</v>
      </c>
      <c r="M769" t="n">
        <v>0</v>
      </c>
      <c r="N769" t="n">
        <v>0</v>
      </c>
      <c r="O769" t="n">
        <v>0</v>
      </c>
      <c r="P769" t="n">
        <v>0</v>
      </c>
      <c r="Q769" t="n">
        <v>0</v>
      </c>
      <c r="R769" s="2" t="inlineStr"/>
    </row>
    <row r="770" ht="15" customHeight="1">
      <c r="A770" t="inlineStr">
        <is>
          <t>A 11710-2021</t>
        </is>
      </c>
      <c r="B770" s="1" t="n">
        <v>44264</v>
      </c>
      <c r="C770" s="1" t="n">
        <v>45282</v>
      </c>
      <c r="D770" t="inlineStr">
        <is>
          <t>VÄSTERNORRLANDS LÄN</t>
        </is>
      </c>
      <c r="E770" t="inlineStr">
        <is>
          <t>SOLLEFTEÅ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12278-2021</t>
        </is>
      </c>
      <c r="B771" s="1" t="n">
        <v>44266</v>
      </c>
      <c r="C771" s="1" t="n">
        <v>45282</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12277-2021</t>
        </is>
      </c>
      <c r="B772" s="1" t="n">
        <v>44266</v>
      </c>
      <c r="C772" s="1" t="n">
        <v>45282</v>
      </c>
      <c r="D772" t="inlineStr">
        <is>
          <t>VÄSTERNORRLANDS LÄN</t>
        </is>
      </c>
      <c r="E772" t="inlineStr">
        <is>
          <t>SOLLEFTEÅ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12279-2021</t>
        </is>
      </c>
      <c r="B773" s="1" t="n">
        <v>44266</v>
      </c>
      <c r="C773" s="1" t="n">
        <v>45282</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14733-2021</t>
        </is>
      </c>
      <c r="B774" s="1" t="n">
        <v>44280</v>
      </c>
      <c r="C774" s="1" t="n">
        <v>45282</v>
      </c>
      <c r="D774" t="inlineStr">
        <is>
          <t>VÄSTERNORRLANDS LÄN</t>
        </is>
      </c>
      <c r="E774" t="inlineStr">
        <is>
          <t>SOLLEFTEÅ</t>
        </is>
      </c>
      <c r="G774" t="n">
        <v>5.3</v>
      </c>
      <c r="H774" t="n">
        <v>0</v>
      </c>
      <c r="I774" t="n">
        <v>0</v>
      </c>
      <c r="J774" t="n">
        <v>0</v>
      </c>
      <c r="K774" t="n">
        <v>0</v>
      </c>
      <c r="L774" t="n">
        <v>0</v>
      </c>
      <c r="M774" t="n">
        <v>0</v>
      </c>
      <c r="N774" t="n">
        <v>0</v>
      </c>
      <c r="O774" t="n">
        <v>0</v>
      </c>
      <c r="P774" t="n">
        <v>0</v>
      </c>
      <c r="Q774" t="n">
        <v>0</v>
      </c>
      <c r="R774" s="2" t="inlineStr"/>
    </row>
    <row r="775" ht="15" customHeight="1">
      <c r="A775" t="inlineStr">
        <is>
          <t>A 15101-2021</t>
        </is>
      </c>
      <c r="B775" s="1" t="n">
        <v>44281</v>
      </c>
      <c r="C775" s="1" t="n">
        <v>45282</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15098-2021</t>
        </is>
      </c>
      <c r="B776" s="1" t="n">
        <v>44281</v>
      </c>
      <c r="C776" s="1" t="n">
        <v>45282</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15461-2021</t>
        </is>
      </c>
      <c r="B777" s="1" t="n">
        <v>44285</v>
      </c>
      <c r="C777" s="1" t="n">
        <v>45282</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15894-2021</t>
        </is>
      </c>
      <c r="B778" s="1" t="n">
        <v>44286</v>
      </c>
      <c r="C778" s="1" t="n">
        <v>45282</v>
      </c>
      <c r="D778" t="inlineStr">
        <is>
          <t>VÄSTERNORRLANDS LÄN</t>
        </is>
      </c>
      <c r="E778" t="inlineStr">
        <is>
          <t>SOLLEFTEÅ</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16700-2021</t>
        </is>
      </c>
      <c r="B779" s="1" t="n">
        <v>44293</v>
      </c>
      <c r="C779" s="1" t="n">
        <v>45282</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16799-2021</t>
        </is>
      </c>
      <c r="B780" s="1" t="n">
        <v>44293</v>
      </c>
      <c r="C780" s="1" t="n">
        <v>45282</v>
      </c>
      <c r="D780" t="inlineStr">
        <is>
          <t>VÄSTERNORRLANDS LÄN</t>
        </is>
      </c>
      <c r="E780" t="inlineStr">
        <is>
          <t>SOLLEFTEÅ</t>
        </is>
      </c>
      <c r="G780" t="n">
        <v>3</v>
      </c>
      <c r="H780" t="n">
        <v>0</v>
      </c>
      <c r="I780" t="n">
        <v>0</v>
      </c>
      <c r="J780" t="n">
        <v>0</v>
      </c>
      <c r="K780" t="n">
        <v>0</v>
      </c>
      <c r="L780" t="n">
        <v>0</v>
      </c>
      <c r="M780" t="n">
        <v>0</v>
      </c>
      <c r="N780" t="n">
        <v>0</v>
      </c>
      <c r="O780" t="n">
        <v>0</v>
      </c>
      <c r="P780" t="n">
        <v>0</v>
      </c>
      <c r="Q780" t="n">
        <v>0</v>
      </c>
      <c r="R780" s="2" t="inlineStr"/>
    </row>
    <row r="781" ht="15" customHeight="1">
      <c r="A781" t="inlineStr">
        <is>
          <t>A 16905-2021</t>
        </is>
      </c>
      <c r="B781" s="1" t="n">
        <v>44294</v>
      </c>
      <c r="C781" s="1" t="n">
        <v>45282</v>
      </c>
      <c r="D781" t="inlineStr">
        <is>
          <t>VÄSTERNORRLANDS LÄN</t>
        </is>
      </c>
      <c r="E781" t="inlineStr">
        <is>
          <t>SOLLEFTEÅ</t>
        </is>
      </c>
      <c r="G781" t="n">
        <v>5</v>
      </c>
      <c r="H781" t="n">
        <v>0</v>
      </c>
      <c r="I781" t="n">
        <v>0</v>
      </c>
      <c r="J781" t="n">
        <v>0</v>
      </c>
      <c r="K781" t="n">
        <v>0</v>
      </c>
      <c r="L781" t="n">
        <v>0</v>
      </c>
      <c r="M781" t="n">
        <v>0</v>
      </c>
      <c r="N781" t="n">
        <v>0</v>
      </c>
      <c r="O781" t="n">
        <v>0</v>
      </c>
      <c r="P781" t="n">
        <v>0</v>
      </c>
      <c r="Q781" t="n">
        <v>0</v>
      </c>
      <c r="R781" s="2" t="inlineStr"/>
    </row>
    <row r="782" ht="15" customHeight="1">
      <c r="A782" t="inlineStr">
        <is>
          <t>A 17604-2021</t>
        </is>
      </c>
      <c r="B782" s="1" t="n">
        <v>44299</v>
      </c>
      <c r="C782" s="1" t="n">
        <v>45282</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18459-2021</t>
        </is>
      </c>
      <c r="B783" s="1" t="n">
        <v>44306</v>
      </c>
      <c r="C783" s="1" t="n">
        <v>45282</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18668-2021</t>
        </is>
      </c>
      <c r="B784" s="1" t="n">
        <v>44306</v>
      </c>
      <c r="C784" s="1" t="n">
        <v>45282</v>
      </c>
      <c r="D784" t="inlineStr">
        <is>
          <t>VÄSTERNORRLANDS LÄN</t>
        </is>
      </c>
      <c r="E784" t="inlineStr">
        <is>
          <t>SOLLEFTEÅ</t>
        </is>
      </c>
      <c r="G784" t="n">
        <v>12.7</v>
      </c>
      <c r="H784" t="n">
        <v>0</v>
      </c>
      <c r="I784" t="n">
        <v>0</v>
      </c>
      <c r="J784" t="n">
        <v>0</v>
      </c>
      <c r="K784" t="n">
        <v>0</v>
      </c>
      <c r="L784" t="n">
        <v>0</v>
      </c>
      <c r="M784" t="n">
        <v>0</v>
      </c>
      <c r="N784" t="n">
        <v>0</v>
      </c>
      <c r="O784" t="n">
        <v>0</v>
      </c>
      <c r="P784" t="n">
        <v>0</v>
      </c>
      <c r="Q784" t="n">
        <v>0</v>
      </c>
      <c r="R784" s="2" t="inlineStr"/>
    </row>
    <row r="785" ht="15" customHeight="1">
      <c r="A785" t="inlineStr">
        <is>
          <t>A 18741-2021</t>
        </is>
      </c>
      <c r="B785" s="1" t="n">
        <v>44306</v>
      </c>
      <c r="C785" s="1" t="n">
        <v>45282</v>
      </c>
      <c r="D785" t="inlineStr">
        <is>
          <t>VÄSTERNORRLANDS LÄN</t>
        </is>
      </c>
      <c r="E785" t="inlineStr">
        <is>
          <t>SOLLEFTEÅ</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18662-2021</t>
        </is>
      </c>
      <c r="B786" s="1" t="n">
        <v>44306</v>
      </c>
      <c r="C786" s="1" t="n">
        <v>45282</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18766-2021</t>
        </is>
      </c>
      <c r="B787" s="1" t="n">
        <v>44307</v>
      </c>
      <c r="C787" s="1" t="n">
        <v>45282</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18761-2021</t>
        </is>
      </c>
      <c r="B788" s="1" t="n">
        <v>44307</v>
      </c>
      <c r="C788" s="1" t="n">
        <v>45282</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18873-2021</t>
        </is>
      </c>
      <c r="B789" s="1" t="n">
        <v>44308</v>
      </c>
      <c r="C789" s="1" t="n">
        <v>45282</v>
      </c>
      <c r="D789" t="inlineStr">
        <is>
          <t>VÄSTERNORRLANDS LÄN</t>
        </is>
      </c>
      <c r="E789" t="inlineStr">
        <is>
          <t>SOLLEFTEÅ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18878-2021</t>
        </is>
      </c>
      <c r="B790" s="1" t="n">
        <v>44307</v>
      </c>
      <c r="C790" s="1" t="n">
        <v>45282</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18867-2021</t>
        </is>
      </c>
      <c r="B791" s="1" t="n">
        <v>44307</v>
      </c>
      <c r="C791" s="1" t="n">
        <v>45282</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18882-2021</t>
        </is>
      </c>
      <c r="B792" s="1" t="n">
        <v>44308</v>
      </c>
      <c r="C792" s="1" t="n">
        <v>45282</v>
      </c>
      <c r="D792" t="inlineStr">
        <is>
          <t>VÄSTERNORRLANDS LÄN</t>
        </is>
      </c>
      <c r="E792" t="inlineStr">
        <is>
          <t>SOLLEFTEÅ</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18875-2021</t>
        </is>
      </c>
      <c r="B793" s="1" t="n">
        <v>44307</v>
      </c>
      <c r="C793" s="1" t="n">
        <v>45282</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18866-2021</t>
        </is>
      </c>
      <c r="B794" s="1" t="n">
        <v>44308</v>
      </c>
      <c r="C794" s="1" t="n">
        <v>45282</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18874-2021</t>
        </is>
      </c>
      <c r="B795" s="1" t="n">
        <v>44308</v>
      </c>
      <c r="C795" s="1" t="n">
        <v>45282</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18879-2021</t>
        </is>
      </c>
      <c r="B796" s="1" t="n">
        <v>44307</v>
      </c>
      <c r="C796" s="1" t="n">
        <v>45282</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18868-2021</t>
        </is>
      </c>
      <c r="B797" s="1" t="n">
        <v>44307</v>
      </c>
      <c r="C797" s="1" t="n">
        <v>45282</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18877-2021</t>
        </is>
      </c>
      <c r="B798" s="1" t="n">
        <v>44308</v>
      </c>
      <c r="C798" s="1" t="n">
        <v>45282</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18889-2021</t>
        </is>
      </c>
      <c r="B799" s="1" t="n">
        <v>44308</v>
      </c>
      <c r="C799" s="1" t="n">
        <v>45282</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19200-2021</t>
        </is>
      </c>
      <c r="B800" s="1" t="n">
        <v>44309</v>
      </c>
      <c r="C800" s="1" t="n">
        <v>45282</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19510-2021</t>
        </is>
      </c>
      <c r="B801" s="1" t="n">
        <v>44308</v>
      </c>
      <c r="C801" s="1" t="n">
        <v>45282</v>
      </c>
      <c r="D801" t="inlineStr">
        <is>
          <t>VÄSTERNORRLANDS LÄN</t>
        </is>
      </c>
      <c r="E801" t="inlineStr">
        <is>
          <t>SOLLEFTEÅ</t>
        </is>
      </c>
      <c r="F801" t="inlineStr">
        <is>
          <t>Kyrkan</t>
        </is>
      </c>
      <c r="G801" t="n">
        <v>19.6</v>
      </c>
      <c r="H801" t="n">
        <v>0</v>
      </c>
      <c r="I801" t="n">
        <v>0</v>
      </c>
      <c r="J801" t="n">
        <v>0</v>
      </c>
      <c r="K801" t="n">
        <v>0</v>
      </c>
      <c r="L801" t="n">
        <v>0</v>
      </c>
      <c r="M801" t="n">
        <v>0</v>
      </c>
      <c r="N801" t="n">
        <v>0</v>
      </c>
      <c r="O801" t="n">
        <v>0</v>
      </c>
      <c r="P801" t="n">
        <v>0</v>
      </c>
      <c r="Q801" t="n">
        <v>0</v>
      </c>
      <c r="R801" s="2" t="inlineStr"/>
    </row>
    <row r="802" ht="15" customHeight="1">
      <c r="A802" t="inlineStr">
        <is>
          <t>A 19220-2021</t>
        </is>
      </c>
      <c r="B802" s="1" t="n">
        <v>44309</v>
      </c>
      <c r="C802" s="1" t="n">
        <v>45282</v>
      </c>
      <c r="D802" t="inlineStr">
        <is>
          <t>VÄSTERNORRLANDS LÄN</t>
        </is>
      </c>
      <c r="E802" t="inlineStr">
        <is>
          <t>SOLLEFTEÅ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19433-2021</t>
        </is>
      </c>
      <c r="B803" s="1" t="n">
        <v>44310</v>
      </c>
      <c r="C803" s="1" t="n">
        <v>45282</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19412-2021</t>
        </is>
      </c>
      <c r="B804" s="1" t="n">
        <v>44310</v>
      </c>
      <c r="C804" s="1" t="n">
        <v>45282</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19435-2021</t>
        </is>
      </c>
      <c r="B805" s="1" t="n">
        <v>44310</v>
      </c>
      <c r="C805" s="1" t="n">
        <v>45282</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19516-2021</t>
        </is>
      </c>
      <c r="B806" s="1" t="n">
        <v>44309</v>
      </c>
      <c r="C806" s="1" t="n">
        <v>45282</v>
      </c>
      <c r="D806" t="inlineStr">
        <is>
          <t>VÄSTERNORRLANDS LÄN</t>
        </is>
      </c>
      <c r="E806" t="inlineStr">
        <is>
          <t>SOLLEFTEÅ</t>
        </is>
      </c>
      <c r="G806" t="n">
        <v>15.6</v>
      </c>
      <c r="H806" t="n">
        <v>0</v>
      </c>
      <c r="I806" t="n">
        <v>0</v>
      </c>
      <c r="J806" t="n">
        <v>0</v>
      </c>
      <c r="K806" t="n">
        <v>0</v>
      </c>
      <c r="L806" t="n">
        <v>0</v>
      </c>
      <c r="M806" t="n">
        <v>0</v>
      </c>
      <c r="N806" t="n">
        <v>0</v>
      </c>
      <c r="O806" t="n">
        <v>0</v>
      </c>
      <c r="P806" t="n">
        <v>0</v>
      </c>
      <c r="Q806" t="n">
        <v>0</v>
      </c>
      <c r="R806" s="2" t="inlineStr"/>
    </row>
    <row r="807" ht="15" customHeight="1">
      <c r="A807" t="inlineStr">
        <is>
          <t>A 19830-2021</t>
        </is>
      </c>
      <c r="B807" s="1" t="n">
        <v>44312</v>
      </c>
      <c r="C807" s="1" t="n">
        <v>45282</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19637-2021</t>
        </is>
      </c>
      <c r="B808" s="1" t="n">
        <v>44312</v>
      </c>
      <c r="C808" s="1" t="n">
        <v>45282</v>
      </c>
      <c r="D808" t="inlineStr">
        <is>
          <t>VÄSTERNORRLANDS LÄN</t>
        </is>
      </c>
      <c r="E808" t="inlineStr">
        <is>
          <t>SOLLEFTEÅ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21341-2021</t>
        </is>
      </c>
      <c r="B809" s="1" t="n">
        <v>44321</v>
      </c>
      <c r="C809" s="1" t="n">
        <v>45282</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21360-2021</t>
        </is>
      </c>
      <c r="B810" s="1" t="n">
        <v>44320</v>
      </c>
      <c r="C810" s="1" t="n">
        <v>45282</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21350-2021</t>
        </is>
      </c>
      <c r="B811" s="1" t="n">
        <v>44321</v>
      </c>
      <c r="C811" s="1" t="n">
        <v>45282</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21358-2021</t>
        </is>
      </c>
      <c r="B812" s="1" t="n">
        <v>44320</v>
      </c>
      <c r="C812" s="1" t="n">
        <v>45282</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21362-2021</t>
        </is>
      </c>
      <c r="B813" s="1" t="n">
        <v>44321</v>
      </c>
      <c r="C813" s="1" t="n">
        <v>45282</v>
      </c>
      <c r="D813" t="inlineStr">
        <is>
          <t>VÄSTERNORRLANDS LÄN</t>
        </is>
      </c>
      <c r="E813" t="inlineStr">
        <is>
          <t>SOLLEFTEÅ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21532-2021</t>
        </is>
      </c>
      <c r="B814" s="1" t="n">
        <v>44321</v>
      </c>
      <c r="C814" s="1" t="n">
        <v>45282</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21589-2021</t>
        </is>
      </c>
      <c r="B815" s="1" t="n">
        <v>44321</v>
      </c>
      <c r="C815" s="1" t="n">
        <v>45282</v>
      </c>
      <c r="D815" t="inlineStr">
        <is>
          <t>VÄSTERNORRLANDS LÄN</t>
        </is>
      </c>
      <c r="E815" t="inlineStr">
        <is>
          <t>SOLLEFTEÅ</t>
        </is>
      </c>
      <c r="G815" t="n">
        <v>7</v>
      </c>
      <c r="H815" t="n">
        <v>0</v>
      </c>
      <c r="I815" t="n">
        <v>0</v>
      </c>
      <c r="J815" t="n">
        <v>0</v>
      </c>
      <c r="K815" t="n">
        <v>0</v>
      </c>
      <c r="L815" t="n">
        <v>0</v>
      </c>
      <c r="M815" t="n">
        <v>0</v>
      </c>
      <c r="N815" t="n">
        <v>0</v>
      </c>
      <c r="O815" t="n">
        <v>0</v>
      </c>
      <c r="P815" t="n">
        <v>0</v>
      </c>
      <c r="Q815" t="n">
        <v>0</v>
      </c>
      <c r="R815" s="2" t="inlineStr"/>
    </row>
    <row r="816" ht="15" customHeight="1">
      <c r="A816" t="inlineStr">
        <is>
          <t>A 21711-2021</t>
        </is>
      </c>
      <c r="B816" s="1" t="n">
        <v>44322</v>
      </c>
      <c r="C816" s="1" t="n">
        <v>45282</v>
      </c>
      <c r="D816" t="inlineStr">
        <is>
          <t>VÄSTERNORRLANDS LÄN</t>
        </is>
      </c>
      <c r="E816" t="inlineStr">
        <is>
          <t>SOLLEFTEÅ</t>
        </is>
      </c>
      <c r="F816" t="inlineStr">
        <is>
          <t>Kyrkan</t>
        </is>
      </c>
      <c r="G816" t="n">
        <v>22.2</v>
      </c>
      <c r="H816" t="n">
        <v>0</v>
      </c>
      <c r="I816" t="n">
        <v>0</v>
      </c>
      <c r="J816" t="n">
        <v>0</v>
      </c>
      <c r="K816" t="n">
        <v>0</v>
      </c>
      <c r="L816" t="n">
        <v>0</v>
      </c>
      <c r="M816" t="n">
        <v>0</v>
      </c>
      <c r="N816" t="n">
        <v>0</v>
      </c>
      <c r="O816" t="n">
        <v>0</v>
      </c>
      <c r="P816" t="n">
        <v>0</v>
      </c>
      <c r="Q816" t="n">
        <v>0</v>
      </c>
      <c r="R816" s="2" t="inlineStr"/>
    </row>
    <row r="817" ht="15" customHeight="1">
      <c r="A817" t="inlineStr">
        <is>
          <t>A 21924-2021</t>
        </is>
      </c>
      <c r="B817" s="1" t="n">
        <v>44323</v>
      </c>
      <c r="C817" s="1" t="n">
        <v>45282</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22447-2021</t>
        </is>
      </c>
      <c r="B818" s="1" t="n">
        <v>44323</v>
      </c>
      <c r="C818" s="1" t="n">
        <v>45282</v>
      </c>
      <c r="D818" t="inlineStr">
        <is>
          <t>VÄSTERNORRLANDS LÄN</t>
        </is>
      </c>
      <c r="E818" t="inlineStr">
        <is>
          <t>SOLLEFTEÅ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22441-2021</t>
        </is>
      </c>
      <c r="B819" s="1" t="n">
        <v>44323</v>
      </c>
      <c r="C819" s="1" t="n">
        <v>45282</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22224-2021</t>
        </is>
      </c>
      <c r="B820" s="1" t="n">
        <v>44326</v>
      </c>
      <c r="C820" s="1" t="n">
        <v>45282</v>
      </c>
      <c r="D820" t="inlineStr">
        <is>
          <t>VÄSTERNORRLANDS LÄN</t>
        </is>
      </c>
      <c r="E820" t="inlineStr">
        <is>
          <t>SOLLEFTEÅ</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22862-2021</t>
        </is>
      </c>
      <c r="B821" s="1" t="n">
        <v>44326</v>
      </c>
      <c r="C821" s="1" t="n">
        <v>45282</v>
      </c>
      <c r="D821" t="inlineStr">
        <is>
          <t>VÄSTERNORRLANDS LÄN</t>
        </is>
      </c>
      <c r="E821" t="inlineStr">
        <is>
          <t>SOLLEFTEÅ</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45282</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45282</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45282</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45282</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45282</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45282</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45282</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45282</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45282</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45282</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45282</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45282</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45282</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45282</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45282</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45282</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45282</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45282</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45282</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45282</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45282</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45282</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45282</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45282</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45282</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45282</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45282</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45282</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45282</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45282</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45282</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45282</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45282</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45282</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45282</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45282</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45282</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45282</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45282</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31354-2021</t>
        </is>
      </c>
      <c r="B861" s="1" t="n">
        <v>44369</v>
      </c>
      <c r="C861" s="1" t="n">
        <v>45282</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31600-2021</t>
        </is>
      </c>
      <c r="B862" s="1" t="n">
        <v>44369</v>
      </c>
      <c r="C862" s="1" t="n">
        <v>45282</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31737-2021</t>
        </is>
      </c>
      <c r="B863" s="1" t="n">
        <v>44370</v>
      </c>
      <c r="C863" s="1" t="n">
        <v>45282</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32091-2021</t>
        </is>
      </c>
      <c r="B864" s="1" t="n">
        <v>44370</v>
      </c>
      <c r="C864" s="1" t="n">
        <v>45282</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33207-2021</t>
        </is>
      </c>
      <c r="B865" s="1" t="n">
        <v>44376</v>
      </c>
      <c r="C865" s="1" t="n">
        <v>45282</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33214-2021</t>
        </is>
      </c>
      <c r="B866" s="1" t="n">
        <v>44377</v>
      </c>
      <c r="C866" s="1" t="n">
        <v>45282</v>
      </c>
      <c r="D866" t="inlineStr">
        <is>
          <t>VÄSTERNORRLANDS LÄN</t>
        </is>
      </c>
      <c r="E866" t="inlineStr">
        <is>
          <t>SOLLEFTEÅ</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33895-2021</t>
        </is>
      </c>
      <c r="B867" s="1" t="n">
        <v>44378</v>
      </c>
      <c r="C867" s="1" t="n">
        <v>45282</v>
      </c>
      <c r="D867" t="inlineStr">
        <is>
          <t>VÄSTERNORRLANDS LÄN</t>
        </is>
      </c>
      <c r="E867" t="inlineStr">
        <is>
          <t>SOLLEFTEÅ</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34396-2021</t>
        </is>
      </c>
      <c r="B868" s="1" t="n">
        <v>44379</v>
      </c>
      <c r="C868" s="1" t="n">
        <v>45282</v>
      </c>
      <c r="D868" t="inlineStr">
        <is>
          <t>VÄSTERNORRLANDS LÄN</t>
        </is>
      </c>
      <c r="E868" t="inlineStr">
        <is>
          <t>SOLLEFTEÅ</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34395-2021</t>
        </is>
      </c>
      <c r="B869" s="1" t="n">
        <v>44379</v>
      </c>
      <c r="C869" s="1" t="n">
        <v>45282</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34397-2021</t>
        </is>
      </c>
      <c r="B870" s="1" t="n">
        <v>44379</v>
      </c>
      <c r="C870" s="1" t="n">
        <v>45282</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34475-2021</t>
        </is>
      </c>
      <c r="B871" s="1" t="n">
        <v>44381</v>
      </c>
      <c r="C871" s="1" t="n">
        <v>45282</v>
      </c>
      <c r="D871" t="inlineStr">
        <is>
          <t>VÄSTERNORRLANDS LÄN</t>
        </is>
      </c>
      <c r="E871" t="inlineStr">
        <is>
          <t>SOLLEFTEÅ</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34473-2021</t>
        </is>
      </c>
      <c r="B872" s="1" t="n">
        <v>44382</v>
      </c>
      <c r="C872" s="1" t="n">
        <v>45282</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35071-2021</t>
        </is>
      </c>
      <c r="B873" s="1" t="n">
        <v>44383</v>
      </c>
      <c r="C873" s="1" t="n">
        <v>45282</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45282</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45282</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45282</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45282</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45282</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45282</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45282</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45282</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45282</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37043-2021</t>
        </is>
      </c>
      <c r="B883" s="1" t="n">
        <v>44393</v>
      </c>
      <c r="C883" s="1" t="n">
        <v>45282</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45282</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45282</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45282</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45282</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45282</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45282</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45282</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45282</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45282</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45282</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45282</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45282</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45282</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45282</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45282</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45282</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45282</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45282</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45282</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45282</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45282</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45282</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45282</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45282</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45282</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45282</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45282</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45282</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45282</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45282</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45282</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45282</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45282</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45282</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45282</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45282</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45282</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45282</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45282</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45282</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45282</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45282</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45282</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45282</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45282</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45282</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45282</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45282</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45282</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45282</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45282</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45282</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45282</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45282</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45282</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45282</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45282</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45282</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45282</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45282</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45282</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45282</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45282</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45282</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45282</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45282</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45282</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45282</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45282</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45282</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45282</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45282</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58572-2021</t>
        </is>
      </c>
      <c r="B956" s="1" t="n">
        <v>44488</v>
      </c>
      <c r="C956" s="1" t="n">
        <v>45282</v>
      </c>
      <c r="D956" t="inlineStr">
        <is>
          <t>VÄSTERNORRLANDS LÄN</t>
        </is>
      </c>
      <c r="E956" t="inlineStr">
        <is>
          <t>SOLLEFTEÅ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58571-2021</t>
        </is>
      </c>
      <c r="B957" s="1" t="n">
        <v>44488</v>
      </c>
      <c r="C957" s="1" t="n">
        <v>45282</v>
      </c>
      <c r="D957" t="inlineStr">
        <is>
          <t>VÄSTERNORRLANDS LÄN</t>
        </is>
      </c>
      <c r="E957" t="inlineStr">
        <is>
          <t>SOLLEFTEÅ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58573-2021</t>
        </is>
      </c>
      <c r="B958" s="1" t="n">
        <v>44488</v>
      </c>
      <c r="C958" s="1" t="n">
        <v>45282</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58726-2021</t>
        </is>
      </c>
      <c r="B959" s="1" t="n">
        <v>44489</v>
      </c>
      <c r="C959" s="1" t="n">
        <v>45282</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58742-2021</t>
        </is>
      </c>
      <c r="B960" s="1" t="n">
        <v>44489</v>
      </c>
      <c r="C960" s="1" t="n">
        <v>45282</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58755-2021</t>
        </is>
      </c>
      <c r="B961" s="1" t="n">
        <v>44489</v>
      </c>
      <c r="C961" s="1" t="n">
        <v>45282</v>
      </c>
      <c r="D961" t="inlineStr">
        <is>
          <t>VÄSTERNORRLANDS LÄN</t>
        </is>
      </c>
      <c r="E961" t="inlineStr">
        <is>
          <t>SOLLEFTEÅ</t>
        </is>
      </c>
      <c r="G961" t="n">
        <v>12.2</v>
      </c>
      <c r="H961" t="n">
        <v>0</v>
      </c>
      <c r="I961" t="n">
        <v>0</v>
      </c>
      <c r="J961" t="n">
        <v>0</v>
      </c>
      <c r="K961" t="n">
        <v>0</v>
      </c>
      <c r="L961" t="n">
        <v>0</v>
      </c>
      <c r="M961" t="n">
        <v>0</v>
      </c>
      <c r="N961" t="n">
        <v>0</v>
      </c>
      <c r="O961" t="n">
        <v>0</v>
      </c>
      <c r="P961" t="n">
        <v>0</v>
      </c>
      <c r="Q961" t="n">
        <v>0</v>
      </c>
      <c r="R961" s="2" t="inlineStr"/>
    </row>
    <row r="962" ht="15" customHeight="1">
      <c r="A962" t="inlineStr">
        <is>
          <t>A 58688-2021</t>
        </is>
      </c>
      <c r="B962" s="1" t="n">
        <v>44489</v>
      </c>
      <c r="C962" s="1" t="n">
        <v>45282</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58715-2021</t>
        </is>
      </c>
      <c r="B963" s="1" t="n">
        <v>44489</v>
      </c>
      <c r="C963" s="1" t="n">
        <v>45282</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59344-2021</t>
        </is>
      </c>
      <c r="B964" s="1" t="n">
        <v>44490</v>
      </c>
      <c r="C964" s="1" t="n">
        <v>45282</v>
      </c>
      <c r="D964" t="inlineStr">
        <is>
          <t>VÄSTERNORRLANDS LÄN</t>
        </is>
      </c>
      <c r="E964" t="inlineStr">
        <is>
          <t>SOLLEFTEÅ</t>
        </is>
      </c>
      <c r="G964" t="n">
        <v>6.9</v>
      </c>
      <c r="H964" t="n">
        <v>0</v>
      </c>
      <c r="I964" t="n">
        <v>0</v>
      </c>
      <c r="J964" t="n">
        <v>0</v>
      </c>
      <c r="K964" t="n">
        <v>0</v>
      </c>
      <c r="L964" t="n">
        <v>0</v>
      </c>
      <c r="M964" t="n">
        <v>0</v>
      </c>
      <c r="N964" t="n">
        <v>0</v>
      </c>
      <c r="O964" t="n">
        <v>0</v>
      </c>
      <c r="P964" t="n">
        <v>0</v>
      </c>
      <c r="Q964" t="n">
        <v>0</v>
      </c>
      <c r="R964" s="2" t="inlineStr"/>
    </row>
    <row r="965" ht="15" customHeight="1">
      <c r="A965" t="inlineStr">
        <is>
          <t>A 59309-2021</t>
        </is>
      </c>
      <c r="B965" s="1" t="n">
        <v>44491</v>
      </c>
      <c r="C965" s="1" t="n">
        <v>45282</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59343-2021</t>
        </is>
      </c>
      <c r="B966" s="1" t="n">
        <v>44490</v>
      </c>
      <c r="C966" s="1" t="n">
        <v>45282</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60324-2021</t>
        </is>
      </c>
      <c r="B967" s="1" t="n">
        <v>44496</v>
      </c>
      <c r="C967" s="1" t="n">
        <v>45282</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60757-2021</t>
        </is>
      </c>
      <c r="B968" s="1" t="n">
        <v>44497</v>
      </c>
      <c r="C968" s="1" t="n">
        <v>45282</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60756-2021</t>
        </is>
      </c>
      <c r="B969" s="1" t="n">
        <v>44496</v>
      </c>
      <c r="C969" s="1" t="n">
        <v>45282</v>
      </c>
      <c r="D969" t="inlineStr">
        <is>
          <t>VÄSTERNORRLANDS LÄN</t>
        </is>
      </c>
      <c r="E969" t="inlineStr">
        <is>
          <t>SOLLEFTEÅ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61739-2021</t>
        </is>
      </c>
      <c r="B970" s="1" t="n">
        <v>44498</v>
      </c>
      <c r="C970" s="1" t="n">
        <v>45282</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61424-2021</t>
        </is>
      </c>
      <c r="B971" s="1" t="n">
        <v>44500</v>
      </c>
      <c r="C971" s="1" t="n">
        <v>45282</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61470-2021</t>
        </is>
      </c>
      <c r="B972" s="1" t="n">
        <v>44500</v>
      </c>
      <c r="C972" s="1" t="n">
        <v>45282</v>
      </c>
      <c r="D972" t="inlineStr">
        <is>
          <t>VÄSTERNORRLANDS LÄN</t>
        </is>
      </c>
      <c r="E972" t="inlineStr">
        <is>
          <t>SOLLEFTEÅ</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61480-2021</t>
        </is>
      </c>
      <c r="B973" s="1" t="n">
        <v>44500</v>
      </c>
      <c r="C973" s="1" t="n">
        <v>45282</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61426-2021</t>
        </is>
      </c>
      <c r="B974" s="1" t="n">
        <v>44500</v>
      </c>
      <c r="C974" s="1" t="n">
        <v>45282</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61469-2021</t>
        </is>
      </c>
      <c r="B975" s="1" t="n">
        <v>44500</v>
      </c>
      <c r="C975" s="1" t="n">
        <v>45282</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61496-2021</t>
        </is>
      </c>
      <c r="B976" s="1" t="n">
        <v>44501</v>
      </c>
      <c r="C976" s="1" t="n">
        <v>45282</v>
      </c>
      <c r="D976" t="inlineStr">
        <is>
          <t>VÄSTERNORRLANDS LÄN</t>
        </is>
      </c>
      <c r="E976" t="inlineStr">
        <is>
          <t>SOLLEFTEÅ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62214-2021</t>
        </is>
      </c>
      <c r="B977" s="1" t="n">
        <v>44502</v>
      </c>
      <c r="C977" s="1" t="n">
        <v>45282</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62210-2021</t>
        </is>
      </c>
      <c r="B978" s="1" t="n">
        <v>44502</v>
      </c>
      <c r="C978" s="1" t="n">
        <v>45282</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62418-2021</t>
        </is>
      </c>
      <c r="B979" s="1" t="n">
        <v>44503</v>
      </c>
      <c r="C979" s="1" t="n">
        <v>45282</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62790-2021</t>
        </is>
      </c>
      <c r="B980" s="1" t="n">
        <v>44503</v>
      </c>
      <c r="C980" s="1" t="n">
        <v>45282</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62697-2021</t>
        </is>
      </c>
      <c r="B981" s="1" t="n">
        <v>44504</v>
      </c>
      <c r="C981" s="1" t="n">
        <v>45282</v>
      </c>
      <c r="D981" t="inlineStr">
        <is>
          <t>VÄSTERNORRLANDS LÄN</t>
        </is>
      </c>
      <c r="E981" t="inlineStr">
        <is>
          <t>SOLLEFTEÅ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62692-2021</t>
        </is>
      </c>
      <c r="B982" s="1" t="n">
        <v>44504</v>
      </c>
      <c r="C982" s="1" t="n">
        <v>45282</v>
      </c>
      <c r="D982" t="inlineStr">
        <is>
          <t>VÄSTERNORRLANDS LÄN</t>
        </is>
      </c>
      <c r="E982" t="inlineStr">
        <is>
          <t>SOLLEFTEÅ</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63710-2021</t>
        </is>
      </c>
      <c r="B983" s="1" t="n">
        <v>44504</v>
      </c>
      <c r="C983" s="1" t="n">
        <v>45282</v>
      </c>
      <c r="D983" t="inlineStr">
        <is>
          <t>VÄSTERNORRLANDS LÄN</t>
        </is>
      </c>
      <c r="E983" t="inlineStr">
        <is>
          <t>SOLLEFTEÅ</t>
        </is>
      </c>
      <c r="G983" t="n">
        <v>10.6</v>
      </c>
      <c r="H983" t="n">
        <v>0</v>
      </c>
      <c r="I983" t="n">
        <v>0</v>
      </c>
      <c r="J983" t="n">
        <v>0</v>
      </c>
      <c r="K983" t="n">
        <v>0</v>
      </c>
      <c r="L983" t="n">
        <v>0</v>
      </c>
      <c r="M983" t="n">
        <v>0</v>
      </c>
      <c r="N983" t="n">
        <v>0</v>
      </c>
      <c r="O983" t="n">
        <v>0</v>
      </c>
      <c r="P983" t="n">
        <v>0</v>
      </c>
      <c r="Q983" t="n">
        <v>0</v>
      </c>
      <c r="R983" s="2" t="inlineStr"/>
    </row>
    <row r="984" ht="15" customHeight="1">
      <c r="A984" t="inlineStr">
        <is>
          <t>A 64638-2021</t>
        </is>
      </c>
      <c r="B984" s="1" t="n">
        <v>44511</v>
      </c>
      <c r="C984" s="1" t="n">
        <v>45282</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64651-2021</t>
        </is>
      </c>
      <c r="B985" s="1" t="n">
        <v>44511</v>
      </c>
      <c r="C985" s="1" t="n">
        <v>45282</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64653-2021</t>
        </is>
      </c>
      <c r="B986" s="1" t="n">
        <v>44511</v>
      </c>
      <c r="C986" s="1" t="n">
        <v>45282</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64939-2021</t>
        </is>
      </c>
      <c r="B987" s="1" t="n">
        <v>44512</v>
      </c>
      <c r="C987" s="1" t="n">
        <v>45282</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64947-2021</t>
        </is>
      </c>
      <c r="B988" s="1" t="n">
        <v>44512</v>
      </c>
      <c r="C988" s="1" t="n">
        <v>45282</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64944-2021</t>
        </is>
      </c>
      <c r="B989" s="1" t="n">
        <v>44512</v>
      </c>
      <c r="C989" s="1" t="n">
        <v>45282</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65009-2021</t>
        </is>
      </c>
      <c r="B990" s="1" t="n">
        <v>44514</v>
      </c>
      <c r="C990" s="1" t="n">
        <v>45282</v>
      </c>
      <c r="D990" t="inlineStr">
        <is>
          <t>VÄSTERNORRLANDS LÄN</t>
        </is>
      </c>
      <c r="E990" t="inlineStr">
        <is>
          <t>SOLLEFTEÅ</t>
        </is>
      </c>
      <c r="G990" t="n">
        <v>17.3</v>
      </c>
      <c r="H990" t="n">
        <v>0</v>
      </c>
      <c r="I990" t="n">
        <v>0</v>
      </c>
      <c r="J990" t="n">
        <v>0</v>
      </c>
      <c r="K990" t="n">
        <v>0</v>
      </c>
      <c r="L990" t="n">
        <v>0</v>
      </c>
      <c r="M990" t="n">
        <v>0</v>
      </c>
      <c r="N990" t="n">
        <v>0</v>
      </c>
      <c r="O990" t="n">
        <v>0</v>
      </c>
      <c r="P990" t="n">
        <v>0</v>
      </c>
      <c r="Q990" t="n">
        <v>0</v>
      </c>
      <c r="R990" s="2" t="inlineStr"/>
    </row>
    <row r="991" ht="15" customHeight="1">
      <c r="A991" t="inlineStr">
        <is>
          <t>A 65419-2021</t>
        </is>
      </c>
      <c r="B991" s="1" t="n">
        <v>44515</v>
      </c>
      <c r="C991" s="1" t="n">
        <v>45282</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66178-2021</t>
        </is>
      </c>
      <c r="B992" s="1" t="n">
        <v>44517</v>
      </c>
      <c r="C992" s="1" t="n">
        <v>45282</v>
      </c>
      <c r="D992" t="inlineStr">
        <is>
          <t>VÄSTERNORRLANDS LÄN</t>
        </is>
      </c>
      <c r="E992" t="inlineStr">
        <is>
          <t>SOLLEFTEÅ</t>
        </is>
      </c>
      <c r="F992" t="inlineStr">
        <is>
          <t>SCA</t>
        </is>
      </c>
      <c r="G992" t="n">
        <v>31.7</v>
      </c>
      <c r="H992" t="n">
        <v>0</v>
      </c>
      <c r="I992" t="n">
        <v>0</v>
      </c>
      <c r="J992" t="n">
        <v>0</v>
      </c>
      <c r="K992" t="n">
        <v>0</v>
      </c>
      <c r="L992" t="n">
        <v>0</v>
      </c>
      <c r="M992" t="n">
        <v>0</v>
      </c>
      <c r="N992" t="n">
        <v>0</v>
      </c>
      <c r="O992" t="n">
        <v>0</v>
      </c>
      <c r="P992" t="n">
        <v>0</v>
      </c>
      <c r="Q992" t="n">
        <v>0</v>
      </c>
      <c r="R992" s="2" t="inlineStr"/>
    </row>
    <row r="993" ht="15" customHeight="1">
      <c r="A993" t="inlineStr">
        <is>
          <t>A 66856-2021</t>
        </is>
      </c>
      <c r="B993" s="1" t="n">
        <v>44522</v>
      </c>
      <c r="C993" s="1" t="n">
        <v>45282</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67085-2021</t>
        </is>
      </c>
      <c r="B994" s="1" t="n">
        <v>44522</v>
      </c>
      <c r="C994" s="1" t="n">
        <v>45282</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67143-2021</t>
        </is>
      </c>
      <c r="B995" s="1" t="n">
        <v>44523</v>
      </c>
      <c r="C995" s="1" t="n">
        <v>45282</v>
      </c>
      <c r="D995" t="inlineStr">
        <is>
          <t>VÄSTERNORRLANDS LÄN</t>
        </is>
      </c>
      <c r="E995" t="inlineStr">
        <is>
          <t>SOLLEFTEÅ</t>
        </is>
      </c>
      <c r="G995" t="n">
        <v>19.7</v>
      </c>
      <c r="H995" t="n">
        <v>0</v>
      </c>
      <c r="I995" t="n">
        <v>0</v>
      </c>
      <c r="J995" t="n">
        <v>0</v>
      </c>
      <c r="K995" t="n">
        <v>0</v>
      </c>
      <c r="L995" t="n">
        <v>0</v>
      </c>
      <c r="M995" t="n">
        <v>0</v>
      </c>
      <c r="N995" t="n">
        <v>0</v>
      </c>
      <c r="O995" t="n">
        <v>0</v>
      </c>
      <c r="P995" t="n">
        <v>0</v>
      </c>
      <c r="Q995" t="n">
        <v>0</v>
      </c>
      <c r="R995" s="2" t="inlineStr"/>
    </row>
    <row r="996" ht="15" customHeight="1">
      <c r="A996" t="inlineStr">
        <is>
          <t>A 67136-2021</t>
        </is>
      </c>
      <c r="B996" s="1" t="n">
        <v>44523</v>
      </c>
      <c r="C996" s="1" t="n">
        <v>45282</v>
      </c>
      <c r="D996" t="inlineStr">
        <is>
          <t>VÄSTERNORRLANDS LÄN</t>
        </is>
      </c>
      <c r="E996" t="inlineStr">
        <is>
          <t>SOLLEFTEÅ</t>
        </is>
      </c>
      <c r="G996" t="n">
        <v>5.2</v>
      </c>
      <c r="H996" t="n">
        <v>0</v>
      </c>
      <c r="I996" t="n">
        <v>0</v>
      </c>
      <c r="J996" t="n">
        <v>0</v>
      </c>
      <c r="K996" t="n">
        <v>0</v>
      </c>
      <c r="L996" t="n">
        <v>0</v>
      </c>
      <c r="M996" t="n">
        <v>0</v>
      </c>
      <c r="N996" t="n">
        <v>0</v>
      </c>
      <c r="O996" t="n">
        <v>0</v>
      </c>
      <c r="P996" t="n">
        <v>0</v>
      </c>
      <c r="Q996" t="n">
        <v>0</v>
      </c>
      <c r="R996" s="2" t="inlineStr"/>
    </row>
    <row r="997" ht="15" customHeight="1">
      <c r="A997" t="inlineStr">
        <is>
          <t>A 67390-2021</t>
        </is>
      </c>
      <c r="B997" s="1" t="n">
        <v>44523</v>
      </c>
      <c r="C997" s="1" t="n">
        <v>45282</v>
      </c>
      <c r="D997" t="inlineStr">
        <is>
          <t>VÄSTERNORRLANDS LÄN</t>
        </is>
      </c>
      <c r="E997" t="inlineStr">
        <is>
          <t>SOLLEFTEÅ</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67401-2021</t>
        </is>
      </c>
      <c r="B998" s="1" t="n">
        <v>44523</v>
      </c>
      <c r="C998" s="1" t="n">
        <v>45282</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67689-2021</t>
        </is>
      </c>
      <c r="B999" s="1" t="n">
        <v>44524</v>
      </c>
      <c r="C999" s="1" t="n">
        <v>45282</v>
      </c>
      <c r="D999" t="inlineStr">
        <is>
          <t>VÄSTERNORRLANDS LÄN</t>
        </is>
      </c>
      <c r="E999" t="inlineStr">
        <is>
          <t>SOLLEFTEÅ</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67702-2021</t>
        </is>
      </c>
      <c r="B1000" s="1" t="n">
        <v>44524</v>
      </c>
      <c r="C1000" s="1" t="n">
        <v>45282</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67822-2021</t>
        </is>
      </c>
      <c r="B1001" s="1" t="n">
        <v>44525</v>
      </c>
      <c r="C1001" s="1" t="n">
        <v>45282</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68317-2021</t>
        </is>
      </c>
      <c r="B1002" s="1" t="n">
        <v>44526</v>
      </c>
      <c r="C1002" s="1" t="n">
        <v>45282</v>
      </c>
      <c r="D1002" t="inlineStr">
        <is>
          <t>VÄSTERNORRLANDS LÄN</t>
        </is>
      </c>
      <c r="E1002" t="inlineStr">
        <is>
          <t>SOLLEFTEÅ</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68792-2021</t>
        </is>
      </c>
      <c r="B1003" s="1" t="n">
        <v>44529</v>
      </c>
      <c r="C1003" s="1" t="n">
        <v>45282</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68843-2021</t>
        </is>
      </c>
      <c r="B1004" s="1" t="n">
        <v>44530</v>
      </c>
      <c r="C1004" s="1" t="n">
        <v>45282</v>
      </c>
      <c r="D1004" t="inlineStr">
        <is>
          <t>VÄSTERNORRLANDS LÄN</t>
        </is>
      </c>
      <c r="E1004" t="inlineStr">
        <is>
          <t>SOLLEFTEÅ</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68863-2021</t>
        </is>
      </c>
      <c r="B1005" s="1" t="n">
        <v>44530</v>
      </c>
      <c r="C1005" s="1" t="n">
        <v>45282</v>
      </c>
      <c r="D1005" t="inlineStr">
        <is>
          <t>VÄSTERNORRLANDS LÄN</t>
        </is>
      </c>
      <c r="E1005" t="inlineStr">
        <is>
          <t>SOLLEFTEÅ</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69121-2021</t>
        </is>
      </c>
      <c r="B1006" s="1" t="n">
        <v>44530</v>
      </c>
      <c r="C1006" s="1" t="n">
        <v>45282</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69543-2021</t>
        </is>
      </c>
      <c r="B1007" s="1" t="n">
        <v>44531</v>
      </c>
      <c r="C1007" s="1" t="n">
        <v>45282</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69542-2021</t>
        </is>
      </c>
      <c r="B1008" s="1" t="n">
        <v>44531</v>
      </c>
      <c r="C1008" s="1" t="n">
        <v>45282</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69919-2021</t>
        </is>
      </c>
      <c r="B1009" s="1" t="n">
        <v>44532</v>
      </c>
      <c r="C1009" s="1" t="n">
        <v>45282</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69916-2021</t>
        </is>
      </c>
      <c r="B1010" s="1" t="n">
        <v>44532</v>
      </c>
      <c r="C1010" s="1" t="n">
        <v>45282</v>
      </c>
      <c r="D1010" t="inlineStr">
        <is>
          <t>VÄSTERNORRLANDS LÄN</t>
        </is>
      </c>
      <c r="E1010" t="inlineStr">
        <is>
          <t>SOLLEFTEÅ</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70180-2021</t>
        </is>
      </c>
      <c r="B1011" s="1" t="n">
        <v>44533</v>
      </c>
      <c r="C1011" s="1" t="n">
        <v>45282</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70821-2021</t>
        </is>
      </c>
      <c r="B1012" s="1" t="n">
        <v>44537</v>
      </c>
      <c r="C1012" s="1" t="n">
        <v>45282</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71080-2021</t>
        </is>
      </c>
      <c r="B1013" s="1" t="n">
        <v>44538</v>
      </c>
      <c r="C1013" s="1" t="n">
        <v>45282</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71079-2021</t>
        </is>
      </c>
      <c r="B1014" s="1" t="n">
        <v>44538</v>
      </c>
      <c r="C1014" s="1" t="n">
        <v>45282</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71348-2021</t>
        </is>
      </c>
      <c r="B1015" s="1" t="n">
        <v>44539</v>
      </c>
      <c r="C1015" s="1" t="n">
        <v>45282</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71351-2021</t>
        </is>
      </c>
      <c r="B1016" s="1" t="n">
        <v>44539</v>
      </c>
      <c r="C1016" s="1" t="n">
        <v>45282</v>
      </c>
      <c r="D1016" t="inlineStr">
        <is>
          <t>VÄSTERNORRLANDS LÄN</t>
        </is>
      </c>
      <c r="E1016" t="inlineStr">
        <is>
          <t>SOLLEFTEÅ</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71350-2021</t>
        </is>
      </c>
      <c r="B1017" s="1" t="n">
        <v>44539</v>
      </c>
      <c r="C1017" s="1" t="n">
        <v>45282</v>
      </c>
      <c r="D1017" t="inlineStr">
        <is>
          <t>VÄSTERNORRLANDS LÄN</t>
        </is>
      </c>
      <c r="E1017" t="inlineStr">
        <is>
          <t>SOLLEFTEÅ</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71580-2021</t>
        </is>
      </c>
      <c r="B1018" s="1" t="n">
        <v>44540</v>
      </c>
      <c r="C1018" s="1" t="n">
        <v>45282</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72244-2021</t>
        </is>
      </c>
      <c r="B1019" s="1" t="n">
        <v>44544</v>
      </c>
      <c r="C1019" s="1" t="n">
        <v>45282</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72249-2021</t>
        </is>
      </c>
      <c r="B1020" s="1" t="n">
        <v>44544</v>
      </c>
      <c r="C1020" s="1" t="n">
        <v>45282</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72315-2021</t>
        </is>
      </c>
      <c r="B1021" s="1" t="n">
        <v>44545</v>
      </c>
      <c r="C1021" s="1" t="n">
        <v>45282</v>
      </c>
      <c r="D1021" t="inlineStr">
        <is>
          <t>VÄSTERNORRLANDS LÄN</t>
        </is>
      </c>
      <c r="E1021" t="inlineStr">
        <is>
          <t>SOLLEFTEÅ</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72485-2021</t>
        </is>
      </c>
      <c r="B1022" s="1" t="n">
        <v>44545</v>
      </c>
      <c r="C1022" s="1" t="n">
        <v>45282</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72496-2021</t>
        </is>
      </c>
      <c r="B1023" s="1" t="n">
        <v>44545</v>
      </c>
      <c r="C1023" s="1" t="n">
        <v>45282</v>
      </c>
      <c r="D1023" t="inlineStr">
        <is>
          <t>VÄSTERNORRLANDS LÄN</t>
        </is>
      </c>
      <c r="E1023" t="inlineStr">
        <is>
          <t>SOLLEFTEÅ</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72949-2021</t>
        </is>
      </c>
      <c r="B1024" s="1" t="n">
        <v>44547</v>
      </c>
      <c r="C1024" s="1" t="n">
        <v>45282</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72958-2021</t>
        </is>
      </c>
      <c r="B1025" s="1" t="n">
        <v>44547</v>
      </c>
      <c r="C1025" s="1" t="n">
        <v>45282</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72977-2021</t>
        </is>
      </c>
      <c r="B1026" s="1" t="n">
        <v>44548</v>
      </c>
      <c r="C1026" s="1" t="n">
        <v>45282</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73285-2021</t>
        </is>
      </c>
      <c r="B1027" s="1" t="n">
        <v>44550</v>
      </c>
      <c r="C1027" s="1" t="n">
        <v>45282</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73367-2021</t>
        </is>
      </c>
      <c r="B1028" s="1" t="n">
        <v>44550</v>
      </c>
      <c r="C1028" s="1" t="n">
        <v>45282</v>
      </c>
      <c r="D1028" t="inlineStr">
        <is>
          <t>VÄSTERNORRLANDS LÄN</t>
        </is>
      </c>
      <c r="E1028" t="inlineStr">
        <is>
          <t>SOLLEFTEÅ</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73566-2021</t>
        </is>
      </c>
      <c r="B1029" s="1" t="n">
        <v>44551</v>
      </c>
      <c r="C1029" s="1" t="n">
        <v>45282</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73564-2021</t>
        </is>
      </c>
      <c r="B1030" s="1" t="n">
        <v>44551</v>
      </c>
      <c r="C1030" s="1" t="n">
        <v>45282</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73567-2021</t>
        </is>
      </c>
      <c r="B1031" s="1" t="n">
        <v>44551</v>
      </c>
      <c r="C1031" s="1" t="n">
        <v>45282</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73886-2021</t>
        </is>
      </c>
      <c r="B1032" s="1" t="n">
        <v>44553</v>
      </c>
      <c r="C1032" s="1" t="n">
        <v>45282</v>
      </c>
      <c r="D1032" t="inlineStr">
        <is>
          <t>VÄSTERNORRLANDS LÄN</t>
        </is>
      </c>
      <c r="E1032" t="inlineStr">
        <is>
          <t>SOLLEFTEÅ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73847-2021</t>
        </is>
      </c>
      <c r="B1033" s="1" t="n">
        <v>44553</v>
      </c>
      <c r="C1033" s="1" t="n">
        <v>45282</v>
      </c>
      <c r="D1033" t="inlineStr">
        <is>
          <t>VÄSTERNORRLANDS LÄN</t>
        </is>
      </c>
      <c r="E1033" t="inlineStr">
        <is>
          <t>SOLLEFTEÅ</t>
        </is>
      </c>
      <c r="F1033" t="inlineStr">
        <is>
          <t>Övriga Aktiebolag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2-2022</t>
        </is>
      </c>
      <c r="B1034" s="1" t="n">
        <v>44562</v>
      </c>
      <c r="C1034" s="1" t="n">
        <v>45282</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19-2022</t>
        </is>
      </c>
      <c r="B1035" s="1" t="n">
        <v>44564</v>
      </c>
      <c r="C1035" s="1" t="n">
        <v>45282</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576-2022</t>
        </is>
      </c>
      <c r="B1036" s="1" t="n">
        <v>44566</v>
      </c>
      <c r="C1036" s="1" t="n">
        <v>45282</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1095-2022</t>
        </is>
      </c>
      <c r="B1037" s="1" t="n">
        <v>44571</v>
      </c>
      <c r="C1037" s="1" t="n">
        <v>45282</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1094-2022</t>
        </is>
      </c>
      <c r="B1038" s="1" t="n">
        <v>44571</v>
      </c>
      <c r="C1038" s="1" t="n">
        <v>45282</v>
      </c>
      <c r="D1038" t="inlineStr">
        <is>
          <t>VÄSTERNORRLANDS LÄN</t>
        </is>
      </c>
      <c r="E1038" t="inlineStr">
        <is>
          <t>SOLLEFTEÅ</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1402-2022</t>
        </is>
      </c>
      <c r="B1039" s="1" t="n">
        <v>44573</v>
      </c>
      <c r="C1039" s="1" t="n">
        <v>45282</v>
      </c>
      <c r="D1039" t="inlineStr">
        <is>
          <t>VÄSTERNORRLANDS LÄN</t>
        </is>
      </c>
      <c r="E1039" t="inlineStr">
        <is>
          <t>SOLLEFTEÅ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1987-2022</t>
        </is>
      </c>
      <c r="B1040" s="1" t="n">
        <v>44575</v>
      </c>
      <c r="C1040" s="1" t="n">
        <v>45282</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45282</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2536-2022</t>
        </is>
      </c>
      <c r="B1042" s="1" t="n">
        <v>44579</v>
      </c>
      <c r="C1042" s="1" t="n">
        <v>45282</v>
      </c>
      <c r="D1042" t="inlineStr">
        <is>
          <t>VÄSTERNORRLANDS LÄN</t>
        </is>
      </c>
      <c r="E1042" t="inlineStr">
        <is>
          <t>SOLLEFTEÅ</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2543-2022</t>
        </is>
      </c>
      <c r="B1043" s="1" t="n">
        <v>44580</v>
      </c>
      <c r="C1043" s="1" t="n">
        <v>45282</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2542-2022</t>
        </is>
      </c>
      <c r="B1044" s="1" t="n">
        <v>44580</v>
      </c>
      <c r="C1044" s="1" t="n">
        <v>45282</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2541-2022</t>
        </is>
      </c>
      <c r="B1045" s="1" t="n">
        <v>44580</v>
      </c>
      <c r="C1045" s="1" t="n">
        <v>45282</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2747-2022</t>
        </is>
      </c>
      <c r="B1046" s="1" t="n">
        <v>44580</v>
      </c>
      <c r="C1046" s="1" t="n">
        <v>45282</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3001-2022</t>
        </is>
      </c>
      <c r="B1047" s="1" t="n">
        <v>44581</v>
      </c>
      <c r="C1047" s="1" t="n">
        <v>45282</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3541-2022</t>
        </is>
      </c>
      <c r="B1048" s="1" t="n">
        <v>44585</v>
      </c>
      <c r="C1048" s="1" t="n">
        <v>45282</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3548-2022</t>
        </is>
      </c>
      <c r="B1049" s="1" t="n">
        <v>44585</v>
      </c>
      <c r="C1049" s="1" t="n">
        <v>45282</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3554-2022</t>
        </is>
      </c>
      <c r="B1050" s="1" t="n">
        <v>44585</v>
      </c>
      <c r="C1050" s="1" t="n">
        <v>45282</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3560-2022</t>
        </is>
      </c>
      <c r="B1051" s="1" t="n">
        <v>44585</v>
      </c>
      <c r="C1051" s="1" t="n">
        <v>45282</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3549-2022</t>
        </is>
      </c>
      <c r="B1052" s="1" t="n">
        <v>44585</v>
      </c>
      <c r="C1052" s="1" t="n">
        <v>45282</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3551-2022</t>
        </is>
      </c>
      <c r="B1053" s="1" t="n">
        <v>44585</v>
      </c>
      <c r="C1053" s="1" t="n">
        <v>45282</v>
      </c>
      <c r="D1053" t="inlineStr">
        <is>
          <t>VÄSTERNORRLANDS LÄN</t>
        </is>
      </c>
      <c r="E1053" t="inlineStr">
        <is>
          <t>SOLLEFTEÅ</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3556-2022</t>
        </is>
      </c>
      <c r="B1054" s="1" t="n">
        <v>44585</v>
      </c>
      <c r="C1054" s="1" t="n">
        <v>45282</v>
      </c>
      <c r="D1054" t="inlineStr">
        <is>
          <t>VÄSTERNORRLANDS LÄN</t>
        </is>
      </c>
      <c r="E1054" t="inlineStr">
        <is>
          <t>SOLLEFTEÅ</t>
        </is>
      </c>
      <c r="F1054" t="inlineStr">
        <is>
          <t>SCA</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3555-2022</t>
        </is>
      </c>
      <c r="B1055" s="1" t="n">
        <v>44585</v>
      </c>
      <c r="C1055" s="1" t="n">
        <v>45282</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3552-2022</t>
        </is>
      </c>
      <c r="B1056" s="1" t="n">
        <v>44585</v>
      </c>
      <c r="C1056" s="1" t="n">
        <v>45282</v>
      </c>
      <c r="D1056" t="inlineStr">
        <is>
          <t>VÄSTERNORRLANDS LÄN</t>
        </is>
      </c>
      <c r="E1056" t="inlineStr">
        <is>
          <t>SOLLEFTEÅ</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3557-2022</t>
        </is>
      </c>
      <c r="B1057" s="1" t="n">
        <v>44585</v>
      </c>
      <c r="C1057" s="1" t="n">
        <v>45282</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3699-2022</t>
        </is>
      </c>
      <c r="B1058" s="1" t="n">
        <v>44586</v>
      </c>
      <c r="C1058" s="1" t="n">
        <v>45282</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3793-2022</t>
        </is>
      </c>
      <c r="B1059" s="1" t="n">
        <v>44586</v>
      </c>
      <c r="C1059" s="1" t="n">
        <v>45282</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3795-2022</t>
        </is>
      </c>
      <c r="B1060" s="1" t="n">
        <v>44586</v>
      </c>
      <c r="C1060" s="1" t="n">
        <v>45282</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4018-2022</t>
        </is>
      </c>
      <c r="B1061" s="1" t="n">
        <v>44587</v>
      </c>
      <c r="C1061" s="1" t="n">
        <v>45282</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4343-2022</t>
        </is>
      </c>
      <c r="B1062" s="1" t="n">
        <v>44588</v>
      </c>
      <c r="C1062" s="1" t="n">
        <v>45282</v>
      </c>
      <c r="D1062" t="inlineStr">
        <is>
          <t>VÄSTERNORRLANDS LÄN</t>
        </is>
      </c>
      <c r="E1062" t="inlineStr">
        <is>
          <t>SOLLEFTEÅ</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4555-2022</t>
        </is>
      </c>
      <c r="B1063" s="1" t="n">
        <v>44590</v>
      </c>
      <c r="C1063" s="1" t="n">
        <v>45282</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5108-2022</t>
        </is>
      </c>
      <c r="B1064" s="1" t="n">
        <v>44593</v>
      </c>
      <c r="C1064" s="1" t="n">
        <v>45282</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5110-2022</t>
        </is>
      </c>
      <c r="B1065" s="1" t="n">
        <v>44593</v>
      </c>
      <c r="C1065" s="1" t="n">
        <v>45282</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5111-2022</t>
        </is>
      </c>
      <c r="B1066" s="1" t="n">
        <v>44593</v>
      </c>
      <c r="C1066" s="1" t="n">
        <v>45282</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5134-2022</t>
        </is>
      </c>
      <c r="B1067" s="1" t="n">
        <v>44594</v>
      </c>
      <c r="C1067" s="1" t="n">
        <v>45282</v>
      </c>
      <c r="D1067" t="inlineStr">
        <is>
          <t>VÄSTERNORRLANDS LÄN</t>
        </is>
      </c>
      <c r="E1067" t="inlineStr">
        <is>
          <t>SOLLEFTEÅ</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5657-2022</t>
        </is>
      </c>
      <c r="B1068" s="1" t="n">
        <v>44595</v>
      </c>
      <c r="C1068" s="1" t="n">
        <v>45282</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5909-2022</t>
        </is>
      </c>
      <c r="B1069" s="1" t="n">
        <v>44596</v>
      </c>
      <c r="C1069" s="1" t="n">
        <v>45282</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6121-2022</t>
        </is>
      </c>
      <c r="B1070" s="1" t="n">
        <v>44599</v>
      </c>
      <c r="C1070" s="1" t="n">
        <v>45282</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6172-2022</t>
        </is>
      </c>
      <c r="B1071" s="1" t="n">
        <v>44599</v>
      </c>
      <c r="C1071" s="1" t="n">
        <v>45282</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6170-2022</t>
        </is>
      </c>
      <c r="B1072" s="1" t="n">
        <v>44599</v>
      </c>
      <c r="C1072" s="1" t="n">
        <v>45282</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7667-2022</t>
        </is>
      </c>
      <c r="B1073" s="1" t="n">
        <v>44607</v>
      </c>
      <c r="C1073" s="1" t="n">
        <v>45282</v>
      </c>
      <c r="D1073" t="inlineStr">
        <is>
          <t>VÄSTERNORRLANDS LÄN</t>
        </is>
      </c>
      <c r="E1073" t="inlineStr">
        <is>
          <t>SOLLEFTEÅ</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7965-2022</t>
        </is>
      </c>
      <c r="B1074" s="1" t="n">
        <v>44608</v>
      </c>
      <c r="C1074" s="1" t="n">
        <v>45282</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7963-2022</t>
        </is>
      </c>
      <c r="B1075" s="1" t="n">
        <v>44608</v>
      </c>
      <c r="C1075" s="1" t="n">
        <v>45282</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7935-2022</t>
        </is>
      </c>
      <c r="B1076" s="1" t="n">
        <v>44608</v>
      </c>
      <c r="C1076" s="1" t="n">
        <v>45282</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7964-2022</t>
        </is>
      </c>
      <c r="B1077" s="1" t="n">
        <v>44608</v>
      </c>
      <c r="C1077" s="1" t="n">
        <v>45282</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8221-2022</t>
        </is>
      </c>
      <c r="B1078" s="1" t="n">
        <v>44609</v>
      </c>
      <c r="C1078" s="1" t="n">
        <v>45282</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8222-2022</t>
        </is>
      </c>
      <c r="B1079" s="1" t="n">
        <v>44609</v>
      </c>
      <c r="C1079" s="1" t="n">
        <v>45282</v>
      </c>
      <c r="D1079" t="inlineStr">
        <is>
          <t>VÄSTERNORRLANDS LÄN</t>
        </is>
      </c>
      <c r="E1079" t="inlineStr">
        <is>
          <t>SOLLEFTEÅ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8728-2022</t>
        </is>
      </c>
      <c r="B1080" s="1" t="n">
        <v>44613</v>
      </c>
      <c r="C1080" s="1" t="n">
        <v>45282</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8729-2022</t>
        </is>
      </c>
      <c r="B1081" s="1" t="n">
        <v>44613</v>
      </c>
      <c r="C1081" s="1" t="n">
        <v>45282</v>
      </c>
      <c r="D1081" t="inlineStr">
        <is>
          <t>VÄSTERNORRLANDS LÄN</t>
        </is>
      </c>
      <c r="E1081" t="inlineStr">
        <is>
          <t>SOLLEFTEÅ</t>
        </is>
      </c>
      <c r="F1081" t="inlineStr">
        <is>
          <t>SCA</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8734-2022</t>
        </is>
      </c>
      <c r="B1082" s="1" t="n">
        <v>44613</v>
      </c>
      <c r="C1082" s="1" t="n">
        <v>45282</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9124-2022</t>
        </is>
      </c>
      <c r="B1083" s="1" t="n">
        <v>44615</v>
      </c>
      <c r="C1083" s="1" t="n">
        <v>45282</v>
      </c>
      <c r="D1083" t="inlineStr">
        <is>
          <t>VÄSTERNORRLANDS LÄN</t>
        </is>
      </c>
      <c r="E1083" t="inlineStr">
        <is>
          <t>SOLLEFTEÅ</t>
        </is>
      </c>
      <c r="G1083" t="n">
        <v>20.2</v>
      </c>
      <c r="H1083" t="n">
        <v>0</v>
      </c>
      <c r="I1083" t="n">
        <v>0</v>
      </c>
      <c r="J1083" t="n">
        <v>0</v>
      </c>
      <c r="K1083" t="n">
        <v>0</v>
      </c>
      <c r="L1083" t="n">
        <v>0</v>
      </c>
      <c r="M1083" t="n">
        <v>0</v>
      </c>
      <c r="N1083" t="n">
        <v>0</v>
      </c>
      <c r="O1083" t="n">
        <v>0</v>
      </c>
      <c r="P1083" t="n">
        <v>0</v>
      </c>
      <c r="Q1083" t="n">
        <v>0</v>
      </c>
      <c r="R1083" s="2" t="inlineStr"/>
    </row>
    <row r="1084" ht="15" customHeight="1">
      <c r="A1084" t="inlineStr">
        <is>
          <t>A 9487-2022</t>
        </is>
      </c>
      <c r="B1084" s="1" t="n">
        <v>44616</v>
      </c>
      <c r="C1084" s="1" t="n">
        <v>45282</v>
      </c>
      <c r="D1084" t="inlineStr">
        <is>
          <t>VÄSTERNORRLANDS LÄN</t>
        </is>
      </c>
      <c r="E1084" t="inlineStr">
        <is>
          <t>SOLLEFTEÅ</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9586-2022</t>
        </is>
      </c>
      <c r="B1085" s="1" t="n">
        <v>44617</v>
      </c>
      <c r="C1085" s="1" t="n">
        <v>45282</v>
      </c>
      <c r="D1085" t="inlineStr">
        <is>
          <t>VÄSTERNORRLANDS LÄN</t>
        </is>
      </c>
      <c r="E1085" t="inlineStr">
        <is>
          <t>SOLLEFTEÅ</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10138-2022</t>
        </is>
      </c>
      <c r="B1086" s="1" t="n">
        <v>44621</v>
      </c>
      <c r="C1086" s="1" t="n">
        <v>45282</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10139-2022</t>
        </is>
      </c>
      <c r="B1087" s="1" t="n">
        <v>44621</v>
      </c>
      <c r="C1087" s="1" t="n">
        <v>45282</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10140-2022</t>
        </is>
      </c>
      <c r="B1088" s="1" t="n">
        <v>44621</v>
      </c>
      <c r="C1088" s="1" t="n">
        <v>45282</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10141-2022</t>
        </is>
      </c>
      <c r="B1089" s="1" t="n">
        <v>44621</v>
      </c>
      <c r="C1089" s="1" t="n">
        <v>45282</v>
      </c>
      <c r="D1089" t="inlineStr">
        <is>
          <t>VÄSTERNORRLANDS LÄN</t>
        </is>
      </c>
      <c r="E1089" t="inlineStr">
        <is>
          <t>SOLLEFTEÅ</t>
        </is>
      </c>
      <c r="F1089" t="inlineStr">
        <is>
          <t>SCA</t>
        </is>
      </c>
      <c r="G1089" t="n">
        <v>15.5</v>
      </c>
      <c r="H1089" t="n">
        <v>0</v>
      </c>
      <c r="I1089" t="n">
        <v>0</v>
      </c>
      <c r="J1089" t="n">
        <v>0</v>
      </c>
      <c r="K1089" t="n">
        <v>0</v>
      </c>
      <c r="L1089" t="n">
        <v>0</v>
      </c>
      <c r="M1089" t="n">
        <v>0</v>
      </c>
      <c r="N1089" t="n">
        <v>0</v>
      </c>
      <c r="O1089" t="n">
        <v>0</v>
      </c>
      <c r="P1089" t="n">
        <v>0</v>
      </c>
      <c r="Q1089" t="n">
        <v>0</v>
      </c>
      <c r="R1089" s="2" t="inlineStr"/>
    </row>
    <row r="1090" ht="15" customHeight="1">
      <c r="A1090" t="inlineStr">
        <is>
          <t>A 10198-2022</t>
        </is>
      </c>
      <c r="B1090" s="1" t="n">
        <v>44622</v>
      </c>
      <c r="C1090" s="1" t="n">
        <v>45282</v>
      </c>
      <c r="D1090" t="inlineStr">
        <is>
          <t>VÄSTERNORRLANDS LÄN</t>
        </is>
      </c>
      <c r="E1090" t="inlineStr">
        <is>
          <t>SOLLEFTEÅ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10242-2022</t>
        </is>
      </c>
      <c r="B1091" s="1" t="n">
        <v>44622</v>
      </c>
      <c r="C1091" s="1" t="n">
        <v>45282</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10308-2022</t>
        </is>
      </c>
      <c r="B1092" s="1" t="n">
        <v>44622</v>
      </c>
      <c r="C1092" s="1" t="n">
        <v>45282</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10250-2022</t>
        </is>
      </c>
      <c r="B1093" s="1" t="n">
        <v>44622</v>
      </c>
      <c r="C1093" s="1" t="n">
        <v>45282</v>
      </c>
      <c r="D1093" t="inlineStr">
        <is>
          <t>VÄSTERNORRLANDS LÄN</t>
        </is>
      </c>
      <c r="E1093" t="inlineStr">
        <is>
          <t>SOLLEFTEÅ</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10310-2022</t>
        </is>
      </c>
      <c r="B1094" s="1" t="n">
        <v>44622</v>
      </c>
      <c r="C1094" s="1" t="n">
        <v>45282</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10307-2022</t>
        </is>
      </c>
      <c r="B1095" s="1" t="n">
        <v>44622</v>
      </c>
      <c r="C1095" s="1" t="n">
        <v>45282</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10311-2022</t>
        </is>
      </c>
      <c r="B1096" s="1" t="n">
        <v>44622</v>
      </c>
      <c r="C1096" s="1" t="n">
        <v>45282</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10309-2022</t>
        </is>
      </c>
      <c r="B1097" s="1" t="n">
        <v>44622</v>
      </c>
      <c r="C1097" s="1" t="n">
        <v>45282</v>
      </c>
      <c r="D1097" t="inlineStr">
        <is>
          <t>VÄSTERNORRLANDS LÄN</t>
        </is>
      </c>
      <c r="E1097" t="inlineStr">
        <is>
          <t>SOLLEFTEÅ</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10314-2022</t>
        </is>
      </c>
      <c r="B1098" s="1" t="n">
        <v>44622</v>
      </c>
      <c r="C1098" s="1" t="n">
        <v>45282</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10417-2022</t>
        </is>
      </c>
      <c r="B1099" s="1" t="n">
        <v>44623</v>
      </c>
      <c r="C1099" s="1" t="n">
        <v>45282</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10924-2022</t>
        </is>
      </c>
      <c r="B1100" s="1" t="n">
        <v>44627</v>
      </c>
      <c r="C1100" s="1" t="n">
        <v>45282</v>
      </c>
      <c r="D1100" t="inlineStr">
        <is>
          <t>VÄSTERNORRLANDS LÄN</t>
        </is>
      </c>
      <c r="E1100" t="inlineStr">
        <is>
          <t>SOLLEFTEÅ</t>
        </is>
      </c>
      <c r="F1100" t="inlineStr">
        <is>
          <t>SCA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10926-2022</t>
        </is>
      </c>
      <c r="B1101" s="1" t="n">
        <v>44627</v>
      </c>
      <c r="C1101" s="1" t="n">
        <v>45282</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10925-2022</t>
        </is>
      </c>
      <c r="B1102" s="1" t="n">
        <v>44627</v>
      </c>
      <c r="C1102" s="1" t="n">
        <v>45282</v>
      </c>
      <c r="D1102" t="inlineStr">
        <is>
          <t>VÄSTERNORRLANDS LÄN</t>
        </is>
      </c>
      <c r="E1102" t="inlineStr">
        <is>
          <t>SOLLEFTEÅ</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10927-2022</t>
        </is>
      </c>
      <c r="B1103" s="1" t="n">
        <v>44627</v>
      </c>
      <c r="C1103" s="1" t="n">
        <v>45282</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11117-2022</t>
        </is>
      </c>
      <c r="B1104" s="1" t="n">
        <v>44628</v>
      </c>
      <c r="C1104" s="1" t="n">
        <v>45282</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11131-2022</t>
        </is>
      </c>
      <c r="B1105" s="1" t="n">
        <v>44628</v>
      </c>
      <c r="C1105" s="1" t="n">
        <v>45282</v>
      </c>
      <c r="D1105" t="inlineStr">
        <is>
          <t>VÄSTERNORRLANDS LÄN</t>
        </is>
      </c>
      <c r="E1105" t="inlineStr">
        <is>
          <t>SOLLEFTEÅ</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11133-2022</t>
        </is>
      </c>
      <c r="B1106" s="1" t="n">
        <v>44628</v>
      </c>
      <c r="C1106" s="1" t="n">
        <v>45282</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11125-2022</t>
        </is>
      </c>
      <c r="B1107" s="1" t="n">
        <v>44628</v>
      </c>
      <c r="C1107" s="1" t="n">
        <v>45282</v>
      </c>
      <c r="D1107" t="inlineStr">
        <is>
          <t>VÄSTERNORRLANDS LÄN</t>
        </is>
      </c>
      <c r="E1107" t="inlineStr">
        <is>
          <t>SOLLEFTEÅ</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11241-2022</t>
        </is>
      </c>
      <c r="B1108" s="1" t="n">
        <v>44629</v>
      </c>
      <c r="C1108" s="1" t="n">
        <v>45282</v>
      </c>
      <c r="D1108" t="inlineStr">
        <is>
          <t>VÄSTERNORRLANDS LÄN</t>
        </is>
      </c>
      <c r="E1108" t="inlineStr">
        <is>
          <t>SOLLEFTEÅ</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11318-2022</t>
        </is>
      </c>
      <c r="B1109" s="1" t="n">
        <v>44629</v>
      </c>
      <c r="C1109" s="1" t="n">
        <v>45282</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11475-2022</t>
        </is>
      </c>
      <c r="B1110" s="1" t="n">
        <v>44630</v>
      </c>
      <c r="C1110" s="1" t="n">
        <v>45282</v>
      </c>
      <c r="D1110" t="inlineStr">
        <is>
          <t>VÄSTERNORRLANDS LÄN</t>
        </is>
      </c>
      <c r="E1110" t="inlineStr">
        <is>
          <t>SOLLEFTEÅ</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11484-2022</t>
        </is>
      </c>
      <c r="B1111" s="1" t="n">
        <v>44630</v>
      </c>
      <c r="C1111" s="1" t="n">
        <v>45282</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11474-2022</t>
        </is>
      </c>
      <c r="B1112" s="1" t="n">
        <v>44630</v>
      </c>
      <c r="C1112" s="1" t="n">
        <v>45282</v>
      </c>
      <c r="D1112" t="inlineStr">
        <is>
          <t>VÄSTERNORRLANDS LÄN</t>
        </is>
      </c>
      <c r="E1112" t="inlineStr">
        <is>
          <t>SOLLEFTEÅ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11483-2022</t>
        </is>
      </c>
      <c r="B1113" s="1" t="n">
        <v>44630</v>
      </c>
      <c r="C1113" s="1" t="n">
        <v>45282</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11652-2022</t>
        </is>
      </c>
      <c r="B1114" s="1" t="n">
        <v>44631</v>
      </c>
      <c r="C1114" s="1" t="n">
        <v>45282</v>
      </c>
      <c r="D1114" t="inlineStr">
        <is>
          <t>VÄSTERNORRLANDS LÄN</t>
        </is>
      </c>
      <c r="E1114" t="inlineStr">
        <is>
          <t>SOLLEFTEÅ</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11656-2022</t>
        </is>
      </c>
      <c r="B1115" s="1" t="n">
        <v>44631</v>
      </c>
      <c r="C1115" s="1" t="n">
        <v>45282</v>
      </c>
      <c r="D1115" t="inlineStr">
        <is>
          <t>VÄSTERNORRLANDS LÄN</t>
        </is>
      </c>
      <c r="E1115" t="inlineStr">
        <is>
          <t>SOLLEFTEÅ</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11653-2022</t>
        </is>
      </c>
      <c r="B1116" s="1" t="n">
        <v>44631</v>
      </c>
      <c r="C1116" s="1" t="n">
        <v>45282</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11677-2022</t>
        </is>
      </c>
      <c r="B1117" s="1" t="n">
        <v>44633</v>
      </c>
      <c r="C1117" s="1" t="n">
        <v>45282</v>
      </c>
      <c r="D1117" t="inlineStr">
        <is>
          <t>VÄSTERNORRLANDS LÄN</t>
        </is>
      </c>
      <c r="E1117" t="inlineStr">
        <is>
          <t>SOLLEFTEÅ</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11842-2022</t>
        </is>
      </c>
      <c r="B1118" s="1" t="n">
        <v>44634</v>
      </c>
      <c r="C1118" s="1" t="n">
        <v>45282</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11845-2022</t>
        </is>
      </c>
      <c r="B1119" s="1" t="n">
        <v>44634</v>
      </c>
      <c r="C1119" s="1" t="n">
        <v>45282</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11846-2022</t>
        </is>
      </c>
      <c r="B1120" s="1" t="n">
        <v>44634</v>
      </c>
      <c r="C1120" s="1" t="n">
        <v>45282</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11870-2022</t>
        </is>
      </c>
      <c r="B1121" s="1" t="n">
        <v>44635</v>
      </c>
      <c r="C1121" s="1" t="n">
        <v>45282</v>
      </c>
      <c r="D1121" t="inlineStr">
        <is>
          <t>VÄSTERNORRLANDS LÄN</t>
        </is>
      </c>
      <c r="E1121" t="inlineStr">
        <is>
          <t>SOLLEFTEÅ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11874-2022</t>
        </is>
      </c>
      <c r="B1122" s="1" t="n">
        <v>44635</v>
      </c>
      <c r="C1122" s="1" t="n">
        <v>45282</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12007-2022</t>
        </is>
      </c>
      <c r="B1123" s="1" t="n">
        <v>44635</v>
      </c>
      <c r="C1123" s="1" t="n">
        <v>45282</v>
      </c>
      <c r="D1123" t="inlineStr">
        <is>
          <t>VÄSTERNORRLANDS LÄN</t>
        </is>
      </c>
      <c r="E1123" t="inlineStr">
        <is>
          <t>SOLLEFTEÅ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12001-2022</t>
        </is>
      </c>
      <c r="B1124" s="1" t="n">
        <v>44635</v>
      </c>
      <c r="C1124" s="1" t="n">
        <v>45282</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12006-2022</t>
        </is>
      </c>
      <c r="B1125" s="1" t="n">
        <v>44635</v>
      </c>
      <c r="C1125" s="1" t="n">
        <v>45282</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12022-2022</t>
        </is>
      </c>
      <c r="B1126" s="1" t="n">
        <v>44635</v>
      </c>
      <c r="C1126" s="1" t="n">
        <v>45282</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12191-2022</t>
        </is>
      </c>
      <c r="B1127" s="1" t="n">
        <v>44636</v>
      </c>
      <c r="C1127" s="1" t="n">
        <v>45282</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12201-2022</t>
        </is>
      </c>
      <c r="B1128" s="1" t="n">
        <v>44636</v>
      </c>
      <c r="C1128" s="1" t="n">
        <v>45282</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12395-2022</t>
        </is>
      </c>
      <c r="B1129" s="1" t="n">
        <v>44637</v>
      </c>
      <c r="C1129" s="1" t="n">
        <v>45282</v>
      </c>
      <c r="D1129" t="inlineStr">
        <is>
          <t>VÄSTERNORRLANDS LÄN</t>
        </is>
      </c>
      <c r="E1129" t="inlineStr">
        <is>
          <t>SOLLEFTEÅ</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12561-2022</t>
        </is>
      </c>
      <c r="B1130" s="1" t="n">
        <v>44638</v>
      </c>
      <c r="C1130" s="1" t="n">
        <v>45282</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12565-2022</t>
        </is>
      </c>
      <c r="B1131" s="1" t="n">
        <v>44638</v>
      </c>
      <c r="C1131" s="1" t="n">
        <v>45282</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12572-2022</t>
        </is>
      </c>
      <c r="B1132" s="1" t="n">
        <v>44638</v>
      </c>
      <c r="C1132" s="1" t="n">
        <v>45282</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12564-2022</t>
        </is>
      </c>
      <c r="B1133" s="1" t="n">
        <v>44638</v>
      </c>
      <c r="C1133" s="1" t="n">
        <v>45282</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12568-2022</t>
        </is>
      </c>
      <c r="B1134" s="1" t="n">
        <v>44638</v>
      </c>
      <c r="C1134" s="1" t="n">
        <v>45282</v>
      </c>
      <c r="D1134" t="inlineStr">
        <is>
          <t>VÄSTERNORRLANDS LÄN</t>
        </is>
      </c>
      <c r="E1134" t="inlineStr">
        <is>
          <t>SOLLEFTEÅ</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12557-2022</t>
        </is>
      </c>
      <c r="B1135" s="1" t="n">
        <v>44638</v>
      </c>
      <c r="C1135" s="1" t="n">
        <v>45282</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12563-2022</t>
        </is>
      </c>
      <c r="B1136" s="1" t="n">
        <v>44638</v>
      </c>
      <c r="C1136" s="1" t="n">
        <v>45282</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12567-2022</t>
        </is>
      </c>
      <c r="B1137" s="1" t="n">
        <v>44638</v>
      </c>
      <c r="C1137" s="1" t="n">
        <v>45282</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12562-2022</t>
        </is>
      </c>
      <c r="B1138" s="1" t="n">
        <v>44638</v>
      </c>
      <c r="C1138" s="1" t="n">
        <v>45282</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12566-2022</t>
        </is>
      </c>
      <c r="B1139" s="1" t="n">
        <v>44638</v>
      </c>
      <c r="C1139" s="1" t="n">
        <v>45282</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12758-2022</t>
        </is>
      </c>
      <c r="B1140" s="1" t="n">
        <v>44641</v>
      </c>
      <c r="C1140" s="1" t="n">
        <v>45282</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12764-2022</t>
        </is>
      </c>
      <c r="B1141" s="1" t="n">
        <v>44641</v>
      </c>
      <c r="C1141" s="1" t="n">
        <v>45282</v>
      </c>
      <c r="D1141" t="inlineStr">
        <is>
          <t>VÄSTERNORRLANDS LÄN</t>
        </is>
      </c>
      <c r="E1141" t="inlineStr">
        <is>
          <t>SOLLEFTEÅ</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12774-2022</t>
        </is>
      </c>
      <c r="B1142" s="1" t="n">
        <v>44641</v>
      </c>
      <c r="C1142" s="1" t="n">
        <v>45282</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45282</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13311-2022</t>
        </is>
      </c>
      <c r="B1144" s="1" t="n">
        <v>44644</v>
      </c>
      <c r="C1144" s="1" t="n">
        <v>45282</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13309-2022</t>
        </is>
      </c>
      <c r="B1145" s="1" t="n">
        <v>44644</v>
      </c>
      <c r="C1145" s="1" t="n">
        <v>45282</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13492-2022</t>
        </is>
      </c>
      <c r="B1146" s="1" t="n">
        <v>44646</v>
      </c>
      <c r="C1146" s="1" t="n">
        <v>45282</v>
      </c>
      <c r="D1146" t="inlineStr">
        <is>
          <t>VÄSTERNORRLANDS LÄN</t>
        </is>
      </c>
      <c r="E1146" t="inlineStr">
        <is>
          <t>SOLLEFTEÅ</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13598-2022</t>
        </is>
      </c>
      <c r="B1147" s="1" t="n">
        <v>44648</v>
      </c>
      <c r="C1147" s="1" t="n">
        <v>45282</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13658-2022</t>
        </is>
      </c>
      <c r="B1148" s="1" t="n">
        <v>44648</v>
      </c>
      <c r="C1148" s="1" t="n">
        <v>45282</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13710-2022</t>
        </is>
      </c>
      <c r="B1149" s="1" t="n">
        <v>44649</v>
      </c>
      <c r="C1149" s="1" t="n">
        <v>45282</v>
      </c>
      <c r="D1149" t="inlineStr">
        <is>
          <t>VÄSTERNORRLANDS LÄN</t>
        </is>
      </c>
      <c r="E1149" t="inlineStr">
        <is>
          <t>SOLLEFTEÅ</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14061-2022</t>
        </is>
      </c>
      <c r="B1150" s="1" t="n">
        <v>44651</v>
      </c>
      <c r="C1150" s="1" t="n">
        <v>45282</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14066-2022</t>
        </is>
      </c>
      <c r="B1151" s="1" t="n">
        <v>44650</v>
      </c>
      <c r="C1151" s="1" t="n">
        <v>45282</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14058-2022</t>
        </is>
      </c>
      <c r="B1152" s="1" t="n">
        <v>44651</v>
      </c>
      <c r="C1152" s="1" t="n">
        <v>45282</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14063-2022</t>
        </is>
      </c>
      <c r="B1153" s="1" t="n">
        <v>44651</v>
      </c>
      <c r="C1153" s="1" t="n">
        <v>45282</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14055-2022</t>
        </is>
      </c>
      <c r="B1154" s="1" t="n">
        <v>44651</v>
      </c>
      <c r="C1154" s="1" t="n">
        <v>45282</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14060-2022</t>
        </is>
      </c>
      <c r="B1155" s="1" t="n">
        <v>44651</v>
      </c>
      <c r="C1155" s="1" t="n">
        <v>45282</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14065-2022</t>
        </is>
      </c>
      <c r="B1156" s="1" t="n">
        <v>44650</v>
      </c>
      <c r="C1156" s="1" t="n">
        <v>45282</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14059-2022</t>
        </is>
      </c>
      <c r="B1157" s="1" t="n">
        <v>44651</v>
      </c>
      <c r="C1157" s="1" t="n">
        <v>45282</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14064-2022</t>
        </is>
      </c>
      <c r="B1158" s="1" t="n">
        <v>44651</v>
      </c>
      <c r="C1158" s="1" t="n">
        <v>45282</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14276-2022</t>
        </is>
      </c>
      <c r="B1159" s="1" t="n">
        <v>44652</v>
      </c>
      <c r="C1159" s="1" t="n">
        <v>45282</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14297-2022</t>
        </is>
      </c>
      <c r="B1160" s="1" t="n">
        <v>44651</v>
      </c>
      <c r="C1160" s="1" t="n">
        <v>45282</v>
      </c>
      <c r="D1160" t="inlineStr">
        <is>
          <t>VÄSTERNORRLANDS LÄN</t>
        </is>
      </c>
      <c r="E1160" t="inlineStr">
        <is>
          <t>SOLLEFTEÅ</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14300-2022</t>
        </is>
      </c>
      <c r="B1161" s="1" t="n">
        <v>44652</v>
      </c>
      <c r="C1161" s="1" t="n">
        <v>45282</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14308-2022</t>
        </is>
      </c>
      <c r="B1162" s="1" t="n">
        <v>44652</v>
      </c>
      <c r="C1162" s="1" t="n">
        <v>45282</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14275-2022</t>
        </is>
      </c>
      <c r="B1163" s="1" t="n">
        <v>44651</v>
      </c>
      <c r="C1163" s="1" t="n">
        <v>45282</v>
      </c>
      <c r="D1163" t="inlineStr">
        <is>
          <t>VÄSTERNORRLANDS LÄN</t>
        </is>
      </c>
      <c r="E1163" t="inlineStr">
        <is>
          <t>SOLLEFTEÅ</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14299-2022</t>
        </is>
      </c>
      <c r="B1164" s="1" t="n">
        <v>44652</v>
      </c>
      <c r="C1164" s="1" t="n">
        <v>45282</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14296-2022</t>
        </is>
      </c>
      <c r="B1165" s="1" t="n">
        <v>44652</v>
      </c>
      <c r="C1165" s="1" t="n">
        <v>45282</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14302-2022</t>
        </is>
      </c>
      <c r="B1166" s="1" t="n">
        <v>44651</v>
      </c>
      <c r="C1166" s="1" t="n">
        <v>45282</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14448-2022</t>
        </is>
      </c>
      <c r="B1167" s="1" t="n">
        <v>44652</v>
      </c>
      <c r="C1167" s="1" t="n">
        <v>45282</v>
      </c>
      <c r="D1167" t="inlineStr">
        <is>
          <t>VÄSTERNORRLANDS LÄN</t>
        </is>
      </c>
      <c r="E1167" t="inlineStr">
        <is>
          <t>SOLLEFTEÅ</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14449-2022</t>
        </is>
      </c>
      <c r="B1168" s="1" t="n">
        <v>44652</v>
      </c>
      <c r="C1168" s="1" t="n">
        <v>45282</v>
      </c>
      <c r="D1168" t="inlineStr">
        <is>
          <t>VÄSTERNORRLANDS LÄN</t>
        </is>
      </c>
      <c r="E1168" t="inlineStr">
        <is>
          <t>SOLLEFTEÅ</t>
        </is>
      </c>
      <c r="F1168" t="inlineStr">
        <is>
          <t>SCA</t>
        </is>
      </c>
      <c r="G1168" t="n">
        <v>31.8</v>
      </c>
      <c r="H1168" t="n">
        <v>0</v>
      </c>
      <c r="I1168" t="n">
        <v>0</v>
      </c>
      <c r="J1168" t="n">
        <v>0</v>
      </c>
      <c r="K1168" t="n">
        <v>0</v>
      </c>
      <c r="L1168" t="n">
        <v>0</v>
      </c>
      <c r="M1168" t="n">
        <v>0</v>
      </c>
      <c r="N1168" t="n">
        <v>0</v>
      </c>
      <c r="O1168" t="n">
        <v>0</v>
      </c>
      <c r="P1168" t="n">
        <v>0</v>
      </c>
      <c r="Q1168" t="n">
        <v>0</v>
      </c>
      <c r="R1168" s="2" t="inlineStr"/>
    </row>
    <row r="1169" ht="15" customHeight="1">
      <c r="A1169" t="inlineStr">
        <is>
          <t>A 14450-2022</t>
        </is>
      </c>
      <c r="B1169" s="1" t="n">
        <v>44653</v>
      </c>
      <c r="C1169" s="1" t="n">
        <v>45282</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14447-2022</t>
        </is>
      </c>
      <c r="B1170" s="1" t="n">
        <v>44653</v>
      </c>
      <c r="C1170" s="1" t="n">
        <v>45282</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14477-2022</t>
        </is>
      </c>
      <c r="B1171" s="1" t="n">
        <v>44655</v>
      </c>
      <c r="C1171" s="1" t="n">
        <v>45282</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14910-2022</t>
        </is>
      </c>
      <c r="B1172" s="1" t="n">
        <v>44657</v>
      </c>
      <c r="C1172" s="1" t="n">
        <v>45282</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15090-2022</t>
        </is>
      </c>
      <c r="B1173" s="1" t="n">
        <v>44658</v>
      </c>
      <c r="C1173" s="1" t="n">
        <v>45282</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15241-2022</t>
        </is>
      </c>
      <c r="B1174" s="1" t="n">
        <v>44659</v>
      </c>
      <c r="C1174" s="1" t="n">
        <v>45282</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15234-2022</t>
        </is>
      </c>
      <c r="B1175" s="1" t="n">
        <v>44659</v>
      </c>
      <c r="C1175" s="1" t="n">
        <v>45282</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15658-2022</t>
        </is>
      </c>
      <c r="B1176" s="1" t="n">
        <v>44663</v>
      </c>
      <c r="C1176" s="1" t="n">
        <v>45282</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15809-2022</t>
        </is>
      </c>
      <c r="B1177" s="1" t="n">
        <v>44663</v>
      </c>
      <c r="C1177" s="1" t="n">
        <v>45282</v>
      </c>
      <c r="D1177" t="inlineStr">
        <is>
          <t>VÄSTERNORRLANDS LÄN</t>
        </is>
      </c>
      <c r="E1177" t="inlineStr">
        <is>
          <t>SOLLEFTEÅ</t>
        </is>
      </c>
      <c r="F1177" t="inlineStr">
        <is>
          <t>SCA</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15964-2022</t>
        </is>
      </c>
      <c r="B1178" s="1" t="n">
        <v>44665</v>
      </c>
      <c r="C1178" s="1" t="n">
        <v>45282</v>
      </c>
      <c r="D1178" t="inlineStr">
        <is>
          <t>VÄSTERNORRLANDS LÄN</t>
        </is>
      </c>
      <c r="E1178" t="inlineStr">
        <is>
          <t>SOLLEFTEÅ</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15974-2022</t>
        </is>
      </c>
      <c r="B1179" s="1" t="n">
        <v>44665</v>
      </c>
      <c r="C1179" s="1" t="n">
        <v>45282</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45282</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45282</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45282</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45282</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45282</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45282</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45282</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45282</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45282</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45282</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45282</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45282</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45282</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45282</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45282</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45282</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45282</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45282</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45282</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45282</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45282</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45282</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45282</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45282</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45282</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45282</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45282</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45282</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45282</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45282</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45282</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45282</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45282</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45282</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45282</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45282</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45282</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45282</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45282</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45282</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45282</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45282</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45282</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45282</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45282</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45282</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45282</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45282</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45282</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45282</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45282</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45282</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45282</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45282</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45282</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45282</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45282</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45282</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45282</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45282</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45282</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45282</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45282</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45282</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45282</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45282</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45282</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45282</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45282</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45282</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45282</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45282</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45282</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45282</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45282</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45282</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45282</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45282</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45282</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45282</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45282</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45282</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45282</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45282</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45282</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45282</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45282</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45282</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45282</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45282</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45282</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45282</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45282</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45282</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45282</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45282</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45282</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45282</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45282</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45282</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45282</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45282</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45282</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45282</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45282</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45282</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45282</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45282</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45282</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45282</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45282</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45282</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45282</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45282</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45282</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45282</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45282</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45282</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45282</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45282</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45282</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45282</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45282</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45282</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45282</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45282</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45282</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45282</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45282</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45282</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45282</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45282</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45282</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45282</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45282</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45282</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45282</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45282</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45282</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45282</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45282</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45282</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45282</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45282</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45282</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45282</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45282</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45282</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45282</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45282</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45282</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45282</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45282</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45282</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45282</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45282</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45282</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45282</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45282</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45282</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45282</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45282</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45282</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45282</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45282</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45282</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45282</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45282</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45282</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45282</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45282</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45282</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45282</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45282</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45282</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45282</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45282</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45282</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45282</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45282</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45282</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45282</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45282</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45282</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45282</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45282</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45282</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45282</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45282</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45282</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45282</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45282</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45282</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45282</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45282</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45282</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45282</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45282</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45282</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45282</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45282</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45282</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45282</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45282</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45282</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45282</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45282</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45282</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45282</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45282</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45282</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45282</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45282</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45282</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45282</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45282</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45282</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45282</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45282</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45282</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45282</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45282</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45282</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45282</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45282</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45282</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45282</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45282</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45282</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45282</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45282</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45282</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45282</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45282</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45282</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45282</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45282</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45282</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45282</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45282</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45282</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45282</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45282</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45282</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45282</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45282</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45282</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45282</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45282</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45282</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45282</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45282</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45282</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45282</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45282</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45282</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45282</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45282</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45282</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45282</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45282</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45282</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45282</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45282</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45282</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45282</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45282</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45282</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45282</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45282</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45282</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45282</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45282</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45282</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45282</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45282</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45282</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45282</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45282</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45282</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45282</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45282</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45282</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45282</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45282</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45282</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45282</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45282</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45282</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45282</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45282</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45282</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45282</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45282</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45282</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45282</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45282</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45282</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45282</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45282</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45282</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45282</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45282</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45282</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45282</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45282</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45282</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45282</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45282</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45282</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45282</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45282</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45282</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45282</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45282</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45282</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45282</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45282</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45282</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45282</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45282</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45282</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45282</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45282</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45282</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45282</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45282</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45282</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45282</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45282</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45282</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45282</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45282</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45282</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45282</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45282</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45282</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45282</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45282</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45282</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45282</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45282</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45282</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45282</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45282</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45282</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45282</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45282</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45282</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45282</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45282</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45282</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45282</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45282</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45282</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45282</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45282</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45282</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45282</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45282</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45282</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45282</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45282</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45282</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45282</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45282</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45282</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45282</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45282</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45282</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45282</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45282</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45282</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45282</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45282</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45282</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45282</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45282</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45282</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45282</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45282</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45282</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45282</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45282</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45282</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45282</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45282</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45282</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45282</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45282</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45282</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45282</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45282</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45282</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45282</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45282</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45282</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45282</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45282</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45282</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45282</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45282</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45282</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45282</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45282</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45282</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45282</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45282</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45282</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45282</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45282</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45282</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45282</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45282</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45282</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45282</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45282</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45282</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45282</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45282</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45282</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45282</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45282</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45282</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45282</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45282</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45282</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45282</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45282</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45282</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45282</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45282</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45282</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45282</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45282</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45282</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45282</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45282</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45282</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45282</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45282</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45282</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45282</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45282</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45282</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45282</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45282</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45282</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45282</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45282</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45282</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45282</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45282</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45282</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45282</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45282</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45282</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45282</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45282</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45282</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45282</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45282</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45282</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45282</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45282</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45282</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45282</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45282</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45282</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45282</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45282</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45282</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45282</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45282</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45282</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45282</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45282</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45282</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45282</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45282</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45282</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45282</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45282</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45282</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45282</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45282</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45282</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45282</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45282</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45282</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45282</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45282</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45282</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45282</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45282</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45282</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45282</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45282</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45282</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45282</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45282</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45282</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45282</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45282</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45282</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45282</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45282</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45282</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45282</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45282</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45282</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45282</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45282</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45282</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45282</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45282</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45282</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45282</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45282</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45282</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45282</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45282</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45282</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45282</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45282</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45282</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45282</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45282</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45282</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45282</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45282</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45282</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45282</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45282</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45282</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45282</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45282</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45282</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45282</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45282</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45282</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45282</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45282</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45282</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45282</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45282</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45282</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45282</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45282</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45282</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45282</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45282</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45282</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45282</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45282</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45282</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45282</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45282</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45282</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45282</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45282</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45282</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45282</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45282</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45282</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45282</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45282</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45282</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45282</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45282</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45282</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45282</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45282</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45282</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45282</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45282</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45282</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45282</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45282</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45282</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45282</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45282</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45282</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45282</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45282</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45282</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45282</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45282</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45282</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45282</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45282</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45282</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45282</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45282</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45282</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45282</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45282</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45282</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45282</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45282</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45282</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45282</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45282</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45282</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45282</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45282</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45282</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45282</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45282</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45282</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45282</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45282</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45282</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45282</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45282</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45282</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45282</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45282</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45282</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45282</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45282</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45282</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45282</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45282</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45282</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45282</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45282</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45282</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45282</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45282</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45282</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45282</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45282</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45282</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45282</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45282</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45282</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45282</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45282</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45282</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45282</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45282</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45282</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45282</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45282</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45282</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45282</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45282</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45282</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45282</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45282</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45282</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45282</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45282</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45282</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45282</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45282</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45282</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45282</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45282</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45282</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45282</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45282</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45282</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45282</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45282</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45282</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45282</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45282</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45282</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45282</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45282</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45282</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45282</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45282</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45282</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45282</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45282</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45282</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45282</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45282</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45282</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45282</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45282</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45282</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45282</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45282</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45282</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45282</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45282</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45282</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45282</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45282</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45282</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45282</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45282</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45282</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45282</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45282</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45282</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45282</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45282</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45282</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45282</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45282</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45282</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45282</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45282</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45282</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45282</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45282</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45282</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45282</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45282</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45282</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45282</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45282</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45282</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45282</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45282</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45282</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45282</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45282</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45282</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45282</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45282</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45282</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45282</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45282</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45282</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45282</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45282</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45282</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45282</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45282</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45282</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45282</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45282</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45282</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45282</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45282</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45282</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45282</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45282</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45282</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45282</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45282</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45282</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45282</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45282</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45282</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45282</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45282</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45282</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45282</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45282</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45282</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45282</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45282</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45282</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45282</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45282</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45282</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45282</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45282</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45282</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45282</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45282</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45282</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45282</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45282</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45282</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45282</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45282</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45282</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45282</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45282</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45282</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45282</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45282</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45282</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45282</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45282</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45282</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45282</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45282</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45282</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45282</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45282</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45282</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45282</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45282</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45282</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45282</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45282</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45282</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45282</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45282</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45282</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45282</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45282</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45282</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45282</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45282</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45282</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45282</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45282</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45282</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45282</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45282</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45282</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45282</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45282</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45282</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45282</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45282</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45282</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45282</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45282</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45282</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45282</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45282</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45282</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45282</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45282</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45282</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45282</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45282</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45282</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45282</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45282</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45282</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45282</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45282</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45282</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45282</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45282</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45282</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45282</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45282</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45282</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45282</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45282</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45282</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45282</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45282</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45282</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45282</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45282</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45282</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45282</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45282</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45282</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45282</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45282</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45282</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45282</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45282</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45282</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45282</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45282</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45282</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45282</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45282</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45282</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45282</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45282</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45282</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45282</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45282</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45282</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45282</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45282</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45282</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45282</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45282</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45282</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45282</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45282</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45282</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45282</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45282</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45282</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45282</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45282</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45282</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45282</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45282</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45282</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45282</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45282</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45282</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45282</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45282</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45282</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45282</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45282</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45282</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45282</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45282</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45282</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45282</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45282</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45282</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45282</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45282</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45282</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45282</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45282</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45282</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45282</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45282</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45282</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45282</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45282</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45282</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45282</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45282</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45282</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45282</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45282</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45282</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45282</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45282</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45282</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45282</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45282</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45282</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45282</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45282</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45282</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45282</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45282</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45282</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45282</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45282</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45282</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45282</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45282</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45282</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45282</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45282</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45282</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45282</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45282</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45282</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45282</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45282</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45282</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45282</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45282</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45282</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45282</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45282</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45282</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45282</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45282</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45282</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45282</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45282</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45282</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45282</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45282</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45282</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45282</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45282</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45282</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45282</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45282</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45282</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45282</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45282</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45282</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45282</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45282</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45282</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45282</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45282</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45282</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45282</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45282</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45282</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45282</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45282</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45282</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45282</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45282</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45282</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45282</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45282</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45282</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45282</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45282</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45282</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45282</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45282</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45282</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45282</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45282</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45282</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45282</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45282</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45282</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45282</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45282</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45282</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45282</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45282</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45282</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45282</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45282</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45282</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45282</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45282</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45282</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45282</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45282</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45282</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45282</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45282</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45282</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45282</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45282</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45282</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45282</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45282</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45282</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45282</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45282</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45282</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45282</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45282</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45282</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45282</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45282</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45282</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45282</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45282</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45282</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45282</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45282</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45282</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45282</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45282</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45282</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45282</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45282</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45282</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45282</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45282</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45282</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45282</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45282</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45282</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45282</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45282</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45282</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45282</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45282</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45282</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45282</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45282</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45282</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45282</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45282</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45282</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45282</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45282</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45282</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45282</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45282</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45282</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45282</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45282</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45282</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45282</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45282</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45282</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45282</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45282</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45282</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45282</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45282</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45282</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45282</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45282</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45282</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45282</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45282</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45282</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45282</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45282</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45282</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45282</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45282</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45282</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45282</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45282</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45282</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45282</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45282</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45282</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45282</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45282</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45282</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45282</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45282</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45282</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45282</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45282</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45282</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45282</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45282</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45282</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45282</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45282</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45282</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45282</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45282</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45282</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45282</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45282</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45282</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45282</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45282</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45282</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45282</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45282</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45282</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45282</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45282</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45282</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45282</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45282</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45282</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45282</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45282</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45282</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45282</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45282</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45282</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45282</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45282</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45282</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45282</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45282</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45282</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45282</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45282</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45282</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45282</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45282</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45282</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45282</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45282</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45282</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45282</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45282</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45282</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45282</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45282</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45282</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45282</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45282</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45282</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45282</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45282</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45282</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45282</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45282</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45282</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45282</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45282</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45282</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45282</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45282</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45282</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45282</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45282</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45282</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45282</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45282</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45282</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45282</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45282</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45282</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45282</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45282</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45282</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45282</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45282</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45282</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45282</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45282</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45282</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45282</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45282</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45282</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45282</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45282</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45282</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45282</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45282</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45282</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45282</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45282</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45282</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45282</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45282</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45282</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45282</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45282</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45282</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45282</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45282</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45282</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45282</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45282</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45282</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45282</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45282</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45282</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45282</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59346-2023</t>
        </is>
      </c>
      <c r="B2403" s="1" t="n">
        <v>45253</v>
      </c>
      <c r="C2403" s="1" t="n">
        <v>45282</v>
      </c>
      <c r="D2403" t="inlineStr">
        <is>
          <t>VÄSTERNORRLANDS LÄN</t>
        </is>
      </c>
      <c r="E2403" t="inlineStr">
        <is>
          <t>SOLLEFTEÅ</t>
        </is>
      </c>
      <c r="F2403" t="inlineStr">
        <is>
          <t>Holmen skog AB</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59461-2023</t>
        </is>
      </c>
      <c r="B2404" s="1" t="n">
        <v>45253</v>
      </c>
      <c r="C2404" s="1" t="n">
        <v>45282</v>
      </c>
      <c r="D2404" t="inlineStr">
        <is>
          <t>VÄSTERNORRLANDS LÄN</t>
        </is>
      </c>
      <c r="E2404" t="inlineStr">
        <is>
          <t>SOLLEFTEÅ</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59579-2023</t>
        </is>
      </c>
      <c r="B2405" s="1" t="n">
        <v>45253</v>
      </c>
      <c r="C2405" s="1" t="n">
        <v>45282</v>
      </c>
      <c r="D2405" t="inlineStr">
        <is>
          <t>VÄSTERNORRLANDS LÄN</t>
        </is>
      </c>
      <c r="E2405" t="inlineStr">
        <is>
          <t>SOLLEFTEÅ</t>
        </is>
      </c>
      <c r="G2405" t="n">
        <v>6.2</v>
      </c>
      <c r="H2405" t="n">
        <v>0</v>
      </c>
      <c r="I2405" t="n">
        <v>0</v>
      </c>
      <c r="J2405" t="n">
        <v>0</v>
      </c>
      <c r="K2405" t="n">
        <v>0</v>
      </c>
      <c r="L2405" t="n">
        <v>0</v>
      </c>
      <c r="M2405" t="n">
        <v>0</v>
      </c>
      <c r="N2405" t="n">
        <v>0</v>
      </c>
      <c r="O2405" t="n">
        <v>0</v>
      </c>
      <c r="P2405" t="n">
        <v>0</v>
      </c>
      <c r="Q2405" t="n">
        <v>0</v>
      </c>
      <c r="R2405" s="2" t="inlineStr"/>
    </row>
    <row r="2406" ht="15" customHeight="1">
      <c r="A2406" t="inlineStr">
        <is>
          <t>A 59339-2023</t>
        </is>
      </c>
      <c r="B2406" s="1" t="n">
        <v>45253</v>
      </c>
      <c r="C2406" s="1" t="n">
        <v>45282</v>
      </c>
      <c r="D2406" t="inlineStr">
        <is>
          <t>VÄSTERNORRLANDS LÄN</t>
        </is>
      </c>
      <c r="E2406" t="inlineStr">
        <is>
          <t>SOLLEFTEÅ</t>
        </is>
      </c>
      <c r="F2406" t="inlineStr">
        <is>
          <t>Holmen skog AB</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45282</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45282</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45282</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59879-2023</t>
        </is>
      </c>
      <c r="B2410" s="1" t="n">
        <v>45254</v>
      </c>
      <c r="C2410" s="1" t="n">
        <v>45282</v>
      </c>
      <c r="D2410" t="inlineStr">
        <is>
          <t>VÄSTERNORRLANDS LÄN</t>
        </is>
      </c>
      <c r="E2410" t="inlineStr">
        <is>
          <t>SOLLEFTEÅ</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59593-2023</t>
        </is>
      </c>
      <c r="B2411" s="1" t="n">
        <v>45254</v>
      </c>
      <c r="C2411" s="1" t="n">
        <v>45282</v>
      </c>
      <c r="D2411" t="inlineStr">
        <is>
          <t>VÄSTERNORRLANDS LÄN</t>
        </is>
      </c>
      <c r="E2411" t="inlineStr">
        <is>
          <t>SOLLEFTEÅ</t>
        </is>
      </c>
      <c r="F2411" t="inlineStr">
        <is>
          <t>Holmen skog AB</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59662-2023</t>
        </is>
      </c>
      <c r="B2412" s="1" t="n">
        <v>45255</v>
      </c>
      <c r="C2412" s="1" t="n">
        <v>45282</v>
      </c>
      <c r="D2412" t="inlineStr">
        <is>
          <t>VÄSTERNORRLANDS LÄN</t>
        </is>
      </c>
      <c r="E2412" t="inlineStr">
        <is>
          <t>SOLLEFTEÅ</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45282</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45282</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45282</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45282</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60462-2023</t>
        </is>
      </c>
      <c r="B2417" s="1" t="n">
        <v>45258</v>
      </c>
      <c r="C2417" s="1" t="n">
        <v>45282</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60328-2023</t>
        </is>
      </c>
      <c r="B2418" s="1" t="n">
        <v>45258</v>
      </c>
      <c r="C2418" s="1" t="n">
        <v>45282</v>
      </c>
      <c r="D2418" t="inlineStr">
        <is>
          <t>VÄSTERNORRLANDS LÄN</t>
        </is>
      </c>
      <c r="E2418" t="inlineStr">
        <is>
          <t>SOLLEFTEÅ</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60480-2023</t>
        </is>
      </c>
      <c r="B2419" s="1" t="n">
        <v>45258</v>
      </c>
      <c r="C2419" s="1" t="n">
        <v>45282</v>
      </c>
      <c r="D2419" t="inlineStr">
        <is>
          <t>VÄSTERNORRLANDS LÄN</t>
        </is>
      </c>
      <c r="E2419" t="inlineStr">
        <is>
          <t>SOLLEFTEÅ</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60883-2023</t>
        </is>
      </c>
      <c r="B2420" s="1" t="n">
        <v>45259</v>
      </c>
      <c r="C2420" s="1" t="n">
        <v>45282</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61034-2023</t>
        </is>
      </c>
      <c r="B2421" s="1" t="n">
        <v>45259</v>
      </c>
      <c r="C2421" s="1" t="n">
        <v>45282</v>
      </c>
      <c r="D2421" t="inlineStr">
        <is>
          <t>VÄSTERNORRLANDS LÄN</t>
        </is>
      </c>
      <c r="E2421" t="inlineStr">
        <is>
          <t>SOLLEFTEÅ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61028-2023</t>
        </is>
      </c>
      <c r="B2422" s="1" t="n">
        <v>45259</v>
      </c>
      <c r="C2422" s="1" t="n">
        <v>45282</v>
      </c>
      <c r="D2422" t="inlineStr">
        <is>
          <t>VÄSTERNORRLANDS LÄN</t>
        </is>
      </c>
      <c r="E2422" t="inlineStr">
        <is>
          <t>SOLLEFTEÅ</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45282</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45282</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61081-2023</t>
        </is>
      </c>
      <c r="B2425" s="1" t="n">
        <v>45261</v>
      </c>
      <c r="C2425" s="1" t="n">
        <v>45282</v>
      </c>
      <c r="D2425" t="inlineStr">
        <is>
          <t>VÄSTERNORRLANDS LÄN</t>
        </is>
      </c>
      <c r="E2425" t="inlineStr">
        <is>
          <t>SOLLEFTEÅ</t>
        </is>
      </c>
      <c r="F2425" t="inlineStr">
        <is>
          <t>Holmen skog AB</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61138-2023</t>
        </is>
      </c>
      <c r="B2426" s="1" t="n">
        <v>45261</v>
      </c>
      <c r="C2426" s="1" t="n">
        <v>45282</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61137-2023</t>
        </is>
      </c>
      <c r="B2427" s="1" t="n">
        <v>45261</v>
      </c>
      <c r="C2427" s="1" t="n">
        <v>45282</v>
      </c>
      <c r="D2427" t="inlineStr">
        <is>
          <t>VÄSTERNORRLANDS LÄN</t>
        </is>
      </c>
      <c r="E2427" t="inlineStr">
        <is>
          <t>SOLLEFTEÅ</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61462-2023</t>
        </is>
      </c>
      <c r="B2428" s="1" t="n">
        <v>45264</v>
      </c>
      <c r="C2428" s="1" t="n">
        <v>45282</v>
      </c>
      <c r="D2428" t="inlineStr">
        <is>
          <t>VÄSTERNORRLANDS LÄN</t>
        </is>
      </c>
      <c r="E2428" t="inlineStr">
        <is>
          <t>SOLLEFTEÅ</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61470-2023</t>
        </is>
      </c>
      <c r="B2429" s="1" t="n">
        <v>45264</v>
      </c>
      <c r="C2429" s="1" t="n">
        <v>45282</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61469-2023</t>
        </is>
      </c>
      <c r="B2430" s="1" t="n">
        <v>45264</v>
      </c>
      <c r="C2430" s="1" t="n">
        <v>45282</v>
      </c>
      <c r="D2430" t="inlineStr">
        <is>
          <t>VÄSTERNORRLANDS LÄN</t>
        </is>
      </c>
      <c r="E2430" t="inlineStr">
        <is>
          <t>SOLLEFTEÅ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61473-2023</t>
        </is>
      </c>
      <c r="B2431" s="1" t="n">
        <v>45264</v>
      </c>
      <c r="C2431" s="1" t="n">
        <v>45282</v>
      </c>
      <c r="D2431" t="inlineStr">
        <is>
          <t>VÄSTERNORRLANDS LÄN</t>
        </is>
      </c>
      <c r="E2431" t="inlineStr">
        <is>
          <t>SOLLEFTEÅ</t>
        </is>
      </c>
      <c r="G2431" t="n">
        <v>18.8</v>
      </c>
      <c r="H2431" t="n">
        <v>0</v>
      </c>
      <c r="I2431" t="n">
        <v>0</v>
      </c>
      <c r="J2431" t="n">
        <v>0</v>
      </c>
      <c r="K2431" t="n">
        <v>0</v>
      </c>
      <c r="L2431" t="n">
        <v>0</v>
      </c>
      <c r="M2431" t="n">
        <v>0</v>
      </c>
      <c r="N2431" t="n">
        <v>0</v>
      </c>
      <c r="O2431" t="n">
        <v>0</v>
      </c>
      <c r="P2431" t="n">
        <v>0</v>
      </c>
      <c r="Q2431" t="n">
        <v>0</v>
      </c>
      <c r="R2431" s="2" t="inlineStr"/>
    </row>
    <row r="2432" ht="15" customHeight="1">
      <c r="A2432" t="inlineStr">
        <is>
          <t>A 61485-2023</t>
        </is>
      </c>
      <c r="B2432" s="1" t="n">
        <v>45264</v>
      </c>
      <c r="C2432" s="1" t="n">
        <v>45282</v>
      </c>
      <c r="D2432" t="inlineStr">
        <is>
          <t>VÄSTERNORRLANDS LÄN</t>
        </is>
      </c>
      <c r="E2432" t="inlineStr">
        <is>
          <t>SOLLEFTEÅ</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61805-2023</t>
        </is>
      </c>
      <c r="B2433" s="1" t="n">
        <v>45264</v>
      </c>
      <c r="C2433" s="1" t="n">
        <v>45282</v>
      </c>
      <c r="D2433" t="inlineStr">
        <is>
          <t>VÄSTERNORRLANDS LÄN</t>
        </is>
      </c>
      <c r="E2433" t="inlineStr">
        <is>
          <t>SOLLEFTEÅ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61809-2023</t>
        </is>
      </c>
      <c r="B2434" s="1" t="n">
        <v>45264</v>
      </c>
      <c r="C2434" s="1" t="n">
        <v>45282</v>
      </c>
      <c r="D2434" t="inlineStr">
        <is>
          <t>VÄSTERNORRLANDS LÄN</t>
        </is>
      </c>
      <c r="E2434" t="inlineStr">
        <is>
          <t>SOLLEFTEÅ</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45282</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62096-2023</t>
        </is>
      </c>
      <c r="B2436" s="1" t="n">
        <v>45266</v>
      </c>
      <c r="C2436" s="1" t="n">
        <v>45282</v>
      </c>
      <c r="D2436" t="inlineStr">
        <is>
          <t>VÄSTERNORRLANDS LÄN</t>
        </is>
      </c>
      <c r="E2436" t="inlineStr">
        <is>
          <t>SOLLEFTEÅ</t>
        </is>
      </c>
      <c r="F2436" t="inlineStr">
        <is>
          <t>Kyrkan</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62100-2023</t>
        </is>
      </c>
      <c r="B2437" s="1" t="n">
        <v>45266</v>
      </c>
      <c r="C2437" s="1" t="n">
        <v>45282</v>
      </c>
      <c r="D2437" t="inlineStr">
        <is>
          <t>VÄSTERNORRLANDS LÄN</t>
        </is>
      </c>
      <c r="E2437" t="inlineStr">
        <is>
          <t>SOLLEFTEÅ</t>
        </is>
      </c>
      <c r="G2437" t="n">
        <v>16.6</v>
      </c>
      <c r="H2437" t="n">
        <v>0</v>
      </c>
      <c r="I2437" t="n">
        <v>0</v>
      </c>
      <c r="J2437" t="n">
        <v>0</v>
      </c>
      <c r="K2437" t="n">
        <v>0</v>
      </c>
      <c r="L2437" t="n">
        <v>0</v>
      </c>
      <c r="M2437" t="n">
        <v>0</v>
      </c>
      <c r="N2437" t="n">
        <v>0</v>
      </c>
      <c r="O2437" t="n">
        <v>0</v>
      </c>
      <c r="P2437" t="n">
        <v>0</v>
      </c>
      <c r="Q2437" t="n">
        <v>0</v>
      </c>
      <c r="R2437" s="2" t="inlineStr"/>
    </row>
    <row r="2438" ht="15" customHeight="1">
      <c r="A2438" t="inlineStr">
        <is>
          <t>A 62099-2023</t>
        </is>
      </c>
      <c r="B2438" s="1" t="n">
        <v>45266</v>
      </c>
      <c r="C2438" s="1" t="n">
        <v>45282</v>
      </c>
      <c r="D2438" t="inlineStr">
        <is>
          <t>VÄSTERNORRLANDS LÄN</t>
        </is>
      </c>
      <c r="E2438" t="inlineStr">
        <is>
          <t>SOLLEFTEÅ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62115-2023</t>
        </is>
      </c>
      <c r="B2439" s="1" t="n">
        <v>45266</v>
      </c>
      <c r="C2439" s="1" t="n">
        <v>45282</v>
      </c>
      <c r="D2439" t="inlineStr">
        <is>
          <t>VÄSTERNORRLANDS LÄN</t>
        </is>
      </c>
      <c r="E2439" t="inlineStr">
        <is>
          <t>SOLLEFTEÅ</t>
        </is>
      </c>
      <c r="F2439" t="inlineStr">
        <is>
          <t>SCA</t>
        </is>
      </c>
      <c r="G2439" t="n">
        <v>43.1</v>
      </c>
      <c r="H2439" t="n">
        <v>0</v>
      </c>
      <c r="I2439" t="n">
        <v>0</v>
      </c>
      <c r="J2439" t="n">
        <v>0</v>
      </c>
      <c r="K2439" t="n">
        <v>0</v>
      </c>
      <c r="L2439" t="n">
        <v>0</v>
      </c>
      <c r="M2439" t="n">
        <v>0</v>
      </c>
      <c r="N2439" t="n">
        <v>0</v>
      </c>
      <c r="O2439" t="n">
        <v>0</v>
      </c>
      <c r="P2439" t="n">
        <v>0</v>
      </c>
      <c r="Q2439" t="n">
        <v>0</v>
      </c>
      <c r="R2439" s="2" t="inlineStr"/>
    </row>
    <row r="2440" ht="15" customHeight="1">
      <c r="A2440" t="inlineStr">
        <is>
          <t>A 62098-2023</t>
        </is>
      </c>
      <c r="B2440" s="1" t="n">
        <v>45266</v>
      </c>
      <c r="C2440" s="1" t="n">
        <v>45282</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62093-2023</t>
        </is>
      </c>
      <c r="B2441" s="1" t="n">
        <v>45266</v>
      </c>
      <c r="C2441" s="1" t="n">
        <v>45282</v>
      </c>
      <c r="D2441" t="inlineStr">
        <is>
          <t>VÄSTERNORRLANDS LÄN</t>
        </is>
      </c>
      <c r="E2441" t="inlineStr">
        <is>
          <t>SOLLEFTEÅ</t>
        </is>
      </c>
      <c r="G2441" t="n">
        <v>18.1</v>
      </c>
      <c r="H2441" t="n">
        <v>0</v>
      </c>
      <c r="I2441" t="n">
        <v>0</v>
      </c>
      <c r="J2441" t="n">
        <v>0</v>
      </c>
      <c r="K2441" t="n">
        <v>0</v>
      </c>
      <c r="L2441" t="n">
        <v>0</v>
      </c>
      <c r="M2441" t="n">
        <v>0</v>
      </c>
      <c r="N2441" t="n">
        <v>0</v>
      </c>
      <c r="O2441" t="n">
        <v>0</v>
      </c>
      <c r="P2441" t="n">
        <v>0</v>
      </c>
      <c r="Q2441" t="n">
        <v>0</v>
      </c>
      <c r="R2441" s="2" t="inlineStr"/>
    </row>
    <row r="2442" ht="15" customHeight="1">
      <c r="A2442" t="inlineStr">
        <is>
          <t>A 62097-2023</t>
        </is>
      </c>
      <c r="B2442" s="1" t="n">
        <v>45266</v>
      </c>
      <c r="C2442" s="1" t="n">
        <v>45282</v>
      </c>
      <c r="D2442" t="inlineStr">
        <is>
          <t>VÄSTERNORRLANDS LÄN</t>
        </is>
      </c>
      <c r="E2442" t="inlineStr">
        <is>
          <t>SOLLEFTEÅ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62343-2023</t>
        </is>
      </c>
      <c r="B2443" s="1" t="n">
        <v>45267</v>
      </c>
      <c r="C2443" s="1" t="n">
        <v>45282</v>
      </c>
      <c r="D2443" t="inlineStr">
        <is>
          <t>VÄSTERNORRLANDS LÄN</t>
        </is>
      </c>
      <c r="E2443" t="inlineStr">
        <is>
          <t>SOLLEFTEÅ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62364-2023</t>
        </is>
      </c>
      <c r="B2444" s="1" t="n">
        <v>45267</v>
      </c>
      <c r="C2444" s="1" t="n">
        <v>45282</v>
      </c>
      <c r="D2444" t="inlineStr">
        <is>
          <t>VÄSTERNORRLANDS LÄN</t>
        </is>
      </c>
      <c r="E2444" t="inlineStr">
        <is>
          <t>SOLLEFTEÅ</t>
        </is>
      </c>
      <c r="F2444" t="inlineStr">
        <is>
          <t>SCA</t>
        </is>
      </c>
      <c r="G2444" t="n">
        <v>22.1</v>
      </c>
      <c r="H2444" t="n">
        <v>0</v>
      </c>
      <c r="I2444" t="n">
        <v>0</v>
      </c>
      <c r="J2444" t="n">
        <v>0</v>
      </c>
      <c r="K2444" t="n">
        <v>0</v>
      </c>
      <c r="L2444" t="n">
        <v>0</v>
      </c>
      <c r="M2444" t="n">
        <v>0</v>
      </c>
      <c r="N2444" t="n">
        <v>0</v>
      </c>
      <c r="O2444" t="n">
        <v>0</v>
      </c>
      <c r="P2444" t="n">
        <v>0</v>
      </c>
      <c r="Q2444" t="n">
        <v>0</v>
      </c>
      <c r="R2444" s="2" t="inlineStr"/>
    </row>
    <row r="2445" ht="15" customHeight="1">
      <c r="A2445" t="inlineStr">
        <is>
          <t>A 62523-2023</t>
        </is>
      </c>
      <c r="B2445" s="1" t="n">
        <v>45267</v>
      </c>
      <c r="C2445" s="1" t="n">
        <v>45282</v>
      </c>
      <c r="D2445" t="inlineStr">
        <is>
          <t>VÄSTERNORRLANDS LÄN</t>
        </is>
      </c>
      <c r="E2445" t="inlineStr">
        <is>
          <t>SOLLEFTEÅ</t>
        </is>
      </c>
      <c r="G2445" t="n">
        <v>33.6</v>
      </c>
      <c r="H2445" t="n">
        <v>0</v>
      </c>
      <c r="I2445" t="n">
        <v>0</v>
      </c>
      <c r="J2445" t="n">
        <v>0</v>
      </c>
      <c r="K2445" t="n">
        <v>0</v>
      </c>
      <c r="L2445" t="n">
        <v>0</v>
      </c>
      <c r="M2445" t="n">
        <v>0</v>
      </c>
      <c r="N2445" t="n">
        <v>0</v>
      </c>
      <c r="O2445" t="n">
        <v>0</v>
      </c>
      <c r="P2445" t="n">
        <v>0</v>
      </c>
      <c r="Q2445" t="n">
        <v>0</v>
      </c>
      <c r="R2445" s="2" t="inlineStr"/>
    </row>
    <row r="2446" ht="15" customHeight="1">
      <c r="A2446" t="inlineStr">
        <is>
          <t>A 62527-2023</t>
        </is>
      </c>
      <c r="B2446" s="1" t="n">
        <v>45267</v>
      </c>
      <c r="C2446" s="1" t="n">
        <v>45282</v>
      </c>
      <c r="D2446" t="inlineStr">
        <is>
          <t>VÄSTERNORRLANDS LÄN</t>
        </is>
      </c>
      <c r="E2446" t="inlineStr">
        <is>
          <t>SOLLEFTEÅ</t>
        </is>
      </c>
      <c r="G2446" t="n">
        <v>10.7</v>
      </c>
      <c r="H2446" t="n">
        <v>0</v>
      </c>
      <c r="I2446" t="n">
        <v>0</v>
      </c>
      <c r="J2446" t="n">
        <v>0</v>
      </c>
      <c r="K2446" t="n">
        <v>0</v>
      </c>
      <c r="L2446" t="n">
        <v>0</v>
      </c>
      <c r="M2446" t="n">
        <v>0</v>
      </c>
      <c r="N2446" t="n">
        <v>0</v>
      </c>
      <c r="O2446" t="n">
        <v>0</v>
      </c>
      <c r="P2446" t="n">
        <v>0</v>
      </c>
      <c r="Q2446" t="n">
        <v>0</v>
      </c>
      <c r="R2446" s="2" t="inlineStr"/>
    </row>
    <row r="2447" ht="15" customHeight="1">
      <c r="A2447" t="inlineStr">
        <is>
          <t>A 62363-2023</t>
        </is>
      </c>
      <c r="B2447" s="1" t="n">
        <v>45267</v>
      </c>
      <c r="C2447" s="1" t="n">
        <v>45282</v>
      </c>
      <c r="D2447" t="inlineStr">
        <is>
          <t>VÄSTERNORRLANDS LÄN</t>
        </is>
      </c>
      <c r="E2447" t="inlineStr">
        <is>
          <t>SOLLEFTEÅ</t>
        </is>
      </c>
      <c r="F2447" t="inlineStr">
        <is>
          <t>SCA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62357-2023</t>
        </is>
      </c>
      <c r="B2448" s="1" t="n">
        <v>45267</v>
      </c>
      <c r="C2448" s="1" t="n">
        <v>45282</v>
      </c>
      <c r="D2448" t="inlineStr">
        <is>
          <t>VÄSTERNORRLANDS LÄN</t>
        </is>
      </c>
      <c r="E2448" t="inlineStr">
        <is>
          <t>SOLLEFTEÅ</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62827-2023</t>
        </is>
      </c>
      <c r="B2449" s="1" t="n">
        <v>45271</v>
      </c>
      <c r="C2449" s="1" t="n">
        <v>45282</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63138-2023</t>
        </is>
      </c>
      <c r="B2450" s="1" t="n">
        <v>45272</v>
      </c>
      <c r="C2450" s="1" t="n">
        <v>45282</v>
      </c>
      <c r="D2450" t="inlineStr">
        <is>
          <t>VÄSTERNORRLANDS LÄN</t>
        </is>
      </c>
      <c r="E2450" t="inlineStr">
        <is>
          <t>SOLLEFTEÅ</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63144-2023</t>
        </is>
      </c>
      <c r="B2451" s="1" t="n">
        <v>45272</v>
      </c>
      <c r="C2451" s="1" t="n">
        <v>45282</v>
      </c>
      <c r="D2451" t="inlineStr">
        <is>
          <t>VÄSTERNORRLANDS LÄN</t>
        </is>
      </c>
      <c r="E2451" t="inlineStr">
        <is>
          <t>SOLLEFTEÅ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63259-2023</t>
        </is>
      </c>
      <c r="B2452" s="1" t="n">
        <v>45273</v>
      </c>
      <c r="C2452" s="1" t="n">
        <v>45282</v>
      </c>
      <c r="D2452" t="inlineStr">
        <is>
          <t>VÄSTERNORRLANDS LÄN</t>
        </is>
      </c>
      <c r="E2452" t="inlineStr">
        <is>
          <t>SOLLEFTEÅ</t>
        </is>
      </c>
      <c r="G2452" t="n">
        <v>5.6</v>
      </c>
      <c r="H2452" t="n">
        <v>0</v>
      </c>
      <c r="I2452" t="n">
        <v>0</v>
      </c>
      <c r="J2452" t="n">
        <v>0</v>
      </c>
      <c r="K2452" t="n">
        <v>0</v>
      </c>
      <c r="L2452" t="n">
        <v>0</v>
      </c>
      <c r="M2452" t="n">
        <v>0</v>
      </c>
      <c r="N2452" t="n">
        <v>0</v>
      </c>
      <c r="O2452" t="n">
        <v>0</v>
      </c>
      <c r="P2452" t="n">
        <v>0</v>
      </c>
      <c r="Q2452" t="n">
        <v>0</v>
      </c>
      <c r="R2452" s="2" t="inlineStr"/>
    </row>
    <row r="2453" ht="15" customHeight="1">
      <c r="A2453" t="inlineStr">
        <is>
          <t>A 63261-2023</t>
        </is>
      </c>
      <c r="B2453" s="1" t="n">
        <v>45273</v>
      </c>
      <c r="C2453" s="1" t="n">
        <v>45282</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63422-2023</t>
        </is>
      </c>
      <c r="B2454" s="1" t="n">
        <v>45274</v>
      </c>
      <c r="C2454" s="1" t="n">
        <v>45282</v>
      </c>
      <c r="D2454" t="inlineStr">
        <is>
          <t>VÄSTERNORRLANDS LÄN</t>
        </is>
      </c>
      <c r="E2454" t="inlineStr">
        <is>
          <t>SOLLEFTEÅ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63413-2023</t>
        </is>
      </c>
      <c r="B2455" s="1" t="n">
        <v>45274</v>
      </c>
      <c r="C2455" s="1" t="n">
        <v>45282</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63462-2023</t>
        </is>
      </c>
      <c r="B2456" s="1" t="n">
        <v>45274</v>
      </c>
      <c r="C2456" s="1" t="n">
        <v>45282</v>
      </c>
      <c r="D2456" t="inlineStr">
        <is>
          <t>VÄSTERNORRLANDS LÄN</t>
        </is>
      </c>
      <c r="E2456" t="inlineStr">
        <is>
          <t>SOLLEFTEÅ</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63529-2023</t>
        </is>
      </c>
      <c r="B2457" s="1" t="n">
        <v>45274</v>
      </c>
      <c r="C2457" s="1" t="n">
        <v>45282</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63652-2023</t>
        </is>
      </c>
      <c r="B2458" s="1" t="n">
        <v>45275</v>
      </c>
      <c r="C2458" s="1" t="n">
        <v>45282</v>
      </c>
      <c r="D2458" t="inlineStr">
        <is>
          <t>VÄSTERNORRLANDS LÄN</t>
        </is>
      </c>
      <c r="E2458" t="inlineStr">
        <is>
          <t>SOLLEFTEÅ</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63707-2023</t>
        </is>
      </c>
      <c r="B2459" s="1" t="n">
        <v>45275</v>
      </c>
      <c r="C2459" s="1" t="n">
        <v>45282</v>
      </c>
      <c r="D2459" t="inlineStr">
        <is>
          <t>VÄSTERNORRLANDS LÄN</t>
        </is>
      </c>
      <c r="E2459" t="inlineStr">
        <is>
          <t>SOLLEFTEÅ</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63712-2023</t>
        </is>
      </c>
      <c r="B2460" s="1" t="n">
        <v>45275</v>
      </c>
      <c r="C2460" s="1" t="n">
        <v>45282</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64013-2023</t>
        </is>
      </c>
      <c r="B2461" s="1" t="n">
        <v>45278</v>
      </c>
      <c r="C2461" s="1" t="n">
        <v>45282</v>
      </c>
      <c r="D2461" t="inlineStr">
        <is>
          <t>VÄSTERNORRLANDS LÄN</t>
        </is>
      </c>
      <c r="E2461" t="inlineStr">
        <is>
          <t>SOLLEFTEÅ</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63979-2023</t>
        </is>
      </c>
      <c r="B2462" s="1" t="n">
        <v>45278</v>
      </c>
      <c r="C2462" s="1" t="n">
        <v>45282</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64014-2023</t>
        </is>
      </c>
      <c r="B2463" s="1" t="n">
        <v>45278</v>
      </c>
      <c r="C2463" s="1" t="n">
        <v>45282</v>
      </c>
      <c r="D2463" t="inlineStr">
        <is>
          <t>VÄSTERNORRLANDS LÄN</t>
        </is>
      </c>
      <c r="E2463" t="inlineStr">
        <is>
          <t>SOLLEFTEÅ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64111-2023</t>
        </is>
      </c>
      <c r="B2464" s="1" t="n">
        <v>45279</v>
      </c>
      <c r="C2464" s="1" t="n">
        <v>45282</v>
      </c>
      <c r="D2464" t="inlineStr">
        <is>
          <t>VÄSTERNORRLANDS LÄN</t>
        </is>
      </c>
      <c r="E2464" t="inlineStr">
        <is>
          <t>SOLLEFTEÅ</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64115-2023</t>
        </is>
      </c>
      <c r="B2465" s="1" t="n">
        <v>45279</v>
      </c>
      <c r="C2465" s="1" t="n">
        <v>45282</v>
      </c>
      <c r="D2465" t="inlineStr">
        <is>
          <t>VÄSTERNORRLANDS LÄN</t>
        </is>
      </c>
      <c r="E2465" t="inlineStr">
        <is>
          <t>SOLLEFTEÅ</t>
        </is>
      </c>
      <c r="G2465" t="n">
        <v>16.1</v>
      </c>
      <c r="H2465" t="n">
        <v>0</v>
      </c>
      <c r="I2465" t="n">
        <v>0</v>
      </c>
      <c r="J2465" t="n">
        <v>0</v>
      </c>
      <c r="K2465" t="n">
        <v>0</v>
      </c>
      <c r="L2465" t="n">
        <v>0</v>
      </c>
      <c r="M2465" t="n">
        <v>0</v>
      </c>
      <c r="N2465" t="n">
        <v>0</v>
      </c>
      <c r="O2465" t="n">
        <v>0</v>
      </c>
      <c r="P2465" t="n">
        <v>0</v>
      </c>
      <c r="Q2465" t="n">
        <v>0</v>
      </c>
      <c r="R2465" s="2" t="inlineStr"/>
    </row>
    <row r="2466" ht="15" customHeight="1">
      <c r="A2466" t="inlineStr">
        <is>
          <t>A 64120-2023</t>
        </is>
      </c>
      <c r="B2466" s="1" t="n">
        <v>45279</v>
      </c>
      <c r="C2466" s="1" t="n">
        <v>45282</v>
      </c>
      <c r="D2466" t="inlineStr">
        <is>
          <t>VÄSTERNORRLANDS LÄN</t>
        </is>
      </c>
      <c r="E2466" t="inlineStr">
        <is>
          <t>SOLLEFTEÅ</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64131-2023</t>
        </is>
      </c>
      <c r="B2467" s="1" t="n">
        <v>45279</v>
      </c>
      <c r="C2467" s="1" t="n">
        <v>45282</v>
      </c>
      <c r="D2467" t="inlineStr">
        <is>
          <t>VÄSTERNORRLANDS LÄN</t>
        </is>
      </c>
      <c r="E2467" t="inlineStr">
        <is>
          <t>SOLLEFTEÅ</t>
        </is>
      </c>
      <c r="G2467" t="n">
        <v>12.9</v>
      </c>
      <c r="H2467" t="n">
        <v>0</v>
      </c>
      <c r="I2467" t="n">
        <v>0</v>
      </c>
      <c r="J2467" t="n">
        <v>0</v>
      </c>
      <c r="K2467" t="n">
        <v>0</v>
      </c>
      <c r="L2467" t="n">
        <v>0</v>
      </c>
      <c r="M2467" t="n">
        <v>0</v>
      </c>
      <c r="N2467" t="n">
        <v>0</v>
      </c>
      <c r="O2467" t="n">
        <v>0</v>
      </c>
      <c r="P2467" t="n">
        <v>0</v>
      </c>
      <c r="Q2467" t="n">
        <v>0</v>
      </c>
      <c r="R2467" s="2" t="inlineStr"/>
    </row>
    <row r="2468" ht="15" customHeight="1">
      <c r="A2468" t="inlineStr">
        <is>
          <t>A 64133-2023</t>
        </is>
      </c>
      <c r="B2468" s="1" t="n">
        <v>45279</v>
      </c>
      <c r="C2468" s="1" t="n">
        <v>45282</v>
      </c>
      <c r="D2468" t="inlineStr">
        <is>
          <t>VÄSTERNORRLANDS LÄN</t>
        </is>
      </c>
      <c r="E2468" t="inlineStr">
        <is>
          <t>SOLLEFTEÅ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64502-2023</t>
        </is>
      </c>
      <c r="B2469" s="1" t="n">
        <v>45280</v>
      </c>
      <c r="C2469" s="1" t="n">
        <v>45282</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c r="A2470" t="inlineStr">
        <is>
          <t>A 64617-2023</t>
        </is>
      </c>
      <c r="B2470" s="1" t="n">
        <v>45281</v>
      </c>
      <c r="C2470" s="1" t="n">
        <v>45282</v>
      </c>
      <c r="D2470" t="inlineStr">
        <is>
          <t>VÄSTERNORRLANDS LÄN</t>
        </is>
      </c>
      <c r="E2470" t="inlineStr">
        <is>
          <t>SOLLEFTEÅ</t>
        </is>
      </c>
      <c r="G2470" t="n">
        <v>2</v>
      </c>
      <c r="H2470" t="n">
        <v>0</v>
      </c>
      <c r="I2470" t="n">
        <v>0</v>
      </c>
      <c r="J2470" t="n">
        <v>0</v>
      </c>
      <c r="K2470" t="n">
        <v>0</v>
      </c>
      <c r="L2470" t="n">
        <v>0</v>
      </c>
      <c r="M2470" t="n">
        <v>0</v>
      </c>
      <c r="N2470" t="n">
        <v>0</v>
      </c>
      <c r="O2470" t="n">
        <v>0</v>
      </c>
      <c r="P2470" t="n">
        <v>0</v>
      </c>
      <c r="Q2470" t="n">
        <v>0</v>
      </c>
      <c r="R24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2023-12-22T09:52:02Z</dcterms:created>
  <dcterms:modified xmlns:dcterms="http://purl.org/dc/terms/" xmlns:xsi="http://www.w3.org/2001/XMLSchema-instance" xsi:type="dcterms:W3CDTF">2023-12-22T09:52:03Z</dcterms:modified>
</cp:coreProperties>
</file>